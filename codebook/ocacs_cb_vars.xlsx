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talexan\OneDrive - County of Orange\Documents\GitHub\OCGD\codebook\"/>
    </mc:Choice>
  </mc:AlternateContent>
  <xr:revisionPtr revIDLastSave="0" documentId="13_ncr:1_{A0208F21-EB2A-42B1-90CA-79E598694B83}" xr6:coauthVersionLast="47" xr6:coauthVersionMax="47" xr10:uidLastSave="{00000000-0000-0000-0000-000000000000}"/>
  <bookViews>
    <workbookView xWindow="-120" yWindow="-120" windowWidth="21660" windowHeight="13350" xr2:uid="{DEDB83B4-F510-4A3C-AA01-9DB22AB7EEB0}"/>
  </bookViews>
  <sheets>
    <sheet name="Cumulati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73" i="1" l="1" a="1"/>
  <c r="J2873" i="1" s="1"/>
  <c r="I2873" i="1"/>
  <c r="M2873" i="1" s="1"/>
  <c r="J2872" i="1" a="1"/>
  <c r="J2872" i="1" s="1"/>
  <c r="I2872" i="1"/>
  <c r="M2872" i="1" s="1"/>
  <c r="J2871" i="1" a="1"/>
  <c r="J2871" i="1" s="1"/>
  <c r="I2871" i="1"/>
  <c r="M2871" i="1" s="1"/>
  <c r="J2870" i="1" a="1"/>
  <c r="J2870" i="1" s="1"/>
  <c r="I2870" i="1"/>
  <c r="M2870" i="1" s="1"/>
  <c r="J2869" i="1" a="1"/>
  <c r="J2869" i="1" s="1"/>
  <c r="I2869" i="1"/>
  <c r="M2869" i="1" s="1"/>
  <c r="J2868" i="1" a="1"/>
  <c r="J2868" i="1" s="1"/>
  <c r="I2868" i="1"/>
  <c r="M2868" i="1" s="1"/>
  <c r="J2867" i="1" a="1"/>
  <c r="J2867" i="1" s="1"/>
  <c r="I2867" i="1"/>
  <c r="M2867" i="1" s="1"/>
  <c r="J2866" i="1" a="1"/>
  <c r="J2866" i="1" s="1"/>
  <c r="I2866" i="1"/>
  <c r="M2866" i="1" s="1"/>
  <c r="J2865" i="1" a="1"/>
  <c r="J2865" i="1" s="1"/>
  <c r="I2865" i="1"/>
  <c r="M2865" i="1" s="1"/>
  <c r="J2864" i="1" a="1"/>
  <c r="J2864" i="1" s="1"/>
  <c r="I2864" i="1"/>
  <c r="M2864" i="1" s="1"/>
  <c r="J2863" i="1" a="1"/>
  <c r="J2863" i="1" s="1"/>
  <c r="I2863" i="1"/>
  <c r="M2863" i="1" s="1"/>
  <c r="J2862" i="1" a="1"/>
  <c r="J2862" i="1" s="1"/>
  <c r="I2862" i="1"/>
  <c r="M2862" i="1" s="1"/>
  <c r="J2861" i="1" a="1"/>
  <c r="J2861" i="1" s="1"/>
  <c r="I2861" i="1"/>
  <c r="M2861" i="1" s="1"/>
  <c r="J2860" i="1" a="1"/>
  <c r="J2860" i="1" s="1"/>
  <c r="I2860" i="1"/>
  <c r="M2860" i="1" s="1"/>
  <c r="J2859" i="1" a="1"/>
  <c r="J2859" i="1" s="1"/>
  <c r="I2859" i="1"/>
  <c r="M2859" i="1" s="1"/>
  <c r="J2858" i="1" a="1"/>
  <c r="J2858" i="1" s="1"/>
  <c r="I2858" i="1"/>
  <c r="M2858" i="1" s="1"/>
  <c r="J2857" i="1" a="1"/>
  <c r="J2857" i="1" s="1"/>
  <c r="I2857" i="1"/>
  <c r="M2857" i="1" s="1"/>
  <c r="M2856" i="1"/>
  <c r="J2856" i="1" a="1"/>
  <c r="J2856" i="1" s="1"/>
  <c r="I2856" i="1"/>
  <c r="J2855" i="1" a="1"/>
  <c r="J2855" i="1" s="1"/>
  <c r="I2855" i="1"/>
  <c r="M2855" i="1" s="1"/>
  <c r="J2854" i="1" a="1"/>
  <c r="J2854" i="1" s="1"/>
  <c r="I2854" i="1"/>
  <c r="M2854" i="1" s="1"/>
  <c r="J2853" i="1" a="1"/>
  <c r="J2853" i="1" s="1"/>
  <c r="I2853" i="1"/>
  <c r="M2853" i="1" s="1"/>
  <c r="J2852" i="1" a="1"/>
  <c r="J2852" i="1" s="1"/>
  <c r="I2852" i="1"/>
  <c r="M2852" i="1" s="1"/>
  <c r="J2851" i="1" a="1"/>
  <c r="J2851" i="1" s="1"/>
  <c r="I2851" i="1"/>
  <c r="M2851" i="1" s="1"/>
  <c r="J2850" i="1" a="1"/>
  <c r="J2850" i="1" s="1"/>
  <c r="I2850" i="1"/>
  <c r="M2850" i="1" s="1"/>
  <c r="J2849" i="1" a="1"/>
  <c r="J2849" i="1" s="1"/>
  <c r="I2849" i="1"/>
  <c r="M2849" i="1" s="1"/>
  <c r="J2848" i="1" a="1"/>
  <c r="J2848" i="1" s="1"/>
  <c r="I2848" i="1"/>
  <c r="M2848" i="1" s="1"/>
  <c r="J2847" i="1" a="1"/>
  <c r="J2847" i="1" s="1"/>
  <c r="I2847" i="1"/>
  <c r="M2847" i="1" s="1"/>
  <c r="J2846" i="1" a="1"/>
  <c r="J2846" i="1" s="1"/>
  <c r="I2846" i="1"/>
  <c r="M2846" i="1" s="1"/>
  <c r="J2845" i="1" a="1"/>
  <c r="J2845" i="1" s="1"/>
  <c r="I2845" i="1"/>
  <c r="M2845" i="1" s="1"/>
  <c r="J2844" i="1"/>
  <c r="J2844" i="1" a="1"/>
  <c r="I2844" i="1"/>
  <c r="M2844" i="1" s="1"/>
  <c r="J2843" i="1" a="1"/>
  <c r="J2843" i="1" s="1"/>
  <c r="I2843" i="1"/>
  <c r="M2843" i="1" s="1"/>
  <c r="J2842" i="1" a="1"/>
  <c r="J2842" i="1" s="1"/>
  <c r="I2842" i="1"/>
  <c r="M2842" i="1" s="1"/>
  <c r="J2841" i="1" a="1"/>
  <c r="J2841" i="1" s="1"/>
  <c r="I2841" i="1"/>
  <c r="M2841" i="1" s="1"/>
  <c r="J2840" i="1" a="1"/>
  <c r="J2840" i="1" s="1"/>
  <c r="I2840" i="1"/>
  <c r="M2840" i="1" s="1"/>
  <c r="J2839" i="1" a="1"/>
  <c r="J2839" i="1" s="1"/>
  <c r="I2839" i="1"/>
  <c r="M2839" i="1" s="1"/>
  <c r="J2838" i="1" a="1"/>
  <c r="J2838" i="1" s="1"/>
  <c r="I2838" i="1"/>
  <c r="M2838" i="1" s="1"/>
  <c r="J2837" i="1" a="1"/>
  <c r="J2837" i="1" s="1"/>
  <c r="I2837" i="1"/>
  <c r="M2837" i="1" s="1"/>
  <c r="J2836" i="1" a="1"/>
  <c r="J2836" i="1" s="1"/>
  <c r="I2836" i="1"/>
  <c r="M2836" i="1" s="1"/>
  <c r="J2835" i="1" a="1"/>
  <c r="J2835" i="1" s="1"/>
  <c r="I2835" i="1"/>
  <c r="M2835" i="1" s="1"/>
  <c r="J2834" i="1" a="1"/>
  <c r="J2834" i="1" s="1"/>
  <c r="I2834" i="1"/>
  <c r="M2834" i="1" s="1"/>
  <c r="J2833" i="1" a="1"/>
  <c r="J2833" i="1" s="1"/>
  <c r="I2833" i="1"/>
  <c r="M2833" i="1" s="1"/>
  <c r="J2832" i="1" a="1"/>
  <c r="J2832" i="1" s="1"/>
  <c r="I2832" i="1"/>
  <c r="M2832" i="1" s="1"/>
  <c r="J2831" i="1" a="1"/>
  <c r="J2831" i="1" s="1"/>
  <c r="I2831" i="1"/>
  <c r="M2831" i="1" s="1"/>
  <c r="J2830" i="1" a="1"/>
  <c r="J2830" i="1" s="1"/>
  <c r="I2830" i="1"/>
  <c r="M2830" i="1" s="1"/>
  <c r="J2829" i="1" a="1"/>
  <c r="J2829" i="1" s="1"/>
  <c r="I2829" i="1"/>
  <c r="M2829" i="1" s="1"/>
  <c r="J2828" i="1" a="1"/>
  <c r="J2828" i="1" s="1"/>
  <c r="I2828" i="1"/>
  <c r="M2828" i="1" s="1"/>
  <c r="J2827" i="1" a="1"/>
  <c r="J2827" i="1" s="1"/>
  <c r="I2827" i="1"/>
  <c r="M2827" i="1" s="1"/>
  <c r="J2826" i="1" a="1"/>
  <c r="J2826" i="1" s="1"/>
  <c r="I2826" i="1"/>
  <c r="M2826" i="1" s="1"/>
  <c r="J2825" i="1" a="1"/>
  <c r="J2825" i="1" s="1"/>
  <c r="I2825" i="1"/>
  <c r="M2825" i="1" s="1"/>
  <c r="J2824" i="1" a="1"/>
  <c r="J2824" i="1" s="1"/>
  <c r="I2824" i="1"/>
  <c r="M2824" i="1" s="1"/>
  <c r="J2823" i="1" a="1"/>
  <c r="J2823" i="1" s="1"/>
  <c r="I2823" i="1"/>
  <c r="M2823" i="1" s="1"/>
  <c r="J2822" i="1" a="1"/>
  <c r="J2822" i="1" s="1"/>
  <c r="I2822" i="1"/>
  <c r="M2822" i="1" s="1"/>
  <c r="J2821" i="1" a="1"/>
  <c r="J2821" i="1" s="1"/>
  <c r="I2821" i="1"/>
  <c r="M2821" i="1" s="1"/>
  <c r="J2820" i="1" a="1"/>
  <c r="J2820" i="1" s="1"/>
  <c r="I2820" i="1"/>
  <c r="M2820" i="1" s="1"/>
  <c r="J2819" i="1" a="1"/>
  <c r="J2819" i="1" s="1"/>
  <c r="I2819" i="1"/>
  <c r="M2819" i="1" s="1"/>
  <c r="J2818" i="1" a="1"/>
  <c r="J2818" i="1" s="1"/>
  <c r="I2818" i="1"/>
  <c r="M2818" i="1" s="1"/>
  <c r="J2817" i="1" a="1"/>
  <c r="J2817" i="1" s="1"/>
  <c r="I2817" i="1"/>
  <c r="M2817" i="1" s="1"/>
  <c r="J2816" i="1"/>
  <c r="J2816" i="1" a="1"/>
  <c r="I2816" i="1"/>
  <c r="M2816" i="1" s="1"/>
  <c r="J2815" i="1" a="1"/>
  <c r="J2815" i="1" s="1"/>
  <c r="I2815" i="1"/>
  <c r="M2815" i="1" s="1"/>
  <c r="J2814" i="1" a="1"/>
  <c r="J2814" i="1" s="1"/>
  <c r="I2814" i="1"/>
  <c r="M2814" i="1" s="1"/>
  <c r="J2813" i="1" a="1"/>
  <c r="J2813" i="1" s="1"/>
  <c r="I2813" i="1"/>
  <c r="M2813" i="1" s="1"/>
  <c r="J2812" i="1" a="1"/>
  <c r="J2812" i="1" s="1"/>
  <c r="I2812" i="1"/>
  <c r="M2812" i="1" s="1"/>
  <c r="J2811" i="1" a="1"/>
  <c r="J2811" i="1" s="1"/>
  <c r="I2811" i="1"/>
  <c r="M2811" i="1" s="1"/>
  <c r="J2810" i="1" a="1"/>
  <c r="J2810" i="1" s="1"/>
  <c r="I2810" i="1"/>
  <c r="M2810" i="1" s="1"/>
  <c r="J2809" i="1" a="1"/>
  <c r="J2809" i="1" s="1"/>
  <c r="I2809" i="1"/>
  <c r="M2809" i="1" s="1"/>
  <c r="J2808" i="1" a="1"/>
  <c r="J2808" i="1" s="1"/>
  <c r="I2808" i="1"/>
  <c r="M2808" i="1" s="1"/>
  <c r="J2807" i="1" a="1"/>
  <c r="J2807" i="1" s="1"/>
  <c r="I2807" i="1"/>
  <c r="M2807" i="1" s="1"/>
  <c r="J2806" i="1" a="1"/>
  <c r="J2806" i="1" s="1"/>
  <c r="I2806" i="1"/>
  <c r="M2806" i="1" s="1"/>
  <c r="J2805" i="1" a="1"/>
  <c r="J2805" i="1" s="1"/>
  <c r="I2805" i="1"/>
  <c r="M2805" i="1" s="1"/>
  <c r="J2804" i="1" a="1"/>
  <c r="J2804" i="1" s="1"/>
  <c r="I2804" i="1"/>
  <c r="M2804" i="1" s="1"/>
  <c r="J2803" i="1" a="1"/>
  <c r="J2803" i="1" s="1"/>
  <c r="I2803" i="1"/>
  <c r="M2803" i="1" s="1"/>
  <c r="M2802" i="1"/>
  <c r="J2802" i="1" a="1"/>
  <c r="J2802" i="1" s="1"/>
  <c r="I2802" i="1"/>
  <c r="J2801" i="1" a="1"/>
  <c r="J2801" i="1" s="1"/>
  <c r="I2801" i="1"/>
  <c r="M2801" i="1" s="1"/>
  <c r="J2800" i="1" a="1"/>
  <c r="J2800" i="1" s="1"/>
  <c r="I2800" i="1"/>
  <c r="M2800" i="1" s="1"/>
  <c r="J2799" i="1" a="1"/>
  <c r="J2799" i="1" s="1"/>
  <c r="I2799" i="1"/>
  <c r="M2799" i="1" s="1"/>
  <c r="J2798" i="1" a="1"/>
  <c r="J2798" i="1" s="1"/>
  <c r="I2798" i="1"/>
  <c r="M2798" i="1" s="1"/>
  <c r="J2797" i="1" a="1"/>
  <c r="J2797" i="1" s="1"/>
  <c r="I2797" i="1"/>
  <c r="M2797" i="1" s="1"/>
  <c r="J2796" i="1" a="1"/>
  <c r="J2796" i="1" s="1"/>
  <c r="I2796" i="1"/>
  <c r="M2796" i="1" s="1"/>
  <c r="J2795" i="1" a="1"/>
  <c r="J2795" i="1" s="1"/>
  <c r="I2795" i="1"/>
  <c r="M2795" i="1" s="1"/>
  <c r="J2794" i="1" a="1"/>
  <c r="J2794" i="1" s="1"/>
  <c r="I2794" i="1"/>
  <c r="M2794" i="1" s="1"/>
  <c r="J2793" i="1" a="1"/>
  <c r="J2793" i="1" s="1"/>
  <c r="I2793" i="1"/>
  <c r="M2793" i="1" s="1"/>
  <c r="J2792" i="1" a="1"/>
  <c r="J2792" i="1" s="1"/>
  <c r="I2792" i="1"/>
  <c r="M2792" i="1" s="1"/>
  <c r="J2791" i="1" a="1"/>
  <c r="J2791" i="1" s="1"/>
  <c r="I2791" i="1"/>
  <c r="M2791" i="1" s="1"/>
  <c r="J2790" i="1" a="1"/>
  <c r="J2790" i="1" s="1"/>
  <c r="I2790" i="1"/>
  <c r="M2790" i="1" s="1"/>
  <c r="J2789" i="1" a="1"/>
  <c r="J2789" i="1" s="1"/>
  <c r="I2789" i="1"/>
  <c r="M2789" i="1" s="1"/>
  <c r="J2788" i="1"/>
  <c r="J2788" i="1" a="1"/>
  <c r="I2788" i="1"/>
  <c r="M2788" i="1" s="1"/>
  <c r="J2787" i="1" a="1"/>
  <c r="J2787" i="1" s="1"/>
  <c r="I2787" i="1"/>
  <c r="M2787" i="1" s="1"/>
  <c r="J2786" i="1" a="1"/>
  <c r="J2786" i="1" s="1"/>
  <c r="I2786" i="1"/>
  <c r="M2786" i="1" s="1"/>
  <c r="J2785" i="1" a="1"/>
  <c r="J2785" i="1" s="1"/>
  <c r="I2785" i="1"/>
  <c r="M2785" i="1" s="1"/>
  <c r="J2784" i="1" a="1"/>
  <c r="J2784" i="1" s="1"/>
  <c r="I2784" i="1"/>
  <c r="M2784" i="1" s="1"/>
  <c r="J2783" i="1" a="1"/>
  <c r="J2783" i="1" s="1"/>
  <c r="I2783" i="1"/>
  <c r="M2783" i="1" s="1"/>
  <c r="J2782" i="1" a="1"/>
  <c r="J2782" i="1" s="1"/>
  <c r="I2782" i="1"/>
  <c r="M2782" i="1" s="1"/>
  <c r="J2781" i="1" a="1"/>
  <c r="J2781" i="1" s="1"/>
  <c r="I2781" i="1"/>
  <c r="M2781" i="1" s="1"/>
  <c r="J2780" i="1" a="1"/>
  <c r="J2780" i="1" s="1"/>
  <c r="I2780" i="1"/>
  <c r="M2780" i="1" s="1"/>
  <c r="J2779" i="1" a="1"/>
  <c r="J2779" i="1" s="1"/>
  <c r="I2779" i="1"/>
  <c r="M2779" i="1" s="1"/>
  <c r="J2778" i="1" a="1"/>
  <c r="J2778" i="1" s="1"/>
  <c r="I2778" i="1"/>
  <c r="M2778" i="1" s="1"/>
  <c r="J2777" i="1" a="1"/>
  <c r="J2777" i="1" s="1"/>
  <c r="I2777" i="1"/>
  <c r="M2777" i="1" s="1"/>
  <c r="J2776" i="1" a="1"/>
  <c r="J2776" i="1" s="1"/>
  <c r="I2776" i="1"/>
  <c r="M2776" i="1" s="1"/>
  <c r="J2775" i="1" a="1"/>
  <c r="J2775" i="1" s="1"/>
  <c r="I2775" i="1"/>
  <c r="M2775" i="1" s="1"/>
  <c r="J2774" i="1" a="1"/>
  <c r="J2774" i="1" s="1"/>
  <c r="I2774" i="1"/>
  <c r="M2774" i="1" s="1"/>
  <c r="J2773" i="1" a="1"/>
  <c r="J2773" i="1" s="1"/>
  <c r="I2773" i="1"/>
  <c r="M2773" i="1" s="1"/>
  <c r="J2772" i="1"/>
  <c r="J2772" i="1" a="1"/>
  <c r="I2772" i="1"/>
  <c r="M2772" i="1" s="1"/>
  <c r="J2771" i="1" a="1"/>
  <c r="J2771" i="1" s="1"/>
  <c r="I2771" i="1"/>
  <c r="M2771" i="1" s="1"/>
  <c r="J2770" i="1" a="1"/>
  <c r="J2770" i="1" s="1"/>
  <c r="I2770" i="1"/>
  <c r="M2770" i="1" s="1"/>
  <c r="J2769" i="1" a="1"/>
  <c r="J2769" i="1" s="1"/>
  <c r="I2769" i="1"/>
  <c r="M2769" i="1" s="1"/>
  <c r="J2768" i="1" a="1"/>
  <c r="J2768" i="1" s="1"/>
  <c r="I2768" i="1"/>
  <c r="M2768" i="1" s="1"/>
  <c r="J2767" i="1" a="1"/>
  <c r="J2767" i="1" s="1"/>
  <c r="I2767" i="1"/>
  <c r="M2767" i="1" s="1"/>
  <c r="J2766" i="1" a="1"/>
  <c r="J2766" i="1" s="1"/>
  <c r="I2766" i="1"/>
  <c r="M2766" i="1" s="1"/>
  <c r="J2765" i="1" a="1"/>
  <c r="J2765" i="1" s="1"/>
  <c r="I2765" i="1"/>
  <c r="M2765" i="1" s="1"/>
  <c r="J2764" i="1" a="1"/>
  <c r="J2764" i="1" s="1"/>
  <c r="I2764" i="1"/>
  <c r="M2764" i="1" s="1"/>
  <c r="J2763" i="1" a="1"/>
  <c r="J2763" i="1" s="1"/>
  <c r="I2763" i="1"/>
  <c r="M2763" i="1" s="1"/>
  <c r="M2762" i="1"/>
  <c r="J2762" i="1"/>
  <c r="J2762" i="1" a="1"/>
  <c r="I2762" i="1"/>
  <c r="J2761" i="1" a="1"/>
  <c r="J2761" i="1" s="1"/>
  <c r="I2761" i="1"/>
  <c r="M2761" i="1" s="1"/>
  <c r="J2760" i="1" a="1"/>
  <c r="J2760" i="1" s="1"/>
  <c r="I2760" i="1"/>
  <c r="M2760" i="1" s="1"/>
  <c r="J2759" i="1" a="1"/>
  <c r="J2759" i="1" s="1"/>
  <c r="I2759" i="1"/>
  <c r="M2759" i="1" s="1"/>
  <c r="J2758" i="1" a="1"/>
  <c r="J2758" i="1" s="1"/>
  <c r="I2758" i="1"/>
  <c r="M2758" i="1" s="1"/>
  <c r="J2757" i="1" a="1"/>
  <c r="J2757" i="1" s="1"/>
  <c r="I2757" i="1"/>
  <c r="M2757" i="1" s="1"/>
  <c r="J2756" i="1" a="1"/>
  <c r="J2756" i="1" s="1"/>
  <c r="I2756" i="1"/>
  <c r="M2756" i="1" s="1"/>
  <c r="J2755" i="1" a="1"/>
  <c r="J2755" i="1" s="1"/>
  <c r="I2755" i="1"/>
  <c r="M2755" i="1" s="1"/>
  <c r="J2754" i="1" a="1"/>
  <c r="J2754" i="1" s="1"/>
  <c r="I2754" i="1"/>
  <c r="M2754" i="1" s="1"/>
  <c r="J2753" i="1" a="1"/>
  <c r="J2753" i="1" s="1"/>
  <c r="I2753" i="1"/>
  <c r="M2753" i="1" s="1"/>
  <c r="J2752" i="1" a="1"/>
  <c r="J2752" i="1" s="1"/>
  <c r="I2752" i="1"/>
  <c r="M2752" i="1" s="1"/>
  <c r="J2751" i="1" a="1"/>
  <c r="J2751" i="1" s="1"/>
  <c r="I2751" i="1"/>
  <c r="M2751" i="1" s="1"/>
  <c r="J2750" i="1" a="1"/>
  <c r="J2750" i="1" s="1"/>
  <c r="I2750" i="1"/>
  <c r="M2750" i="1" s="1"/>
  <c r="J2749" i="1" a="1"/>
  <c r="J2749" i="1" s="1"/>
  <c r="I2749" i="1"/>
  <c r="M2749" i="1" s="1"/>
  <c r="J2748" i="1" a="1"/>
  <c r="J2748" i="1" s="1"/>
  <c r="I2748" i="1"/>
  <c r="M2748" i="1" s="1"/>
  <c r="J2747" i="1" a="1"/>
  <c r="J2747" i="1" s="1"/>
  <c r="I2747" i="1"/>
  <c r="M2747" i="1" s="1"/>
  <c r="J2746" i="1" a="1"/>
  <c r="J2746" i="1" s="1"/>
  <c r="I2746" i="1"/>
  <c r="M2746" i="1" s="1"/>
  <c r="J2745" i="1" a="1"/>
  <c r="J2745" i="1" s="1"/>
  <c r="I2745" i="1"/>
  <c r="M2745" i="1" s="1"/>
  <c r="J2744" i="1" a="1"/>
  <c r="J2744" i="1" s="1"/>
  <c r="I2744" i="1"/>
  <c r="M2744" i="1" s="1"/>
  <c r="J2743" i="1" a="1"/>
  <c r="J2743" i="1" s="1"/>
  <c r="I2743" i="1"/>
  <c r="M2743" i="1" s="1"/>
  <c r="J2742" i="1" a="1"/>
  <c r="J2742" i="1" s="1"/>
  <c r="I2742" i="1"/>
  <c r="M2742" i="1" s="1"/>
  <c r="J2741" i="1" a="1"/>
  <c r="J2741" i="1" s="1"/>
  <c r="I2741" i="1"/>
  <c r="M2741" i="1" s="1"/>
  <c r="J2740" i="1" a="1"/>
  <c r="J2740" i="1" s="1"/>
  <c r="I2740" i="1"/>
  <c r="M2740" i="1" s="1"/>
  <c r="J2739" i="1" a="1"/>
  <c r="J2739" i="1" s="1"/>
  <c r="I2739" i="1"/>
  <c r="M2739" i="1" s="1"/>
  <c r="J2738" i="1" a="1"/>
  <c r="J2738" i="1" s="1"/>
  <c r="I2738" i="1"/>
  <c r="M2738" i="1" s="1"/>
  <c r="J2737" i="1" a="1"/>
  <c r="J2737" i="1" s="1"/>
  <c r="I2737" i="1"/>
  <c r="M2737" i="1" s="1"/>
  <c r="J2736" i="1" a="1"/>
  <c r="J2736" i="1" s="1"/>
  <c r="I2736" i="1"/>
  <c r="M2736" i="1" s="1"/>
  <c r="J2735" i="1" a="1"/>
  <c r="J2735" i="1" s="1"/>
  <c r="I2735" i="1"/>
  <c r="M2735" i="1" s="1"/>
  <c r="J2734" i="1" a="1"/>
  <c r="J2734" i="1" s="1"/>
  <c r="I2734" i="1"/>
  <c r="M2734" i="1" s="1"/>
  <c r="J2733" i="1" a="1"/>
  <c r="J2733" i="1" s="1"/>
  <c r="I2733" i="1"/>
  <c r="M2733" i="1" s="1"/>
  <c r="J2732" i="1" a="1"/>
  <c r="J2732" i="1" s="1"/>
  <c r="I2732" i="1"/>
  <c r="M2732" i="1" s="1"/>
  <c r="J2731" i="1" a="1"/>
  <c r="J2731" i="1" s="1"/>
  <c r="I2731" i="1"/>
  <c r="M2731" i="1" s="1"/>
  <c r="J2730" i="1" a="1"/>
  <c r="J2730" i="1" s="1"/>
  <c r="I2730" i="1"/>
  <c r="M2730" i="1" s="1"/>
  <c r="J2729" i="1" a="1"/>
  <c r="J2729" i="1" s="1"/>
  <c r="I2729" i="1"/>
  <c r="M2729" i="1" s="1"/>
  <c r="J2728" i="1" a="1"/>
  <c r="J2728" i="1" s="1"/>
  <c r="I2728" i="1"/>
  <c r="M2728" i="1" s="1"/>
  <c r="J2727" i="1" a="1"/>
  <c r="J2727" i="1" s="1"/>
  <c r="I2727" i="1"/>
  <c r="M2727" i="1" s="1"/>
  <c r="J2726" i="1" a="1"/>
  <c r="J2726" i="1" s="1"/>
  <c r="I2726" i="1"/>
  <c r="M2726" i="1" s="1"/>
  <c r="J2725" i="1" a="1"/>
  <c r="J2725" i="1" s="1"/>
  <c r="I2725" i="1"/>
  <c r="M2725" i="1" s="1"/>
  <c r="J2724" i="1" a="1"/>
  <c r="J2724" i="1" s="1"/>
  <c r="I2724" i="1"/>
  <c r="M2724" i="1" s="1"/>
  <c r="J2723" i="1" a="1"/>
  <c r="J2723" i="1" s="1"/>
  <c r="I2723" i="1"/>
  <c r="M2723" i="1" s="1"/>
  <c r="M2722" i="1"/>
  <c r="J2722" i="1" a="1"/>
  <c r="J2722" i="1" s="1"/>
  <c r="I2722" i="1"/>
  <c r="J2721" i="1" a="1"/>
  <c r="J2721" i="1" s="1"/>
  <c r="I2721" i="1"/>
  <c r="M2721" i="1" s="1"/>
  <c r="J2720" i="1" a="1"/>
  <c r="J2720" i="1" s="1"/>
  <c r="I2720" i="1"/>
  <c r="M2720" i="1" s="1"/>
  <c r="J2719" i="1" a="1"/>
  <c r="J2719" i="1" s="1"/>
  <c r="I2719" i="1"/>
  <c r="M2719" i="1" s="1"/>
  <c r="J2718" i="1" a="1"/>
  <c r="J2718" i="1" s="1"/>
  <c r="I2718" i="1"/>
  <c r="M2718" i="1" s="1"/>
  <c r="J2717" i="1" a="1"/>
  <c r="J2717" i="1" s="1"/>
  <c r="I2717" i="1"/>
  <c r="M2717" i="1" s="1"/>
  <c r="J2716" i="1" a="1"/>
  <c r="J2716" i="1" s="1"/>
  <c r="I2716" i="1"/>
  <c r="M2716" i="1" s="1"/>
  <c r="J2715" i="1"/>
  <c r="J2715" i="1" a="1"/>
  <c r="I2715" i="1"/>
  <c r="M2715" i="1" s="1"/>
  <c r="J2714" i="1" a="1"/>
  <c r="J2714" i="1" s="1"/>
  <c r="I2714" i="1"/>
  <c r="M2714" i="1" s="1"/>
  <c r="J2713" i="1" a="1"/>
  <c r="J2713" i="1" s="1"/>
  <c r="I2713" i="1"/>
  <c r="M2713" i="1" s="1"/>
  <c r="M2712" i="1"/>
  <c r="J2712" i="1" a="1"/>
  <c r="J2712" i="1" s="1"/>
  <c r="I2712" i="1"/>
  <c r="J2711" i="1" a="1"/>
  <c r="J2711" i="1" s="1"/>
  <c r="I2711" i="1"/>
  <c r="M2711" i="1" s="1"/>
  <c r="J2710" i="1" a="1"/>
  <c r="J2710" i="1" s="1"/>
  <c r="I2710" i="1"/>
  <c r="M2710" i="1" s="1"/>
  <c r="M2709" i="1"/>
  <c r="J2709" i="1" a="1"/>
  <c r="J2709" i="1" s="1"/>
  <c r="I2709" i="1"/>
  <c r="M2708" i="1"/>
  <c r="J2708" i="1"/>
  <c r="J2708" i="1" a="1"/>
  <c r="I2708" i="1"/>
  <c r="J2707" i="1"/>
  <c r="J2707" i="1" a="1"/>
  <c r="I2707" i="1"/>
  <c r="M2707" i="1" s="1"/>
  <c r="J2706" i="1" a="1"/>
  <c r="J2706" i="1" s="1"/>
  <c r="I2706" i="1"/>
  <c r="M2706" i="1" s="1"/>
  <c r="J2705" i="1" a="1"/>
  <c r="J2705" i="1" s="1"/>
  <c r="I2705" i="1"/>
  <c r="M2705" i="1" s="1"/>
  <c r="J2704" i="1" a="1"/>
  <c r="J2704" i="1" s="1"/>
  <c r="I2704" i="1"/>
  <c r="M2704" i="1" s="1"/>
  <c r="J2703" i="1" a="1"/>
  <c r="J2703" i="1" s="1"/>
  <c r="I2703" i="1"/>
  <c r="M2703" i="1" s="1"/>
  <c r="J2702" i="1" a="1"/>
  <c r="J2702" i="1" s="1"/>
  <c r="I2702" i="1"/>
  <c r="M2702" i="1" s="1"/>
  <c r="J2701" i="1" a="1"/>
  <c r="J2701" i="1" s="1"/>
  <c r="I2701" i="1"/>
  <c r="M2701" i="1" s="1"/>
  <c r="J2700" i="1" a="1"/>
  <c r="J2700" i="1" s="1"/>
  <c r="I2700" i="1"/>
  <c r="M2700" i="1" s="1"/>
  <c r="J2699" i="1" a="1"/>
  <c r="J2699" i="1" s="1"/>
  <c r="I2699" i="1"/>
  <c r="M2699" i="1" s="1"/>
  <c r="J2698" i="1" a="1"/>
  <c r="J2698" i="1" s="1"/>
  <c r="I2698" i="1"/>
  <c r="M2698" i="1" s="1"/>
  <c r="J2697" i="1" a="1"/>
  <c r="J2697" i="1" s="1"/>
  <c r="I2697" i="1"/>
  <c r="M2697" i="1" s="1"/>
  <c r="J2696" i="1" a="1"/>
  <c r="J2696" i="1" s="1"/>
  <c r="I2696" i="1"/>
  <c r="M2696" i="1" s="1"/>
  <c r="J2695" i="1" a="1"/>
  <c r="J2695" i="1" s="1"/>
  <c r="I2695" i="1"/>
  <c r="M2695" i="1" s="1"/>
  <c r="M2694" i="1"/>
  <c r="J2694" i="1" a="1"/>
  <c r="J2694" i="1" s="1"/>
  <c r="I2694" i="1"/>
  <c r="J2693" i="1" a="1"/>
  <c r="J2693" i="1" s="1"/>
  <c r="I2693" i="1"/>
  <c r="M2693" i="1" s="1"/>
  <c r="J2692" i="1" a="1"/>
  <c r="J2692" i="1" s="1"/>
  <c r="I2692" i="1"/>
  <c r="M2692" i="1" s="1"/>
  <c r="J2691" i="1" a="1"/>
  <c r="J2691" i="1" s="1"/>
  <c r="I2691" i="1"/>
  <c r="M2691" i="1" s="1"/>
  <c r="J2690" i="1" a="1"/>
  <c r="J2690" i="1" s="1"/>
  <c r="I2690" i="1"/>
  <c r="M2690" i="1" s="1"/>
  <c r="J2689" i="1" a="1"/>
  <c r="J2689" i="1" s="1"/>
  <c r="I2689" i="1"/>
  <c r="M2689" i="1" s="1"/>
  <c r="J2688" i="1" a="1"/>
  <c r="J2688" i="1" s="1"/>
  <c r="I2688" i="1"/>
  <c r="M2688" i="1" s="1"/>
  <c r="J2687" i="1" a="1"/>
  <c r="J2687" i="1" s="1"/>
  <c r="I2687" i="1"/>
  <c r="M2687" i="1" s="1"/>
  <c r="J2686" i="1" a="1"/>
  <c r="J2686" i="1" s="1"/>
  <c r="I2686" i="1"/>
  <c r="M2686" i="1" s="1"/>
  <c r="J2685" i="1" a="1"/>
  <c r="J2685" i="1" s="1"/>
  <c r="I2685" i="1"/>
  <c r="M2685" i="1" s="1"/>
  <c r="J2684" i="1" a="1"/>
  <c r="J2684" i="1" s="1"/>
  <c r="I2684" i="1"/>
  <c r="M2684" i="1" s="1"/>
  <c r="J2683" i="1" a="1"/>
  <c r="J2683" i="1" s="1"/>
  <c r="I2683" i="1"/>
  <c r="M2683" i="1" s="1"/>
  <c r="J2682" i="1" a="1"/>
  <c r="J2682" i="1" s="1"/>
  <c r="I2682" i="1"/>
  <c r="M2682" i="1" s="1"/>
  <c r="J2681" i="1" a="1"/>
  <c r="J2681" i="1" s="1"/>
  <c r="I2681" i="1"/>
  <c r="M2681" i="1" s="1"/>
  <c r="J2680" i="1" a="1"/>
  <c r="J2680" i="1" s="1"/>
  <c r="I2680" i="1"/>
  <c r="M2680" i="1" s="1"/>
  <c r="J2679" i="1"/>
  <c r="J2679" i="1" a="1"/>
  <c r="I2679" i="1"/>
  <c r="M2679" i="1" s="1"/>
  <c r="J2678" i="1" a="1"/>
  <c r="J2678" i="1" s="1"/>
  <c r="I2678" i="1"/>
  <c r="M2678" i="1" s="1"/>
  <c r="J2677" i="1" a="1"/>
  <c r="J2677" i="1" s="1"/>
  <c r="I2677" i="1"/>
  <c r="M2677" i="1" s="1"/>
  <c r="J2676" i="1" a="1"/>
  <c r="J2676" i="1" s="1"/>
  <c r="I2676" i="1"/>
  <c r="M2676" i="1" s="1"/>
  <c r="J2675" i="1" a="1"/>
  <c r="J2675" i="1" s="1"/>
  <c r="I2675" i="1"/>
  <c r="M2675" i="1" s="1"/>
  <c r="J2674" i="1" a="1"/>
  <c r="J2674" i="1" s="1"/>
  <c r="I2674" i="1"/>
  <c r="M2674" i="1" s="1"/>
  <c r="J2673" i="1" a="1"/>
  <c r="J2673" i="1" s="1"/>
  <c r="I2673" i="1"/>
  <c r="M2673" i="1" s="1"/>
  <c r="J2672" i="1"/>
  <c r="J2672" i="1" a="1"/>
  <c r="I2672" i="1"/>
  <c r="M2672" i="1" s="1"/>
  <c r="J2671" i="1" a="1"/>
  <c r="J2671" i="1" s="1"/>
  <c r="I2671" i="1"/>
  <c r="M2671" i="1" s="1"/>
  <c r="J2670" i="1" a="1"/>
  <c r="J2670" i="1" s="1"/>
  <c r="I2670" i="1"/>
  <c r="M2670" i="1" s="1"/>
  <c r="J2669" i="1" a="1"/>
  <c r="J2669" i="1" s="1"/>
  <c r="I2669" i="1"/>
  <c r="M2669" i="1" s="1"/>
  <c r="M2668" i="1"/>
  <c r="J2668" i="1" a="1"/>
  <c r="J2668" i="1" s="1"/>
  <c r="I2668" i="1"/>
  <c r="J2667" i="1" a="1"/>
  <c r="J2667" i="1" s="1"/>
  <c r="I2667" i="1"/>
  <c r="M2667" i="1" s="1"/>
  <c r="J2666" i="1" a="1"/>
  <c r="J2666" i="1" s="1"/>
  <c r="I2666" i="1"/>
  <c r="M2666" i="1" s="1"/>
  <c r="J2665" i="1" a="1"/>
  <c r="J2665" i="1" s="1"/>
  <c r="I2665" i="1"/>
  <c r="M2665" i="1" s="1"/>
  <c r="J2664" i="1"/>
  <c r="J2664" i="1" a="1"/>
  <c r="I2664" i="1"/>
  <c r="M2664" i="1" s="1"/>
  <c r="J2663" i="1"/>
  <c r="J2663" i="1" a="1"/>
  <c r="I2663" i="1"/>
  <c r="M2663" i="1" s="1"/>
  <c r="J2662" i="1" a="1"/>
  <c r="J2662" i="1" s="1"/>
  <c r="I2662" i="1"/>
  <c r="M2662" i="1" s="1"/>
  <c r="J2661" i="1" a="1"/>
  <c r="J2661" i="1" s="1"/>
  <c r="I2661" i="1"/>
  <c r="M2661" i="1" s="1"/>
  <c r="J2660" i="1" a="1"/>
  <c r="J2660" i="1" s="1"/>
  <c r="I2660" i="1"/>
  <c r="M2660" i="1" s="1"/>
  <c r="J2659" i="1" a="1"/>
  <c r="J2659" i="1" s="1"/>
  <c r="I2659" i="1"/>
  <c r="M2659" i="1" s="1"/>
  <c r="J2658" i="1" a="1"/>
  <c r="J2658" i="1" s="1"/>
  <c r="I2658" i="1"/>
  <c r="M2658" i="1" s="1"/>
  <c r="J2657" i="1" a="1"/>
  <c r="J2657" i="1" s="1"/>
  <c r="I2657" i="1"/>
  <c r="M2657" i="1" s="1"/>
  <c r="J2656" i="1" a="1"/>
  <c r="J2656" i="1" s="1"/>
  <c r="I2656" i="1"/>
  <c r="M2656" i="1" s="1"/>
  <c r="J2655" i="1" a="1"/>
  <c r="J2655" i="1" s="1"/>
  <c r="I2655" i="1"/>
  <c r="M2655" i="1" s="1"/>
  <c r="J2654" i="1" a="1"/>
  <c r="J2654" i="1" s="1"/>
  <c r="I2654" i="1"/>
  <c r="M2654" i="1" s="1"/>
  <c r="J2653" i="1" a="1"/>
  <c r="J2653" i="1" s="1"/>
  <c r="I2653" i="1"/>
  <c r="M2653" i="1" s="1"/>
  <c r="J2652" i="1" a="1"/>
  <c r="J2652" i="1" s="1"/>
  <c r="I2652" i="1"/>
  <c r="M2652" i="1" s="1"/>
  <c r="J2651" i="1" a="1"/>
  <c r="J2651" i="1" s="1"/>
  <c r="I2651" i="1"/>
  <c r="M2651" i="1" s="1"/>
  <c r="M2650" i="1"/>
  <c r="J2650" i="1" a="1"/>
  <c r="J2650" i="1" s="1"/>
  <c r="I2650" i="1"/>
  <c r="J2649" i="1"/>
  <c r="J2649" i="1" a="1"/>
  <c r="I2649" i="1"/>
  <c r="M2649" i="1" s="1"/>
  <c r="J2648" i="1"/>
  <c r="J2648" i="1" a="1"/>
  <c r="I2648" i="1"/>
  <c r="M2648" i="1" s="1"/>
  <c r="J2647" i="1" a="1"/>
  <c r="J2647" i="1" s="1"/>
  <c r="I2647" i="1"/>
  <c r="M2647" i="1" s="1"/>
  <c r="J2646" i="1" a="1"/>
  <c r="J2646" i="1" s="1"/>
  <c r="I2646" i="1"/>
  <c r="M2646" i="1" s="1"/>
  <c r="J2645" i="1" a="1"/>
  <c r="J2645" i="1" s="1"/>
  <c r="I2645" i="1"/>
  <c r="M2645" i="1" s="1"/>
  <c r="J2644" i="1" a="1"/>
  <c r="J2644" i="1" s="1"/>
  <c r="I2644" i="1"/>
  <c r="M2644" i="1" s="1"/>
  <c r="J2643" i="1" a="1"/>
  <c r="J2643" i="1" s="1"/>
  <c r="I2643" i="1"/>
  <c r="M2643" i="1" s="1"/>
  <c r="J2642" i="1" a="1"/>
  <c r="J2642" i="1" s="1"/>
  <c r="I2642" i="1"/>
  <c r="M2642" i="1" s="1"/>
  <c r="J2641" i="1" a="1"/>
  <c r="J2641" i="1" s="1"/>
  <c r="I2641" i="1"/>
  <c r="M2641" i="1" s="1"/>
  <c r="J2640" i="1" a="1"/>
  <c r="J2640" i="1" s="1"/>
  <c r="I2640" i="1"/>
  <c r="M2640" i="1" s="1"/>
  <c r="J2639" i="1" a="1"/>
  <c r="J2639" i="1" s="1"/>
  <c r="I2639" i="1"/>
  <c r="M2639" i="1" s="1"/>
  <c r="J2638" i="1" a="1"/>
  <c r="J2638" i="1" s="1"/>
  <c r="I2638" i="1"/>
  <c r="M2638" i="1" s="1"/>
  <c r="J2637" i="1" a="1"/>
  <c r="J2637" i="1" s="1"/>
  <c r="I2637" i="1"/>
  <c r="M2637" i="1" s="1"/>
  <c r="J2636" i="1" a="1"/>
  <c r="J2636" i="1" s="1"/>
  <c r="I2636" i="1"/>
  <c r="M2636" i="1" s="1"/>
  <c r="J2635" i="1" a="1"/>
  <c r="J2635" i="1" s="1"/>
  <c r="I2635" i="1"/>
  <c r="M2635" i="1" s="1"/>
  <c r="J2634" i="1" a="1"/>
  <c r="J2634" i="1" s="1"/>
  <c r="I2634" i="1"/>
  <c r="M2634" i="1" s="1"/>
  <c r="J2633" i="1" a="1"/>
  <c r="J2633" i="1" s="1"/>
  <c r="I2633" i="1"/>
  <c r="M2633" i="1" s="1"/>
  <c r="J2632" i="1" a="1"/>
  <c r="J2632" i="1" s="1"/>
  <c r="I2632" i="1"/>
  <c r="M2632" i="1" s="1"/>
  <c r="M2631" i="1"/>
  <c r="J2631" i="1"/>
  <c r="J2631" i="1" a="1"/>
  <c r="I2631" i="1"/>
  <c r="J2630" i="1" a="1"/>
  <c r="J2630" i="1" s="1"/>
  <c r="I2630" i="1"/>
  <c r="M2630" i="1" s="1"/>
  <c r="J2629" i="1" a="1"/>
  <c r="J2629" i="1" s="1"/>
  <c r="I2629" i="1"/>
  <c r="M2629" i="1" s="1"/>
  <c r="J2628" i="1" a="1"/>
  <c r="J2628" i="1" s="1"/>
  <c r="I2628" i="1"/>
  <c r="M2628" i="1" s="1"/>
  <c r="J2627" i="1"/>
  <c r="J2627" i="1" a="1"/>
  <c r="I2627" i="1"/>
  <c r="M2627" i="1" s="1"/>
  <c r="J2626" i="1" a="1"/>
  <c r="J2626" i="1" s="1"/>
  <c r="I2626" i="1"/>
  <c r="M2626" i="1" s="1"/>
  <c r="J2625" i="1" a="1"/>
  <c r="J2625" i="1" s="1"/>
  <c r="I2625" i="1"/>
  <c r="M2625" i="1" s="1"/>
  <c r="J2624" i="1" a="1"/>
  <c r="J2624" i="1" s="1"/>
  <c r="I2624" i="1"/>
  <c r="M2624" i="1" s="1"/>
  <c r="J2623" i="1" a="1"/>
  <c r="J2623" i="1" s="1"/>
  <c r="I2623" i="1"/>
  <c r="M2623" i="1" s="1"/>
  <c r="J2622" i="1" a="1"/>
  <c r="J2622" i="1" s="1"/>
  <c r="I2622" i="1"/>
  <c r="M2622" i="1" s="1"/>
  <c r="J2621" i="1" a="1"/>
  <c r="J2621" i="1" s="1"/>
  <c r="I2621" i="1"/>
  <c r="M2621" i="1" s="1"/>
  <c r="J2620" i="1" a="1"/>
  <c r="J2620" i="1" s="1"/>
  <c r="I2620" i="1"/>
  <c r="M2620" i="1" s="1"/>
  <c r="M2619" i="1"/>
  <c r="J2619" i="1" a="1"/>
  <c r="J2619" i="1" s="1"/>
  <c r="I2619" i="1"/>
  <c r="J2618" i="1" a="1"/>
  <c r="J2618" i="1" s="1"/>
  <c r="I2618" i="1"/>
  <c r="M2618" i="1" s="1"/>
  <c r="J2617" i="1" a="1"/>
  <c r="J2617" i="1" s="1"/>
  <c r="I2617" i="1"/>
  <c r="M2617" i="1" s="1"/>
  <c r="J2616" i="1" a="1"/>
  <c r="J2616" i="1" s="1"/>
  <c r="I2616" i="1"/>
  <c r="M2616" i="1" s="1"/>
  <c r="J2615" i="1" a="1"/>
  <c r="J2615" i="1" s="1"/>
  <c r="I2615" i="1"/>
  <c r="M2615" i="1" s="1"/>
  <c r="J2614" i="1" a="1"/>
  <c r="J2614" i="1" s="1"/>
  <c r="I2614" i="1"/>
  <c r="M2614" i="1" s="1"/>
  <c r="J2613" i="1" a="1"/>
  <c r="J2613" i="1" s="1"/>
  <c r="I2613" i="1"/>
  <c r="M2613" i="1" s="1"/>
  <c r="J2612" i="1"/>
  <c r="J2612" i="1" a="1"/>
  <c r="I2612" i="1"/>
  <c r="M2612" i="1" s="1"/>
  <c r="J2611" i="1" a="1"/>
  <c r="J2611" i="1" s="1"/>
  <c r="I2611" i="1"/>
  <c r="M2611" i="1" s="1"/>
  <c r="J2610" i="1" a="1"/>
  <c r="J2610" i="1" s="1"/>
  <c r="I2610" i="1"/>
  <c r="M2610" i="1" s="1"/>
  <c r="J2609" i="1" a="1"/>
  <c r="J2609" i="1" s="1"/>
  <c r="I2609" i="1"/>
  <c r="M2609" i="1" s="1"/>
  <c r="J2608" i="1" a="1"/>
  <c r="J2608" i="1" s="1"/>
  <c r="I2608" i="1"/>
  <c r="M2608" i="1" s="1"/>
  <c r="J2607" i="1" a="1"/>
  <c r="J2607" i="1" s="1"/>
  <c r="I2607" i="1"/>
  <c r="M2607" i="1" s="1"/>
  <c r="J2606" i="1" a="1"/>
  <c r="J2606" i="1" s="1"/>
  <c r="I2606" i="1"/>
  <c r="M2606" i="1" s="1"/>
  <c r="J2605" i="1" a="1"/>
  <c r="J2605" i="1" s="1"/>
  <c r="I2605" i="1"/>
  <c r="M2605" i="1" s="1"/>
  <c r="J2604" i="1" a="1"/>
  <c r="J2604" i="1" s="1"/>
  <c r="I2604" i="1"/>
  <c r="M2604" i="1" s="1"/>
  <c r="J2603" i="1" a="1"/>
  <c r="J2603" i="1" s="1"/>
  <c r="I2603" i="1"/>
  <c r="M2603" i="1" s="1"/>
  <c r="J2602" i="1" a="1"/>
  <c r="J2602" i="1" s="1"/>
  <c r="I2602" i="1"/>
  <c r="M2602" i="1" s="1"/>
  <c r="J2601" i="1" a="1"/>
  <c r="J2601" i="1" s="1"/>
  <c r="I2601" i="1"/>
  <c r="M2601" i="1" s="1"/>
  <c r="J2600" i="1" a="1"/>
  <c r="J2600" i="1" s="1"/>
  <c r="I2600" i="1"/>
  <c r="M2600" i="1" s="1"/>
  <c r="J2599" i="1" a="1"/>
  <c r="J2599" i="1" s="1"/>
  <c r="I2599" i="1"/>
  <c r="M2599" i="1" s="1"/>
  <c r="J2598" i="1" a="1"/>
  <c r="J2598" i="1" s="1"/>
  <c r="I2598" i="1"/>
  <c r="M2598" i="1" s="1"/>
  <c r="J2597" i="1" a="1"/>
  <c r="J2597" i="1" s="1"/>
  <c r="I2597" i="1"/>
  <c r="M2597" i="1" s="1"/>
  <c r="M2596" i="1"/>
  <c r="J2596" i="1" a="1"/>
  <c r="J2596" i="1" s="1"/>
  <c r="I2596" i="1"/>
  <c r="J2595" i="1" a="1"/>
  <c r="J2595" i="1" s="1"/>
  <c r="I2595" i="1"/>
  <c r="M2595" i="1" s="1"/>
  <c r="J2594" i="1" a="1"/>
  <c r="J2594" i="1" s="1"/>
  <c r="I2594" i="1"/>
  <c r="M2594" i="1" s="1"/>
  <c r="J2593" i="1" a="1"/>
  <c r="J2593" i="1" s="1"/>
  <c r="I2593" i="1"/>
  <c r="M2593" i="1" s="1"/>
  <c r="J2592" i="1" a="1"/>
  <c r="J2592" i="1" s="1"/>
  <c r="I2592" i="1"/>
  <c r="M2592" i="1" s="1"/>
  <c r="J2591" i="1" a="1"/>
  <c r="J2591" i="1" s="1"/>
  <c r="I2591" i="1"/>
  <c r="M2591" i="1" s="1"/>
  <c r="J2590" i="1" a="1"/>
  <c r="J2590" i="1" s="1"/>
  <c r="I2590" i="1"/>
  <c r="M2590" i="1" s="1"/>
  <c r="J2589" i="1" a="1"/>
  <c r="J2589" i="1" s="1"/>
  <c r="I2589" i="1"/>
  <c r="M2589" i="1" s="1"/>
  <c r="J2588" i="1" a="1"/>
  <c r="J2588" i="1" s="1"/>
  <c r="I2588" i="1"/>
  <c r="M2588" i="1" s="1"/>
  <c r="J2587" i="1" a="1"/>
  <c r="J2587" i="1" s="1"/>
  <c r="I2587" i="1"/>
  <c r="M2587" i="1" s="1"/>
  <c r="M2586" i="1"/>
  <c r="J2586" i="1" a="1"/>
  <c r="J2586" i="1" s="1"/>
  <c r="I2586" i="1"/>
  <c r="J2585" i="1" a="1"/>
  <c r="J2585" i="1" s="1"/>
  <c r="I2585" i="1"/>
  <c r="M2585" i="1" s="1"/>
  <c r="J2584" i="1" a="1"/>
  <c r="J2584" i="1" s="1"/>
  <c r="I2584" i="1"/>
  <c r="M2584" i="1" s="1"/>
  <c r="J2583" i="1" a="1"/>
  <c r="J2583" i="1" s="1"/>
  <c r="I2583" i="1"/>
  <c r="M2583" i="1" s="1"/>
  <c r="J2582" i="1" a="1"/>
  <c r="J2582" i="1" s="1"/>
  <c r="I2582" i="1"/>
  <c r="M2582" i="1" s="1"/>
  <c r="J2581" i="1" a="1"/>
  <c r="J2581" i="1" s="1"/>
  <c r="I2581" i="1"/>
  <c r="M2581" i="1" s="1"/>
  <c r="J2580" i="1" a="1"/>
  <c r="J2580" i="1" s="1"/>
  <c r="I2580" i="1"/>
  <c r="M2580" i="1" s="1"/>
  <c r="J2579" i="1" a="1"/>
  <c r="J2579" i="1" s="1"/>
  <c r="I2579" i="1"/>
  <c r="M2579" i="1" s="1"/>
  <c r="J2578" i="1" a="1"/>
  <c r="J2578" i="1" s="1"/>
  <c r="I2578" i="1"/>
  <c r="M2578" i="1" s="1"/>
  <c r="J2577" i="1" a="1"/>
  <c r="J2577" i="1" s="1"/>
  <c r="I2577" i="1"/>
  <c r="M2577" i="1" s="1"/>
  <c r="J2576" i="1" a="1"/>
  <c r="J2576" i="1" s="1"/>
  <c r="I2576" i="1"/>
  <c r="M2576" i="1" s="1"/>
  <c r="J2575" i="1" a="1"/>
  <c r="J2575" i="1" s="1"/>
  <c r="I2575" i="1"/>
  <c r="M2575" i="1" s="1"/>
  <c r="J2574" i="1"/>
  <c r="J2574" i="1" a="1"/>
  <c r="I2574" i="1"/>
  <c r="M2574" i="1" s="1"/>
  <c r="J2573" i="1" a="1"/>
  <c r="J2573" i="1" s="1"/>
  <c r="I2573" i="1"/>
  <c r="M2573" i="1" s="1"/>
  <c r="J2572" i="1" a="1"/>
  <c r="J2572" i="1" s="1"/>
  <c r="I2572" i="1"/>
  <c r="M2572" i="1" s="1"/>
  <c r="J2571" i="1" a="1"/>
  <c r="J2571" i="1" s="1"/>
  <c r="I2571" i="1"/>
  <c r="M2571" i="1" s="1"/>
  <c r="J2570" i="1" a="1"/>
  <c r="J2570" i="1" s="1"/>
  <c r="I2570" i="1"/>
  <c r="M2570" i="1" s="1"/>
  <c r="J2569" i="1" a="1"/>
  <c r="J2569" i="1" s="1"/>
  <c r="I2569" i="1"/>
  <c r="M2569" i="1" s="1"/>
  <c r="J2568" i="1" a="1"/>
  <c r="J2568" i="1" s="1"/>
  <c r="I2568" i="1"/>
  <c r="M2568" i="1" s="1"/>
  <c r="J2567" i="1" a="1"/>
  <c r="J2567" i="1" s="1"/>
  <c r="I2567" i="1"/>
  <c r="M2567" i="1" s="1"/>
  <c r="J2566" i="1" a="1"/>
  <c r="J2566" i="1" s="1"/>
  <c r="I2566" i="1"/>
  <c r="M2566" i="1" s="1"/>
  <c r="J2565" i="1" a="1"/>
  <c r="J2565" i="1" s="1"/>
  <c r="I2565" i="1"/>
  <c r="M2565" i="1" s="1"/>
  <c r="J2564" i="1" a="1"/>
  <c r="J2564" i="1" s="1"/>
  <c r="I2564" i="1"/>
  <c r="M2564" i="1" s="1"/>
  <c r="J2563" i="1" a="1"/>
  <c r="J2563" i="1" s="1"/>
  <c r="I2563" i="1"/>
  <c r="M2563" i="1" s="1"/>
  <c r="J2562" i="1" a="1"/>
  <c r="J2562" i="1" s="1"/>
  <c r="I2562" i="1"/>
  <c r="M2562" i="1" s="1"/>
  <c r="J2561" i="1" a="1"/>
  <c r="J2561" i="1" s="1"/>
  <c r="I2561" i="1"/>
  <c r="M2561" i="1" s="1"/>
  <c r="J2560" i="1" a="1"/>
  <c r="J2560" i="1" s="1"/>
  <c r="I2560" i="1"/>
  <c r="M2560" i="1" s="1"/>
  <c r="J2559" i="1" a="1"/>
  <c r="J2559" i="1" s="1"/>
  <c r="I2559" i="1"/>
  <c r="M2559" i="1" s="1"/>
  <c r="J2558" i="1" a="1"/>
  <c r="J2558" i="1" s="1"/>
  <c r="I2558" i="1"/>
  <c r="M2558" i="1" s="1"/>
  <c r="J2557" i="1" a="1"/>
  <c r="J2557" i="1" s="1"/>
  <c r="I2557" i="1"/>
  <c r="M2557" i="1" s="1"/>
  <c r="J2556" i="1" a="1"/>
  <c r="J2556" i="1" s="1"/>
  <c r="I2556" i="1"/>
  <c r="M2556" i="1" s="1"/>
  <c r="J2555" i="1" a="1"/>
  <c r="J2555" i="1" s="1"/>
  <c r="I2555" i="1"/>
  <c r="M2555" i="1" s="1"/>
  <c r="J2554" i="1" a="1"/>
  <c r="J2554" i="1" s="1"/>
  <c r="I2554" i="1"/>
  <c r="M2554" i="1" s="1"/>
  <c r="J2553" i="1"/>
  <c r="J2553" i="1" a="1"/>
  <c r="I2553" i="1"/>
  <c r="M2553" i="1" s="1"/>
  <c r="J2552" i="1" a="1"/>
  <c r="J2552" i="1" s="1"/>
  <c r="I2552" i="1"/>
  <c r="M2552" i="1" s="1"/>
  <c r="M2551" i="1"/>
  <c r="J2551" i="1" a="1"/>
  <c r="J2551" i="1" s="1"/>
  <c r="I2551" i="1"/>
  <c r="J2550" i="1" a="1"/>
  <c r="J2550" i="1" s="1"/>
  <c r="I2550" i="1"/>
  <c r="M2550" i="1" s="1"/>
  <c r="J2549" i="1" a="1"/>
  <c r="J2549" i="1" s="1"/>
  <c r="I2549" i="1"/>
  <c r="M2549" i="1" s="1"/>
  <c r="J2548" i="1" a="1"/>
  <c r="J2548" i="1" s="1"/>
  <c r="I2548" i="1"/>
  <c r="M2548" i="1" s="1"/>
  <c r="J2547" i="1" a="1"/>
  <c r="J2547" i="1" s="1"/>
  <c r="I2547" i="1"/>
  <c r="M2547" i="1" s="1"/>
  <c r="J2546" i="1" a="1"/>
  <c r="J2546" i="1" s="1"/>
  <c r="I2546" i="1"/>
  <c r="M2546" i="1" s="1"/>
  <c r="J2545" i="1" a="1"/>
  <c r="J2545" i="1" s="1"/>
  <c r="I2545" i="1"/>
  <c r="M2545" i="1" s="1"/>
  <c r="J2544" i="1" a="1"/>
  <c r="J2544" i="1" s="1"/>
  <c r="I2544" i="1"/>
  <c r="M2544" i="1" s="1"/>
  <c r="J2543" i="1" a="1"/>
  <c r="J2543" i="1" s="1"/>
  <c r="I2543" i="1"/>
  <c r="M2543" i="1" s="1"/>
  <c r="J2542" i="1" a="1"/>
  <c r="J2542" i="1" s="1"/>
  <c r="I2542" i="1"/>
  <c r="M2542" i="1" s="1"/>
  <c r="J2541" i="1" a="1"/>
  <c r="J2541" i="1" s="1"/>
  <c r="I2541" i="1"/>
  <c r="M2541" i="1" s="1"/>
  <c r="J2540" i="1" a="1"/>
  <c r="J2540" i="1" s="1"/>
  <c r="I2540" i="1"/>
  <c r="M2540" i="1" s="1"/>
  <c r="J2539" i="1" a="1"/>
  <c r="J2539" i="1" s="1"/>
  <c r="I2539" i="1"/>
  <c r="M2539" i="1" s="1"/>
  <c r="M2538" i="1"/>
  <c r="J2538" i="1" a="1"/>
  <c r="J2538" i="1" s="1"/>
  <c r="I2538" i="1"/>
  <c r="J2537" i="1" a="1"/>
  <c r="J2537" i="1" s="1"/>
  <c r="I2537" i="1"/>
  <c r="M2537" i="1" s="1"/>
  <c r="J2536" i="1" a="1"/>
  <c r="J2536" i="1" s="1"/>
  <c r="I2536" i="1"/>
  <c r="M2536" i="1" s="1"/>
  <c r="J2535" i="1" a="1"/>
  <c r="J2535" i="1" s="1"/>
  <c r="I2535" i="1"/>
  <c r="M2535" i="1" s="1"/>
  <c r="J2534" i="1" a="1"/>
  <c r="J2534" i="1" s="1"/>
  <c r="I2534" i="1"/>
  <c r="M2534" i="1" s="1"/>
  <c r="M2533" i="1"/>
  <c r="J2533" i="1" a="1"/>
  <c r="J2533" i="1" s="1"/>
  <c r="I2533" i="1"/>
  <c r="J2532" i="1" a="1"/>
  <c r="J2532" i="1" s="1"/>
  <c r="I2532" i="1"/>
  <c r="M2532" i="1" s="1"/>
  <c r="J2531" i="1" a="1"/>
  <c r="J2531" i="1" s="1"/>
  <c r="I2531" i="1"/>
  <c r="M2531" i="1" s="1"/>
  <c r="J2530" i="1" a="1"/>
  <c r="J2530" i="1" s="1"/>
  <c r="I2530" i="1"/>
  <c r="M2530" i="1" s="1"/>
  <c r="J2529" i="1" a="1"/>
  <c r="J2529" i="1" s="1"/>
  <c r="I2529" i="1"/>
  <c r="M2529" i="1" s="1"/>
  <c r="J2528" i="1" a="1"/>
  <c r="J2528" i="1" s="1"/>
  <c r="I2528" i="1"/>
  <c r="M2528" i="1" s="1"/>
  <c r="J2527" i="1" a="1"/>
  <c r="J2527" i="1" s="1"/>
  <c r="I2527" i="1"/>
  <c r="M2527" i="1" s="1"/>
  <c r="J2526" i="1" a="1"/>
  <c r="J2526" i="1" s="1"/>
  <c r="I2526" i="1"/>
  <c r="M2526" i="1" s="1"/>
  <c r="J2525" i="1" a="1"/>
  <c r="J2525" i="1" s="1"/>
  <c r="I2525" i="1"/>
  <c r="M2525" i="1" s="1"/>
  <c r="J2524" i="1" a="1"/>
  <c r="J2524" i="1" s="1"/>
  <c r="I2524" i="1"/>
  <c r="M2524" i="1" s="1"/>
  <c r="J2523" i="1" a="1"/>
  <c r="J2523" i="1" s="1"/>
  <c r="I2523" i="1"/>
  <c r="M2523" i="1" s="1"/>
  <c r="J2522" i="1" a="1"/>
  <c r="J2522" i="1" s="1"/>
  <c r="I2522" i="1"/>
  <c r="M2522" i="1" s="1"/>
  <c r="J2521" i="1" a="1"/>
  <c r="J2521" i="1" s="1"/>
  <c r="I2521" i="1"/>
  <c r="M2521" i="1" s="1"/>
  <c r="J2520" i="1" a="1"/>
  <c r="J2520" i="1" s="1"/>
  <c r="I2520" i="1"/>
  <c r="M2520" i="1" s="1"/>
  <c r="J2519" i="1" a="1"/>
  <c r="J2519" i="1" s="1"/>
  <c r="I2519" i="1"/>
  <c r="M2519" i="1" s="1"/>
  <c r="J2518" i="1" a="1"/>
  <c r="J2518" i="1" s="1"/>
  <c r="I2518" i="1"/>
  <c r="M2518" i="1" s="1"/>
  <c r="J2517" i="1" a="1"/>
  <c r="J2517" i="1" s="1"/>
  <c r="I2517" i="1"/>
  <c r="M2517" i="1" s="1"/>
  <c r="J2516" i="1" a="1"/>
  <c r="J2516" i="1" s="1"/>
  <c r="I2516" i="1"/>
  <c r="M2516" i="1" s="1"/>
  <c r="J2515" i="1" a="1"/>
  <c r="J2515" i="1" s="1"/>
  <c r="I2515" i="1"/>
  <c r="M2515" i="1" s="1"/>
  <c r="J2514" i="1" a="1"/>
  <c r="J2514" i="1" s="1"/>
  <c r="I2514" i="1"/>
  <c r="M2514" i="1" s="1"/>
  <c r="J2513" i="1" a="1"/>
  <c r="J2513" i="1" s="1"/>
  <c r="I2513" i="1"/>
  <c r="M2513" i="1" s="1"/>
  <c r="J2512" i="1" a="1"/>
  <c r="J2512" i="1" s="1"/>
  <c r="I2512" i="1"/>
  <c r="M2512" i="1" s="1"/>
  <c r="M2511" i="1"/>
  <c r="J2511" i="1"/>
  <c r="J2511" i="1" a="1"/>
  <c r="I2511" i="1"/>
  <c r="J2510" i="1" a="1"/>
  <c r="J2510" i="1" s="1"/>
  <c r="I2510" i="1"/>
  <c r="M2510" i="1" s="1"/>
  <c r="J2509" i="1" a="1"/>
  <c r="J2509" i="1" s="1"/>
  <c r="I2509" i="1"/>
  <c r="M2509" i="1" s="1"/>
  <c r="J2508" i="1" a="1"/>
  <c r="J2508" i="1" s="1"/>
  <c r="I2508" i="1"/>
  <c r="M2508" i="1" s="1"/>
  <c r="J2507" i="1" a="1"/>
  <c r="J2507" i="1" s="1"/>
  <c r="I2507" i="1"/>
  <c r="M2507" i="1" s="1"/>
  <c r="J2506" i="1" a="1"/>
  <c r="J2506" i="1" s="1"/>
  <c r="I2506" i="1"/>
  <c r="M2506" i="1" s="1"/>
  <c r="J2505" i="1" a="1"/>
  <c r="J2505" i="1" s="1"/>
  <c r="I2505" i="1"/>
  <c r="M2505" i="1" s="1"/>
  <c r="J2504" i="1"/>
  <c r="J2504" i="1" a="1"/>
  <c r="I2504" i="1"/>
  <c r="M2504" i="1" s="1"/>
  <c r="J2503" i="1" a="1"/>
  <c r="J2503" i="1" s="1"/>
  <c r="I2503" i="1"/>
  <c r="M2503" i="1" s="1"/>
  <c r="J2502" i="1" a="1"/>
  <c r="J2502" i="1" s="1"/>
  <c r="I2502" i="1"/>
  <c r="M2502" i="1" s="1"/>
  <c r="J2501" i="1" a="1"/>
  <c r="J2501" i="1" s="1"/>
  <c r="I2501" i="1"/>
  <c r="M2501" i="1" s="1"/>
  <c r="J2500" i="1" a="1"/>
  <c r="J2500" i="1" s="1"/>
  <c r="I2500" i="1"/>
  <c r="M2500" i="1" s="1"/>
  <c r="J2499" i="1" a="1"/>
  <c r="J2499" i="1" s="1"/>
  <c r="I2499" i="1"/>
  <c r="M2499" i="1" s="1"/>
  <c r="J2498" i="1" a="1"/>
  <c r="J2498" i="1" s="1"/>
  <c r="I2498" i="1"/>
  <c r="M2498" i="1" s="1"/>
  <c r="J2497" i="1" a="1"/>
  <c r="J2497" i="1" s="1"/>
  <c r="I2497" i="1"/>
  <c r="M2497" i="1" s="1"/>
  <c r="M2496" i="1"/>
  <c r="J2496" i="1" a="1"/>
  <c r="J2496" i="1" s="1"/>
  <c r="I2496" i="1"/>
  <c r="J2495" i="1" a="1"/>
  <c r="J2495" i="1" s="1"/>
  <c r="I2495" i="1"/>
  <c r="M2495" i="1" s="1"/>
  <c r="J2494" i="1" a="1"/>
  <c r="J2494" i="1" s="1"/>
  <c r="I2494" i="1"/>
  <c r="M2494" i="1" s="1"/>
  <c r="J2493" i="1"/>
  <c r="J2493" i="1" a="1"/>
  <c r="I2493" i="1"/>
  <c r="M2493" i="1" s="1"/>
  <c r="J2492" i="1" a="1"/>
  <c r="J2492" i="1" s="1"/>
  <c r="I2492" i="1"/>
  <c r="M2492" i="1" s="1"/>
  <c r="J2491" i="1" a="1"/>
  <c r="J2491" i="1" s="1"/>
  <c r="I2491" i="1"/>
  <c r="M2491" i="1" s="1"/>
  <c r="J2490" i="1" a="1"/>
  <c r="J2490" i="1" s="1"/>
  <c r="I2490" i="1"/>
  <c r="M2490" i="1" s="1"/>
  <c r="J2489" i="1" a="1"/>
  <c r="J2489" i="1" s="1"/>
  <c r="I2489" i="1"/>
  <c r="M2489" i="1" s="1"/>
  <c r="J2488" i="1" a="1"/>
  <c r="J2488" i="1" s="1"/>
  <c r="I2488" i="1"/>
  <c r="M2488" i="1" s="1"/>
  <c r="J2487" i="1" a="1"/>
  <c r="J2487" i="1" s="1"/>
  <c r="I2487" i="1"/>
  <c r="M2487" i="1" s="1"/>
  <c r="J2486" i="1" a="1"/>
  <c r="J2486" i="1" s="1"/>
  <c r="I2486" i="1"/>
  <c r="M2486" i="1" s="1"/>
  <c r="J2485" i="1" a="1"/>
  <c r="J2485" i="1" s="1"/>
  <c r="I2485" i="1"/>
  <c r="M2485" i="1" s="1"/>
  <c r="J2484" i="1" a="1"/>
  <c r="J2484" i="1" s="1"/>
  <c r="I2484" i="1"/>
  <c r="M2484" i="1" s="1"/>
  <c r="M2483" i="1"/>
  <c r="J2483" i="1"/>
  <c r="J2483" i="1" a="1"/>
  <c r="I2483" i="1"/>
  <c r="J2482" i="1" a="1"/>
  <c r="J2482" i="1" s="1"/>
  <c r="I2482" i="1"/>
  <c r="M2482" i="1" s="1"/>
  <c r="J2481" i="1" a="1"/>
  <c r="J2481" i="1" s="1"/>
  <c r="I2481" i="1"/>
  <c r="M2481" i="1" s="1"/>
  <c r="J2480" i="1" a="1"/>
  <c r="J2480" i="1" s="1"/>
  <c r="I2480" i="1"/>
  <c r="M2480" i="1" s="1"/>
  <c r="J2479" i="1" a="1"/>
  <c r="J2479" i="1" s="1"/>
  <c r="I2479" i="1"/>
  <c r="M2479" i="1" s="1"/>
  <c r="J2478" i="1"/>
  <c r="J2478" i="1" a="1"/>
  <c r="I2478" i="1"/>
  <c r="M2478" i="1" s="1"/>
  <c r="J2477" i="1" a="1"/>
  <c r="J2477" i="1" s="1"/>
  <c r="I2477" i="1"/>
  <c r="M2477" i="1" s="1"/>
  <c r="J2476" i="1" a="1"/>
  <c r="J2476" i="1" s="1"/>
  <c r="I2476" i="1"/>
  <c r="M2476" i="1" s="1"/>
  <c r="M2475" i="1"/>
  <c r="J2475" i="1" a="1"/>
  <c r="J2475" i="1" s="1"/>
  <c r="I2475" i="1"/>
  <c r="J2474" i="1" a="1"/>
  <c r="J2474" i="1" s="1"/>
  <c r="I2474" i="1"/>
  <c r="M2474" i="1" s="1"/>
  <c r="J2473" i="1" a="1"/>
  <c r="J2473" i="1" s="1"/>
  <c r="I2473" i="1"/>
  <c r="M2473" i="1" s="1"/>
  <c r="J2472" i="1" a="1"/>
  <c r="J2472" i="1" s="1"/>
  <c r="I2472" i="1"/>
  <c r="M2472" i="1" s="1"/>
  <c r="J2471" i="1" a="1"/>
  <c r="J2471" i="1" s="1"/>
  <c r="I2471" i="1"/>
  <c r="M2471" i="1" s="1"/>
  <c r="M2470" i="1"/>
  <c r="J2470" i="1" a="1"/>
  <c r="J2470" i="1" s="1"/>
  <c r="I2470" i="1"/>
  <c r="J2469" i="1" a="1"/>
  <c r="J2469" i="1" s="1"/>
  <c r="I2469" i="1"/>
  <c r="M2469" i="1" s="1"/>
  <c r="J2468" i="1" a="1"/>
  <c r="J2468" i="1" s="1"/>
  <c r="I2468" i="1"/>
  <c r="M2468" i="1" s="1"/>
  <c r="J2467" i="1" a="1"/>
  <c r="J2467" i="1" s="1"/>
  <c r="I2467" i="1"/>
  <c r="M2467" i="1" s="1"/>
  <c r="J2466" i="1" a="1"/>
  <c r="J2466" i="1" s="1"/>
  <c r="I2466" i="1"/>
  <c r="M2466" i="1" s="1"/>
  <c r="M2465" i="1"/>
  <c r="J2465" i="1" a="1"/>
  <c r="J2465" i="1" s="1"/>
  <c r="I2465" i="1"/>
  <c r="J2464" i="1" a="1"/>
  <c r="J2464" i="1" s="1"/>
  <c r="I2464" i="1"/>
  <c r="M2464" i="1" s="1"/>
  <c r="J2463" i="1" a="1"/>
  <c r="J2463" i="1" s="1"/>
  <c r="I2463" i="1"/>
  <c r="M2463" i="1" s="1"/>
  <c r="J2462" i="1" a="1"/>
  <c r="J2462" i="1" s="1"/>
  <c r="I2462" i="1"/>
  <c r="M2462" i="1" s="1"/>
  <c r="J2461" i="1" a="1"/>
  <c r="J2461" i="1" s="1"/>
  <c r="I2461" i="1"/>
  <c r="M2461" i="1" s="1"/>
  <c r="J2460" i="1" a="1"/>
  <c r="J2460" i="1" s="1"/>
  <c r="I2460" i="1"/>
  <c r="M2460" i="1" s="1"/>
  <c r="J2459" i="1" a="1"/>
  <c r="J2459" i="1" s="1"/>
  <c r="I2459" i="1"/>
  <c r="M2459" i="1" s="1"/>
  <c r="M2458" i="1"/>
  <c r="J2458" i="1" a="1"/>
  <c r="J2458" i="1" s="1"/>
  <c r="I2458" i="1"/>
  <c r="J2457" i="1" a="1"/>
  <c r="J2457" i="1" s="1"/>
  <c r="I2457" i="1"/>
  <c r="M2457" i="1" s="1"/>
  <c r="J2456" i="1" a="1"/>
  <c r="J2456" i="1" s="1"/>
  <c r="I2456" i="1"/>
  <c r="M2456" i="1" s="1"/>
  <c r="J2455" i="1" a="1"/>
  <c r="J2455" i="1" s="1"/>
  <c r="I2455" i="1"/>
  <c r="M2455" i="1" s="1"/>
  <c r="J2454" i="1" a="1"/>
  <c r="J2454" i="1" s="1"/>
  <c r="I2454" i="1"/>
  <c r="M2454" i="1" s="1"/>
  <c r="J2453" i="1" a="1"/>
  <c r="J2453" i="1" s="1"/>
  <c r="I2453" i="1"/>
  <c r="M2453" i="1" s="1"/>
  <c r="J2452" i="1" a="1"/>
  <c r="J2452" i="1" s="1"/>
  <c r="I2452" i="1"/>
  <c r="M2452" i="1" s="1"/>
  <c r="J2451" i="1" a="1"/>
  <c r="J2451" i="1" s="1"/>
  <c r="I2451" i="1"/>
  <c r="M2451" i="1" s="1"/>
  <c r="J2450" i="1" a="1"/>
  <c r="J2450" i="1" s="1"/>
  <c r="I2450" i="1"/>
  <c r="M2450" i="1" s="1"/>
  <c r="J2449" i="1" a="1"/>
  <c r="J2449" i="1" s="1"/>
  <c r="I2449" i="1"/>
  <c r="M2449" i="1" s="1"/>
  <c r="J2448" i="1" a="1"/>
  <c r="J2448" i="1" s="1"/>
  <c r="I2448" i="1"/>
  <c r="M2448" i="1" s="1"/>
  <c r="J2447" i="1" a="1"/>
  <c r="J2447" i="1" s="1"/>
  <c r="I2447" i="1"/>
  <c r="M2447" i="1" s="1"/>
  <c r="J2446" i="1" a="1"/>
  <c r="J2446" i="1" s="1"/>
  <c r="I2446" i="1"/>
  <c r="M2446" i="1" s="1"/>
  <c r="J2445" i="1" a="1"/>
  <c r="J2445" i="1" s="1"/>
  <c r="I2445" i="1"/>
  <c r="M2445" i="1" s="1"/>
  <c r="J2444" i="1" a="1"/>
  <c r="J2444" i="1" s="1"/>
  <c r="I2444" i="1"/>
  <c r="M2444" i="1" s="1"/>
  <c r="J2443" i="1" a="1"/>
  <c r="J2443" i="1" s="1"/>
  <c r="I2443" i="1"/>
  <c r="M2443" i="1" s="1"/>
  <c r="J2442" i="1" a="1"/>
  <c r="J2442" i="1" s="1"/>
  <c r="I2442" i="1"/>
  <c r="M2442" i="1" s="1"/>
  <c r="J2441" i="1" a="1"/>
  <c r="J2441" i="1" s="1"/>
  <c r="I2441" i="1"/>
  <c r="M2441" i="1" s="1"/>
  <c r="J2440" i="1" a="1"/>
  <c r="J2440" i="1" s="1"/>
  <c r="I2440" i="1"/>
  <c r="M2440" i="1" s="1"/>
  <c r="J2439" i="1" a="1"/>
  <c r="J2439" i="1" s="1"/>
  <c r="I2439" i="1"/>
  <c r="M2439" i="1" s="1"/>
  <c r="J2438" i="1" a="1"/>
  <c r="J2438" i="1" s="1"/>
  <c r="I2438" i="1"/>
  <c r="M2438" i="1" s="1"/>
  <c r="J2437" i="1"/>
  <c r="J2437" i="1" a="1"/>
  <c r="I2437" i="1"/>
  <c r="M2437" i="1" s="1"/>
  <c r="J2436" i="1" a="1"/>
  <c r="J2436" i="1" s="1"/>
  <c r="I2436" i="1"/>
  <c r="M2436" i="1" s="1"/>
  <c r="J2435" i="1" a="1"/>
  <c r="J2435" i="1" s="1"/>
  <c r="I2435" i="1"/>
  <c r="M2435" i="1" s="1"/>
  <c r="J2434" i="1" a="1"/>
  <c r="J2434" i="1" s="1"/>
  <c r="I2434" i="1"/>
  <c r="M2434" i="1" s="1"/>
  <c r="J2433" i="1" a="1"/>
  <c r="J2433" i="1" s="1"/>
  <c r="I2433" i="1"/>
  <c r="M2433" i="1" s="1"/>
  <c r="J2432" i="1" a="1"/>
  <c r="J2432" i="1" s="1"/>
  <c r="I2432" i="1"/>
  <c r="M2432" i="1" s="1"/>
  <c r="J2431" i="1" a="1"/>
  <c r="J2431" i="1" s="1"/>
  <c r="I2431" i="1"/>
  <c r="M2431" i="1" s="1"/>
  <c r="J2430" i="1" a="1"/>
  <c r="J2430" i="1" s="1"/>
  <c r="I2430" i="1"/>
  <c r="M2430" i="1" s="1"/>
  <c r="J2429" i="1" a="1"/>
  <c r="J2429" i="1" s="1"/>
  <c r="I2429" i="1"/>
  <c r="M2429" i="1" s="1"/>
  <c r="J2428" i="1" a="1"/>
  <c r="J2428" i="1" s="1"/>
  <c r="I2428" i="1"/>
  <c r="M2428" i="1" s="1"/>
  <c r="J2427" i="1" a="1"/>
  <c r="J2427" i="1" s="1"/>
  <c r="I2427" i="1"/>
  <c r="M2427" i="1" s="1"/>
  <c r="J2426" i="1" a="1"/>
  <c r="J2426" i="1" s="1"/>
  <c r="I2426" i="1"/>
  <c r="M2426" i="1" s="1"/>
  <c r="J2425" i="1" a="1"/>
  <c r="J2425" i="1" s="1"/>
  <c r="I2425" i="1"/>
  <c r="M2425" i="1" s="1"/>
  <c r="J2424" i="1" a="1"/>
  <c r="J2424" i="1" s="1"/>
  <c r="I2424" i="1"/>
  <c r="M2424" i="1" s="1"/>
  <c r="J2423" i="1"/>
  <c r="J2423" i="1" a="1"/>
  <c r="I2423" i="1"/>
  <c r="M2423" i="1" s="1"/>
  <c r="J2422" i="1" a="1"/>
  <c r="J2422" i="1" s="1"/>
  <c r="I2422" i="1"/>
  <c r="M2422" i="1" s="1"/>
  <c r="M2421" i="1"/>
  <c r="J2421" i="1" a="1"/>
  <c r="J2421" i="1" s="1"/>
  <c r="I2421" i="1"/>
  <c r="J2420" i="1" a="1"/>
  <c r="J2420" i="1" s="1"/>
  <c r="I2420" i="1"/>
  <c r="M2420" i="1" s="1"/>
  <c r="J2419" i="1" a="1"/>
  <c r="J2419" i="1" s="1"/>
  <c r="I2419" i="1"/>
  <c r="M2419" i="1" s="1"/>
  <c r="J2418" i="1" a="1"/>
  <c r="J2418" i="1" s="1"/>
  <c r="I2418" i="1"/>
  <c r="M2418" i="1" s="1"/>
  <c r="J2417" i="1" a="1"/>
  <c r="J2417" i="1" s="1"/>
  <c r="I2417" i="1"/>
  <c r="M2417" i="1" s="1"/>
  <c r="J2416" i="1" a="1"/>
  <c r="J2416" i="1" s="1"/>
  <c r="I2416" i="1"/>
  <c r="M2416" i="1" s="1"/>
  <c r="J2415" i="1" a="1"/>
  <c r="J2415" i="1" s="1"/>
  <c r="I2415" i="1"/>
  <c r="M2415" i="1" s="1"/>
  <c r="J2414" i="1" a="1"/>
  <c r="J2414" i="1" s="1"/>
  <c r="I2414" i="1"/>
  <c r="M2414" i="1" s="1"/>
  <c r="J2413" i="1" a="1"/>
  <c r="J2413" i="1" s="1"/>
  <c r="I2413" i="1"/>
  <c r="M2413" i="1" s="1"/>
  <c r="J2412" i="1" a="1"/>
  <c r="J2412" i="1" s="1"/>
  <c r="I2412" i="1"/>
  <c r="M2412" i="1" s="1"/>
  <c r="J2411" i="1" a="1"/>
  <c r="J2411" i="1" s="1"/>
  <c r="I2411" i="1"/>
  <c r="M2411" i="1" s="1"/>
  <c r="J2410" i="1" a="1"/>
  <c r="J2410" i="1" s="1"/>
  <c r="I2410" i="1"/>
  <c r="M2410" i="1" s="1"/>
  <c r="J2409" i="1" a="1"/>
  <c r="J2409" i="1" s="1"/>
  <c r="I2409" i="1"/>
  <c r="M2409" i="1" s="1"/>
  <c r="J2408" i="1" a="1"/>
  <c r="J2408" i="1" s="1"/>
  <c r="I2408" i="1"/>
  <c r="M2408" i="1" s="1"/>
  <c r="J2407" i="1" a="1"/>
  <c r="J2407" i="1" s="1"/>
  <c r="I2407" i="1"/>
  <c r="M2407" i="1" s="1"/>
  <c r="J2406" i="1" a="1"/>
  <c r="J2406" i="1" s="1"/>
  <c r="I2406" i="1"/>
  <c r="M2406" i="1" s="1"/>
  <c r="J2405" i="1" a="1"/>
  <c r="J2405" i="1" s="1"/>
  <c r="I2405" i="1"/>
  <c r="M2405" i="1" s="1"/>
  <c r="J2404" i="1" a="1"/>
  <c r="J2404" i="1" s="1"/>
  <c r="I2404" i="1"/>
  <c r="M2404" i="1" s="1"/>
  <c r="J2403" i="1" a="1"/>
  <c r="J2403" i="1" s="1"/>
  <c r="I2403" i="1"/>
  <c r="M2403" i="1" s="1"/>
  <c r="J2402" i="1" a="1"/>
  <c r="J2402" i="1" s="1"/>
  <c r="I2402" i="1"/>
  <c r="M2402" i="1" s="1"/>
  <c r="J2401" i="1" a="1"/>
  <c r="J2401" i="1" s="1"/>
  <c r="I2401" i="1"/>
  <c r="M2401" i="1" s="1"/>
  <c r="J2400" i="1" a="1"/>
  <c r="J2400" i="1" s="1"/>
  <c r="I2400" i="1"/>
  <c r="M2400" i="1" s="1"/>
  <c r="J2399" i="1" a="1"/>
  <c r="J2399" i="1" s="1"/>
  <c r="I2399" i="1"/>
  <c r="M2399" i="1" s="1"/>
  <c r="J2398" i="1" a="1"/>
  <c r="J2398" i="1" s="1"/>
  <c r="I2398" i="1"/>
  <c r="M2398" i="1" s="1"/>
  <c r="J2397" i="1"/>
  <c r="J2397" i="1" a="1"/>
  <c r="I2397" i="1"/>
  <c r="M2397" i="1" s="1"/>
  <c r="J2396" i="1" a="1"/>
  <c r="J2396" i="1" s="1"/>
  <c r="I2396" i="1"/>
  <c r="M2396" i="1" s="1"/>
  <c r="J2395" i="1" a="1"/>
  <c r="J2395" i="1" s="1"/>
  <c r="I2395" i="1"/>
  <c r="M2395" i="1" s="1"/>
  <c r="J2394" i="1" a="1"/>
  <c r="J2394" i="1" s="1"/>
  <c r="I2394" i="1"/>
  <c r="M2394" i="1" s="1"/>
  <c r="J2393" i="1" a="1"/>
  <c r="J2393" i="1" s="1"/>
  <c r="I2393" i="1"/>
  <c r="M2393" i="1" s="1"/>
  <c r="J2392" i="1" a="1"/>
  <c r="J2392" i="1" s="1"/>
  <c r="I2392" i="1"/>
  <c r="M2392" i="1" s="1"/>
  <c r="J2391" i="1" a="1"/>
  <c r="J2391" i="1" s="1"/>
  <c r="I2391" i="1"/>
  <c r="M2391" i="1" s="1"/>
  <c r="M2390" i="1"/>
  <c r="J2390" i="1" a="1"/>
  <c r="J2390" i="1" s="1"/>
  <c r="I2390" i="1"/>
  <c r="J2389" i="1" a="1"/>
  <c r="J2389" i="1" s="1"/>
  <c r="I2389" i="1"/>
  <c r="M2389" i="1" s="1"/>
  <c r="J2388" i="1" a="1"/>
  <c r="J2388" i="1" s="1"/>
  <c r="I2388" i="1"/>
  <c r="M2388" i="1" s="1"/>
  <c r="J2387" i="1" a="1"/>
  <c r="J2387" i="1" s="1"/>
  <c r="I2387" i="1"/>
  <c r="M2387" i="1" s="1"/>
  <c r="J2386" i="1" a="1"/>
  <c r="J2386" i="1" s="1"/>
  <c r="I2386" i="1"/>
  <c r="M2386" i="1" s="1"/>
  <c r="J2385" i="1" a="1"/>
  <c r="J2385" i="1" s="1"/>
  <c r="I2385" i="1"/>
  <c r="M2385" i="1" s="1"/>
  <c r="J2384" i="1"/>
  <c r="J2384" i="1" a="1"/>
  <c r="I2384" i="1"/>
  <c r="M2384" i="1" s="1"/>
  <c r="J2383" i="1" a="1"/>
  <c r="J2383" i="1" s="1"/>
  <c r="I2383" i="1"/>
  <c r="M2383" i="1" s="1"/>
  <c r="J2382" i="1" a="1"/>
  <c r="J2382" i="1" s="1"/>
  <c r="I2382" i="1"/>
  <c r="M2382" i="1" s="1"/>
  <c r="J2381" i="1" a="1"/>
  <c r="J2381" i="1" s="1"/>
  <c r="I2381" i="1"/>
  <c r="M2381" i="1" s="1"/>
  <c r="M2380" i="1"/>
  <c r="J2380" i="1" a="1"/>
  <c r="J2380" i="1" s="1"/>
  <c r="I2380" i="1"/>
  <c r="J2379" i="1" a="1"/>
  <c r="J2379" i="1" s="1"/>
  <c r="I2379" i="1"/>
  <c r="M2379" i="1" s="1"/>
  <c r="J2378" i="1" a="1"/>
  <c r="J2378" i="1" s="1"/>
  <c r="I2378" i="1"/>
  <c r="M2378" i="1" s="1"/>
  <c r="M2377" i="1"/>
  <c r="J2377" i="1" a="1"/>
  <c r="J2377" i="1" s="1"/>
  <c r="I2377" i="1"/>
  <c r="J2376" i="1" a="1"/>
  <c r="J2376" i="1" s="1"/>
  <c r="I2376" i="1"/>
  <c r="M2376" i="1" s="1"/>
  <c r="J2375" i="1" a="1"/>
  <c r="J2375" i="1" s="1"/>
  <c r="I2375" i="1"/>
  <c r="M2375" i="1" s="1"/>
  <c r="J2374" i="1" a="1"/>
  <c r="J2374" i="1" s="1"/>
  <c r="I2374" i="1"/>
  <c r="M2374" i="1" s="1"/>
  <c r="J2373" i="1" a="1"/>
  <c r="J2373" i="1" s="1"/>
  <c r="I2373" i="1"/>
  <c r="M2373" i="1" s="1"/>
  <c r="J2372" i="1" a="1"/>
  <c r="J2372" i="1" s="1"/>
  <c r="I2372" i="1"/>
  <c r="M2372" i="1" s="1"/>
  <c r="J2371" i="1" a="1"/>
  <c r="J2371" i="1" s="1"/>
  <c r="I2371" i="1"/>
  <c r="M2371" i="1" s="1"/>
  <c r="J2370" i="1"/>
  <c r="J2370" i="1" a="1"/>
  <c r="I2370" i="1"/>
  <c r="M2370" i="1" s="1"/>
  <c r="J2369" i="1" a="1"/>
  <c r="J2369" i="1" s="1"/>
  <c r="I2369" i="1"/>
  <c r="M2369" i="1" s="1"/>
  <c r="J2368" i="1" a="1"/>
  <c r="J2368" i="1" s="1"/>
  <c r="I2368" i="1"/>
  <c r="M2368" i="1" s="1"/>
  <c r="J2367" i="1" a="1"/>
  <c r="J2367" i="1" s="1"/>
  <c r="I2367" i="1"/>
  <c r="M2367" i="1" s="1"/>
  <c r="J2366" i="1" a="1"/>
  <c r="J2366" i="1" s="1"/>
  <c r="I2366" i="1"/>
  <c r="M2366" i="1" s="1"/>
  <c r="J2365" i="1" a="1"/>
  <c r="J2365" i="1" s="1"/>
  <c r="I2365" i="1"/>
  <c r="M2365" i="1" s="1"/>
  <c r="J2364" i="1"/>
  <c r="J2364" i="1" a="1"/>
  <c r="I2364" i="1"/>
  <c r="M2364" i="1" s="1"/>
  <c r="J2363" i="1" a="1"/>
  <c r="J2363" i="1" s="1"/>
  <c r="I2363" i="1"/>
  <c r="M2363" i="1" s="1"/>
  <c r="M2362" i="1"/>
  <c r="J2362" i="1" a="1"/>
  <c r="J2362" i="1" s="1"/>
  <c r="I2362" i="1"/>
  <c r="J2361" i="1" a="1"/>
  <c r="J2361" i="1" s="1"/>
  <c r="I2361" i="1"/>
  <c r="M2361" i="1" s="1"/>
  <c r="J2360" i="1" a="1"/>
  <c r="J2360" i="1" s="1"/>
  <c r="I2360" i="1"/>
  <c r="M2360" i="1" s="1"/>
  <c r="J2359" i="1" a="1"/>
  <c r="J2359" i="1" s="1"/>
  <c r="I2359" i="1"/>
  <c r="M2359" i="1" s="1"/>
  <c r="J2358" i="1" a="1"/>
  <c r="J2358" i="1" s="1"/>
  <c r="I2358" i="1"/>
  <c r="M2358" i="1" s="1"/>
  <c r="J2357" i="1" a="1"/>
  <c r="J2357" i="1" s="1"/>
  <c r="I2357" i="1"/>
  <c r="M2357" i="1" s="1"/>
  <c r="J2356" i="1" a="1"/>
  <c r="J2356" i="1" s="1"/>
  <c r="I2356" i="1"/>
  <c r="M2356" i="1" s="1"/>
  <c r="J2355" i="1" a="1"/>
  <c r="J2355" i="1" s="1"/>
  <c r="I2355" i="1"/>
  <c r="M2355" i="1" s="1"/>
  <c r="J2354" i="1" a="1"/>
  <c r="J2354" i="1" s="1"/>
  <c r="I2354" i="1"/>
  <c r="M2354" i="1" s="1"/>
  <c r="J2353" i="1" a="1"/>
  <c r="J2353" i="1" s="1"/>
  <c r="I2353" i="1"/>
  <c r="M2353" i="1" s="1"/>
  <c r="J2352" i="1" a="1"/>
  <c r="J2352" i="1" s="1"/>
  <c r="I2352" i="1"/>
  <c r="M2352" i="1" s="1"/>
  <c r="J2351" i="1" a="1"/>
  <c r="J2351" i="1" s="1"/>
  <c r="I2351" i="1"/>
  <c r="M2351" i="1" s="1"/>
  <c r="J2350" i="1" a="1"/>
  <c r="J2350" i="1" s="1"/>
  <c r="I2350" i="1"/>
  <c r="M2350" i="1" s="1"/>
  <c r="J2349" i="1" a="1"/>
  <c r="J2349" i="1" s="1"/>
  <c r="I2349" i="1"/>
  <c r="M2349" i="1" s="1"/>
  <c r="J2348" i="1" a="1"/>
  <c r="J2348" i="1" s="1"/>
  <c r="I2348" i="1"/>
  <c r="M2348" i="1" s="1"/>
  <c r="J2347" i="1" a="1"/>
  <c r="J2347" i="1" s="1"/>
  <c r="I2347" i="1"/>
  <c r="M2347" i="1" s="1"/>
  <c r="J2346" i="1"/>
  <c r="J2346" i="1" a="1"/>
  <c r="I2346" i="1"/>
  <c r="M2346" i="1" s="1"/>
  <c r="J2345" i="1" a="1"/>
  <c r="J2345" i="1" s="1"/>
  <c r="I2345" i="1"/>
  <c r="M2345" i="1" s="1"/>
  <c r="J2344" i="1" a="1"/>
  <c r="J2344" i="1" s="1"/>
  <c r="I2344" i="1"/>
  <c r="M2344" i="1" s="1"/>
  <c r="J2343" i="1" a="1"/>
  <c r="J2343" i="1" s="1"/>
  <c r="I2343" i="1"/>
  <c r="M2343" i="1" s="1"/>
  <c r="J2342" i="1" a="1"/>
  <c r="J2342" i="1" s="1"/>
  <c r="I2342" i="1"/>
  <c r="M2342" i="1" s="1"/>
  <c r="J2341" i="1" a="1"/>
  <c r="J2341" i="1" s="1"/>
  <c r="I2341" i="1"/>
  <c r="M2341" i="1" s="1"/>
  <c r="J2340" i="1" a="1"/>
  <c r="J2340" i="1" s="1"/>
  <c r="I2340" i="1"/>
  <c r="M2340" i="1" s="1"/>
  <c r="J2339" i="1" a="1"/>
  <c r="J2339" i="1" s="1"/>
  <c r="I2339" i="1"/>
  <c r="M2339" i="1" s="1"/>
  <c r="J2338" i="1" a="1"/>
  <c r="J2338" i="1" s="1"/>
  <c r="I2338" i="1"/>
  <c r="M2338" i="1" s="1"/>
  <c r="J2337" i="1" a="1"/>
  <c r="J2337" i="1" s="1"/>
  <c r="I2337" i="1"/>
  <c r="M2337" i="1" s="1"/>
  <c r="J2336" i="1" a="1"/>
  <c r="J2336" i="1" s="1"/>
  <c r="I2336" i="1"/>
  <c r="M2336" i="1" s="1"/>
  <c r="J2335" i="1" a="1"/>
  <c r="J2335" i="1" s="1"/>
  <c r="I2335" i="1"/>
  <c r="M2335" i="1" s="1"/>
  <c r="J2334" i="1" a="1"/>
  <c r="J2334" i="1" s="1"/>
  <c r="I2334" i="1"/>
  <c r="M2334" i="1" s="1"/>
  <c r="J2333" i="1" a="1"/>
  <c r="J2333" i="1" s="1"/>
  <c r="I2333" i="1"/>
  <c r="M2333" i="1" s="1"/>
  <c r="J2332" i="1" a="1"/>
  <c r="J2332" i="1" s="1"/>
  <c r="I2332" i="1"/>
  <c r="M2332" i="1" s="1"/>
  <c r="J2331" i="1" a="1"/>
  <c r="J2331" i="1" s="1"/>
  <c r="I2331" i="1"/>
  <c r="M2331" i="1" s="1"/>
  <c r="J2330" i="1" a="1"/>
  <c r="J2330" i="1" s="1"/>
  <c r="I2330" i="1"/>
  <c r="M2330" i="1" s="1"/>
  <c r="J2329" i="1" a="1"/>
  <c r="J2329" i="1" s="1"/>
  <c r="I2329" i="1"/>
  <c r="M2329" i="1" s="1"/>
  <c r="J2328" i="1" a="1"/>
  <c r="J2328" i="1" s="1"/>
  <c r="I2328" i="1"/>
  <c r="M2328" i="1" s="1"/>
  <c r="J2327" i="1" a="1"/>
  <c r="J2327" i="1" s="1"/>
  <c r="I2327" i="1"/>
  <c r="M2327" i="1" s="1"/>
  <c r="J2326" i="1" a="1"/>
  <c r="J2326" i="1" s="1"/>
  <c r="I2326" i="1"/>
  <c r="M2326" i="1" s="1"/>
  <c r="J2325" i="1" a="1"/>
  <c r="J2325" i="1" s="1"/>
  <c r="I2325" i="1"/>
  <c r="M2325" i="1" s="1"/>
  <c r="J2324" i="1" a="1"/>
  <c r="J2324" i="1" s="1"/>
  <c r="I2324" i="1"/>
  <c r="M2324" i="1" s="1"/>
  <c r="J2323" i="1" a="1"/>
  <c r="J2323" i="1" s="1"/>
  <c r="I2323" i="1"/>
  <c r="M2323" i="1" s="1"/>
  <c r="J2322" i="1" a="1"/>
  <c r="J2322" i="1" s="1"/>
  <c r="I2322" i="1"/>
  <c r="M2322" i="1" s="1"/>
  <c r="J2321" i="1" a="1"/>
  <c r="J2321" i="1" s="1"/>
  <c r="I2321" i="1"/>
  <c r="M2321" i="1" s="1"/>
  <c r="J2320" i="1" a="1"/>
  <c r="J2320" i="1" s="1"/>
  <c r="I2320" i="1"/>
  <c r="M2320" i="1" s="1"/>
  <c r="J2319" i="1" a="1"/>
  <c r="J2319" i="1" s="1"/>
  <c r="I2319" i="1"/>
  <c r="M2319" i="1" s="1"/>
  <c r="J2318" i="1" a="1"/>
  <c r="J2318" i="1" s="1"/>
  <c r="I2318" i="1"/>
  <c r="M2318" i="1" s="1"/>
  <c r="J2317" i="1" a="1"/>
  <c r="J2317" i="1" s="1"/>
  <c r="I2317" i="1"/>
  <c r="M2317" i="1" s="1"/>
  <c r="M2316" i="1"/>
  <c r="J2316" i="1" a="1"/>
  <c r="J2316" i="1" s="1"/>
  <c r="I2316" i="1"/>
  <c r="J2315" i="1" a="1"/>
  <c r="J2315" i="1" s="1"/>
  <c r="I2315" i="1"/>
  <c r="M2315" i="1" s="1"/>
  <c r="J2314" i="1" a="1"/>
  <c r="J2314" i="1" s="1"/>
  <c r="I2314" i="1"/>
  <c r="M2314" i="1" s="1"/>
  <c r="J2313" i="1" a="1"/>
  <c r="J2313" i="1" s="1"/>
  <c r="I2313" i="1"/>
  <c r="M2313" i="1" s="1"/>
  <c r="J2312" i="1" a="1"/>
  <c r="J2312" i="1" s="1"/>
  <c r="I2312" i="1"/>
  <c r="M2312" i="1" s="1"/>
  <c r="J2311" i="1"/>
  <c r="J2311" i="1" a="1"/>
  <c r="I2311" i="1"/>
  <c r="M2311" i="1" s="1"/>
  <c r="J2310" i="1" a="1"/>
  <c r="J2310" i="1" s="1"/>
  <c r="I2310" i="1"/>
  <c r="M2310" i="1" s="1"/>
  <c r="J2309" i="1" a="1"/>
  <c r="J2309" i="1" s="1"/>
  <c r="I2309" i="1"/>
  <c r="M2309" i="1" s="1"/>
  <c r="M2308" i="1"/>
  <c r="J2308" i="1" a="1"/>
  <c r="J2308" i="1" s="1"/>
  <c r="I2308" i="1"/>
  <c r="J2307" i="1" a="1"/>
  <c r="J2307" i="1" s="1"/>
  <c r="I2307" i="1"/>
  <c r="M2307" i="1" s="1"/>
  <c r="J2306" i="1" a="1"/>
  <c r="J2306" i="1" s="1"/>
  <c r="I2306" i="1"/>
  <c r="M2306" i="1" s="1"/>
  <c r="J2305" i="1" a="1"/>
  <c r="J2305" i="1" s="1"/>
  <c r="I2305" i="1"/>
  <c r="M2305" i="1" s="1"/>
  <c r="J2304" i="1" a="1"/>
  <c r="J2304" i="1" s="1"/>
  <c r="I2304" i="1"/>
  <c r="M2304" i="1" s="1"/>
  <c r="J2303" i="1"/>
  <c r="J2303" i="1" a="1"/>
  <c r="I2303" i="1"/>
  <c r="M2303" i="1" s="1"/>
  <c r="J2302" i="1" a="1"/>
  <c r="J2302" i="1" s="1"/>
  <c r="I2302" i="1"/>
  <c r="M2302" i="1" s="1"/>
  <c r="J2301" i="1" a="1"/>
  <c r="J2301" i="1" s="1"/>
  <c r="I2301" i="1"/>
  <c r="M2301" i="1" s="1"/>
  <c r="J2300" i="1" a="1"/>
  <c r="J2300" i="1" s="1"/>
  <c r="I2300" i="1"/>
  <c r="M2300" i="1" s="1"/>
  <c r="J2299" i="1" a="1"/>
  <c r="J2299" i="1" s="1"/>
  <c r="I2299" i="1"/>
  <c r="M2299" i="1" s="1"/>
  <c r="M2298" i="1"/>
  <c r="J2298" i="1" a="1"/>
  <c r="J2298" i="1" s="1"/>
  <c r="I2298" i="1"/>
  <c r="J2297" i="1" a="1"/>
  <c r="J2297" i="1" s="1"/>
  <c r="I2297" i="1"/>
  <c r="M2297" i="1" s="1"/>
  <c r="J2296" i="1" a="1"/>
  <c r="J2296" i="1" s="1"/>
  <c r="I2296" i="1"/>
  <c r="M2296" i="1" s="1"/>
  <c r="J2295" i="1" a="1"/>
  <c r="J2295" i="1" s="1"/>
  <c r="I2295" i="1"/>
  <c r="M2295" i="1" s="1"/>
  <c r="J2294" i="1" a="1"/>
  <c r="J2294" i="1" s="1"/>
  <c r="I2294" i="1"/>
  <c r="M2294" i="1" s="1"/>
  <c r="M2293" i="1"/>
  <c r="J2293" i="1"/>
  <c r="J2293" i="1" a="1"/>
  <c r="I2293" i="1"/>
  <c r="J2292" i="1" a="1"/>
  <c r="J2292" i="1" s="1"/>
  <c r="I2292" i="1"/>
  <c r="M2292" i="1" s="1"/>
  <c r="J2291" i="1" a="1"/>
  <c r="J2291" i="1" s="1"/>
  <c r="I2291" i="1"/>
  <c r="M2291" i="1" s="1"/>
  <c r="J2290" i="1" a="1"/>
  <c r="J2290" i="1" s="1"/>
  <c r="I2290" i="1"/>
  <c r="M2290" i="1" s="1"/>
  <c r="J2289" i="1" a="1"/>
  <c r="J2289" i="1" s="1"/>
  <c r="I2289" i="1"/>
  <c r="M2289" i="1" s="1"/>
  <c r="J2288" i="1" a="1"/>
  <c r="J2288" i="1" s="1"/>
  <c r="I2288" i="1"/>
  <c r="M2288" i="1" s="1"/>
  <c r="J2287" i="1" a="1"/>
  <c r="J2287" i="1" s="1"/>
  <c r="I2287" i="1"/>
  <c r="M2287" i="1" s="1"/>
  <c r="J2286" i="1" a="1"/>
  <c r="J2286" i="1" s="1"/>
  <c r="I2286" i="1"/>
  <c r="M2286" i="1" s="1"/>
  <c r="J2285" i="1" a="1"/>
  <c r="J2285" i="1" s="1"/>
  <c r="I2285" i="1"/>
  <c r="M2285" i="1" s="1"/>
  <c r="J2284" i="1" a="1"/>
  <c r="J2284" i="1" s="1"/>
  <c r="I2284" i="1"/>
  <c r="M2284" i="1" s="1"/>
  <c r="J2283" i="1"/>
  <c r="J2283" i="1" a="1"/>
  <c r="I2283" i="1"/>
  <c r="M2283" i="1" s="1"/>
  <c r="J2282" i="1" a="1"/>
  <c r="J2282" i="1" s="1"/>
  <c r="I2282" i="1"/>
  <c r="M2282" i="1" s="1"/>
  <c r="J2281" i="1" a="1"/>
  <c r="J2281" i="1" s="1"/>
  <c r="I2281" i="1"/>
  <c r="M2281" i="1" s="1"/>
  <c r="J2280" i="1" a="1"/>
  <c r="J2280" i="1" s="1"/>
  <c r="I2280" i="1"/>
  <c r="M2280" i="1" s="1"/>
  <c r="J2279" i="1" a="1"/>
  <c r="J2279" i="1" s="1"/>
  <c r="I2279" i="1"/>
  <c r="M2279" i="1" s="1"/>
  <c r="J2278" i="1" a="1"/>
  <c r="J2278" i="1" s="1"/>
  <c r="I2278" i="1"/>
  <c r="M2278" i="1" s="1"/>
  <c r="J2277" i="1" a="1"/>
  <c r="J2277" i="1" s="1"/>
  <c r="I2277" i="1"/>
  <c r="M2277" i="1" s="1"/>
  <c r="J2276" i="1" a="1"/>
  <c r="J2276" i="1" s="1"/>
  <c r="I2276" i="1"/>
  <c r="M2276" i="1" s="1"/>
  <c r="J2275" i="1" a="1"/>
  <c r="J2275" i="1" s="1"/>
  <c r="I2275" i="1"/>
  <c r="M2275" i="1" s="1"/>
  <c r="J2274" i="1"/>
  <c r="J2274" i="1" a="1"/>
  <c r="I2274" i="1"/>
  <c r="M2274" i="1" s="1"/>
  <c r="J2273" i="1" a="1"/>
  <c r="J2273" i="1" s="1"/>
  <c r="I2273" i="1"/>
  <c r="M2273" i="1" s="1"/>
  <c r="J2272" i="1" a="1"/>
  <c r="J2272" i="1" s="1"/>
  <c r="I2272" i="1"/>
  <c r="M2272" i="1" s="1"/>
  <c r="J2271" i="1" a="1"/>
  <c r="J2271" i="1" s="1"/>
  <c r="I2271" i="1"/>
  <c r="M2271" i="1" s="1"/>
  <c r="J2270" i="1" a="1"/>
  <c r="J2270" i="1" s="1"/>
  <c r="I2270" i="1"/>
  <c r="M2270" i="1" s="1"/>
  <c r="J2269" i="1" a="1"/>
  <c r="J2269" i="1" s="1"/>
  <c r="I2269" i="1"/>
  <c r="M2269" i="1" s="1"/>
  <c r="J2268" i="1" a="1"/>
  <c r="J2268" i="1" s="1"/>
  <c r="I2268" i="1"/>
  <c r="M2268" i="1" s="1"/>
  <c r="J2267" i="1"/>
  <c r="J2267" i="1" a="1"/>
  <c r="I2267" i="1"/>
  <c r="M2267" i="1" s="1"/>
  <c r="M2266" i="1"/>
  <c r="J2266" i="1"/>
  <c r="J2266" i="1" a="1"/>
  <c r="I2266" i="1"/>
  <c r="J2265" i="1" a="1"/>
  <c r="J2265" i="1" s="1"/>
  <c r="I2265" i="1"/>
  <c r="M2265" i="1" s="1"/>
  <c r="J2264" i="1" a="1"/>
  <c r="J2264" i="1" s="1"/>
  <c r="I2264" i="1"/>
  <c r="M2264" i="1" s="1"/>
  <c r="J2263" i="1" a="1"/>
  <c r="J2263" i="1" s="1"/>
  <c r="I2263" i="1"/>
  <c r="M2263" i="1" s="1"/>
  <c r="J2262" i="1" a="1"/>
  <c r="J2262" i="1" s="1"/>
  <c r="I2262" i="1"/>
  <c r="M2262" i="1" s="1"/>
  <c r="J2261" i="1" a="1"/>
  <c r="J2261" i="1" s="1"/>
  <c r="I2261" i="1"/>
  <c r="M2261" i="1" s="1"/>
  <c r="J2260" i="1" a="1"/>
  <c r="J2260" i="1" s="1"/>
  <c r="I2260" i="1"/>
  <c r="M2260" i="1" s="1"/>
  <c r="J2259" i="1" a="1"/>
  <c r="J2259" i="1" s="1"/>
  <c r="I2259" i="1"/>
  <c r="M2259" i="1" s="1"/>
  <c r="J2258" i="1" a="1"/>
  <c r="J2258" i="1" s="1"/>
  <c r="I2258" i="1"/>
  <c r="M2258" i="1" s="1"/>
  <c r="J2257" i="1" a="1"/>
  <c r="J2257" i="1" s="1"/>
  <c r="I2257" i="1"/>
  <c r="M2257" i="1" s="1"/>
  <c r="J2256" i="1" a="1"/>
  <c r="J2256" i="1" s="1"/>
  <c r="I2256" i="1"/>
  <c r="M2256" i="1" s="1"/>
  <c r="J2255" i="1" a="1"/>
  <c r="J2255" i="1" s="1"/>
  <c r="I2255" i="1"/>
  <c r="M2255" i="1" s="1"/>
  <c r="J2254" i="1" a="1"/>
  <c r="J2254" i="1" s="1"/>
  <c r="I2254" i="1"/>
  <c r="M2254" i="1" s="1"/>
  <c r="M2253" i="1"/>
  <c r="J2253" i="1" a="1"/>
  <c r="J2253" i="1" s="1"/>
  <c r="I2253" i="1"/>
  <c r="M2252" i="1"/>
  <c r="J2252" i="1"/>
  <c r="J2252" i="1" a="1"/>
  <c r="I2252" i="1"/>
  <c r="J2251" i="1" a="1"/>
  <c r="J2251" i="1" s="1"/>
  <c r="I2251" i="1"/>
  <c r="M2251" i="1" s="1"/>
  <c r="J2250" i="1" a="1"/>
  <c r="J2250" i="1" s="1"/>
  <c r="I2250" i="1"/>
  <c r="M2250" i="1" s="1"/>
  <c r="J2249" i="1" a="1"/>
  <c r="J2249" i="1" s="1"/>
  <c r="I2249" i="1"/>
  <c r="M2249" i="1" s="1"/>
  <c r="J2248" i="1" a="1"/>
  <c r="J2248" i="1" s="1"/>
  <c r="I2248" i="1"/>
  <c r="M2248" i="1" s="1"/>
  <c r="J2247" i="1" a="1"/>
  <c r="J2247" i="1" s="1"/>
  <c r="I2247" i="1"/>
  <c r="M2247" i="1" s="1"/>
  <c r="J2246" i="1" a="1"/>
  <c r="J2246" i="1" s="1"/>
  <c r="I2246" i="1"/>
  <c r="M2246" i="1" s="1"/>
  <c r="J2245" i="1" a="1"/>
  <c r="J2245" i="1" s="1"/>
  <c r="I2245" i="1"/>
  <c r="M2245" i="1" s="1"/>
  <c r="J2244" i="1" a="1"/>
  <c r="J2244" i="1" s="1"/>
  <c r="I2244" i="1"/>
  <c r="M2244" i="1" s="1"/>
  <c r="J2243" i="1" a="1"/>
  <c r="J2243" i="1" s="1"/>
  <c r="I2243" i="1"/>
  <c r="M2243" i="1" s="1"/>
  <c r="J2242" i="1" a="1"/>
  <c r="J2242" i="1" s="1"/>
  <c r="I2242" i="1"/>
  <c r="M2242" i="1" s="1"/>
  <c r="J2241" i="1" a="1"/>
  <c r="J2241" i="1" s="1"/>
  <c r="I2241" i="1"/>
  <c r="M2241" i="1" s="1"/>
  <c r="J2240" i="1" a="1"/>
  <c r="J2240" i="1" s="1"/>
  <c r="I2240" i="1"/>
  <c r="M2240" i="1" s="1"/>
  <c r="J2239" i="1" a="1"/>
  <c r="J2239" i="1" s="1"/>
  <c r="I2239" i="1"/>
  <c r="M2239" i="1" s="1"/>
  <c r="J2238" i="1" a="1"/>
  <c r="J2238" i="1" s="1"/>
  <c r="I2238" i="1"/>
  <c r="M2238" i="1" s="1"/>
  <c r="J2237" i="1" a="1"/>
  <c r="J2237" i="1" s="1"/>
  <c r="I2237" i="1"/>
  <c r="M2237" i="1" s="1"/>
  <c r="J2236" i="1" a="1"/>
  <c r="J2236" i="1" s="1"/>
  <c r="I2236" i="1"/>
  <c r="M2236" i="1" s="1"/>
  <c r="J2235" i="1" a="1"/>
  <c r="J2235" i="1" s="1"/>
  <c r="I2235" i="1"/>
  <c r="M2235" i="1" s="1"/>
  <c r="J2234" i="1"/>
  <c r="J2234" i="1" a="1"/>
  <c r="I2234" i="1"/>
  <c r="M2234" i="1" s="1"/>
  <c r="M2233" i="1"/>
  <c r="J2233" i="1" a="1"/>
  <c r="J2233" i="1" s="1"/>
  <c r="I2233" i="1"/>
  <c r="J2232" i="1" a="1"/>
  <c r="J2232" i="1" s="1"/>
  <c r="I2232" i="1"/>
  <c r="M2232" i="1" s="1"/>
  <c r="J2231" i="1" a="1"/>
  <c r="J2231" i="1" s="1"/>
  <c r="I2231" i="1"/>
  <c r="M2231" i="1" s="1"/>
  <c r="M2230" i="1"/>
  <c r="J2230" i="1" a="1"/>
  <c r="J2230" i="1" s="1"/>
  <c r="I2230" i="1"/>
  <c r="J2229" i="1" a="1"/>
  <c r="J2229" i="1" s="1"/>
  <c r="I2229" i="1"/>
  <c r="M2229" i="1" s="1"/>
  <c r="J2228" i="1" a="1"/>
  <c r="J2228" i="1" s="1"/>
  <c r="I2228" i="1"/>
  <c r="M2228" i="1" s="1"/>
  <c r="J2227" i="1" a="1"/>
  <c r="J2227" i="1" s="1"/>
  <c r="I2227" i="1"/>
  <c r="M2227" i="1" s="1"/>
  <c r="J2226" i="1" a="1"/>
  <c r="J2226" i="1" s="1"/>
  <c r="I2226" i="1"/>
  <c r="M2226" i="1" s="1"/>
  <c r="J2225" i="1" a="1"/>
  <c r="J2225" i="1" s="1"/>
  <c r="I2225" i="1"/>
  <c r="M2225" i="1" s="1"/>
  <c r="J2224" i="1" a="1"/>
  <c r="J2224" i="1" s="1"/>
  <c r="I2224" i="1"/>
  <c r="M2224" i="1" s="1"/>
  <c r="J2223" i="1" a="1"/>
  <c r="J2223" i="1" s="1"/>
  <c r="I2223" i="1"/>
  <c r="M2223" i="1" s="1"/>
  <c r="J2222" i="1" a="1"/>
  <c r="J2222" i="1" s="1"/>
  <c r="I2222" i="1"/>
  <c r="M2222" i="1" s="1"/>
  <c r="J2221" i="1" a="1"/>
  <c r="J2221" i="1" s="1"/>
  <c r="I2221" i="1"/>
  <c r="M2221" i="1" s="1"/>
  <c r="J2220" i="1" a="1"/>
  <c r="J2220" i="1" s="1"/>
  <c r="I2220" i="1"/>
  <c r="M2220" i="1" s="1"/>
  <c r="J2219" i="1" a="1"/>
  <c r="J2219" i="1" s="1"/>
  <c r="I2219" i="1"/>
  <c r="M2219" i="1" s="1"/>
  <c r="J2218" i="1" a="1"/>
  <c r="J2218" i="1" s="1"/>
  <c r="I2218" i="1"/>
  <c r="M2218" i="1" s="1"/>
  <c r="J2217" i="1" a="1"/>
  <c r="J2217" i="1" s="1"/>
  <c r="I2217" i="1"/>
  <c r="M2217" i="1" s="1"/>
  <c r="J2216" i="1" a="1"/>
  <c r="J2216" i="1" s="1"/>
  <c r="I2216" i="1"/>
  <c r="M2216" i="1" s="1"/>
  <c r="J2215" i="1" a="1"/>
  <c r="J2215" i="1" s="1"/>
  <c r="I2215" i="1"/>
  <c r="M2215" i="1" s="1"/>
  <c r="J2214" i="1" a="1"/>
  <c r="J2214" i="1" s="1"/>
  <c r="I2214" i="1"/>
  <c r="M2214" i="1" s="1"/>
  <c r="J2213" i="1" a="1"/>
  <c r="J2213" i="1" s="1"/>
  <c r="I2213" i="1"/>
  <c r="M2213" i="1" s="1"/>
  <c r="J2212" i="1"/>
  <c r="J2212" i="1" a="1"/>
  <c r="I2212" i="1"/>
  <c r="M2212" i="1" s="1"/>
  <c r="J2211" i="1" a="1"/>
  <c r="J2211" i="1" s="1"/>
  <c r="I2211" i="1"/>
  <c r="M2211" i="1" s="1"/>
  <c r="J2210" i="1" a="1"/>
  <c r="J2210" i="1" s="1"/>
  <c r="I2210" i="1"/>
  <c r="M2210" i="1" s="1"/>
  <c r="J2209" i="1" a="1"/>
  <c r="J2209" i="1" s="1"/>
  <c r="I2209" i="1"/>
  <c r="M2209" i="1" s="1"/>
  <c r="J2208" i="1"/>
  <c r="J2208" i="1" a="1"/>
  <c r="I2208" i="1"/>
  <c r="M2208" i="1" s="1"/>
  <c r="J2207" i="1" a="1"/>
  <c r="J2207" i="1" s="1"/>
  <c r="I2207" i="1"/>
  <c r="M2207" i="1" s="1"/>
  <c r="J2206" i="1" a="1"/>
  <c r="J2206" i="1" s="1"/>
  <c r="I2206" i="1"/>
  <c r="M2206" i="1" s="1"/>
  <c r="J2205" i="1"/>
  <c r="J2205" i="1" a="1"/>
  <c r="I2205" i="1"/>
  <c r="M2205" i="1" s="1"/>
  <c r="M2204" i="1"/>
  <c r="J2204" i="1" a="1"/>
  <c r="J2204" i="1" s="1"/>
  <c r="I2204" i="1"/>
  <c r="J2203" i="1"/>
  <c r="J2203" i="1" a="1"/>
  <c r="I2203" i="1"/>
  <c r="M2203" i="1" s="1"/>
  <c r="J2202" i="1" a="1"/>
  <c r="J2202" i="1" s="1"/>
  <c r="I2202" i="1"/>
  <c r="M2202" i="1" s="1"/>
  <c r="J2201" i="1" a="1"/>
  <c r="J2201" i="1" s="1"/>
  <c r="I2201" i="1"/>
  <c r="M2201" i="1" s="1"/>
  <c r="J2200" i="1" a="1"/>
  <c r="J2200" i="1" s="1"/>
  <c r="I2200" i="1"/>
  <c r="M2200" i="1" s="1"/>
  <c r="J2199" i="1" a="1"/>
  <c r="J2199" i="1" s="1"/>
  <c r="I2199" i="1"/>
  <c r="M2199" i="1" s="1"/>
  <c r="J2198" i="1" a="1"/>
  <c r="J2198" i="1" s="1"/>
  <c r="I2198" i="1"/>
  <c r="M2198" i="1" s="1"/>
  <c r="J2197" i="1" a="1"/>
  <c r="J2197" i="1" s="1"/>
  <c r="I2197" i="1"/>
  <c r="M2197" i="1" s="1"/>
  <c r="J2196" i="1" a="1"/>
  <c r="J2196" i="1" s="1"/>
  <c r="I2196" i="1"/>
  <c r="M2196" i="1" s="1"/>
  <c r="J2195" i="1" a="1"/>
  <c r="J2195" i="1" s="1"/>
  <c r="I2195" i="1"/>
  <c r="M2195" i="1" s="1"/>
  <c r="J2194" i="1"/>
  <c r="J2194" i="1" a="1"/>
  <c r="I2194" i="1"/>
  <c r="M2194" i="1" s="1"/>
  <c r="J2193" i="1" a="1"/>
  <c r="J2193" i="1" s="1"/>
  <c r="I2193" i="1"/>
  <c r="M2193" i="1" s="1"/>
  <c r="J2192" i="1" a="1"/>
  <c r="J2192" i="1" s="1"/>
  <c r="I2192" i="1"/>
  <c r="M2192" i="1" s="1"/>
  <c r="J2191" i="1" a="1"/>
  <c r="J2191" i="1" s="1"/>
  <c r="I2191" i="1"/>
  <c r="M2191" i="1" s="1"/>
  <c r="J2190" i="1" a="1"/>
  <c r="J2190" i="1" s="1"/>
  <c r="I2190" i="1"/>
  <c r="M2190" i="1" s="1"/>
  <c r="J2189" i="1" a="1"/>
  <c r="J2189" i="1" s="1"/>
  <c r="I2189" i="1"/>
  <c r="M2189" i="1" s="1"/>
  <c r="J2188" i="1" a="1"/>
  <c r="J2188" i="1" s="1"/>
  <c r="I2188" i="1"/>
  <c r="M2188" i="1" s="1"/>
  <c r="J2187" i="1" a="1"/>
  <c r="J2187" i="1" s="1"/>
  <c r="I2187" i="1"/>
  <c r="M2187" i="1" s="1"/>
  <c r="M2186" i="1"/>
  <c r="J2186" i="1"/>
  <c r="J2186" i="1" a="1"/>
  <c r="I2186" i="1"/>
  <c r="J2185" i="1"/>
  <c r="J2185" i="1" a="1"/>
  <c r="I2185" i="1"/>
  <c r="M2185" i="1" s="1"/>
  <c r="J2184" i="1" a="1"/>
  <c r="J2184" i="1" s="1"/>
  <c r="I2184" i="1"/>
  <c r="M2184" i="1" s="1"/>
  <c r="J2183" i="1" a="1"/>
  <c r="J2183" i="1" s="1"/>
  <c r="I2183" i="1"/>
  <c r="M2183" i="1" s="1"/>
  <c r="J2182" i="1" a="1"/>
  <c r="J2182" i="1" s="1"/>
  <c r="I2182" i="1"/>
  <c r="M2182" i="1" s="1"/>
  <c r="J2181" i="1" a="1"/>
  <c r="J2181" i="1" s="1"/>
  <c r="I2181" i="1"/>
  <c r="M2181" i="1" s="1"/>
  <c r="J2180" i="1" a="1"/>
  <c r="J2180" i="1" s="1"/>
  <c r="I2180" i="1"/>
  <c r="M2180" i="1" s="1"/>
  <c r="J2179" i="1" a="1"/>
  <c r="J2179" i="1" s="1"/>
  <c r="I2179" i="1"/>
  <c r="M2179" i="1" s="1"/>
  <c r="J2178" i="1" a="1"/>
  <c r="J2178" i="1" s="1"/>
  <c r="I2178" i="1"/>
  <c r="M2178" i="1" s="1"/>
  <c r="J2177" i="1" a="1"/>
  <c r="J2177" i="1" s="1"/>
  <c r="I2177" i="1"/>
  <c r="M2177" i="1" s="1"/>
  <c r="J2176" i="1" a="1"/>
  <c r="J2176" i="1" s="1"/>
  <c r="I2176" i="1"/>
  <c r="M2176" i="1" s="1"/>
  <c r="J2175" i="1" a="1"/>
  <c r="J2175" i="1" s="1"/>
  <c r="I2175" i="1"/>
  <c r="M2175" i="1" s="1"/>
  <c r="J2174" i="1" a="1"/>
  <c r="J2174" i="1" s="1"/>
  <c r="I2174" i="1"/>
  <c r="M2174" i="1" s="1"/>
  <c r="J2173" i="1" a="1"/>
  <c r="J2173" i="1" s="1"/>
  <c r="I2173" i="1"/>
  <c r="M2173" i="1" s="1"/>
  <c r="J2172" i="1" a="1"/>
  <c r="J2172" i="1" s="1"/>
  <c r="I2172" i="1"/>
  <c r="M2172" i="1" s="1"/>
  <c r="J2171" i="1" a="1"/>
  <c r="J2171" i="1" s="1"/>
  <c r="I2171" i="1"/>
  <c r="M2171" i="1" s="1"/>
  <c r="J2170" i="1" a="1"/>
  <c r="J2170" i="1" s="1"/>
  <c r="I2170" i="1"/>
  <c r="M2170" i="1" s="1"/>
  <c r="J2169" i="1" a="1"/>
  <c r="J2169" i="1" s="1"/>
  <c r="I2169" i="1"/>
  <c r="M2169" i="1" s="1"/>
  <c r="J2168" i="1"/>
  <c r="J2168" i="1" a="1"/>
  <c r="I2168" i="1"/>
  <c r="M2168" i="1" s="1"/>
  <c r="J2167" i="1" a="1"/>
  <c r="J2167" i="1" s="1"/>
  <c r="I2167" i="1"/>
  <c r="M2167" i="1" s="1"/>
  <c r="J2166" i="1" a="1"/>
  <c r="J2166" i="1" s="1"/>
  <c r="I2166" i="1"/>
  <c r="M2166" i="1" s="1"/>
  <c r="J2165" i="1" a="1"/>
  <c r="J2165" i="1" s="1"/>
  <c r="I2165" i="1"/>
  <c r="M2165" i="1" s="1"/>
  <c r="J2164" i="1" a="1"/>
  <c r="J2164" i="1" s="1"/>
  <c r="I2164" i="1"/>
  <c r="M2164" i="1" s="1"/>
  <c r="J2163" i="1" a="1"/>
  <c r="J2163" i="1" s="1"/>
  <c r="I2163" i="1"/>
  <c r="M2163" i="1" s="1"/>
  <c r="J2162" i="1" a="1"/>
  <c r="J2162" i="1" s="1"/>
  <c r="I2162" i="1"/>
  <c r="M2162" i="1" s="1"/>
  <c r="J2161" i="1" a="1"/>
  <c r="J2161" i="1" s="1"/>
  <c r="I2161" i="1"/>
  <c r="M2161" i="1" s="1"/>
  <c r="M2160" i="1"/>
  <c r="J2160" i="1" a="1"/>
  <c r="J2160" i="1" s="1"/>
  <c r="I2160" i="1"/>
  <c r="J2159" i="1" a="1"/>
  <c r="J2159" i="1" s="1"/>
  <c r="I2159" i="1"/>
  <c r="M2159" i="1" s="1"/>
  <c r="J2158" i="1" a="1"/>
  <c r="J2158" i="1" s="1"/>
  <c r="I2158" i="1"/>
  <c r="M2158" i="1" s="1"/>
  <c r="J2157" i="1" a="1"/>
  <c r="J2157" i="1" s="1"/>
  <c r="I2157" i="1"/>
  <c r="M2157" i="1" s="1"/>
  <c r="M2156" i="1"/>
  <c r="J2156" i="1" a="1"/>
  <c r="J2156" i="1" s="1"/>
  <c r="I2156" i="1"/>
  <c r="J2155" i="1" a="1"/>
  <c r="J2155" i="1" s="1"/>
  <c r="I2155" i="1"/>
  <c r="M2155" i="1" s="1"/>
  <c r="J2154" i="1" a="1"/>
  <c r="J2154" i="1" s="1"/>
  <c r="I2154" i="1"/>
  <c r="M2154" i="1" s="1"/>
  <c r="J2153" i="1" a="1"/>
  <c r="J2153" i="1" s="1"/>
  <c r="I2153" i="1"/>
  <c r="M2153" i="1" s="1"/>
  <c r="J2152" i="1" a="1"/>
  <c r="J2152" i="1" s="1"/>
  <c r="I2152" i="1"/>
  <c r="M2152" i="1" s="1"/>
  <c r="J2151" i="1" a="1"/>
  <c r="J2151" i="1" s="1"/>
  <c r="I2151" i="1"/>
  <c r="M2151" i="1" s="1"/>
  <c r="J2150" i="1" a="1"/>
  <c r="J2150" i="1" s="1"/>
  <c r="I2150" i="1"/>
  <c r="M2150" i="1" s="1"/>
  <c r="J2149" i="1" a="1"/>
  <c r="J2149" i="1" s="1"/>
  <c r="I2149" i="1"/>
  <c r="M2149" i="1" s="1"/>
  <c r="M2148" i="1"/>
  <c r="J2148" i="1" a="1"/>
  <c r="J2148" i="1" s="1"/>
  <c r="I2148" i="1"/>
  <c r="J2147" i="1" a="1"/>
  <c r="J2147" i="1" s="1"/>
  <c r="I2147" i="1"/>
  <c r="M2147" i="1" s="1"/>
  <c r="J2146" i="1" a="1"/>
  <c r="J2146" i="1" s="1"/>
  <c r="I2146" i="1"/>
  <c r="M2146" i="1" s="1"/>
  <c r="M2145" i="1"/>
  <c r="J2145" i="1" a="1"/>
  <c r="J2145" i="1" s="1"/>
  <c r="I2145" i="1"/>
  <c r="J2144" i="1"/>
  <c r="J2144" i="1" a="1"/>
  <c r="I2144" i="1"/>
  <c r="M2144" i="1" s="1"/>
  <c r="J2143" i="1" a="1"/>
  <c r="J2143" i="1" s="1"/>
  <c r="I2143" i="1"/>
  <c r="M2143" i="1" s="1"/>
  <c r="J2142" i="1"/>
  <c r="J2142" i="1" a="1"/>
  <c r="I2142" i="1"/>
  <c r="M2142" i="1" s="1"/>
  <c r="J2141" i="1" a="1"/>
  <c r="J2141" i="1" s="1"/>
  <c r="I2141" i="1"/>
  <c r="M2141" i="1" s="1"/>
  <c r="J2140" i="1" a="1"/>
  <c r="J2140" i="1" s="1"/>
  <c r="I2140" i="1"/>
  <c r="M2140" i="1" s="1"/>
  <c r="J2139" i="1" a="1"/>
  <c r="J2139" i="1" s="1"/>
  <c r="I2139" i="1"/>
  <c r="M2139" i="1" s="1"/>
  <c r="M2138" i="1"/>
  <c r="J2138" i="1" a="1"/>
  <c r="J2138" i="1" s="1"/>
  <c r="I2138" i="1"/>
  <c r="J2137" i="1" a="1"/>
  <c r="J2137" i="1" s="1"/>
  <c r="I2137" i="1"/>
  <c r="M2137" i="1" s="1"/>
  <c r="J2136" i="1"/>
  <c r="J2136" i="1" a="1"/>
  <c r="I2136" i="1"/>
  <c r="M2136" i="1" s="1"/>
  <c r="J2135" i="1" a="1"/>
  <c r="J2135" i="1" s="1"/>
  <c r="I2135" i="1"/>
  <c r="M2135" i="1" s="1"/>
  <c r="J2134" i="1" a="1"/>
  <c r="J2134" i="1" s="1"/>
  <c r="I2134" i="1"/>
  <c r="M2134" i="1" s="1"/>
  <c r="J2133" i="1" a="1"/>
  <c r="J2133" i="1" s="1"/>
  <c r="I2133" i="1"/>
  <c r="M2133" i="1" s="1"/>
  <c r="M2132" i="1"/>
  <c r="J2132" i="1"/>
  <c r="J2132" i="1" a="1"/>
  <c r="I2132" i="1"/>
  <c r="J2131" i="1" a="1"/>
  <c r="J2131" i="1" s="1"/>
  <c r="I2131" i="1"/>
  <c r="M2131" i="1" s="1"/>
  <c r="J2130" i="1" a="1"/>
  <c r="J2130" i="1" s="1"/>
  <c r="I2130" i="1"/>
  <c r="M2130" i="1" s="1"/>
  <c r="J2129" i="1" a="1"/>
  <c r="J2129" i="1" s="1"/>
  <c r="I2129" i="1"/>
  <c r="M2129" i="1" s="1"/>
  <c r="J2128" i="1" a="1"/>
  <c r="J2128" i="1" s="1"/>
  <c r="I2128" i="1"/>
  <c r="M2128" i="1" s="1"/>
  <c r="J2127" i="1" a="1"/>
  <c r="J2127" i="1" s="1"/>
  <c r="I2127" i="1"/>
  <c r="M2127" i="1" s="1"/>
  <c r="J2126" i="1" a="1"/>
  <c r="J2126" i="1" s="1"/>
  <c r="I2126" i="1"/>
  <c r="M2126" i="1" s="1"/>
  <c r="J2125" i="1" a="1"/>
  <c r="J2125" i="1" s="1"/>
  <c r="I2125" i="1"/>
  <c r="M2125" i="1" s="1"/>
  <c r="J2124" i="1" a="1"/>
  <c r="J2124" i="1" s="1"/>
  <c r="I2124" i="1"/>
  <c r="M2124" i="1" s="1"/>
  <c r="J2123" i="1" a="1"/>
  <c r="J2123" i="1" s="1"/>
  <c r="I2123" i="1"/>
  <c r="M2123" i="1" s="1"/>
  <c r="J2122" i="1" a="1"/>
  <c r="J2122" i="1" s="1"/>
  <c r="I2122" i="1"/>
  <c r="M2122" i="1" s="1"/>
  <c r="J2121" i="1" a="1"/>
  <c r="J2121" i="1" s="1"/>
  <c r="I2121" i="1"/>
  <c r="M2121" i="1" s="1"/>
  <c r="J2120" i="1" a="1"/>
  <c r="J2120" i="1" s="1"/>
  <c r="I2120" i="1"/>
  <c r="M2120" i="1" s="1"/>
  <c r="J2119" i="1" a="1"/>
  <c r="J2119" i="1" s="1"/>
  <c r="I2119" i="1"/>
  <c r="M2119" i="1" s="1"/>
  <c r="J2118" i="1" a="1"/>
  <c r="J2118" i="1" s="1"/>
  <c r="I2118" i="1"/>
  <c r="M2118" i="1" s="1"/>
  <c r="J2117" i="1" a="1"/>
  <c r="J2117" i="1" s="1"/>
  <c r="I2117" i="1"/>
  <c r="M2117" i="1" s="1"/>
  <c r="M2116" i="1"/>
  <c r="J2116" i="1" a="1"/>
  <c r="J2116" i="1" s="1"/>
  <c r="I2116" i="1"/>
  <c r="J2115" i="1" a="1"/>
  <c r="J2115" i="1" s="1"/>
  <c r="I2115" i="1"/>
  <c r="M2115" i="1" s="1"/>
  <c r="J2114" i="1" a="1"/>
  <c r="J2114" i="1" s="1"/>
  <c r="I2114" i="1"/>
  <c r="M2114" i="1" s="1"/>
  <c r="J2113" i="1" a="1"/>
  <c r="J2113" i="1" s="1"/>
  <c r="I2113" i="1"/>
  <c r="M2113" i="1" s="1"/>
  <c r="J2112" i="1" a="1"/>
  <c r="J2112" i="1" s="1"/>
  <c r="I2112" i="1"/>
  <c r="M2112" i="1" s="1"/>
  <c r="M2111" i="1"/>
  <c r="J2111" i="1" a="1"/>
  <c r="J2111" i="1" s="1"/>
  <c r="I2111" i="1"/>
  <c r="J2110" i="1" a="1"/>
  <c r="J2110" i="1" s="1"/>
  <c r="I2110" i="1"/>
  <c r="M2110" i="1" s="1"/>
  <c r="J2109" i="1" a="1"/>
  <c r="J2109" i="1" s="1"/>
  <c r="I2109" i="1"/>
  <c r="M2109" i="1" s="1"/>
  <c r="J2108" i="1" a="1"/>
  <c r="J2108" i="1" s="1"/>
  <c r="I2108" i="1"/>
  <c r="M2108" i="1" s="1"/>
  <c r="J2107" i="1" a="1"/>
  <c r="J2107" i="1" s="1"/>
  <c r="I2107" i="1"/>
  <c r="M2107" i="1" s="1"/>
  <c r="J2106" i="1" a="1"/>
  <c r="J2106" i="1" s="1"/>
  <c r="I2106" i="1"/>
  <c r="M2106" i="1" s="1"/>
  <c r="J2105" i="1"/>
  <c r="J2105" i="1" a="1"/>
  <c r="I2105" i="1"/>
  <c r="M2105" i="1" s="1"/>
  <c r="J2104" i="1" a="1"/>
  <c r="J2104" i="1" s="1"/>
  <c r="I2104" i="1"/>
  <c r="M2104" i="1" s="1"/>
  <c r="J2103" i="1" a="1"/>
  <c r="J2103" i="1" s="1"/>
  <c r="I2103" i="1"/>
  <c r="M2103" i="1" s="1"/>
  <c r="J2102" i="1" a="1"/>
  <c r="J2102" i="1" s="1"/>
  <c r="I2102" i="1"/>
  <c r="M2102" i="1" s="1"/>
  <c r="J2101" i="1" a="1"/>
  <c r="J2101" i="1" s="1"/>
  <c r="I2101" i="1"/>
  <c r="M2101" i="1" s="1"/>
  <c r="J2100" i="1" a="1"/>
  <c r="J2100" i="1" s="1"/>
  <c r="I2100" i="1"/>
  <c r="M2100" i="1" s="1"/>
  <c r="J2099" i="1" a="1"/>
  <c r="J2099" i="1" s="1"/>
  <c r="I2099" i="1"/>
  <c r="M2099" i="1" s="1"/>
  <c r="J2098" i="1" a="1"/>
  <c r="J2098" i="1" s="1"/>
  <c r="I2098" i="1"/>
  <c r="M2098" i="1" s="1"/>
  <c r="J2097" i="1" a="1"/>
  <c r="J2097" i="1" s="1"/>
  <c r="I2097" i="1"/>
  <c r="M2097" i="1" s="1"/>
  <c r="J2096" i="1" a="1"/>
  <c r="J2096" i="1" s="1"/>
  <c r="I2096" i="1"/>
  <c r="M2096" i="1" s="1"/>
  <c r="J2095" i="1"/>
  <c r="J2095" i="1" a="1"/>
  <c r="I2095" i="1"/>
  <c r="M2095" i="1" s="1"/>
  <c r="J2094" i="1" a="1"/>
  <c r="J2094" i="1" s="1"/>
  <c r="I2094" i="1"/>
  <c r="M2094" i="1" s="1"/>
  <c r="J2093" i="1" a="1"/>
  <c r="J2093" i="1" s="1"/>
  <c r="I2093" i="1"/>
  <c r="M2093" i="1" s="1"/>
  <c r="J2092" i="1" a="1"/>
  <c r="J2092" i="1" s="1"/>
  <c r="I2092" i="1"/>
  <c r="M2092" i="1" s="1"/>
  <c r="J2091" i="1" a="1"/>
  <c r="J2091" i="1" s="1"/>
  <c r="I2091" i="1"/>
  <c r="M2091" i="1" s="1"/>
  <c r="J2090" i="1" a="1"/>
  <c r="J2090" i="1" s="1"/>
  <c r="I2090" i="1"/>
  <c r="M2090" i="1" s="1"/>
  <c r="J2089" i="1" a="1"/>
  <c r="J2089" i="1" s="1"/>
  <c r="I2089" i="1"/>
  <c r="M2089" i="1" s="1"/>
  <c r="J2088" i="1" a="1"/>
  <c r="J2088" i="1" s="1"/>
  <c r="I2088" i="1"/>
  <c r="M2088" i="1" s="1"/>
  <c r="J2087" i="1" a="1"/>
  <c r="J2087" i="1" s="1"/>
  <c r="I2087" i="1"/>
  <c r="M2087" i="1" s="1"/>
  <c r="J2086" i="1" a="1"/>
  <c r="J2086" i="1" s="1"/>
  <c r="I2086" i="1"/>
  <c r="M2086" i="1" s="1"/>
  <c r="J2085" i="1" a="1"/>
  <c r="J2085" i="1" s="1"/>
  <c r="I2085" i="1"/>
  <c r="M2085" i="1" s="1"/>
  <c r="J2084" i="1" a="1"/>
  <c r="J2084" i="1" s="1"/>
  <c r="I2084" i="1"/>
  <c r="M2084" i="1" s="1"/>
  <c r="J2083" i="1" a="1"/>
  <c r="J2083" i="1" s="1"/>
  <c r="I2083" i="1"/>
  <c r="M2083" i="1" s="1"/>
  <c r="J2082" i="1" a="1"/>
  <c r="J2082" i="1" s="1"/>
  <c r="I2082" i="1"/>
  <c r="M2082" i="1" s="1"/>
  <c r="J2081" i="1" a="1"/>
  <c r="J2081" i="1" s="1"/>
  <c r="I2081" i="1"/>
  <c r="M2081" i="1" s="1"/>
  <c r="J2080" i="1"/>
  <c r="J2080" i="1" a="1"/>
  <c r="I2080" i="1"/>
  <c r="M2080" i="1" s="1"/>
  <c r="J2079" i="1" a="1"/>
  <c r="J2079" i="1" s="1"/>
  <c r="I2079" i="1"/>
  <c r="M2079" i="1" s="1"/>
  <c r="J2078" i="1" a="1"/>
  <c r="J2078" i="1" s="1"/>
  <c r="I2078" i="1"/>
  <c r="M2078" i="1" s="1"/>
  <c r="J2077" i="1" a="1"/>
  <c r="J2077" i="1" s="1"/>
  <c r="I2077" i="1"/>
  <c r="M2077" i="1" s="1"/>
  <c r="J2076" i="1" a="1"/>
  <c r="J2076" i="1" s="1"/>
  <c r="I2076" i="1"/>
  <c r="M2076" i="1" s="1"/>
  <c r="J2075" i="1" a="1"/>
  <c r="J2075" i="1" s="1"/>
  <c r="I2075" i="1"/>
  <c r="M2075" i="1" s="1"/>
  <c r="M2074" i="1"/>
  <c r="J2074" i="1" a="1"/>
  <c r="J2074" i="1" s="1"/>
  <c r="I2074" i="1"/>
  <c r="M2073" i="1"/>
  <c r="J2073" i="1"/>
  <c r="J2073" i="1" a="1"/>
  <c r="I2073" i="1"/>
  <c r="J2072" i="1" a="1"/>
  <c r="J2072" i="1" s="1"/>
  <c r="I2072" i="1"/>
  <c r="M2072" i="1" s="1"/>
  <c r="M2071" i="1"/>
  <c r="J2071" i="1" a="1"/>
  <c r="J2071" i="1" s="1"/>
  <c r="I2071" i="1"/>
  <c r="J2070" i="1" a="1"/>
  <c r="J2070" i="1" s="1"/>
  <c r="I2070" i="1"/>
  <c r="M2070" i="1" s="1"/>
  <c r="J2069" i="1" a="1"/>
  <c r="J2069" i="1" s="1"/>
  <c r="I2069" i="1"/>
  <c r="M2069" i="1" s="1"/>
  <c r="J2068" i="1" a="1"/>
  <c r="J2068" i="1" s="1"/>
  <c r="I2068" i="1"/>
  <c r="M2068" i="1" s="1"/>
  <c r="J2067" i="1" a="1"/>
  <c r="J2067" i="1" s="1"/>
  <c r="I2067" i="1"/>
  <c r="M2067" i="1" s="1"/>
  <c r="J2066" i="1" a="1"/>
  <c r="J2066" i="1" s="1"/>
  <c r="I2066" i="1"/>
  <c r="M2066" i="1" s="1"/>
  <c r="J2065" i="1" a="1"/>
  <c r="J2065" i="1" s="1"/>
  <c r="I2065" i="1"/>
  <c r="M2065" i="1" s="1"/>
  <c r="J2064" i="1" a="1"/>
  <c r="J2064" i="1" s="1"/>
  <c r="I2064" i="1"/>
  <c r="M2064" i="1" s="1"/>
  <c r="J2063" i="1" a="1"/>
  <c r="J2063" i="1" s="1"/>
  <c r="I2063" i="1"/>
  <c r="M2063" i="1" s="1"/>
  <c r="J2062" i="1"/>
  <c r="J2062" i="1" a="1"/>
  <c r="I2062" i="1"/>
  <c r="M2062" i="1" s="1"/>
  <c r="J2061" i="1" a="1"/>
  <c r="J2061" i="1" s="1"/>
  <c r="I2061" i="1"/>
  <c r="M2061" i="1" s="1"/>
  <c r="J2060" i="1"/>
  <c r="J2060" i="1" a="1"/>
  <c r="I2060" i="1"/>
  <c r="M2060" i="1" s="1"/>
  <c r="J2059" i="1" a="1"/>
  <c r="J2059" i="1" s="1"/>
  <c r="I2059" i="1"/>
  <c r="M2059" i="1" s="1"/>
  <c r="J2058" i="1"/>
  <c r="J2058" i="1" a="1"/>
  <c r="I2058" i="1"/>
  <c r="M2058" i="1" s="1"/>
  <c r="J2057" i="1"/>
  <c r="J2057" i="1" a="1"/>
  <c r="I2057" i="1"/>
  <c r="M2057" i="1" s="1"/>
  <c r="J2056" i="1" a="1"/>
  <c r="J2056" i="1" s="1"/>
  <c r="I2056" i="1"/>
  <c r="M2056" i="1" s="1"/>
  <c r="J2055" i="1" a="1"/>
  <c r="J2055" i="1" s="1"/>
  <c r="I2055" i="1"/>
  <c r="M2055" i="1" s="1"/>
  <c r="J2054" i="1" a="1"/>
  <c r="J2054" i="1" s="1"/>
  <c r="I2054" i="1"/>
  <c r="M2054" i="1" s="1"/>
  <c r="M2053" i="1"/>
  <c r="J2053" i="1" a="1"/>
  <c r="J2053" i="1" s="1"/>
  <c r="I2053" i="1"/>
  <c r="J2052" i="1" a="1"/>
  <c r="J2052" i="1" s="1"/>
  <c r="I2052" i="1"/>
  <c r="M2052" i="1" s="1"/>
  <c r="J2051" i="1" a="1"/>
  <c r="J2051" i="1" s="1"/>
  <c r="I2051" i="1"/>
  <c r="M2051" i="1" s="1"/>
  <c r="J2050" i="1" a="1"/>
  <c r="J2050" i="1" s="1"/>
  <c r="I2050" i="1"/>
  <c r="M2050" i="1" s="1"/>
  <c r="M2049" i="1"/>
  <c r="J2049" i="1" a="1"/>
  <c r="J2049" i="1" s="1"/>
  <c r="I2049" i="1"/>
  <c r="J2048" i="1" a="1"/>
  <c r="J2048" i="1" s="1"/>
  <c r="I2048" i="1"/>
  <c r="M2048" i="1" s="1"/>
  <c r="J2047" i="1"/>
  <c r="J2047" i="1" a="1"/>
  <c r="I2047" i="1"/>
  <c r="M2047" i="1" s="1"/>
  <c r="J2046" i="1" a="1"/>
  <c r="J2046" i="1" s="1"/>
  <c r="I2046" i="1"/>
  <c r="M2046" i="1" s="1"/>
  <c r="J2045" i="1"/>
  <c r="J2045" i="1" a="1"/>
  <c r="I2045" i="1"/>
  <c r="M2045" i="1" s="1"/>
  <c r="J2044" i="1" a="1"/>
  <c r="J2044" i="1" s="1"/>
  <c r="I2044" i="1"/>
  <c r="M2044" i="1" s="1"/>
  <c r="J2043" i="1" a="1"/>
  <c r="J2043" i="1" s="1"/>
  <c r="I2043" i="1"/>
  <c r="M2043" i="1" s="1"/>
  <c r="J2042" i="1"/>
  <c r="J2042" i="1" a="1"/>
  <c r="I2042" i="1"/>
  <c r="M2042" i="1" s="1"/>
  <c r="J2041" i="1" a="1"/>
  <c r="J2041" i="1" s="1"/>
  <c r="I2041" i="1"/>
  <c r="M2041" i="1" s="1"/>
  <c r="J2040" i="1" a="1"/>
  <c r="J2040" i="1" s="1"/>
  <c r="I2040" i="1"/>
  <c r="M2040" i="1" s="1"/>
  <c r="J2039" i="1" a="1"/>
  <c r="J2039" i="1" s="1"/>
  <c r="I2039" i="1"/>
  <c r="M2039" i="1" s="1"/>
  <c r="J2038" i="1" a="1"/>
  <c r="J2038" i="1" s="1"/>
  <c r="I2038" i="1"/>
  <c r="M2038" i="1" s="1"/>
  <c r="J2037" i="1" a="1"/>
  <c r="J2037" i="1" s="1"/>
  <c r="I2037" i="1"/>
  <c r="M2037" i="1" s="1"/>
  <c r="J2036" i="1" a="1"/>
  <c r="J2036" i="1" s="1"/>
  <c r="I2036" i="1"/>
  <c r="M2036" i="1" s="1"/>
  <c r="M2035" i="1"/>
  <c r="J2035" i="1"/>
  <c r="J2035" i="1" a="1"/>
  <c r="I2035" i="1"/>
  <c r="J2034" i="1" a="1"/>
  <c r="J2034" i="1" s="1"/>
  <c r="I2034" i="1"/>
  <c r="M2034" i="1" s="1"/>
  <c r="J2033" i="1" a="1"/>
  <c r="J2033" i="1" s="1"/>
  <c r="I2033" i="1"/>
  <c r="M2033" i="1" s="1"/>
  <c r="J2032" i="1" a="1"/>
  <c r="J2032" i="1" s="1"/>
  <c r="I2032" i="1"/>
  <c r="M2032" i="1" s="1"/>
  <c r="J2031" i="1" a="1"/>
  <c r="J2031" i="1" s="1"/>
  <c r="I2031" i="1"/>
  <c r="M2031" i="1" s="1"/>
  <c r="J2030" i="1" a="1"/>
  <c r="J2030" i="1" s="1"/>
  <c r="I2030" i="1"/>
  <c r="M2030" i="1" s="1"/>
  <c r="J2029" i="1" a="1"/>
  <c r="J2029" i="1" s="1"/>
  <c r="I2029" i="1"/>
  <c r="M2029" i="1" s="1"/>
  <c r="M2028" i="1"/>
  <c r="J2028" i="1" a="1"/>
  <c r="J2028" i="1" s="1"/>
  <c r="I2028" i="1"/>
  <c r="J2027" i="1" a="1"/>
  <c r="J2027" i="1" s="1"/>
  <c r="I2027" i="1"/>
  <c r="M2027" i="1" s="1"/>
  <c r="J2026" i="1" a="1"/>
  <c r="J2026" i="1" s="1"/>
  <c r="I2026" i="1"/>
  <c r="M2026" i="1" s="1"/>
  <c r="J2025" i="1" a="1"/>
  <c r="J2025" i="1" s="1"/>
  <c r="I2025" i="1"/>
  <c r="M2025" i="1" s="1"/>
  <c r="J2024" i="1" a="1"/>
  <c r="J2024" i="1" s="1"/>
  <c r="I2024" i="1"/>
  <c r="M2024" i="1" s="1"/>
  <c r="J2023" i="1" a="1"/>
  <c r="J2023" i="1" s="1"/>
  <c r="I2023" i="1"/>
  <c r="M2023" i="1" s="1"/>
  <c r="J2022" i="1" a="1"/>
  <c r="J2022" i="1" s="1"/>
  <c r="I2022" i="1"/>
  <c r="M2022" i="1" s="1"/>
  <c r="J2021" i="1" a="1"/>
  <c r="J2021" i="1" s="1"/>
  <c r="I2021" i="1"/>
  <c r="M2021" i="1" s="1"/>
  <c r="J2020" i="1" a="1"/>
  <c r="J2020" i="1" s="1"/>
  <c r="I2020" i="1"/>
  <c r="M2020" i="1" s="1"/>
  <c r="J2019" i="1" a="1"/>
  <c r="J2019" i="1" s="1"/>
  <c r="I2019" i="1"/>
  <c r="M2019" i="1" s="1"/>
  <c r="J2018" i="1" a="1"/>
  <c r="J2018" i="1" s="1"/>
  <c r="I2018" i="1"/>
  <c r="M2018" i="1" s="1"/>
  <c r="J2017" i="1" a="1"/>
  <c r="J2017" i="1" s="1"/>
  <c r="I2017" i="1"/>
  <c r="M2017" i="1" s="1"/>
  <c r="J2016" i="1" a="1"/>
  <c r="J2016" i="1" s="1"/>
  <c r="I2016" i="1"/>
  <c r="M2016" i="1" s="1"/>
  <c r="J2015" i="1" a="1"/>
  <c r="J2015" i="1" s="1"/>
  <c r="I2015" i="1"/>
  <c r="M2015" i="1" s="1"/>
  <c r="J2014" i="1" a="1"/>
  <c r="J2014" i="1" s="1"/>
  <c r="I2014" i="1"/>
  <c r="M2014" i="1" s="1"/>
  <c r="J2013" i="1" a="1"/>
  <c r="J2013" i="1" s="1"/>
  <c r="I2013" i="1"/>
  <c r="M2013" i="1" s="1"/>
  <c r="J2012" i="1" a="1"/>
  <c r="J2012" i="1" s="1"/>
  <c r="I2012" i="1"/>
  <c r="M2012" i="1" s="1"/>
  <c r="J2011" i="1" a="1"/>
  <c r="J2011" i="1" s="1"/>
  <c r="I2011" i="1"/>
  <c r="M2011" i="1" s="1"/>
  <c r="J2010" i="1" a="1"/>
  <c r="J2010" i="1" s="1"/>
  <c r="I2010" i="1"/>
  <c r="M2010" i="1" s="1"/>
  <c r="J2009" i="1"/>
  <c r="J2009" i="1" a="1"/>
  <c r="I2009" i="1"/>
  <c r="M2009" i="1" s="1"/>
  <c r="J2008" i="1" a="1"/>
  <c r="J2008" i="1" s="1"/>
  <c r="I2008" i="1"/>
  <c r="M2008" i="1" s="1"/>
  <c r="J2007" i="1" a="1"/>
  <c r="J2007" i="1" s="1"/>
  <c r="I2007" i="1"/>
  <c r="M2007" i="1" s="1"/>
  <c r="J2006" i="1" a="1"/>
  <c r="J2006" i="1" s="1"/>
  <c r="I2006" i="1"/>
  <c r="M2006" i="1" s="1"/>
  <c r="J2005" i="1" a="1"/>
  <c r="J2005" i="1" s="1"/>
  <c r="I2005" i="1"/>
  <c r="M2005" i="1" s="1"/>
  <c r="J2004" i="1" a="1"/>
  <c r="J2004" i="1" s="1"/>
  <c r="I2004" i="1"/>
  <c r="M2004" i="1" s="1"/>
  <c r="J2003" i="1" a="1"/>
  <c r="J2003" i="1" s="1"/>
  <c r="I2003" i="1"/>
  <c r="M2003" i="1" s="1"/>
  <c r="J2002" i="1" a="1"/>
  <c r="J2002" i="1" s="1"/>
  <c r="I2002" i="1"/>
  <c r="M2002" i="1" s="1"/>
  <c r="J2001" i="1" a="1"/>
  <c r="J2001" i="1" s="1"/>
  <c r="I2001" i="1"/>
  <c r="M2001" i="1" s="1"/>
  <c r="M2000" i="1"/>
  <c r="J2000" i="1"/>
  <c r="J2000" i="1" a="1"/>
  <c r="I2000" i="1"/>
  <c r="J1999" i="1" a="1"/>
  <c r="J1999" i="1" s="1"/>
  <c r="I1999" i="1"/>
  <c r="M1999" i="1" s="1"/>
  <c r="J1998" i="1" a="1"/>
  <c r="J1998" i="1" s="1"/>
  <c r="I1998" i="1"/>
  <c r="M1998" i="1" s="1"/>
  <c r="J1997" i="1" a="1"/>
  <c r="J1997" i="1" s="1"/>
  <c r="I1997" i="1"/>
  <c r="M1997" i="1" s="1"/>
  <c r="J1996" i="1" a="1"/>
  <c r="J1996" i="1" s="1"/>
  <c r="I1996" i="1"/>
  <c r="M1996" i="1" s="1"/>
  <c r="J1995" i="1" a="1"/>
  <c r="J1995" i="1" s="1"/>
  <c r="I1995" i="1"/>
  <c r="M1995" i="1" s="1"/>
  <c r="J1994" i="1" a="1"/>
  <c r="J1994" i="1" s="1"/>
  <c r="I1994" i="1"/>
  <c r="M1994" i="1" s="1"/>
  <c r="J1993" i="1" a="1"/>
  <c r="J1993" i="1" s="1"/>
  <c r="I1993" i="1"/>
  <c r="M1993" i="1" s="1"/>
  <c r="J1992" i="1" a="1"/>
  <c r="J1992" i="1" s="1"/>
  <c r="I1992" i="1"/>
  <c r="M1992" i="1" s="1"/>
  <c r="J1991" i="1" a="1"/>
  <c r="J1991" i="1" s="1"/>
  <c r="I1991" i="1"/>
  <c r="M1991" i="1" s="1"/>
  <c r="J1990" i="1" a="1"/>
  <c r="J1990" i="1" s="1"/>
  <c r="I1990" i="1"/>
  <c r="M1990" i="1" s="1"/>
  <c r="J1989" i="1" a="1"/>
  <c r="J1989" i="1" s="1"/>
  <c r="I1989" i="1"/>
  <c r="M1989" i="1" s="1"/>
  <c r="J1988" i="1" a="1"/>
  <c r="J1988" i="1" s="1"/>
  <c r="I1988" i="1"/>
  <c r="M1988" i="1" s="1"/>
  <c r="J1987" i="1"/>
  <c r="J1987" i="1" a="1"/>
  <c r="I1987" i="1"/>
  <c r="M1987" i="1" s="1"/>
  <c r="J1986" i="1" a="1"/>
  <c r="J1986" i="1" s="1"/>
  <c r="I1986" i="1"/>
  <c r="M1986" i="1" s="1"/>
  <c r="J1985" i="1"/>
  <c r="J1985" i="1" a="1"/>
  <c r="I1985" i="1"/>
  <c r="M1985" i="1" s="1"/>
  <c r="J1984" i="1" a="1"/>
  <c r="J1984" i="1" s="1"/>
  <c r="I1984" i="1"/>
  <c r="M1984" i="1" s="1"/>
  <c r="J1983" i="1" a="1"/>
  <c r="J1983" i="1" s="1"/>
  <c r="I1983" i="1"/>
  <c r="M1983" i="1" s="1"/>
  <c r="J1982" i="1" a="1"/>
  <c r="J1982" i="1" s="1"/>
  <c r="I1982" i="1"/>
  <c r="M1982" i="1" s="1"/>
  <c r="J1981" i="1" a="1"/>
  <c r="J1981" i="1" s="1"/>
  <c r="I1981" i="1"/>
  <c r="M1981" i="1" s="1"/>
  <c r="J1980" i="1"/>
  <c r="J1980" i="1" a="1"/>
  <c r="I1980" i="1"/>
  <c r="M1980" i="1" s="1"/>
  <c r="J1979" i="1" a="1"/>
  <c r="J1979" i="1" s="1"/>
  <c r="I1979" i="1"/>
  <c r="M1979" i="1" s="1"/>
  <c r="J1978" i="1" a="1"/>
  <c r="J1978" i="1" s="1"/>
  <c r="I1978" i="1"/>
  <c r="M1978" i="1" s="1"/>
  <c r="M1977" i="1"/>
  <c r="J1977" i="1" a="1"/>
  <c r="J1977" i="1" s="1"/>
  <c r="I1977" i="1"/>
  <c r="J1976" i="1" a="1"/>
  <c r="J1976" i="1" s="1"/>
  <c r="I1976" i="1"/>
  <c r="M1976" i="1" s="1"/>
  <c r="J1975" i="1" a="1"/>
  <c r="J1975" i="1" s="1"/>
  <c r="I1975" i="1"/>
  <c r="M1975" i="1" s="1"/>
  <c r="M1974" i="1"/>
  <c r="J1974" i="1" a="1"/>
  <c r="J1974" i="1" s="1"/>
  <c r="I1974" i="1"/>
  <c r="J1973" i="1" a="1"/>
  <c r="J1973" i="1" s="1"/>
  <c r="I1973" i="1"/>
  <c r="M1973" i="1" s="1"/>
  <c r="J1972" i="1" a="1"/>
  <c r="J1972" i="1" s="1"/>
  <c r="I1972" i="1"/>
  <c r="M1972" i="1" s="1"/>
  <c r="J1971" i="1" a="1"/>
  <c r="J1971" i="1" s="1"/>
  <c r="I1971" i="1"/>
  <c r="M1971" i="1" s="1"/>
  <c r="J1970" i="1" a="1"/>
  <c r="J1970" i="1" s="1"/>
  <c r="I1970" i="1"/>
  <c r="M1970" i="1" s="1"/>
  <c r="J1969" i="1" a="1"/>
  <c r="J1969" i="1" s="1"/>
  <c r="I1969" i="1"/>
  <c r="M1969" i="1" s="1"/>
  <c r="J1968" i="1" a="1"/>
  <c r="J1968" i="1" s="1"/>
  <c r="I1968" i="1"/>
  <c r="M1968" i="1" s="1"/>
  <c r="J1967" i="1" a="1"/>
  <c r="J1967" i="1" s="1"/>
  <c r="I1967" i="1"/>
  <c r="M1967" i="1" s="1"/>
  <c r="J1966" i="1"/>
  <c r="J1966" i="1" a="1"/>
  <c r="I1966" i="1"/>
  <c r="M1966" i="1" s="1"/>
  <c r="J1965" i="1" a="1"/>
  <c r="J1965" i="1" s="1"/>
  <c r="I1965" i="1"/>
  <c r="M1965" i="1" s="1"/>
  <c r="J1964" i="1" a="1"/>
  <c r="J1964" i="1" s="1"/>
  <c r="I1964" i="1"/>
  <c r="M1964" i="1" s="1"/>
  <c r="J1963" i="1" a="1"/>
  <c r="J1963" i="1" s="1"/>
  <c r="I1963" i="1"/>
  <c r="M1963" i="1" s="1"/>
  <c r="J1962" i="1" a="1"/>
  <c r="J1962" i="1" s="1"/>
  <c r="I1962" i="1"/>
  <c r="M1962" i="1" s="1"/>
  <c r="J1961" i="1" a="1"/>
  <c r="J1961" i="1" s="1"/>
  <c r="I1961" i="1"/>
  <c r="M1961" i="1" s="1"/>
  <c r="J1960" i="1" a="1"/>
  <c r="J1960" i="1" s="1"/>
  <c r="I1960" i="1"/>
  <c r="M1960" i="1" s="1"/>
  <c r="J1959" i="1" a="1"/>
  <c r="J1959" i="1" s="1"/>
  <c r="I1959" i="1"/>
  <c r="M1959" i="1" s="1"/>
  <c r="J1958" i="1" a="1"/>
  <c r="J1958" i="1" s="1"/>
  <c r="I1958" i="1"/>
  <c r="M1958" i="1" s="1"/>
  <c r="J1957" i="1" a="1"/>
  <c r="J1957" i="1" s="1"/>
  <c r="I1957" i="1"/>
  <c r="M1957" i="1" s="1"/>
  <c r="J1956" i="1" a="1"/>
  <c r="J1956" i="1" s="1"/>
  <c r="I1956" i="1"/>
  <c r="M1956" i="1" s="1"/>
  <c r="J1955" i="1" a="1"/>
  <c r="J1955" i="1" s="1"/>
  <c r="I1955" i="1"/>
  <c r="M1955" i="1" s="1"/>
  <c r="J1954" i="1" a="1"/>
  <c r="J1954" i="1" s="1"/>
  <c r="I1954" i="1"/>
  <c r="M1954" i="1" s="1"/>
  <c r="J1953" i="1" a="1"/>
  <c r="J1953" i="1" s="1"/>
  <c r="I1953" i="1"/>
  <c r="M1953" i="1" s="1"/>
  <c r="J1952" i="1" a="1"/>
  <c r="J1952" i="1" s="1"/>
  <c r="I1952" i="1"/>
  <c r="M1952" i="1" s="1"/>
  <c r="J1951" i="1" a="1"/>
  <c r="J1951" i="1" s="1"/>
  <c r="I1951" i="1"/>
  <c r="M1951" i="1" s="1"/>
  <c r="J1950" i="1" a="1"/>
  <c r="J1950" i="1" s="1"/>
  <c r="I1950" i="1"/>
  <c r="M1950" i="1" s="1"/>
  <c r="J1949" i="1" a="1"/>
  <c r="J1949" i="1" s="1"/>
  <c r="I1949" i="1"/>
  <c r="M1949" i="1" s="1"/>
  <c r="J1948" i="1" a="1"/>
  <c r="J1948" i="1" s="1"/>
  <c r="I1948" i="1"/>
  <c r="M1948" i="1" s="1"/>
  <c r="J1947" i="1" a="1"/>
  <c r="J1947" i="1" s="1"/>
  <c r="I1947" i="1"/>
  <c r="M1947" i="1" s="1"/>
  <c r="J1946" i="1" a="1"/>
  <c r="J1946" i="1" s="1"/>
  <c r="I1946" i="1"/>
  <c r="M1946" i="1" s="1"/>
  <c r="J1945" i="1"/>
  <c r="J1945" i="1" a="1"/>
  <c r="I1945" i="1"/>
  <c r="M1945" i="1" s="1"/>
  <c r="J1944" i="1"/>
  <c r="J1944" i="1" a="1"/>
  <c r="I1944" i="1"/>
  <c r="M1944" i="1" s="1"/>
  <c r="J1943" i="1"/>
  <c r="J1943" i="1" a="1"/>
  <c r="I1943" i="1"/>
  <c r="M1943" i="1" s="1"/>
  <c r="J1942" i="1"/>
  <c r="J1942" i="1" a="1"/>
  <c r="I1942" i="1"/>
  <c r="M1942" i="1" s="1"/>
  <c r="J1941" i="1" a="1"/>
  <c r="J1941" i="1" s="1"/>
  <c r="I1941" i="1"/>
  <c r="M1941" i="1" s="1"/>
  <c r="J1940" i="1" a="1"/>
  <c r="J1940" i="1" s="1"/>
  <c r="I1940" i="1"/>
  <c r="M1940" i="1" s="1"/>
  <c r="J1939" i="1" a="1"/>
  <c r="J1939" i="1" s="1"/>
  <c r="I1939" i="1"/>
  <c r="M1939" i="1" s="1"/>
  <c r="M1938" i="1"/>
  <c r="J1938" i="1"/>
  <c r="J1938" i="1" a="1"/>
  <c r="I1938" i="1"/>
  <c r="J1937" i="1" a="1"/>
  <c r="J1937" i="1" s="1"/>
  <c r="I1937" i="1"/>
  <c r="M1937" i="1" s="1"/>
  <c r="J1936" i="1" a="1"/>
  <c r="J1936" i="1" s="1"/>
  <c r="I1936" i="1"/>
  <c r="M1936" i="1" s="1"/>
  <c r="J1935" i="1" a="1"/>
  <c r="J1935" i="1" s="1"/>
  <c r="I1935" i="1"/>
  <c r="M1935" i="1" s="1"/>
  <c r="J1934" i="1" a="1"/>
  <c r="J1934" i="1" s="1"/>
  <c r="I1934" i="1"/>
  <c r="M1934" i="1" s="1"/>
  <c r="J1933" i="1" a="1"/>
  <c r="J1933" i="1" s="1"/>
  <c r="I1933" i="1"/>
  <c r="M1933" i="1" s="1"/>
  <c r="J1932" i="1" a="1"/>
  <c r="J1932" i="1" s="1"/>
  <c r="I1932" i="1"/>
  <c r="M1932" i="1" s="1"/>
  <c r="J1931" i="1" a="1"/>
  <c r="J1931" i="1" s="1"/>
  <c r="I1931" i="1"/>
  <c r="M1931" i="1" s="1"/>
  <c r="J1930" i="1" a="1"/>
  <c r="J1930" i="1" s="1"/>
  <c r="I1930" i="1"/>
  <c r="M1930" i="1" s="1"/>
  <c r="J1929" i="1" a="1"/>
  <c r="J1929" i="1" s="1"/>
  <c r="I1929" i="1"/>
  <c r="M1929" i="1" s="1"/>
  <c r="J1928" i="1"/>
  <c r="J1928" i="1" a="1"/>
  <c r="I1928" i="1"/>
  <c r="M1928" i="1" s="1"/>
  <c r="J1927" i="1" a="1"/>
  <c r="J1927" i="1" s="1"/>
  <c r="I1927" i="1"/>
  <c r="M1927" i="1" s="1"/>
  <c r="J1926" i="1"/>
  <c r="J1926" i="1" a="1"/>
  <c r="I1926" i="1"/>
  <c r="M1926" i="1" s="1"/>
  <c r="J1925" i="1" a="1"/>
  <c r="J1925" i="1" s="1"/>
  <c r="I1925" i="1"/>
  <c r="M1925" i="1" s="1"/>
  <c r="J1924" i="1"/>
  <c r="J1924" i="1" a="1"/>
  <c r="I1924" i="1"/>
  <c r="M1924" i="1" s="1"/>
  <c r="J1923" i="1" a="1"/>
  <c r="J1923" i="1" s="1"/>
  <c r="I1923" i="1"/>
  <c r="M1923" i="1" s="1"/>
  <c r="J1922" i="1" a="1"/>
  <c r="J1922" i="1" s="1"/>
  <c r="I1922" i="1"/>
  <c r="M1922" i="1" s="1"/>
  <c r="J1921" i="1"/>
  <c r="J1921" i="1" a="1"/>
  <c r="I1921" i="1"/>
  <c r="M1921" i="1" s="1"/>
  <c r="M1920" i="1"/>
  <c r="J1920" i="1" a="1"/>
  <c r="J1920" i="1" s="1"/>
  <c r="I1920" i="1"/>
  <c r="J1919" i="1" a="1"/>
  <c r="J1919" i="1" s="1"/>
  <c r="I1919" i="1"/>
  <c r="M1919" i="1" s="1"/>
  <c r="J1918" i="1" a="1"/>
  <c r="J1918" i="1" s="1"/>
  <c r="I1918" i="1"/>
  <c r="M1918" i="1" s="1"/>
  <c r="J1917" i="1" a="1"/>
  <c r="J1917" i="1" s="1"/>
  <c r="I1917" i="1"/>
  <c r="M1917" i="1" s="1"/>
  <c r="J1916" i="1" a="1"/>
  <c r="J1916" i="1" s="1"/>
  <c r="I1916" i="1"/>
  <c r="M1916" i="1" s="1"/>
  <c r="J1915" i="1" a="1"/>
  <c r="J1915" i="1" s="1"/>
  <c r="I1915" i="1"/>
  <c r="M1915" i="1" s="1"/>
  <c r="J1914" i="1" a="1"/>
  <c r="J1914" i="1" s="1"/>
  <c r="I1914" i="1"/>
  <c r="M1914" i="1" s="1"/>
  <c r="J1913" i="1" a="1"/>
  <c r="J1913" i="1" s="1"/>
  <c r="I1913" i="1"/>
  <c r="M1913" i="1" s="1"/>
  <c r="J1912" i="1" a="1"/>
  <c r="J1912" i="1" s="1"/>
  <c r="I1912" i="1"/>
  <c r="M1912" i="1" s="1"/>
  <c r="J1911" i="1" a="1"/>
  <c r="J1911" i="1" s="1"/>
  <c r="I1911" i="1"/>
  <c r="M1911" i="1" s="1"/>
  <c r="J1910" i="1" a="1"/>
  <c r="J1910" i="1" s="1"/>
  <c r="I1910" i="1"/>
  <c r="M1910" i="1" s="1"/>
  <c r="J1909" i="1"/>
  <c r="J1909" i="1" a="1"/>
  <c r="I1909" i="1"/>
  <c r="M1909" i="1" s="1"/>
  <c r="J1908" i="1" a="1"/>
  <c r="J1908" i="1" s="1"/>
  <c r="I1908" i="1"/>
  <c r="M1908" i="1" s="1"/>
  <c r="J1907" i="1" a="1"/>
  <c r="J1907" i="1" s="1"/>
  <c r="I1907" i="1"/>
  <c r="M1907" i="1" s="1"/>
  <c r="J1906" i="1" a="1"/>
  <c r="J1906" i="1" s="1"/>
  <c r="I1906" i="1"/>
  <c r="M1906" i="1" s="1"/>
  <c r="J1905" i="1" a="1"/>
  <c r="J1905" i="1" s="1"/>
  <c r="I1905" i="1"/>
  <c r="M1905" i="1" s="1"/>
  <c r="J1904" i="1" a="1"/>
  <c r="J1904" i="1" s="1"/>
  <c r="I1904" i="1"/>
  <c r="M1904" i="1" s="1"/>
  <c r="J1903" i="1" a="1"/>
  <c r="J1903" i="1" s="1"/>
  <c r="I1903" i="1"/>
  <c r="M1903" i="1" s="1"/>
  <c r="M1902" i="1"/>
  <c r="J1902" i="1" a="1"/>
  <c r="J1902" i="1" s="1"/>
  <c r="I1902" i="1"/>
  <c r="J1901" i="1" a="1"/>
  <c r="J1901" i="1" s="1"/>
  <c r="I1901" i="1"/>
  <c r="M1901" i="1" s="1"/>
  <c r="J1900" i="1" a="1"/>
  <c r="J1900" i="1" s="1"/>
  <c r="I1900" i="1"/>
  <c r="M1900" i="1" s="1"/>
  <c r="J1899" i="1" a="1"/>
  <c r="J1899" i="1" s="1"/>
  <c r="I1899" i="1"/>
  <c r="M1899" i="1" s="1"/>
  <c r="J1898" i="1" a="1"/>
  <c r="J1898" i="1" s="1"/>
  <c r="I1898" i="1"/>
  <c r="M1898" i="1" s="1"/>
  <c r="J1897" i="1" a="1"/>
  <c r="J1897" i="1" s="1"/>
  <c r="I1897" i="1"/>
  <c r="M1897" i="1" s="1"/>
  <c r="J1896" i="1" a="1"/>
  <c r="J1896" i="1" s="1"/>
  <c r="I1896" i="1"/>
  <c r="M1896" i="1" s="1"/>
  <c r="M1895" i="1"/>
  <c r="J1895" i="1" a="1"/>
  <c r="J1895" i="1" s="1"/>
  <c r="I1895" i="1"/>
  <c r="J1894" i="1"/>
  <c r="J1894" i="1" a="1"/>
  <c r="I1894" i="1"/>
  <c r="M1894" i="1" s="1"/>
  <c r="J1893" i="1" a="1"/>
  <c r="J1893" i="1" s="1"/>
  <c r="I1893" i="1"/>
  <c r="M1893" i="1" s="1"/>
  <c r="J1892" i="1" a="1"/>
  <c r="J1892" i="1" s="1"/>
  <c r="I1892" i="1"/>
  <c r="M1892" i="1" s="1"/>
  <c r="J1891" i="1" a="1"/>
  <c r="J1891" i="1" s="1"/>
  <c r="I1891" i="1"/>
  <c r="M1891" i="1" s="1"/>
  <c r="J1890" i="1" a="1"/>
  <c r="J1890" i="1" s="1"/>
  <c r="I1890" i="1"/>
  <c r="M1890" i="1" s="1"/>
  <c r="J1889" i="1" a="1"/>
  <c r="J1889" i="1" s="1"/>
  <c r="I1889" i="1"/>
  <c r="M1889" i="1" s="1"/>
  <c r="J1888" i="1" a="1"/>
  <c r="J1888" i="1" s="1"/>
  <c r="I1888" i="1"/>
  <c r="M1888" i="1" s="1"/>
  <c r="M1887" i="1"/>
  <c r="J1887" i="1" a="1"/>
  <c r="J1887" i="1" s="1"/>
  <c r="I1887" i="1"/>
  <c r="J1886" i="1" a="1"/>
  <c r="J1886" i="1" s="1"/>
  <c r="I1886" i="1"/>
  <c r="M1886" i="1" s="1"/>
  <c r="J1885" i="1" a="1"/>
  <c r="J1885" i="1" s="1"/>
  <c r="I1885" i="1"/>
  <c r="M1885" i="1" s="1"/>
  <c r="J1884" i="1" a="1"/>
  <c r="J1884" i="1" s="1"/>
  <c r="I1884" i="1"/>
  <c r="M1884" i="1" s="1"/>
  <c r="J1883" i="1" a="1"/>
  <c r="J1883" i="1" s="1"/>
  <c r="I1883" i="1"/>
  <c r="M1883" i="1" s="1"/>
  <c r="J1882" i="1" a="1"/>
  <c r="J1882" i="1" s="1"/>
  <c r="I1882" i="1"/>
  <c r="M1882" i="1" s="1"/>
  <c r="J1881" i="1" a="1"/>
  <c r="J1881" i="1" s="1"/>
  <c r="I1881" i="1"/>
  <c r="M1881" i="1" s="1"/>
  <c r="M1880" i="1"/>
  <c r="J1880" i="1" a="1"/>
  <c r="J1880" i="1" s="1"/>
  <c r="I1880" i="1"/>
  <c r="J1879" i="1"/>
  <c r="J1879" i="1" a="1"/>
  <c r="I1879" i="1"/>
  <c r="M1879" i="1" s="1"/>
  <c r="J1878" i="1" a="1"/>
  <c r="J1878" i="1" s="1"/>
  <c r="I1878" i="1"/>
  <c r="M1878" i="1" s="1"/>
  <c r="J1877" i="1" a="1"/>
  <c r="J1877" i="1" s="1"/>
  <c r="I1877" i="1"/>
  <c r="M1877" i="1" s="1"/>
  <c r="J1876" i="1" a="1"/>
  <c r="J1876" i="1" s="1"/>
  <c r="I1876" i="1"/>
  <c r="M1876" i="1" s="1"/>
  <c r="J1875" i="1" a="1"/>
  <c r="J1875" i="1" s="1"/>
  <c r="I1875" i="1"/>
  <c r="M1875" i="1" s="1"/>
  <c r="J1874" i="1" a="1"/>
  <c r="J1874" i="1" s="1"/>
  <c r="I1874" i="1"/>
  <c r="M1874" i="1" s="1"/>
  <c r="J1873" i="1" a="1"/>
  <c r="J1873" i="1" s="1"/>
  <c r="I1873" i="1"/>
  <c r="M1873" i="1" s="1"/>
  <c r="J1872" i="1" a="1"/>
  <c r="J1872" i="1" s="1"/>
  <c r="I1872" i="1"/>
  <c r="M1872" i="1" s="1"/>
  <c r="J1871" i="1" a="1"/>
  <c r="J1871" i="1" s="1"/>
  <c r="I1871" i="1"/>
  <c r="M1871" i="1" s="1"/>
  <c r="J1870" i="1"/>
  <c r="J1870" i="1" a="1"/>
  <c r="I1870" i="1"/>
  <c r="M1870" i="1" s="1"/>
  <c r="J1869" i="1" a="1"/>
  <c r="J1869" i="1" s="1"/>
  <c r="I1869" i="1"/>
  <c r="M1869" i="1" s="1"/>
  <c r="J1868" i="1" a="1"/>
  <c r="J1868" i="1" s="1"/>
  <c r="I1868" i="1"/>
  <c r="M1868" i="1" s="1"/>
  <c r="J1867" i="1" a="1"/>
  <c r="J1867" i="1" s="1"/>
  <c r="I1867" i="1"/>
  <c r="M1867" i="1" s="1"/>
  <c r="M1866" i="1"/>
  <c r="J1866" i="1" a="1"/>
  <c r="J1866" i="1" s="1"/>
  <c r="I1866" i="1"/>
  <c r="J1865" i="1" a="1"/>
  <c r="J1865" i="1" s="1"/>
  <c r="I1865" i="1"/>
  <c r="M1865" i="1" s="1"/>
  <c r="J1864" i="1" a="1"/>
  <c r="J1864" i="1" s="1"/>
  <c r="I1864" i="1"/>
  <c r="M1864" i="1" s="1"/>
  <c r="J1863" i="1" a="1"/>
  <c r="J1863" i="1" s="1"/>
  <c r="I1863" i="1"/>
  <c r="M1863" i="1" s="1"/>
  <c r="J1862" i="1"/>
  <c r="J1862" i="1" a="1"/>
  <c r="I1862" i="1"/>
  <c r="M1862" i="1" s="1"/>
  <c r="J1861" i="1" a="1"/>
  <c r="J1861" i="1" s="1"/>
  <c r="I1861" i="1"/>
  <c r="M1861" i="1" s="1"/>
  <c r="J1860" i="1" a="1"/>
  <c r="J1860" i="1" s="1"/>
  <c r="I1860" i="1"/>
  <c r="M1860" i="1" s="1"/>
  <c r="M1859" i="1"/>
  <c r="J1859" i="1" a="1"/>
  <c r="J1859" i="1" s="1"/>
  <c r="I1859" i="1"/>
  <c r="J1858" i="1" a="1"/>
  <c r="J1858" i="1" s="1"/>
  <c r="I1858" i="1"/>
  <c r="M1858" i="1" s="1"/>
  <c r="J1857" i="1" a="1"/>
  <c r="J1857" i="1" s="1"/>
  <c r="I1857" i="1"/>
  <c r="M1857" i="1" s="1"/>
  <c r="J1856" i="1" a="1"/>
  <c r="J1856" i="1" s="1"/>
  <c r="I1856" i="1"/>
  <c r="M1856" i="1" s="1"/>
  <c r="J1855" i="1" a="1"/>
  <c r="J1855" i="1" s="1"/>
  <c r="I1855" i="1"/>
  <c r="M1855" i="1" s="1"/>
  <c r="J1854" i="1" a="1"/>
  <c r="J1854" i="1" s="1"/>
  <c r="I1854" i="1"/>
  <c r="M1854" i="1" s="1"/>
  <c r="J1853" i="1" a="1"/>
  <c r="J1853" i="1" s="1"/>
  <c r="I1853" i="1"/>
  <c r="M1853" i="1" s="1"/>
  <c r="J1852" i="1" a="1"/>
  <c r="J1852" i="1" s="1"/>
  <c r="I1852" i="1"/>
  <c r="M1852" i="1" s="1"/>
  <c r="J1851" i="1" a="1"/>
  <c r="J1851" i="1" s="1"/>
  <c r="I1851" i="1"/>
  <c r="M1851" i="1" s="1"/>
  <c r="M1850" i="1"/>
  <c r="J1850" i="1" a="1"/>
  <c r="J1850" i="1" s="1"/>
  <c r="I1850" i="1"/>
  <c r="J1849" i="1" a="1"/>
  <c r="J1849" i="1" s="1"/>
  <c r="I1849" i="1"/>
  <c r="M1849" i="1" s="1"/>
  <c r="J1848" i="1" a="1"/>
  <c r="J1848" i="1" s="1"/>
  <c r="I1848" i="1"/>
  <c r="M1848" i="1" s="1"/>
  <c r="J1847" i="1"/>
  <c r="J1847" i="1" a="1"/>
  <c r="I1847" i="1"/>
  <c r="M1847" i="1" s="1"/>
  <c r="J1846" i="1"/>
  <c r="J1846" i="1" a="1"/>
  <c r="I1846" i="1"/>
  <c r="M1846" i="1" s="1"/>
  <c r="J1845" i="1" a="1"/>
  <c r="J1845" i="1" s="1"/>
  <c r="I1845" i="1"/>
  <c r="M1845" i="1" s="1"/>
  <c r="J1844" i="1" a="1"/>
  <c r="J1844" i="1" s="1"/>
  <c r="I1844" i="1"/>
  <c r="M1844" i="1" s="1"/>
  <c r="J1843" i="1" a="1"/>
  <c r="J1843" i="1" s="1"/>
  <c r="I1843" i="1"/>
  <c r="M1843" i="1" s="1"/>
  <c r="M1842" i="1"/>
  <c r="J1842" i="1" a="1"/>
  <c r="J1842" i="1" s="1"/>
  <c r="I1842" i="1"/>
  <c r="J1841" i="1" a="1"/>
  <c r="J1841" i="1" s="1"/>
  <c r="I1841" i="1"/>
  <c r="M1841" i="1" s="1"/>
  <c r="J1840" i="1" a="1"/>
  <c r="J1840" i="1" s="1"/>
  <c r="I1840" i="1"/>
  <c r="M1840" i="1" s="1"/>
  <c r="J1839" i="1" a="1"/>
  <c r="J1839" i="1" s="1"/>
  <c r="I1839" i="1"/>
  <c r="M1839" i="1" s="1"/>
  <c r="J1838" i="1"/>
  <c r="J1838" i="1" a="1"/>
  <c r="I1838" i="1"/>
  <c r="M1838" i="1" s="1"/>
  <c r="J1837" i="1" a="1"/>
  <c r="J1837" i="1" s="1"/>
  <c r="I1837" i="1"/>
  <c r="M1837" i="1" s="1"/>
  <c r="J1836" i="1" a="1"/>
  <c r="J1836" i="1" s="1"/>
  <c r="I1836" i="1"/>
  <c r="M1836" i="1" s="1"/>
  <c r="J1835" i="1" a="1"/>
  <c r="J1835" i="1" s="1"/>
  <c r="I1835" i="1"/>
  <c r="M1835" i="1" s="1"/>
  <c r="J1834" i="1" a="1"/>
  <c r="J1834" i="1" s="1"/>
  <c r="I1834" i="1"/>
  <c r="M1834" i="1" s="1"/>
  <c r="J1833" i="1" a="1"/>
  <c r="J1833" i="1" s="1"/>
  <c r="I1833" i="1"/>
  <c r="M1833" i="1" s="1"/>
  <c r="J1832" i="1" a="1"/>
  <c r="J1832" i="1" s="1"/>
  <c r="I1832" i="1"/>
  <c r="M1832" i="1" s="1"/>
  <c r="J1831" i="1" a="1"/>
  <c r="J1831" i="1" s="1"/>
  <c r="I1831" i="1"/>
  <c r="M1831" i="1" s="1"/>
  <c r="J1830" i="1" a="1"/>
  <c r="J1830" i="1" s="1"/>
  <c r="I1830" i="1"/>
  <c r="M1830" i="1" s="1"/>
  <c r="J1829" i="1" a="1"/>
  <c r="J1829" i="1" s="1"/>
  <c r="I1829" i="1"/>
  <c r="M1829" i="1" s="1"/>
  <c r="J1828" i="1" a="1"/>
  <c r="J1828" i="1" s="1"/>
  <c r="I1828" i="1"/>
  <c r="M1828" i="1" s="1"/>
  <c r="J1827" i="1" a="1"/>
  <c r="J1827" i="1" s="1"/>
  <c r="I1827" i="1"/>
  <c r="M1827" i="1" s="1"/>
  <c r="J1826" i="1" a="1"/>
  <c r="J1826" i="1" s="1"/>
  <c r="I1826" i="1"/>
  <c r="M1826" i="1" s="1"/>
  <c r="J1825" i="1" a="1"/>
  <c r="J1825" i="1" s="1"/>
  <c r="I1825" i="1"/>
  <c r="M1825" i="1" s="1"/>
  <c r="J1824" i="1"/>
  <c r="J1824" i="1" a="1"/>
  <c r="I1824" i="1"/>
  <c r="M1824" i="1" s="1"/>
  <c r="J1823" i="1"/>
  <c r="J1823" i="1" a="1"/>
  <c r="I1823" i="1"/>
  <c r="M1823" i="1" s="1"/>
  <c r="J1822" i="1" a="1"/>
  <c r="J1822" i="1" s="1"/>
  <c r="I1822" i="1"/>
  <c r="M1822" i="1" s="1"/>
  <c r="J1821" i="1" a="1"/>
  <c r="J1821" i="1" s="1"/>
  <c r="I1821" i="1"/>
  <c r="M1821" i="1" s="1"/>
  <c r="J1820" i="1" a="1"/>
  <c r="J1820" i="1" s="1"/>
  <c r="I1820" i="1"/>
  <c r="M1820" i="1" s="1"/>
  <c r="J1819" i="1" a="1"/>
  <c r="J1819" i="1" s="1"/>
  <c r="I1819" i="1"/>
  <c r="M1819" i="1" s="1"/>
  <c r="J1818" i="1" a="1"/>
  <c r="J1818" i="1" s="1"/>
  <c r="I1818" i="1"/>
  <c r="M1818" i="1" s="1"/>
  <c r="M1817" i="1"/>
  <c r="J1817" i="1" a="1"/>
  <c r="J1817" i="1" s="1"/>
  <c r="I1817" i="1"/>
  <c r="J1816" i="1" a="1"/>
  <c r="J1816" i="1" s="1"/>
  <c r="I1816" i="1"/>
  <c r="M1816" i="1" s="1"/>
  <c r="J1815" i="1" a="1"/>
  <c r="J1815" i="1" s="1"/>
  <c r="I1815" i="1"/>
  <c r="M1815" i="1" s="1"/>
  <c r="J1814" i="1" a="1"/>
  <c r="J1814" i="1" s="1"/>
  <c r="I1814" i="1"/>
  <c r="M1814" i="1" s="1"/>
  <c r="J1813" i="1"/>
  <c r="J1813" i="1" a="1"/>
  <c r="I1813" i="1"/>
  <c r="M1813" i="1" s="1"/>
  <c r="J1812" i="1" a="1"/>
  <c r="J1812" i="1" s="1"/>
  <c r="I1812" i="1"/>
  <c r="M1812" i="1" s="1"/>
  <c r="J1811" i="1"/>
  <c r="J1811" i="1" a="1"/>
  <c r="I1811" i="1"/>
  <c r="M1811" i="1" s="1"/>
  <c r="J1810" i="1" a="1"/>
  <c r="J1810" i="1" s="1"/>
  <c r="I1810" i="1"/>
  <c r="M1810" i="1" s="1"/>
  <c r="J1809" i="1" a="1"/>
  <c r="J1809" i="1" s="1"/>
  <c r="I1809" i="1"/>
  <c r="M1809" i="1" s="1"/>
  <c r="J1808" i="1"/>
  <c r="J1808" i="1" a="1"/>
  <c r="I1808" i="1"/>
  <c r="M1808" i="1" s="1"/>
  <c r="J1807" i="1"/>
  <c r="J1807" i="1" a="1"/>
  <c r="I1807" i="1"/>
  <c r="M1807" i="1" s="1"/>
  <c r="J1806" i="1" a="1"/>
  <c r="J1806" i="1" s="1"/>
  <c r="I1806" i="1"/>
  <c r="M1806" i="1" s="1"/>
  <c r="J1805" i="1" a="1"/>
  <c r="J1805" i="1" s="1"/>
  <c r="I1805" i="1"/>
  <c r="M1805" i="1" s="1"/>
  <c r="M1804" i="1"/>
  <c r="J1804" i="1" a="1"/>
  <c r="J1804" i="1" s="1"/>
  <c r="I1804" i="1"/>
  <c r="J1803" i="1"/>
  <c r="J1803" i="1" a="1"/>
  <c r="I1803" i="1"/>
  <c r="M1803" i="1" s="1"/>
  <c r="M1802" i="1"/>
  <c r="J1802" i="1" a="1"/>
  <c r="J1802" i="1" s="1"/>
  <c r="I1802" i="1"/>
  <c r="M1801" i="1"/>
  <c r="J1801" i="1" a="1"/>
  <c r="J1801" i="1" s="1"/>
  <c r="I1801" i="1"/>
  <c r="J1800" i="1" a="1"/>
  <c r="J1800" i="1" s="1"/>
  <c r="I1800" i="1"/>
  <c r="M1800" i="1" s="1"/>
  <c r="J1799" i="1" a="1"/>
  <c r="J1799" i="1" s="1"/>
  <c r="I1799" i="1"/>
  <c r="M1799" i="1" s="1"/>
  <c r="J1798" i="1" a="1"/>
  <c r="J1798" i="1" s="1"/>
  <c r="I1798" i="1"/>
  <c r="M1798" i="1" s="1"/>
  <c r="J1797" i="1" a="1"/>
  <c r="J1797" i="1" s="1"/>
  <c r="I1797" i="1"/>
  <c r="M1797" i="1" s="1"/>
  <c r="M1796" i="1"/>
  <c r="J1796" i="1" a="1"/>
  <c r="J1796" i="1" s="1"/>
  <c r="I1796" i="1"/>
  <c r="J1795" i="1" a="1"/>
  <c r="J1795" i="1" s="1"/>
  <c r="I1795" i="1"/>
  <c r="M1795" i="1" s="1"/>
  <c r="J1794" i="1" a="1"/>
  <c r="J1794" i="1" s="1"/>
  <c r="I1794" i="1"/>
  <c r="M1794" i="1" s="1"/>
  <c r="J1793" i="1" a="1"/>
  <c r="J1793" i="1" s="1"/>
  <c r="I1793" i="1"/>
  <c r="M1793" i="1" s="1"/>
  <c r="J1792" i="1" a="1"/>
  <c r="J1792" i="1" s="1"/>
  <c r="I1792" i="1"/>
  <c r="M1792" i="1" s="1"/>
  <c r="J1791" i="1" a="1"/>
  <c r="J1791" i="1" s="1"/>
  <c r="I1791" i="1"/>
  <c r="M1791" i="1" s="1"/>
  <c r="J1790" i="1" a="1"/>
  <c r="J1790" i="1" s="1"/>
  <c r="I1790" i="1"/>
  <c r="M1790" i="1" s="1"/>
  <c r="J1789" i="1" a="1"/>
  <c r="J1789" i="1" s="1"/>
  <c r="I1789" i="1"/>
  <c r="M1789" i="1" s="1"/>
  <c r="J1788" i="1"/>
  <c r="J1788" i="1" a="1"/>
  <c r="I1788" i="1"/>
  <c r="M1788" i="1" s="1"/>
  <c r="J1787" i="1" a="1"/>
  <c r="J1787" i="1" s="1"/>
  <c r="I1787" i="1"/>
  <c r="M1787" i="1" s="1"/>
  <c r="J1786" i="1" a="1"/>
  <c r="J1786" i="1" s="1"/>
  <c r="I1786" i="1"/>
  <c r="M1786" i="1" s="1"/>
  <c r="M1785" i="1"/>
  <c r="J1785" i="1" a="1"/>
  <c r="J1785" i="1" s="1"/>
  <c r="I1785" i="1"/>
  <c r="J1784" i="1"/>
  <c r="J1784" i="1" a="1"/>
  <c r="I1784" i="1"/>
  <c r="M1784" i="1" s="1"/>
  <c r="M1783" i="1"/>
  <c r="J1783" i="1" a="1"/>
  <c r="J1783" i="1" s="1"/>
  <c r="I1783" i="1"/>
  <c r="J1782" i="1" a="1"/>
  <c r="J1782" i="1" s="1"/>
  <c r="I1782" i="1"/>
  <c r="M1782" i="1" s="1"/>
  <c r="M1781" i="1"/>
  <c r="J1781" i="1"/>
  <c r="J1781" i="1" a="1"/>
  <c r="I1781" i="1"/>
  <c r="J1780" i="1" a="1"/>
  <c r="J1780" i="1" s="1"/>
  <c r="I1780" i="1"/>
  <c r="M1780" i="1" s="1"/>
  <c r="M1779" i="1"/>
  <c r="J1779" i="1"/>
  <c r="J1779" i="1" a="1"/>
  <c r="I1779" i="1"/>
  <c r="J1778" i="1" a="1"/>
  <c r="J1778" i="1" s="1"/>
  <c r="I1778" i="1"/>
  <c r="M1778" i="1" s="1"/>
  <c r="J1777" i="1"/>
  <c r="J1777" i="1" a="1"/>
  <c r="I1777" i="1"/>
  <c r="M1777" i="1" s="1"/>
  <c r="J1776" i="1" a="1"/>
  <c r="J1776" i="1" s="1"/>
  <c r="I1776" i="1"/>
  <c r="M1776" i="1" s="1"/>
  <c r="J1775" i="1"/>
  <c r="J1775" i="1" a="1"/>
  <c r="I1775" i="1"/>
  <c r="M1775" i="1" s="1"/>
  <c r="M1774" i="1"/>
  <c r="J1774" i="1" a="1"/>
  <c r="J1774" i="1" s="1"/>
  <c r="I1774" i="1"/>
  <c r="J1773" i="1" a="1"/>
  <c r="J1773" i="1" s="1"/>
  <c r="I1773" i="1"/>
  <c r="M1773" i="1" s="1"/>
  <c r="J1772" i="1" a="1"/>
  <c r="J1772" i="1" s="1"/>
  <c r="I1772" i="1"/>
  <c r="M1772" i="1" s="1"/>
  <c r="J1771" i="1"/>
  <c r="J1771" i="1" a="1"/>
  <c r="I1771" i="1"/>
  <c r="M1771" i="1" s="1"/>
  <c r="J1770" i="1" a="1"/>
  <c r="J1770" i="1" s="1"/>
  <c r="I1770" i="1"/>
  <c r="M1770" i="1" s="1"/>
  <c r="M1769" i="1"/>
  <c r="J1769" i="1" a="1"/>
  <c r="J1769" i="1" s="1"/>
  <c r="I1769" i="1"/>
  <c r="J1768" i="1" a="1"/>
  <c r="J1768" i="1" s="1"/>
  <c r="I1768" i="1"/>
  <c r="M1768" i="1" s="1"/>
  <c r="J1767" i="1" a="1"/>
  <c r="J1767" i="1" s="1"/>
  <c r="I1767" i="1"/>
  <c r="M1767" i="1" s="1"/>
  <c r="M1766" i="1"/>
  <c r="J1766" i="1" a="1"/>
  <c r="J1766" i="1" s="1"/>
  <c r="I1766" i="1"/>
  <c r="J1765" i="1" a="1"/>
  <c r="J1765" i="1" s="1"/>
  <c r="I1765" i="1"/>
  <c r="M1765" i="1" s="1"/>
  <c r="J1764" i="1" a="1"/>
  <c r="J1764" i="1" s="1"/>
  <c r="I1764" i="1"/>
  <c r="M1764" i="1" s="1"/>
  <c r="J1763" i="1" a="1"/>
  <c r="J1763" i="1" s="1"/>
  <c r="I1763" i="1"/>
  <c r="M1763" i="1" s="1"/>
  <c r="J1762" i="1" a="1"/>
  <c r="J1762" i="1" s="1"/>
  <c r="I1762" i="1"/>
  <c r="M1762" i="1" s="1"/>
  <c r="J1761" i="1" a="1"/>
  <c r="J1761" i="1" s="1"/>
  <c r="I1761" i="1"/>
  <c r="M1761" i="1" s="1"/>
  <c r="J1760" i="1" a="1"/>
  <c r="J1760" i="1" s="1"/>
  <c r="I1760" i="1"/>
  <c r="M1760" i="1" s="1"/>
  <c r="J1759" i="1" a="1"/>
  <c r="J1759" i="1" s="1"/>
  <c r="I1759" i="1"/>
  <c r="M1759" i="1" s="1"/>
  <c r="M1758" i="1"/>
  <c r="J1758" i="1" a="1"/>
  <c r="J1758" i="1" s="1"/>
  <c r="I1758" i="1"/>
  <c r="J1757" i="1"/>
  <c r="J1757" i="1" a="1"/>
  <c r="I1757" i="1"/>
  <c r="M1757" i="1" s="1"/>
  <c r="J1756" i="1" a="1"/>
  <c r="J1756" i="1" s="1"/>
  <c r="I1756" i="1"/>
  <c r="M1756" i="1" s="1"/>
  <c r="J1755" i="1" a="1"/>
  <c r="J1755" i="1" s="1"/>
  <c r="I1755" i="1"/>
  <c r="M1755" i="1" s="1"/>
  <c r="J1754" i="1" a="1"/>
  <c r="J1754" i="1" s="1"/>
  <c r="I1754" i="1"/>
  <c r="M1754" i="1" s="1"/>
  <c r="J1753" i="1" a="1"/>
  <c r="J1753" i="1" s="1"/>
  <c r="I1753" i="1"/>
  <c r="M1753" i="1" s="1"/>
  <c r="J1752" i="1" a="1"/>
  <c r="J1752" i="1" s="1"/>
  <c r="I1752" i="1"/>
  <c r="M1752" i="1" s="1"/>
  <c r="J1751" i="1" a="1"/>
  <c r="J1751" i="1" s="1"/>
  <c r="I1751" i="1"/>
  <c r="M1751" i="1" s="1"/>
  <c r="M1750" i="1"/>
  <c r="J1750" i="1" a="1"/>
  <c r="J1750" i="1" s="1"/>
  <c r="I1750" i="1"/>
  <c r="M1749" i="1"/>
  <c r="J1749" i="1" a="1"/>
  <c r="J1749" i="1" s="1"/>
  <c r="I1749" i="1"/>
  <c r="J1748" i="1" a="1"/>
  <c r="J1748" i="1" s="1"/>
  <c r="I1748" i="1"/>
  <c r="M1748" i="1" s="1"/>
  <c r="M1747" i="1"/>
  <c r="J1747" i="1" a="1"/>
  <c r="J1747" i="1" s="1"/>
  <c r="I1747" i="1"/>
  <c r="J1746" i="1" a="1"/>
  <c r="J1746" i="1" s="1"/>
  <c r="I1746" i="1"/>
  <c r="M1746" i="1" s="1"/>
  <c r="J1745" i="1"/>
  <c r="J1745" i="1" a="1"/>
  <c r="I1745" i="1"/>
  <c r="M1745" i="1" s="1"/>
  <c r="J1744" i="1" a="1"/>
  <c r="J1744" i="1" s="1"/>
  <c r="I1744" i="1"/>
  <c r="M1744" i="1" s="1"/>
  <c r="J1743" i="1" a="1"/>
  <c r="J1743" i="1" s="1"/>
  <c r="I1743" i="1"/>
  <c r="M1743" i="1" s="1"/>
  <c r="M1742" i="1"/>
  <c r="J1742" i="1" a="1"/>
  <c r="J1742" i="1" s="1"/>
  <c r="I1742" i="1"/>
  <c r="J1741" i="1" a="1"/>
  <c r="J1741" i="1" s="1"/>
  <c r="I1741" i="1"/>
  <c r="M1741" i="1" s="1"/>
  <c r="J1740" i="1" a="1"/>
  <c r="J1740" i="1" s="1"/>
  <c r="I1740" i="1"/>
  <c r="M1740" i="1" s="1"/>
  <c r="J1739" i="1" a="1"/>
  <c r="J1739" i="1" s="1"/>
  <c r="I1739" i="1"/>
  <c r="M1739" i="1" s="1"/>
  <c r="J1738" i="1" a="1"/>
  <c r="J1738" i="1" s="1"/>
  <c r="I1738" i="1"/>
  <c r="M1738" i="1" s="1"/>
  <c r="J1737" i="1" a="1"/>
  <c r="J1737" i="1" s="1"/>
  <c r="I1737" i="1"/>
  <c r="M1737" i="1" s="1"/>
  <c r="J1736" i="1" a="1"/>
  <c r="J1736" i="1" s="1"/>
  <c r="I1736" i="1"/>
  <c r="M1736" i="1" s="1"/>
  <c r="J1735" i="1" a="1"/>
  <c r="J1735" i="1" s="1"/>
  <c r="I1735" i="1"/>
  <c r="M1735" i="1" s="1"/>
  <c r="J1734" i="1" a="1"/>
  <c r="J1734" i="1" s="1"/>
  <c r="I1734" i="1"/>
  <c r="M1734" i="1" s="1"/>
  <c r="J1733" i="1" a="1"/>
  <c r="J1733" i="1" s="1"/>
  <c r="I1733" i="1"/>
  <c r="M1733" i="1" s="1"/>
  <c r="M1732" i="1"/>
  <c r="J1732" i="1" a="1"/>
  <c r="J1732" i="1" s="1"/>
  <c r="I1732" i="1"/>
  <c r="M1731" i="1"/>
  <c r="J1731" i="1" a="1"/>
  <c r="J1731" i="1" s="1"/>
  <c r="I1731" i="1"/>
  <c r="J1730" i="1" a="1"/>
  <c r="J1730" i="1" s="1"/>
  <c r="I1730" i="1"/>
  <c r="M1730" i="1" s="1"/>
  <c r="J1729" i="1" a="1"/>
  <c r="J1729" i="1" s="1"/>
  <c r="I1729" i="1"/>
  <c r="M1729" i="1" s="1"/>
  <c r="J1728" i="1" a="1"/>
  <c r="J1728" i="1" s="1"/>
  <c r="I1728" i="1"/>
  <c r="M1728" i="1" s="1"/>
  <c r="J1727" i="1" a="1"/>
  <c r="J1727" i="1" s="1"/>
  <c r="I1727" i="1"/>
  <c r="M1727" i="1" s="1"/>
  <c r="J1726" i="1" a="1"/>
  <c r="J1726" i="1" s="1"/>
  <c r="I1726" i="1"/>
  <c r="M1726" i="1" s="1"/>
  <c r="J1725" i="1" a="1"/>
  <c r="J1725" i="1" s="1"/>
  <c r="I1725" i="1"/>
  <c r="M1725" i="1" s="1"/>
  <c r="J1724" i="1" a="1"/>
  <c r="J1724" i="1" s="1"/>
  <c r="I1724" i="1"/>
  <c r="M1724" i="1" s="1"/>
  <c r="M1723" i="1"/>
  <c r="J1723" i="1"/>
  <c r="J1723" i="1" a="1"/>
  <c r="I1723" i="1"/>
  <c r="J1722" i="1" a="1"/>
  <c r="J1722" i="1" s="1"/>
  <c r="I1722" i="1"/>
  <c r="M1722" i="1" s="1"/>
  <c r="J1721" i="1" a="1"/>
  <c r="J1721" i="1" s="1"/>
  <c r="I1721" i="1"/>
  <c r="M1721" i="1" s="1"/>
  <c r="J1720" i="1" a="1"/>
  <c r="J1720" i="1" s="1"/>
  <c r="I1720" i="1"/>
  <c r="M1720" i="1" s="1"/>
  <c r="J1719" i="1" a="1"/>
  <c r="J1719" i="1" s="1"/>
  <c r="I1719" i="1"/>
  <c r="M1719" i="1" s="1"/>
  <c r="J1718" i="1" a="1"/>
  <c r="J1718" i="1" s="1"/>
  <c r="I1718" i="1"/>
  <c r="M1718" i="1" s="1"/>
  <c r="J1717" i="1" a="1"/>
  <c r="J1717" i="1" s="1"/>
  <c r="I1717" i="1"/>
  <c r="M1717" i="1" s="1"/>
  <c r="J1716" i="1" a="1"/>
  <c r="J1716" i="1" s="1"/>
  <c r="I1716" i="1"/>
  <c r="M1716" i="1" s="1"/>
  <c r="J1715" i="1" a="1"/>
  <c r="J1715" i="1" s="1"/>
  <c r="I1715" i="1"/>
  <c r="M1715" i="1" s="1"/>
  <c r="J1714" i="1"/>
  <c r="J1714" i="1" a="1"/>
  <c r="I1714" i="1"/>
  <c r="M1714" i="1" s="1"/>
  <c r="J1713" i="1" a="1"/>
  <c r="J1713" i="1" s="1"/>
  <c r="I1713" i="1"/>
  <c r="M1713" i="1" s="1"/>
  <c r="J1712" i="1" a="1"/>
  <c r="J1712" i="1" s="1"/>
  <c r="I1712" i="1"/>
  <c r="M1712" i="1" s="1"/>
  <c r="J1711" i="1" a="1"/>
  <c r="J1711" i="1" s="1"/>
  <c r="I1711" i="1"/>
  <c r="M1711" i="1" s="1"/>
  <c r="J1710" i="1" a="1"/>
  <c r="J1710" i="1" s="1"/>
  <c r="I1710" i="1"/>
  <c r="M1710" i="1" s="1"/>
  <c r="J1709" i="1" a="1"/>
  <c r="J1709" i="1" s="1"/>
  <c r="I1709" i="1"/>
  <c r="M1709" i="1" s="1"/>
  <c r="J1708" i="1" a="1"/>
  <c r="J1708" i="1" s="1"/>
  <c r="I1708" i="1"/>
  <c r="M1708" i="1" s="1"/>
  <c r="J1707" i="1" a="1"/>
  <c r="J1707" i="1" s="1"/>
  <c r="I1707" i="1"/>
  <c r="M1707" i="1" s="1"/>
  <c r="J1706" i="1" a="1"/>
  <c r="J1706" i="1" s="1"/>
  <c r="I1706" i="1"/>
  <c r="M1706" i="1" s="1"/>
  <c r="J1705" i="1" a="1"/>
  <c r="J1705" i="1" s="1"/>
  <c r="I1705" i="1"/>
  <c r="M1705" i="1" s="1"/>
  <c r="J1704" i="1" a="1"/>
  <c r="J1704" i="1" s="1"/>
  <c r="I1704" i="1"/>
  <c r="M1704" i="1" s="1"/>
  <c r="J1703" i="1" a="1"/>
  <c r="J1703" i="1" s="1"/>
  <c r="I1703" i="1"/>
  <c r="M1703" i="1" s="1"/>
  <c r="J1702" i="1" a="1"/>
  <c r="J1702" i="1" s="1"/>
  <c r="I1702" i="1"/>
  <c r="M1702" i="1" s="1"/>
  <c r="J1701" i="1" a="1"/>
  <c r="J1701" i="1" s="1"/>
  <c r="I1701" i="1"/>
  <c r="M1701" i="1" s="1"/>
  <c r="J1700" i="1" a="1"/>
  <c r="J1700" i="1" s="1"/>
  <c r="I1700" i="1"/>
  <c r="M1700" i="1" s="1"/>
  <c r="J1699" i="1"/>
  <c r="J1699" i="1" a="1"/>
  <c r="I1699" i="1"/>
  <c r="M1699" i="1" s="1"/>
  <c r="J1698" i="1" a="1"/>
  <c r="J1698" i="1" s="1"/>
  <c r="I1698" i="1"/>
  <c r="M1698" i="1" s="1"/>
  <c r="J1697" i="1" a="1"/>
  <c r="J1697" i="1" s="1"/>
  <c r="I1697" i="1"/>
  <c r="M1697" i="1" s="1"/>
  <c r="J1696" i="1" a="1"/>
  <c r="J1696" i="1" s="1"/>
  <c r="I1696" i="1"/>
  <c r="M1696" i="1" s="1"/>
  <c r="J1695" i="1" a="1"/>
  <c r="J1695" i="1" s="1"/>
  <c r="I1695" i="1"/>
  <c r="M1695" i="1" s="1"/>
  <c r="J1694" i="1" a="1"/>
  <c r="J1694" i="1" s="1"/>
  <c r="I1694" i="1"/>
  <c r="M1694" i="1" s="1"/>
  <c r="M1693" i="1"/>
  <c r="J1693" i="1"/>
  <c r="J1693" i="1" a="1"/>
  <c r="I1693" i="1"/>
  <c r="J1692" i="1" a="1"/>
  <c r="J1692" i="1" s="1"/>
  <c r="I1692" i="1"/>
  <c r="M1692" i="1" s="1"/>
  <c r="J1691" i="1" a="1"/>
  <c r="J1691" i="1" s="1"/>
  <c r="I1691" i="1"/>
  <c r="M1691" i="1" s="1"/>
  <c r="J1690" i="1" a="1"/>
  <c r="J1690" i="1" s="1"/>
  <c r="I1690" i="1"/>
  <c r="M1690" i="1" s="1"/>
  <c r="J1689" i="1"/>
  <c r="J1689" i="1" a="1"/>
  <c r="I1689" i="1"/>
  <c r="M1689" i="1" s="1"/>
  <c r="M1688" i="1"/>
  <c r="J1688" i="1" a="1"/>
  <c r="J1688" i="1" s="1"/>
  <c r="I1688" i="1"/>
  <c r="J1687" i="1"/>
  <c r="J1687" i="1" a="1"/>
  <c r="I1687" i="1"/>
  <c r="M1687" i="1" s="1"/>
  <c r="J1686" i="1" a="1"/>
  <c r="J1686" i="1" s="1"/>
  <c r="I1686" i="1"/>
  <c r="M1686" i="1" s="1"/>
  <c r="J1685" i="1" a="1"/>
  <c r="J1685" i="1" s="1"/>
  <c r="I1685" i="1"/>
  <c r="M1685" i="1" s="1"/>
  <c r="J1684" i="1" a="1"/>
  <c r="J1684" i="1" s="1"/>
  <c r="I1684" i="1"/>
  <c r="M1684" i="1" s="1"/>
  <c r="J1683" i="1"/>
  <c r="J1683" i="1" a="1"/>
  <c r="I1683" i="1"/>
  <c r="M1683" i="1" s="1"/>
  <c r="J1682" i="1" a="1"/>
  <c r="J1682" i="1" s="1"/>
  <c r="I1682" i="1"/>
  <c r="M1682" i="1" s="1"/>
  <c r="J1681" i="1" a="1"/>
  <c r="J1681" i="1" s="1"/>
  <c r="I1681" i="1"/>
  <c r="M1681" i="1" s="1"/>
  <c r="J1680" i="1" a="1"/>
  <c r="J1680" i="1" s="1"/>
  <c r="I1680" i="1"/>
  <c r="M1680" i="1" s="1"/>
  <c r="J1679" i="1" a="1"/>
  <c r="J1679" i="1" s="1"/>
  <c r="I1679" i="1"/>
  <c r="M1679" i="1" s="1"/>
  <c r="J1678" i="1"/>
  <c r="J1678" i="1" a="1"/>
  <c r="I1678" i="1"/>
  <c r="M1678" i="1" s="1"/>
  <c r="M1677" i="1"/>
  <c r="J1677" i="1" a="1"/>
  <c r="J1677" i="1" s="1"/>
  <c r="I1677" i="1"/>
  <c r="J1676" i="1"/>
  <c r="J1676" i="1" a="1"/>
  <c r="I1676" i="1"/>
  <c r="M1676" i="1" s="1"/>
  <c r="J1675" i="1" a="1"/>
  <c r="J1675" i="1" s="1"/>
  <c r="I1675" i="1"/>
  <c r="M1675" i="1" s="1"/>
  <c r="J1674" i="1" a="1"/>
  <c r="J1674" i="1" s="1"/>
  <c r="I1674" i="1"/>
  <c r="M1674" i="1" s="1"/>
  <c r="J1673" i="1" a="1"/>
  <c r="J1673" i="1" s="1"/>
  <c r="I1673" i="1"/>
  <c r="M1673" i="1" s="1"/>
  <c r="J1672" i="1" a="1"/>
  <c r="J1672" i="1" s="1"/>
  <c r="I1672" i="1"/>
  <c r="M1672" i="1" s="1"/>
  <c r="J1671" i="1"/>
  <c r="J1671" i="1" a="1"/>
  <c r="I1671" i="1"/>
  <c r="M1671" i="1" s="1"/>
  <c r="J1670" i="1" a="1"/>
  <c r="J1670" i="1" s="1"/>
  <c r="I1670" i="1"/>
  <c r="M1670" i="1" s="1"/>
  <c r="M1669" i="1"/>
  <c r="J1669" i="1"/>
  <c r="J1669" i="1" a="1"/>
  <c r="I1669" i="1"/>
  <c r="J1668" i="1" a="1"/>
  <c r="J1668" i="1" s="1"/>
  <c r="I1668" i="1"/>
  <c r="M1668" i="1" s="1"/>
  <c r="J1667" i="1" a="1"/>
  <c r="J1667" i="1" s="1"/>
  <c r="I1667" i="1"/>
  <c r="M1667" i="1" s="1"/>
  <c r="J1666" i="1" a="1"/>
  <c r="J1666" i="1" s="1"/>
  <c r="I1666" i="1"/>
  <c r="M1666" i="1" s="1"/>
  <c r="J1665" i="1" a="1"/>
  <c r="J1665" i="1" s="1"/>
  <c r="I1665" i="1"/>
  <c r="M1665" i="1" s="1"/>
  <c r="J1664" i="1"/>
  <c r="J1664" i="1" a="1"/>
  <c r="I1664" i="1"/>
  <c r="M1664" i="1" s="1"/>
  <c r="J1663" i="1" a="1"/>
  <c r="J1663" i="1" s="1"/>
  <c r="I1663" i="1"/>
  <c r="M1663" i="1" s="1"/>
  <c r="J1662" i="1"/>
  <c r="J1662" i="1" a="1"/>
  <c r="I1662" i="1"/>
  <c r="M1662" i="1" s="1"/>
  <c r="M1661" i="1"/>
  <c r="J1661" i="1" a="1"/>
  <c r="J1661" i="1" s="1"/>
  <c r="I1661" i="1"/>
  <c r="J1660" i="1" a="1"/>
  <c r="J1660" i="1" s="1"/>
  <c r="I1660" i="1"/>
  <c r="M1660" i="1" s="1"/>
  <c r="J1659" i="1" a="1"/>
  <c r="J1659" i="1" s="1"/>
  <c r="I1659" i="1"/>
  <c r="M1659" i="1" s="1"/>
  <c r="J1658" i="1" a="1"/>
  <c r="J1658" i="1" s="1"/>
  <c r="I1658" i="1"/>
  <c r="M1658" i="1" s="1"/>
  <c r="J1657" i="1" a="1"/>
  <c r="J1657" i="1" s="1"/>
  <c r="I1657" i="1"/>
  <c r="M1657" i="1" s="1"/>
  <c r="J1656" i="1"/>
  <c r="J1656" i="1" a="1"/>
  <c r="I1656" i="1"/>
  <c r="M1656" i="1" s="1"/>
  <c r="J1655" i="1" a="1"/>
  <c r="J1655" i="1" s="1"/>
  <c r="I1655" i="1"/>
  <c r="M1655" i="1" s="1"/>
  <c r="J1654" i="1" a="1"/>
  <c r="J1654" i="1" s="1"/>
  <c r="I1654" i="1"/>
  <c r="M1654" i="1" s="1"/>
  <c r="J1653" i="1" a="1"/>
  <c r="J1653" i="1" s="1"/>
  <c r="I1653" i="1"/>
  <c r="M1653" i="1" s="1"/>
  <c r="J1652" i="1" a="1"/>
  <c r="J1652" i="1" s="1"/>
  <c r="I1652" i="1"/>
  <c r="M1652" i="1" s="1"/>
  <c r="J1651" i="1"/>
  <c r="J1651" i="1" a="1"/>
  <c r="I1651" i="1"/>
  <c r="M1651" i="1" s="1"/>
  <c r="J1650" i="1" a="1"/>
  <c r="J1650" i="1" s="1"/>
  <c r="I1650" i="1"/>
  <c r="M1650" i="1" s="1"/>
  <c r="J1649" i="1" a="1"/>
  <c r="J1649" i="1" s="1"/>
  <c r="I1649" i="1"/>
  <c r="M1649" i="1" s="1"/>
  <c r="J1648" i="1" a="1"/>
  <c r="J1648" i="1" s="1"/>
  <c r="I1648" i="1"/>
  <c r="M1648" i="1" s="1"/>
  <c r="J1647" i="1" a="1"/>
  <c r="J1647" i="1" s="1"/>
  <c r="I1647" i="1"/>
  <c r="M1647" i="1" s="1"/>
  <c r="M1646" i="1"/>
  <c r="J1646" i="1" a="1"/>
  <c r="J1646" i="1" s="1"/>
  <c r="I1646" i="1"/>
  <c r="J1645" i="1" a="1"/>
  <c r="J1645" i="1" s="1"/>
  <c r="I1645" i="1"/>
  <c r="M1645" i="1" s="1"/>
  <c r="J1644" i="1" a="1"/>
  <c r="J1644" i="1" s="1"/>
  <c r="I1644" i="1"/>
  <c r="M1644" i="1" s="1"/>
  <c r="J1643" i="1" a="1"/>
  <c r="J1643" i="1" s="1"/>
  <c r="I1643" i="1"/>
  <c r="M1643" i="1" s="1"/>
  <c r="M1642" i="1"/>
  <c r="J1642" i="1" a="1"/>
  <c r="J1642" i="1" s="1"/>
  <c r="I1642" i="1"/>
  <c r="J1641" i="1" a="1"/>
  <c r="J1641" i="1" s="1"/>
  <c r="I1641" i="1"/>
  <c r="M1641" i="1" s="1"/>
  <c r="J1640" i="1" a="1"/>
  <c r="J1640" i="1" s="1"/>
  <c r="I1640" i="1"/>
  <c r="M1640" i="1" s="1"/>
  <c r="J1639" i="1" a="1"/>
  <c r="J1639" i="1" s="1"/>
  <c r="I1639" i="1"/>
  <c r="M1639" i="1" s="1"/>
  <c r="J1638" i="1" a="1"/>
  <c r="J1638" i="1" s="1"/>
  <c r="I1638" i="1"/>
  <c r="M1638" i="1" s="1"/>
  <c r="J1637" i="1" a="1"/>
  <c r="J1637" i="1" s="1"/>
  <c r="I1637" i="1"/>
  <c r="M1637" i="1" s="1"/>
  <c r="J1636" i="1" a="1"/>
  <c r="J1636" i="1" s="1"/>
  <c r="I1636" i="1"/>
  <c r="M1636" i="1" s="1"/>
  <c r="J1635" i="1" a="1"/>
  <c r="J1635" i="1" s="1"/>
  <c r="I1635" i="1"/>
  <c r="M1635" i="1" s="1"/>
  <c r="J1634" i="1" a="1"/>
  <c r="J1634" i="1" s="1"/>
  <c r="I1634" i="1"/>
  <c r="M1634" i="1" s="1"/>
  <c r="J1633" i="1" a="1"/>
  <c r="J1633" i="1" s="1"/>
  <c r="I1633" i="1"/>
  <c r="M1633" i="1" s="1"/>
  <c r="J1632" i="1" a="1"/>
  <c r="J1632" i="1" s="1"/>
  <c r="I1632" i="1"/>
  <c r="M1632" i="1" s="1"/>
  <c r="M1631" i="1"/>
  <c r="J1631" i="1" a="1"/>
  <c r="J1631" i="1" s="1"/>
  <c r="I1631" i="1"/>
  <c r="J1630" i="1" a="1"/>
  <c r="J1630" i="1" s="1"/>
  <c r="I1630" i="1"/>
  <c r="M1630" i="1" s="1"/>
  <c r="J1629" i="1" a="1"/>
  <c r="J1629" i="1" s="1"/>
  <c r="I1629" i="1"/>
  <c r="M1629" i="1" s="1"/>
  <c r="J1628" i="1" a="1"/>
  <c r="J1628" i="1" s="1"/>
  <c r="I1628" i="1"/>
  <c r="M1628" i="1" s="1"/>
  <c r="J1627" i="1" a="1"/>
  <c r="J1627" i="1" s="1"/>
  <c r="I1627" i="1"/>
  <c r="M1627" i="1" s="1"/>
  <c r="M1626" i="1"/>
  <c r="J1626" i="1" a="1"/>
  <c r="J1626" i="1" s="1"/>
  <c r="I1626" i="1"/>
  <c r="J1625" i="1" a="1"/>
  <c r="J1625" i="1" s="1"/>
  <c r="I1625" i="1"/>
  <c r="M1625" i="1" s="1"/>
  <c r="J1624" i="1" a="1"/>
  <c r="J1624" i="1" s="1"/>
  <c r="I1624" i="1"/>
  <c r="M1624" i="1" s="1"/>
  <c r="J1623" i="1" a="1"/>
  <c r="J1623" i="1" s="1"/>
  <c r="I1623" i="1"/>
  <c r="M1623" i="1" s="1"/>
  <c r="M1622" i="1"/>
  <c r="J1622" i="1" a="1"/>
  <c r="J1622" i="1" s="1"/>
  <c r="I1622" i="1"/>
  <c r="J1621" i="1" a="1"/>
  <c r="J1621" i="1" s="1"/>
  <c r="I1621" i="1"/>
  <c r="M1621" i="1" s="1"/>
  <c r="J1620" i="1" a="1"/>
  <c r="J1620" i="1" s="1"/>
  <c r="I1620" i="1"/>
  <c r="M1620" i="1" s="1"/>
  <c r="M1619" i="1"/>
  <c r="J1619" i="1" a="1"/>
  <c r="J1619" i="1" s="1"/>
  <c r="I1619" i="1"/>
  <c r="J1618" i="1" a="1"/>
  <c r="J1618" i="1" s="1"/>
  <c r="I1618" i="1"/>
  <c r="M1618" i="1" s="1"/>
  <c r="M1617" i="1"/>
  <c r="J1617" i="1"/>
  <c r="J1617" i="1" a="1"/>
  <c r="I1617" i="1"/>
  <c r="J1616" i="1" a="1"/>
  <c r="J1616" i="1" s="1"/>
  <c r="I1616" i="1"/>
  <c r="M1616" i="1" s="1"/>
  <c r="J1615" i="1" a="1"/>
  <c r="J1615" i="1" s="1"/>
  <c r="I1615" i="1"/>
  <c r="M1615" i="1" s="1"/>
  <c r="J1614" i="1" a="1"/>
  <c r="J1614" i="1" s="1"/>
  <c r="I1614" i="1"/>
  <c r="M1614" i="1" s="1"/>
  <c r="J1613" i="1" a="1"/>
  <c r="J1613" i="1" s="1"/>
  <c r="I1613" i="1"/>
  <c r="M1613" i="1" s="1"/>
  <c r="M1612" i="1"/>
  <c r="J1612" i="1" a="1"/>
  <c r="J1612" i="1" s="1"/>
  <c r="I1612" i="1"/>
  <c r="J1611" i="1" a="1"/>
  <c r="J1611" i="1" s="1"/>
  <c r="I1611" i="1"/>
  <c r="M1611" i="1" s="1"/>
  <c r="J1610" i="1" a="1"/>
  <c r="J1610" i="1" s="1"/>
  <c r="I1610" i="1"/>
  <c r="M1610" i="1" s="1"/>
  <c r="J1609" i="1" a="1"/>
  <c r="J1609" i="1" s="1"/>
  <c r="I1609" i="1"/>
  <c r="M1609" i="1" s="1"/>
  <c r="J1608" i="1" a="1"/>
  <c r="J1608" i="1" s="1"/>
  <c r="I1608" i="1"/>
  <c r="M1608" i="1" s="1"/>
  <c r="J1607" i="1" a="1"/>
  <c r="J1607" i="1" s="1"/>
  <c r="I1607" i="1"/>
  <c r="M1607" i="1" s="1"/>
  <c r="J1606" i="1" a="1"/>
  <c r="J1606" i="1" s="1"/>
  <c r="I1606" i="1"/>
  <c r="M1606" i="1" s="1"/>
  <c r="J1605" i="1" a="1"/>
  <c r="J1605" i="1" s="1"/>
  <c r="I1605" i="1"/>
  <c r="M1605" i="1" s="1"/>
  <c r="M1604" i="1"/>
  <c r="J1604" i="1" a="1"/>
  <c r="J1604" i="1" s="1"/>
  <c r="I1604" i="1"/>
  <c r="J1603" i="1" a="1"/>
  <c r="J1603" i="1" s="1"/>
  <c r="I1603" i="1"/>
  <c r="M1603" i="1" s="1"/>
  <c r="J1602" i="1" a="1"/>
  <c r="J1602" i="1" s="1"/>
  <c r="I1602" i="1"/>
  <c r="M1602" i="1" s="1"/>
  <c r="J1601" i="1" a="1"/>
  <c r="J1601" i="1" s="1"/>
  <c r="I1601" i="1"/>
  <c r="M1601" i="1" s="1"/>
  <c r="J1600" i="1" a="1"/>
  <c r="J1600" i="1" s="1"/>
  <c r="I1600" i="1"/>
  <c r="M1600" i="1" s="1"/>
  <c r="J1599" i="1" a="1"/>
  <c r="J1599" i="1" s="1"/>
  <c r="I1599" i="1"/>
  <c r="M1599" i="1" s="1"/>
  <c r="J1598" i="1" a="1"/>
  <c r="J1598" i="1" s="1"/>
  <c r="I1598" i="1"/>
  <c r="M1598" i="1" s="1"/>
  <c r="J1597" i="1" a="1"/>
  <c r="J1597" i="1" s="1"/>
  <c r="I1597" i="1"/>
  <c r="M1597" i="1" s="1"/>
  <c r="J1596" i="1" a="1"/>
  <c r="J1596" i="1" s="1"/>
  <c r="I1596" i="1"/>
  <c r="M1596" i="1" s="1"/>
  <c r="J1595" i="1" a="1"/>
  <c r="J1595" i="1" s="1"/>
  <c r="I1595" i="1"/>
  <c r="M1595" i="1" s="1"/>
  <c r="J1594" i="1" a="1"/>
  <c r="J1594" i="1" s="1"/>
  <c r="I1594" i="1"/>
  <c r="M1594" i="1" s="1"/>
  <c r="J1593" i="1" a="1"/>
  <c r="J1593" i="1" s="1"/>
  <c r="I1593" i="1"/>
  <c r="M1593" i="1" s="1"/>
  <c r="J1592" i="1" a="1"/>
  <c r="J1592" i="1" s="1"/>
  <c r="I1592" i="1"/>
  <c r="M1592" i="1" s="1"/>
  <c r="J1591" i="1" a="1"/>
  <c r="J1591" i="1" s="1"/>
  <c r="I1591" i="1"/>
  <c r="M1591" i="1" s="1"/>
  <c r="J1590" i="1" a="1"/>
  <c r="J1590" i="1" s="1"/>
  <c r="I1590" i="1"/>
  <c r="M1590" i="1" s="1"/>
  <c r="J1589" i="1" a="1"/>
  <c r="J1589" i="1" s="1"/>
  <c r="I1589" i="1"/>
  <c r="M1589" i="1" s="1"/>
  <c r="M1588" i="1"/>
  <c r="J1588" i="1" a="1"/>
  <c r="J1588" i="1" s="1"/>
  <c r="I1588" i="1"/>
  <c r="J1587" i="1" a="1"/>
  <c r="J1587" i="1" s="1"/>
  <c r="I1587" i="1"/>
  <c r="M1587" i="1" s="1"/>
  <c r="J1586" i="1" a="1"/>
  <c r="J1586" i="1" s="1"/>
  <c r="I1586" i="1"/>
  <c r="M1586" i="1" s="1"/>
  <c r="J1585" i="1" a="1"/>
  <c r="J1585" i="1" s="1"/>
  <c r="I1585" i="1"/>
  <c r="M1585" i="1" s="1"/>
  <c r="J1584" i="1" a="1"/>
  <c r="J1584" i="1" s="1"/>
  <c r="I1584" i="1"/>
  <c r="M1584" i="1" s="1"/>
  <c r="J1583" i="1"/>
  <c r="J1583" i="1" a="1"/>
  <c r="I1583" i="1"/>
  <c r="M1583" i="1" s="1"/>
  <c r="J1582" i="1" a="1"/>
  <c r="J1582" i="1" s="1"/>
  <c r="I1582" i="1"/>
  <c r="M1582" i="1" s="1"/>
  <c r="J1581" i="1" a="1"/>
  <c r="J1581" i="1" s="1"/>
  <c r="I1581" i="1"/>
  <c r="M1581" i="1" s="1"/>
  <c r="J1580" i="1" a="1"/>
  <c r="J1580" i="1" s="1"/>
  <c r="I1580" i="1"/>
  <c r="M1580" i="1" s="1"/>
  <c r="J1579" i="1" a="1"/>
  <c r="J1579" i="1" s="1"/>
  <c r="I1579" i="1"/>
  <c r="M1579" i="1" s="1"/>
  <c r="J1578" i="1" a="1"/>
  <c r="J1578" i="1" s="1"/>
  <c r="I1578" i="1"/>
  <c r="M1578" i="1" s="1"/>
  <c r="M1577" i="1"/>
  <c r="J1577" i="1" a="1"/>
  <c r="J1577" i="1" s="1"/>
  <c r="I1577" i="1"/>
  <c r="J1576" i="1" a="1"/>
  <c r="J1576" i="1" s="1"/>
  <c r="I1576" i="1"/>
  <c r="M1576" i="1" s="1"/>
  <c r="J1575" i="1" a="1"/>
  <c r="J1575" i="1" s="1"/>
  <c r="I1575" i="1"/>
  <c r="M1575" i="1" s="1"/>
  <c r="J1574" i="1" a="1"/>
  <c r="J1574" i="1" s="1"/>
  <c r="I1574" i="1"/>
  <c r="M1574" i="1" s="1"/>
  <c r="J1573" i="1" a="1"/>
  <c r="J1573" i="1" s="1"/>
  <c r="I1573" i="1"/>
  <c r="M1573" i="1" s="1"/>
  <c r="J1572" i="1"/>
  <c r="J1572" i="1" a="1"/>
  <c r="I1572" i="1"/>
  <c r="M1572" i="1" s="1"/>
  <c r="J1571" i="1" a="1"/>
  <c r="J1571" i="1" s="1"/>
  <c r="I1571" i="1"/>
  <c r="M1571" i="1" s="1"/>
  <c r="J1570" i="1" a="1"/>
  <c r="J1570" i="1" s="1"/>
  <c r="I1570" i="1"/>
  <c r="M1570" i="1" s="1"/>
  <c r="J1569" i="1"/>
  <c r="J1569" i="1" a="1"/>
  <c r="I1569" i="1"/>
  <c r="M1569" i="1" s="1"/>
  <c r="J1568" i="1" a="1"/>
  <c r="J1568" i="1" s="1"/>
  <c r="I1568" i="1"/>
  <c r="M1568" i="1" s="1"/>
  <c r="J1567" i="1" a="1"/>
  <c r="J1567" i="1" s="1"/>
  <c r="I1567" i="1"/>
  <c r="M1567" i="1" s="1"/>
  <c r="J1566" i="1" a="1"/>
  <c r="J1566" i="1" s="1"/>
  <c r="I1566" i="1"/>
  <c r="M1566" i="1" s="1"/>
  <c r="J1565" i="1" a="1"/>
  <c r="J1565" i="1" s="1"/>
  <c r="I1565" i="1"/>
  <c r="M1565" i="1" s="1"/>
  <c r="J1564" i="1" a="1"/>
  <c r="J1564" i="1" s="1"/>
  <c r="I1564" i="1"/>
  <c r="M1564" i="1" s="1"/>
  <c r="J1563" i="1" a="1"/>
  <c r="J1563" i="1" s="1"/>
  <c r="I1563" i="1"/>
  <c r="M1563" i="1" s="1"/>
  <c r="J1562" i="1" a="1"/>
  <c r="J1562" i="1" s="1"/>
  <c r="I1562" i="1"/>
  <c r="M1562" i="1" s="1"/>
  <c r="J1561" i="1"/>
  <c r="J1561" i="1" a="1"/>
  <c r="I1561" i="1"/>
  <c r="M1561" i="1" s="1"/>
  <c r="J1560" i="1" a="1"/>
  <c r="J1560" i="1" s="1"/>
  <c r="I1560" i="1"/>
  <c r="M1560" i="1" s="1"/>
  <c r="J1559" i="1" a="1"/>
  <c r="J1559" i="1" s="1"/>
  <c r="I1559" i="1"/>
  <c r="M1559" i="1" s="1"/>
  <c r="J1558" i="1" a="1"/>
  <c r="J1558" i="1" s="1"/>
  <c r="I1558" i="1"/>
  <c r="M1558" i="1" s="1"/>
  <c r="J1557" i="1"/>
  <c r="J1557" i="1" a="1"/>
  <c r="I1557" i="1"/>
  <c r="M1557" i="1" s="1"/>
  <c r="M1556" i="1"/>
  <c r="J1556" i="1" a="1"/>
  <c r="J1556" i="1" s="1"/>
  <c r="I1556" i="1"/>
  <c r="J1555" i="1" a="1"/>
  <c r="J1555" i="1" s="1"/>
  <c r="I1555" i="1"/>
  <c r="M1555" i="1" s="1"/>
  <c r="J1554" i="1" a="1"/>
  <c r="J1554" i="1" s="1"/>
  <c r="I1554" i="1"/>
  <c r="M1554" i="1" s="1"/>
  <c r="J1553" i="1" a="1"/>
  <c r="J1553" i="1" s="1"/>
  <c r="I1553" i="1"/>
  <c r="M1553" i="1" s="1"/>
  <c r="J1552" i="1"/>
  <c r="J1552" i="1" a="1"/>
  <c r="I1552" i="1"/>
  <c r="M1552" i="1" s="1"/>
  <c r="M1551" i="1"/>
  <c r="J1551" i="1" a="1"/>
  <c r="J1551" i="1" s="1"/>
  <c r="I1551" i="1"/>
  <c r="J1550" i="1" a="1"/>
  <c r="J1550" i="1" s="1"/>
  <c r="I1550" i="1"/>
  <c r="M1550" i="1" s="1"/>
  <c r="J1549" i="1" a="1"/>
  <c r="J1549" i="1" s="1"/>
  <c r="I1549" i="1"/>
  <c r="M1549" i="1" s="1"/>
  <c r="J1548" i="1" a="1"/>
  <c r="J1548" i="1" s="1"/>
  <c r="I1548" i="1"/>
  <c r="M1548" i="1" s="1"/>
  <c r="J1547" i="1" a="1"/>
  <c r="J1547" i="1" s="1"/>
  <c r="I1547" i="1"/>
  <c r="M1547" i="1" s="1"/>
  <c r="J1546" i="1" a="1"/>
  <c r="J1546" i="1" s="1"/>
  <c r="I1546" i="1"/>
  <c r="M1546" i="1" s="1"/>
  <c r="J1545" i="1" a="1"/>
  <c r="J1545" i="1" s="1"/>
  <c r="I1545" i="1"/>
  <c r="M1545" i="1" s="1"/>
  <c r="J1544" i="1" a="1"/>
  <c r="J1544" i="1" s="1"/>
  <c r="I1544" i="1"/>
  <c r="M1544" i="1" s="1"/>
  <c r="J1543" i="1"/>
  <c r="J1543" i="1" a="1"/>
  <c r="I1543" i="1"/>
  <c r="M1543" i="1" s="1"/>
  <c r="J1542" i="1" a="1"/>
  <c r="J1542" i="1" s="1"/>
  <c r="I1542" i="1"/>
  <c r="M1542" i="1" s="1"/>
  <c r="J1541" i="1" a="1"/>
  <c r="J1541" i="1" s="1"/>
  <c r="I1541" i="1"/>
  <c r="M1541" i="1" s="1"/>
  <c r="J1540" i="1" a="1"/>
  <c r="J1540" i="1" s="1"/>
  <c r="I1540" i="1"/>
  <c r="M1540" i="1" s="1"/>
  <c r="J1539" i="1" a="1"/>
  <c r="J1539" i="1" s="1"/>
  <c r="I1539" i="1"/>
  <c r="M1539" i="1" s="1"/>
  <c r="J1538" i="1" a="1"/>
  <c r="J1538" i="1" s="1"/>
  <c r="I1538" i="1"/>
  <c r="M1538" i="1" s="1"/>
  <c r="J1537" i="1" a="1"/>
  <c r="J1537" i="1" s="1"/>
  <c r="I1537" i="1"/>
  <c r="M1537" i="1" s="1"/>
  <c r="J1536" i="1" a="1"/>
  <c r="J1536" i="1" s="1"/>
  <c r="I1536" i="1"/>
  <c r="M1536" i="1" s="1"/>
  <c r="J1535" i="1" a="1"/>
  <c r="J1535" i="1" s="1"/>
  <c r="I1535" i="1"/>
  <c r="M1535" i="1" s="1"/>
  <c r="J1534" i="1" a="1"/>
  <c r="J1534" i="1" s="1"/>
  <c r="I1534" i="1"/>
  <c r="M1534" i="1" s="1"/>
  <c r="M1533" i="1"/>
  <c r="J1533" i="1" a="1"/>
  <c r="J1533" i="1" s="1"/>
  <c r="I1533" i="1"/>
  <c r="J1532" i="1" a="1"/>
  <c r="J1532" i="1" s="1"/>
  <c r="I1532" i="1"/>
  <c r="M1532" i="1" s="1"/>
  <c r="J1531" i="1" a="1"/>
  <c r="J1531" i="1" s="1"/>
  <c r="I1531" i="1"/>
  <c r="M1531" i="1" s="1"/>
  <c r="J1530" i="1" a="1"/>
  <c r="J1530" i="1" s="1"/>
  <c r="I1530" i="1"/>
  <c r="M1530" i="1" s="1"/>
  <c r="J1529" i="1" a="1"/>
  <c r="J1529" i="1" s="1"/>
  <c r="I1529" i="1"/>
  <c r="M1529" i="1" s="1"/>
  <c r="J1528" i="1" a="1"/>
  <c r="J1528" i="1" s="1"/>
  <c r="I1528" i="1"/>
  <c r="M1528" i="1" s="1"/>
  <c r="J1527" i="1" a="1"/>
  <c r="J1527" i="1" s="1"/>
  <c r="I1527" i="1"/>
  <c r="M1527" i="1" s="1"/>
  <c r="J1526" i="1" a="1"/>
  <c r="J1526" i="1" s="1"/>
  <c r="I1526" i="1"/>
  <c r="M1526" i="1" s="1"/>
  <c r="J1525" i="1" a="1"/>
  <c r="J1525" i="1" s="1"/>
  <c r="I1525" i="1"/>
  <c r="M1525" i="1" s="1"/>
  <c r="J1524" i="1" a="1"/>
  <c r="J1524" i="1" s="1"/>
  <c r="I1524" i="1"/>
  <c r="M1524" i="1" s="1"/>
  <c r="M1523" i="1"/>
  <c r="J1523" i="1" a="1"/>
  <c r="J1523" i="1" s="1"/>
  <c r="I1523" i="1"/>
  <c r="J1522" i="1" a="1"/>
  <c r="J1522" i="1" s="1"/>
  <c r="I1522" i="1"/>
  <c r="M1522" i="1" s="1"/>
  <c r="J1521" i="1" a="1"/>
  <c r="J1521" i="1" s="1"/>
  <c r="I1521" i="1"/>
  <c r="M1521" i="1" s="1"/>
  <c r="J1520" i="1" a="1"/>
  <c r="J1520" i="1" s="1"/>
  <c r="I1520" i="1"/>
  <c r="M1520" i="1" s="1"/>
  <c r="J1519" i="1" a="1"/>
  <c r="J1519" i="1" s="1"/>
  <c r="I1519" i="1"/>
  <c r="M1519" i="1" s="1"/>
  <c r="M1518" i="1"/>
  <c r="J1518" i="1" a="1"/>
  <c r="J1518" i="1" s="1"/>
  <c r="I1518" i="1"/>
  <c r="J1517" i="1" a="1"/>
  <c r="J1517" i="1" s="1"/>
  <c r="I1517" i="1"/>
  <c r="M1517" i="1" s="1"/>
  <c r="J1516" i="1" a="1"/>
  <c r="J1516" i="1" s="1"/>
  <c r="I1516" i="1"/>
  <c r="M1516" i="1" s="1"/>
  <c r="M1515" i="1"/>
  <c r="J1515" i="1" a="1"/>
  <c r="J1515" i="1" s="1"/>
  <c r="I1515" i="1"/>
  <c r="J1514" i="1" a="1"/>
  <c r="J1514" i="1" s="1"/>
  <c r="I1514" i="1"/>
  <c r="M1514" i="1" s="1"/>
  <c r="J1513" i="1" a="1"/>
  <c r="J1513" i="1" s="1"/>
  <c r="I1513" i="1"/>
  <c r="M1513" i="1" s="1"/>
  <c r="J1512" i="1" a="1"/>
  <c r="J1512" i="1" s="1"/>
  <c r="I1512" i="1"/>
  <c r="M1512" i="1" s="1"/>
  <c r="J1511" i="1" a="1"/>
  <c r="J1511" i="1" s="1"/>
  <c r="I1511" i="1"/>
  <c r="M1511" i="1" s="1"/>
  <c r="J1510" i="1" a="1"/>
  <c r="J1510" i="1" s="1"/>
  <c r="I1510" i="1"/>
  <c r="M1510" i="1" s="1"/>
  <c r="J1509" i="1" a="1"/>
  <c r="J1509" i="1" s="1"/>
  <c r="I1509" i="1"/>
  <c r="M1509" i="1" s="1"/>
  <c r="J1508" i="1" a="1"/>
  <c r="J1508" i="1" s="1"/>
  <c r="I1508" i="1"/>
  <c r="M1508" i="1" s="1"/>
  <c r="J1507" i="1"/>
  <c r="J1507" i="1" a="1"/>
  <c r="I1507" i="1"/>
  <c r="M1507" i="1" s="1"/>
  <c r="J1506" i="1" a="1"/>
  <c r="J1506" i="1" s="1"/>
  <c r="I1506" i="1"/>
  <c r="M1506" i="1" s="1"/>
  <c r="J1505" i="1" a="1"/>
  <c r="J1505" i="1" s="1"/>
  <c r="I1505" i="1"/>
  <c r="M1505" i="1" s="1"/>
  <c r="J1504" i="1" a="1"/>
  <c r="J1504" i="1" s="1"/>
  <c r="I1504" i="1"/>
  <c r="M1504" i="1" s="1"/>
  <c r="J1503" i="1" a="1"/>
  <c r="J1503" i="1" s="1"/>
  <c r="I1503" i="1"/>
  <c r="M1503" i="1" s="1"/>
  <c r="M1502" i="1"/>
  <c r="J1502" i="1" a="1"/>
  <c r="J1502" i="1" s="1"/>
  <c r="I1502" i="1"/>
  <c r="J1501" i="1" a="1"/>
  <c r="J1501" i="1" s="1"/>
  <c r="I1501" i="1"/>
  <c r="M1501" i="1" s="1"/>
  <c r="J1500" i="1" a="1"/>
  <c r="J1500" i="1" s="1"/>
  <c r="I1500" i="1"/>
  <c r="M1500" i="1" s="1"/>
  <c r="J1499" i="1" a="1"/>
  <c r="J1499" i="1" s="1"/>
  <c r="I1499" i="1"/>
  <c r="M1499" i="1" s="1"/>
  <c r="M1498" i="1"/>
  <c r="J1498" i="1" a="1"/>
  <c r="J1498" i="1" s="1"/>
  <c r="I1498" i="1"/>
  <c r="J1497" i="1" a="1"/>
  <c r="J1497" i="1" s="1"/>
  <c r="I1497" i="1"/>
  <c r="M1497" i="1" s="1"/>
  <c r="J1496" i="1" a="1"/>
  <c r="J1496" i="1" s="1"/>
  <c r="I1496" i="1"/>
  <c r="M1496" i="1" s="1"/>
  <c r="J1495" i="1" a="1"/>
  <c r="J1495" i="1" s="1"/>
  <c r="I1495" i="1"/>
  <c r="M1495" i="1" s="1"/>
  <c r="J1494" i="1" a="1"/>
  <c r="J1494" i="1" s="1"/>
  <c r="I1494" i="1"/>
  <c r="M1494" i="1" s="1"/>
  <c r="J1493" i="1" a="1"/>
  <c r="J1493" i="1" s="1"/>
  <c r="I1493" i="1"/>
  <c r="M1493" i="1" s="1"/>
  <c r="J1492" i="1" a="1"/>
  <c r="J1492" i="1" s="1"/>
  <c r="I1492" i="1"/>
  <c r="M1492" i="1" s="1"/>
  <c r="J1491" i="1" a="1"/>
  <c r="J1491" i="1" s="1"/>
  <c r="I1491" i="1"/>
  <c r="M1491" i="1" s="1"/>
  <c r="J1490" i="1" a="1"/>
  <c r="J1490" i="1" s="1"/>
  <c r="I1490" i="1"/>
  <c r="M1490" i="1" s="1"/>
  <c r="J1489" i="1" a="1"/>
  <c r="J1489" i="1" s="1"/>
  <c r="I1489" i="1"/>
  <c r="M1489" i="1" s="1"/>
  <c r="J1488" i="1" a="1"/>
  <c r="J1488" i="1" s="1"/>
  <c r="I1488" i="1"/>
  <c r="M1488" i="1" s="1"/>
  <c r="J1487" i="1" a="1"/>
  <c r="J1487" i="1" s="1"/>
  <c r="I1487" i="1"/>
  <c r="M1487" i="1" s="1"/>
  <c r="J1486" i="1" a="1"/>
  <c r="J1486" i="1" s="1"/>
  <c r="I1486" i="1"/>
  <c r="M1486" i="1" s="1"/>
  <c r="J1485" i="1" a="1"/>
  <c r="J1485" i="1" s="1"/>
  <c r="I1485" i="1"/>
  <c r="M1485" i="1" s="1"/>
  <c r="J1484" i="1"/>
  <c r="J1484" i="1" a="1"/>
  <c r="I1484" i="1"/>
  <c r="M1484" i="1" s="1"/>
  <c r="J1483" i="1" a="1"/>
  <c r="J1483" i="1" s="1"/>
  <c r="I1483" i="1"/>
  <c r="M1483" i="1" s="1"/>
  <c r="J1482" i="1" a="1"/>
  <c r="J1482" i="1" s="1"/>
  <c r="I1482" i="1"/>
  <c r="M1482" i="1" s="1"/>
  <c r="J1481" i="1" a="1"/>
  <c r="J1481" i="1" s="1"/>
  <c r="I1481" i="1"/>
  <c r="M1481" i="1" s="1"/>
  <c r="J1480" i="1" a="1"/>
  <c r="J1480" i="1" s="1"/>
  <c r="I1480" i="1"/>
  <c r="M1480" i="1" s="1"/>
  <c r="J1479" i="1" a="1"/>
  <c r="J1479" i="1" s="1"/>
  <c r="I1479" i="1"/>
  <c r="M1479" i="1" s="1"/>
  <c r="J1478" i="1" a="1"/>
  <c r="J1478" i="1" s="1"/>
  <c r="I1478" i="1"/>
  <c r="M1478" i="1" s="1"/>
  <c r="J1477" i="1" a="1"/>
  <c r="J1477" i="1" s="1"/>
  <c r="I1477" i="1"/>
  <c r="M1477" i="1" s="1"/>
  <c r="J1476" i="1" a="1"/>
  <c r="J1476" i="1" s="1"/>
  <c r="I1476" i="1"/>
  <c r="M1476" i="1" s="1"/>
  <c r="J1475" i="1" a="1"/>
  <c r="J1475" i="1" s="1"/>
  <c r="I1475" i="1"/>
  <c r="M1475" i="1" s="1"/>
  <c r="J1474" i="1" a="1"/>
  <c r="J1474" i="1" s="1"/>
  <c r="I1474" i="1"/>
  <c r="M1474" i="1" s="1"/>
  <c r="J1473" i="1" a="1"/>
  <c r="J1473" i="1" s="1"/>
  <c r="I1473" i="1"/>
  <c r="M1473" i="1" s="1"/>
  <c r="J1472" i="1" a="1"/>
  <c r="J1472" i="1" s="1"/>
  <c r="I1472" i="1"/>
  <c r="M1472" i="1" s="1"/>
  <c r="J1471" i="1"/>
  <c r="J1471" i="1" a="1"/>
  <c r="I1471" i="1"/>
  <c r="M1471" i="1" s="1"/>
  <c r="J1470" i="1" a="1"/>
  <c r="J1470" i="1" s="1"/>
  <c r="I1470" i="1"/>
  <c r="M1470" i="1" s="1"/>
  <c r="J1469" i="1" a="1"/>
  <c r="J1469" i="1" s="1"/>
  <c r="I1469" i="1"/>
  <c r="M1469" i="1" s="1"/>
  <c r="J1468" i="1" a="1"/>
  <c r="J1468" i="1" s="1"/>
  <c r="I1468" i="1"/>
  <c r="M1468" i="1" s="1"/>
  <c r="J1467" i="1" a="1"/>
  <c r="J1467" i="1" s="1"/>
  <c r="I1467" i="1"/>
  <c r="M1467" i="1" s="1"/>
  <c r="J1466" i="1"/>
  <c r="J1466" i="1" a="1"/>
  <c r="I1466" i="1"/>
  <c r="M1466" i="1" s="1"/>
  <c r="J1465" i="1" a="1"/>
  <c r="J1465" i="1" s="1"/>
  <c r="I1465" i="1"/>
  <c r="M1465" i="1" s="1"/>
  <c r="J1464" i="1" a="1"/>
  <c r="J1464" i="1" s="1"/>
  <c r="I1464" i="1"/>
  <c r="M1464" i="1" s="1"/>
  <c r="J1463" i="1" a="1"/>
  <c r="J1463" i="1" s="1"/>
  <c r="I1463" i="1"/>
  <c r="M1463" i="1" s="1"/>
  <c r="J1462" i="1" a="1"/>
  <c r="J1462" i="1" s="1"/>
  <c r="I1462" i="1"/>
  <c r="M1462" i="1" s="1"/>
  <c r="J1461" i="1"/>
  <c r="J1461" i="1" a="1"/>
  <c r="I1461" i="1"/>
  <c r="M1461" i="1" s="1"/>
  <c r="J1460" i="1" a="1"/>
  <c r="J1460" i="1" s="1"/>
  <c r="I1460" i="1"/>
  <c r="M1460" i="1" s="1"/>
  <c r="M1459" i="1"/>
  <c r="J1459" i="1" a="1"/>
  <c r="J1459" i="1" s="1"/>
  <c r="I1459" i="1"/>
  <c r="J1458" i="1"/>
  <c r="J1458" i="1" a="1"/>
  <c r="I1458" i="1"/>
  <c r="M1458" i="1" s="1"/>
  <c r="J1457" i="1" a="1"/>
  <c r="J1457" i="1" s="1"/>
  <c r="I1457" i="1"/>
  <c r="M1457" i="1" s="1"/>
  <c r="J1456" i="1" a="1"/>
  <c r="J1456" i="1" s="1"/>
  <c r="I1456" i="1"/>
  <c r="M1456" i="1" s="1"/>
  <c r="J1455" i="1" a="1"/>
  <c r="J1455" i="1" s="1"/>
  <c r="I1455" i="1"/>
  <c r="M1455" i="1" s="1"/>
  <c r="J1454" i="1" a="1"/>
  <c r="J1454" i="1" s="1"/>
  <c r="I1454" i="1"/>
  <c r="M1454" i="1" s="1"/>
  <c r="M1453" i="1"/>
  <c r="J1453" i="1" a="1"/>
  <c r="J1453" i="1" s="1"/>
  <c r="I1453" i="1"/>
  <c r="J1452" i="1" a="1"/>
  <c r="J1452" i="1" s="1"/>
  <c r="I1452" i="1"/>
  <c r="M1452" i="1" s="1"/>
  <c r="J1451" i="1" a="1"/>
  <c r="J1451" i="1" s="1"/>
  <c r="I1451" i="1"/>
  <c r="M1451" i="1" s="1"/>
  <c r="M1450" i="1"/>
  <c r="J1450" i="1" a="1"/>
  <c r="J1450" i="1" s="1"/>
  <c r="I1450" i="1"/>
  <c r="J1449" i="1" a="1"/>
  <c r="J1449" i="1" s="1"/>
  <c r="I1449" i="1"/>
  <c r="M1449" i="1" s="1"/>
  <c r="J1448" i="1" a="1"/>
  <c r="J1448" i="1" s="1"/>
  <c r="I1448" i="1"/>
  <c r="M1448" i="1" s="1"/>
  <c r="J1447" i="1" a="1"/>
  <c r="J1447" i="1" s="1"/>
  <c r="I1447" i="1"/>
  <c r="M1447" i="1" s="1"/>
  <c r="J1446" i="1" a="1"/>
  <c r="J1446" i="1" s="1"/>
  <c r="I1446" i="1"/>
  <c r="M1446" i="1" s="1"/>
  <c r="M1445" i="1"/>
  <c r="J1445" i="1"/>
  <c r="J1445" i="1" a="1"/>
  <c r="I1445" i="1"/>
  <c r="J1444" i="1" a="1"/>
  <c r="J1444" i="1" s="1"/>
  <c r="I1444" i="1"/>
  <c r="M1444" i="1" s="1"/>
  <c r="M1443" i="1"/>
  <c r="J1443" i="1" a="1"/>
  <c r="J1443" i="1" s="1"/>
  <c r="I1443" i="1"/>
  <c r="J1442" i="1" a="1"/>
  <c r="J1442" i="1" s="1"/>
  <c r="I1442" i="1"/>
  <c r="M1442" i="1" s="1"/>
  <c r="M1441" i="1"/>
  <c r="J1441" i="1" a="1"/>
  <c r="J1441" i="1" s="1"/>
  <c r="I1441" i="1"/>
  <c r="J1440" i="1" a="1"/>
  <c r="J1440" i="1" s="1"/>
  <c r="I1440" i="1"/>
  <c r="M1440" i="1" s="1"/>
  <c r="J1439" i="1" a="1"/>
  <c r="J1439" i="1" s="1"/>
  <c r="I1439" i="1"/>
  <c r="M1439" i="1" s="1"/>
  <c r="J1438" i="1" a="1"/>
  <c r="J1438" i="1" s="1"/>
  <c r="I1438" i="1"/>
  <c r="M1438" i="1" s="1"/>
  <c r="J1437" i="1" a="1"/>
  <c r="J1437" i="1" s="1"/>
  <c r="I1437" i="1"/>
  <c r="M1437" i="1" s="1"/>
  <c r="J1436" i="1" a="1"/>
  <c r="J1436" i="1" s="1"/>
  <c r="I1436" i="1"/>
  <c r="M1436" i="1" s="1"/>
  <c r="J1435" i="1" a="1"/>
  <c r="J1435" i="1" s="1"/>
  <c r="I1435" i="1"/>
  <c r="M1435" i="1" s="1"/>
  <c r="J1434" i="1" a="1"/>
  <c r="J1434" i="1" s="1"/>
  <c r="I1434" i="1"/>
  <c r="M1434" i="1" s="1"/>
  <c r="J1433" i="1" a="1"/>
  <c r="J1433" i="1" s="1"/>
  <c r="I1433" i="1"/>
  <c r="M1433" i="1" s="1"/>
  <c r="J1432" i="1" a="1"/>
  <c r="J1432" i="1" s="1"/>
  <c r="I1432" i="1"/>
  <c r="M1432" i="1" s="1"/>
  <c r="J1431" i="1"/>
  <c r="J1431" i="1" a="1"/>
  <c r="I1431" i="1"/>
  <c r="M1431" i="1" s="1"/>
  <c r="J1430" i="1" a="1"/>
  <c r="J1430" i="1" s="1"/>
  <c r="I1430" i="1"/>
  <c r="M1430" i="1" s="1"/>
  <c r="J1429" i="1" a="1"/>
  <c r="J1429" i="1" s="1"/>
  <c r="I1429" i="1"/>
  <c r="M1429" i="1" s="1"/>
  <c r="J1428" i="1" a="1"/>
  <c r="J1428" i="1" s="1"/>
  <c r="I1428" i="1"/>
  <c r="M1428" i="1" s="1"/>
  <c r="J1427" i="1" a="1"/>
  <c r="J1427" i="1" s="1"/>
  <c r="I1427" i="1"/>
  <c r="M1427" i="1" s="1"/>
  <c r="J1426" i="1"/>
  <c r="J1426" i="1" a="1"/>
  <c r="I1426" i="1"/>
  <c r="M1426" i="1" s="1"/>
  <c r="J1425" i="1" a="1"/>
  <c r="J1425" i="1" s="1"/>
  <c r="I1425" i="1"/>
  <c r="M1425" i="1" s="1"/>
  <c r="J1424" i="1" a="1"/>
  <c r="J1424" i="1" s="1"/>
  <c r="I1424" i="1"/>
  <c r="M1424" i="1" s="1"/>
  <c r="J1423" i="1"/>
  <c r="J1423" i="1" a="1"/>
  <c r="I1423" i="1"/>
  <c r="M1423" i="1" s="1"/>
  <c r="J1422" i="1"/>
  <c r="J1422" i="1" a="1"/>
  <c r="I1422" i="1"/>
  <c r="M1422" i="1" s="1"/>
  <c r="J1421" i="1" a="1"/>
  <c r="J1421" i="1" s="1"/>
  <c r="I1421" i="1"/>
  <c r="M1421" i="1" s="1"/>
  <c r="J1420" i="1" a="1"/>
  <c r="J1420" i="1" s="1"/>
  <c r="I1420" i="1"/>
  <c r="M1420" i="1" s="1"/>
  <c r="J1419" i="1" a="1"/>
  <c r="J1419" i="1" s="1"/>
  <c r="I1419" i="1"/>
  <c r="M1419" i="1" s="1"/>
  <c r="J1418" i="1" a="1"/>
  <c r="J1418" i="1" s="1"/>
  <c r="I1418" i="1"/>
  <c r="M1418" i="1" s="1"/>
  <c r="J1417" i="1" a="1"/>
  <c r="J1417" i="1" s="1"/>
  <c r="I1417" i="1"/>
  <c r="M1417" i="1" s="1"/>
  <c r="J1416" i="1" a="1"/>
  <c r="J1416" i="1" s="1"/>
  <c r="I1416" i="1"/>
  <c r="M1416" i="1" s="1"/>
  <c r="J1415" i="1" a="1"/>
  <c r="J1415" i="1" s="1"/>
  <c r="I1415" i="1"/>
  <c r="M1415" i="1" s="1"/>
  <c r="J1414" i="1" a="1"/>
  <c r="J1414" i="1" s="1"/>
  <c r="I1414" i="1"/>
  <c r="M1414" i="1" s="1"/>
  <c r="J1413" i="1" a="1"/>
  <c r="J1413" i="1" s="1"/>
  <c r="I1413" i="1"/>
  <c r="M1413" i="1" s="1"/>
  <c r="J1412" i="1" a="1"/>
  <c r="J1412" i="1" s="1"/>
  <c r="I1412" i="1"/>
  <c r="M1412" i="1" s="1"/>
  <c r="J1411" i="1" a="1"/>
  <c r="J1411" i="1" s="1"/>
  <c r="I1411" i="1"/>
  <c r="M1411" i="1" s="1"/>
  <c r="J1410" i="1" a="1"/>
  <c r="J1410" i="1" s="1"/>
  <c r="I1410" i="1"/>
  <c r="M1410" i="1" s="1"/>
  <c r="J1409" i="1" a="1"/>
  <c r="J1409" i="1" s="1"/>
  <c r="I1409" i="1"/>
  <c r="M1409" i="1" s="1"/>
  <c r="M1408" i="1"/>
  <c r="J1408" i="1" a="1"/>
  <c r="J1408" i="1" s="1"/>
  <c r="I1408" i="1"/>
  <c r="J1407" i="1" a="1"/>
  <c r="J1407" i="1" s="1"/>
  <c r="I1407" i="1"/>
  <c r="M1407" i="1" s="1"/>
  <c r="J1406" i="1" a="1"/>
  <c r="J1406" i="1" s="1"/>
  <c r="I1406" i="1"/>
  <c r="M1406" i="1" s="1"/>
  <c r="J1405" i="1" a="1"/>
  <c r="J1405" i="1" s="1"/>
  <c r="I1405" i="1"/>
  <c r="M1405" i="1" s="1"/>
  <c r="J1404" i="1" a="1"/>
  <c r="J1404" i="1" s="1"/>
  <c r="I1404" i="1"/>
  <c r="M1404" i="1" s="1"/>
  <c r="J1403" i="1" a="1"/>
  <c r="J1403" i="1" s="1"/>
  <c r="I1403" i="1"/>
  <c r="M1403" i="1" s="1"/>
  <c r="J1402" i="1" a="1"/>
  <c r="J1402" i="1" s="1"/>
  <c r="I1402" i="1"/>
  <c r="M1402" i="1" s="1"/>
  <c r="J1401" i="1" a="1"/>
  <c r="J1401" i="1" s="1"/>
  <c r="I1401" i="1"/>
  <c r="M1401" i="1" s="1"/>
  <c r="J1400" i="1" a="1"/>
  <c r="J1400" i="1" s="1"/>
  <c r="I1400" i="1"/>
  <c r="M1400" i="1" s="1"/>
  <c r="M1399" i="1"/>
  <c r="J1399" i="1"/>
  <c r="J1399" i="1" a="1"/>
  <c r="I1399" i="1"/>
  <c r="J1398" i="1" a="1"/>
  <c r="J1398" i="1" s="1"/>
  <c r="I1398" i="1"/>
  <c r="M1398" i="1" s="1"/>
  <c r="J1397" i="1"/>
  <c r="J1397" i="1" a="1"/>
  <c r="I1397" i="1"/>
  <c r="M1397" i="1" s="1"/>
  <c r="J1396" i="1" a="1"/>
  <c r="J1396" i="1" s="1"/>
  <c r="I1396" i="1"/>
  <c r="M1396" i="1" s="1"/>
  <c r="J1395" i="1"/>
  <c r="J1395" i="1" a="1"/>
  <c r="I1395" i="1"/>
  <c r="M1395" i="1" s="1"/>
  <c r="J1394" i="1" a="1"/>
  <c r="J1394" i="1" s="1"/>
  <c r="I1394" i="1"/>
  <c r="M1394" i="1" s="1"/>
  <c r="J1393" i="1" a="1"/>
  <c r="J1393" i="1" s="1"/>
  <c r="I1393" i="1"/>
  <c r="M1393" i="1" s="1"/>
  <c r="J1392" i="1" a="1"/>
  <c r="J1392" i="1" s="1"/>
  <c r="I1392" i="1"/>
  <c r="M1392" i="1" s="1"/>
  <c r="J1391" i="1" a="1"/>
  <c r="J1391" i="1" s="1"/>
  <c r="I1391" i="1"/>
  <c r="M1391" i="1" s="1"/>
  <c r="J1390" i="1" a="1"/>
  <c r="J1390" i="1" s="1"/>
  <c r="I1390" i="1"/>
  <c r="M1390" i="1" s="1"/>
  <c r="J1389" i="1" a="1"/>
  <c r="J1389" i="1" s="1"/>
  <c r="I1389" i="1"/>
  <c r="M1389" i="1" s="1"/>
  <c r="J1388" i="1" a="1"/>
  <c r="J1388" i="1" s="1"/>
  <c r="I1388" i="1"/>
  <c r="M1388" i="1" s="1"/>
  <c r="J1387" i="1" a="1"/>
  <c r="J1387" i="1" s="1"/>
  <c r="I1387" i="1"/>
  <c r="M1387" i="1" s="1"/>
  <c r="J1386" i="1" a="1"/>
  <c r="J1386" i="1" s="1"/>
  <c r="I1386" i="1"/>
  <c r="M1386" i="1" s="1"/>
  <c r="J1385" i="1" a="1"/>
  <c r="J1385" i="1" s="1"/>
  <c r="I1385" i="1"/>
  <c r="M1385" i="1" s="1"/>
  <c r="J1384" i="1" a="1"/>
  <c r="J1384" i="1" s="1"/>
  <c r="I1384" i="1"/>
  <c r="M1384" i="1" s="1"/>
  <c r="J1383" i="1" a="1"/>
  <c r="J1383" i="1" s="1"/>
  <c r="I1383" i="1"/>
  <c r="M1383" i="1" s="1"/>
  <c r="J1382" i="1" a="1"/>
  <c r="J1382" i="1" s="1"/>
  <c r="I1382" i="1"/>
  <c r="M1382" i="1" s="1"/>
  <c r="J1381" i="1" a="1"/>
  <c r="J1381" i="1" s="1"/>
  <c r="I1381" i="1"/>
  <c r="M1381" i="1" s="1"/>
  <c r="J1380" i="1" a="1"/>
  <c r="J1380" i="1" s="1"/>
  <c r="I1380" i="1"/>
  <c r="M1380" i="1" s="1"/>
  <c r="M1379" i="1"/>
  <c r="J1379" i="1" a="1"/>
  <c r="J1379" i="1" s="1"/>
  <c r="I1379" i="1"/>
  <c r="J1378" i="1" a="1"/>
  <c r="J1378" i="1" s="1"/>
  <c r="I1378" i="1"/>
  <c r="M1378" i="1" s="1"/>
  <c r="J1377" i="1" a="1"/>
  <c r="J1377" i="1" s="1"/>
  <c r="I1377" i="1"/>
  <c r="M1377" i="1" s="1"/>
  <c r="J1376" i="1" a="1"/>
  <c r="J1376" i="1" s="1"/>
  <c r="I1376" i="1"/>
  <c r="M1376" i="1" s="1"/>
  <c r="J1375" i="1" a="1"/>
  <c r="J1375" i="1" s="1"/>
  <c r="I1375" i="1"/>
  <c r="M1375" i="1" s="1"/>
  <c r="J1374" i="1" a="1"/>
  <c r="J1374" i="1" s="1"/>
  <c r="I1374" i="1"/>
  <c r="M1374" i="1" s="1"/>
  <c r="J1373" i="1" a="1"/>
  <c r="J1373" i="1" s="1"/>
  <c r="I1373" i="1"/>
  <c r="M1373" i="1" s="1"/>
  <c r="J1372" i="1"/>
  <c r="J1372" i="1" a="1"/>
  <c r="I1372" i="1"/>
  <c r="M1372" i="1" s="1"/>
  <c r="M1371" i="1"/>
  <c r="J1371" i="1" a="1"/>
  <c r="J1371" i="1" s="1"/>
  <c r="I1371" i="1"/>
  <c r="J1370" i="1" a="1"/>
  <c r="J1370" i="1" s="1"/>
  <c r="I1370" i="1"/>
  <c r="M1370" i="1" s="1"/>
  <c r="J1369" i="1" a="1"/>
  <c r="J1369" i="1" s="1"/>
  <c r="I1369" i="1"/>
  <c r="M1369" i="1" s="1"/>
  <c r="J1368" i="1" a="1"/>
  <c r="J1368" i="1" s="1"/>
  <c r="I1368" i="1"/>
  <c r="M1368" i="1" s="1"/>
  <c r="J1367" i="1" a="1"/>
  <c r="J1367" i="1" s="1"/>
  <c r="I1367" i="1"/>
  <c r="M1367" i="1" s="1"/>
  <c r="J1366" i="1" a="1"/>
  <c r="J1366" i="1" s="1"/>
  <c r="I1366" i="1"/>
  <c r="M1366" i="1" s="1"/>
  <c r="M1365" i="1"/>
  <c r="J1365" i="1" a="1"/>
  <c r="J1365" i="1" s="1"/>
  <c r="I1365" i="1"/>
  <c r="J1364" i="1" a="1"/>
  <c r="J1364" i="1" s="1"/>
  <c r="I1364" i="1"/>
  <c r="M1364" i="1" s="1"/>
  <c r="J1363" i="1"/>
  <c r="J1363" i="1" a="1"/>
  <c r="I1363" i="1"/>
  <c r="M1363" i="1" s="1"/>
  <c r="J1362" i="1" a="1"/>
  <c r="J1362" i="1" s="1"/>
  <c r="I1362" i="1"/>
  <c r="M1362" i="1" s="1"/>
  <c r="M1361" i="1"/>
  <c r="J1361" i="1" a="1"/>
  <c r="J1361" i="1" s="1"/>
  <c r="I1361" i="1"/>
  <c r="J1360" i="1" a="1"/>
  <c r="J1360" i="1" s="1"/>
  <c r="I1360" i="1"/>
  <c r="M1360" i="1" s="1"/>
  <c r="J1359" i="1"/>
  <c r="J1359" i="1" a="1"/>
  <c r="I1359" i="1"/>
  <c r="M1359" i="1" s="1"/>
  <c r="J1358" i="1" a="1"/>
  <c r="J1358" i="1" s="1"/>
  <c r="I1358" i="1"/>
  <c r="M1358" i="1" s="1"/>
  <c r="J1357" i="1" a="1"/>
  <c r="J1357" i="1" s="1"/>
  <c r="I1357" i="1"/>
  <c r="M1357" i="1" s="1"/>
  <c r="M1356" i="1"/>
  <c r="J1356" i="1" a="1"/>
  <c r="J1356" i="1" s="1"/>
  <c r="I1356" i="1"/>
  <c r="J1355" i="1" a="1"/>
  <c r="J1355" i="1" s="1"/>
  <c r="I1355" i="1"/>
  <c r="M1355" i="1" s="1"/>
  <c r="J1354" i="1"/>
  <c r="J1354" i="1" a="1"/>
  <c r="I1354" i="1"/>
  <c r="M1354" i="1" s="1"/>
  <c r="J1353" i="1" a="1"/>
  <c r="J1353" i="1" s="1"/>
  <c r="I1353" i="1"/>
  <c r="M1353" i="1" s="1"/>
  <c r="J1352" i="1" a="1"/>
  <c r="J1352" i="1" s="1"/>
  <c r="I1352" i="1"/>
  <c r="M1352" i="1" s="1"/>
  <c r="M1351" i="1"/>
  <c r="J1351" i="1" a="1"/>
  <c r="J1351" i="1" s="1"/>
  <c r="I1351" i="1"/>
  <c r="J1350" i="1" a="1"/>
  <c r="J1350" i="1" s="1"/>
  <c r="I1350" i="1"/>
  <c r="M1350" i="1" s="1"/>
  <c r="J1349" i="1" a="1"/>
  <c r="J1349" i="1" s="1"/>
  <c r="I1349" i="1"/>
  <c r="M1349" i="1" s="1"/>
  <c r="J1348" i="1" a="1"/>
  <c r="J1348" i="1" s="1"/>
  <c r="I1348" i="1"/>
  <c r="M1348" i="1" s="1"/>
  <c r="J1347" i="1" a="1"/>
  <c r="J1347" i="1" s="1"/>
  <c r="I1347" i="1"/>
  <c r="M1347" i="1" s="1"/>
  <c r="M1346" i="1"/>
  <c r="J1346" i="1" a="1"/>
  <c r="J1346" i="1" s="1"/>
  <c r="I1346" i="1"/>
  <c r="J1345" i="1" a="1"/>
  <c r="J1345" i="1" s="1"/>
  <c r="I1345" i="1"/>
  <c r="M1345" i="1" s="1"/>
  <c r="M1344" i="1"/>
  <c r="J1344" i="1" a="1"/>
  <c r="J1344" i="1" s="1"/>
  <c r="I1344" i="1"/>
  <c r="J1343" i="1" a="1"/>
  <c r="J1343" i="1" s="1"/>
  <c r="I1343" i="1"/>
  <c r="M1343" i="1" s="1"/>
  <c r="J1342" i="1" a="1"/>
  <c r="J1342" i="1" s="1"/>
  <c r="I1342" i="1"/>
  <c r="M1342" i="1" s="1"/>
  <c r="J1341" i="1" a="1"/>
  <c r="J1341" i="1" s="1"/>
  <c r="I1341" i="1"/>
  <c r="M1341" i="1" s="1"/>
  <c r="J1340" i="1" a="1"/>
  <c r="J1340" i="1" s="1"/>
  <c r="I1340" i="1"/>
  <c r="M1340" i="1" s="1"/>
  <c r="J1339" i="1" a="1"/>
  <c r="J1339" i="1" s="1"/>
  <c r="I1339" i="1"/>
  <c r="M1339" i="1" s="1"/>
  <c r="J1338" i="1" a="1"/>
  <c r="J1338" i="1" s="1"/>
  <c r="I1338" i="1"/>
  <c r="M1338" i="1" s="1"/>
  <c r="J1337" i="1"/>
  <c r="J1337" i="1" a="1"/>
  <c r="I1337" i="1"/>
  <c r="M1337" i="1" s="1"/>
  <c r="J1336" i="1"/>
  <c r="J1336" i="1" a="1"/>
  <c r="I1336" i="1"/>
  <c r="M1336" i="1" s="1"/>
  <c r="J1335" i="1" a="1"/>
  <c r="J1335" i="1" s="1"/>
  <c r="I1335" i="1"/>
  <c r="M1335" i="1" s="1"/>
  <c r="J1334" i="1" a="1"/>
  <c r="J1334" i="1" s="1"/>
  <c r="I1334" i="1"/>
  <c r="M1334" i="1" s="1"/>
  <c r="J1333" i="1" a="1"/>
  <c r="J1333" i="1" s="1"/>
  <c r="I1333" i="1"/>
  <c r="M1333" i="1" s="1"/>
  <c r="J1332" i="1" a="1"/>
  <c r="J1332" i="1" s="1"/>
  <c r="I1332" i="1"/>
  <c r="M1332" i="1" s="1"/>
  <c r="J1331" i="1" a="1"/>
  <c r="J1331" i="1" s="1"/>
  <c r="I1331" i="1"/>
  <c r="M1331" i="1" s="1"/>
  <c r="J1330" i="1" a="1"/>
  <c r="J1330" i="1" s="1"/>
  <c r="I1330" i="1"/>
  <c r="M1330" i="1" s="1"/>
  <c r="J1329" i="1" a="1"/>
  <c r="J1329" i="1" s="1"/>
  <c r="I1329" i="1"/>
  <c r="M1329" i="1" s="1"/>
  <c r="J1328" i="1" a="1"/>
  <c r="J1328" i="1" s="1"/>
  <c r="I1328" i="1"/>
  <c r="M1328" i="1" s="1"/>
  <c r="M1327" i="1"/>
  <c r="J1327" i="1" a="1"/>
  <c r="J1327" i="1" s="1"/>
  <c r="I1327" i="1"/>
  <c r="J1326" i="1" a="1"/>
  <c r="J1326" i="1" s="1"/>
  <c r="I1326" i="1"/>
  <c r="M1326" i="1" s="1"/>
  <c r="J1325" i="1" a="1"/>
  <c r="J1325" i="1" s="1"/>
  <c r="I1325" i="1"/>
  <c r="M1325" i="1" s="1"/>
  <c r="J1324" i="1" a="1"/>
  <c r="J1324" i="1" s="1"/>
  <c r="I1324" i="1"/>
  <c r="M1324" i="1" s="1"/>
  <c r="J1323" i="1" a="1"/>
  <c r="J1323" i="1" s="1"/>
  <c r="I1323" i="1"/>
  <c r="M1323" i="1" s="1"/>
  <c r="J1322" i="1" a="1"/>
  <c r="J1322" i="1" s="1"/>
  <c r="I1322" i="1"/>
  <c r="M1322" i="1" s="1"/>
  <c r="J1321" i="1" a="1"/>
  <c r="J1321" i="1" s="1"/>
  <c r="I1321" i="1"/>
  <c r="M1321" i="1" s="1"/>
  <c r="J1320" i="1" a="1"/>
  <c r="J1320" i="1" s="1"/>
  <c r="I1320" i="1"/>
  <c r="M1320" i="1" s="1"/>
  <c r="J1319" i="1" a="1"/>
  <c r="J1319" i="1" s="1"/>
  <c r="I1319" i="1"/>
  <c r="M1319" i="1" s="1"/>
  <c r="J1318" i="1"/>
  <c r="J1318" i="1" a="1"/>
  <c r="I1318" i="1"/>
  <c r="M1318" i="1" s="1"/>
  <c r="M1317" i="1"/>
  <c r="J1317" i="1" a="1"/>
  <c r="J1317" i="1" s="1"/>
  <c r="I1317" i="1"/>
  <c r="J1316" i="1" a="1"/>
  <c r="J1316" i="1" s="1"/>
  <c r="I1316" i="1"/>
  <c r="M1316" i="1" s="1"/>
  <c r="J1315" i="1" a="1"/>
  <c r="J1315" i="1" s="1"/>
  <c r="I1315" i="1"/>
  <c r="M1315" i="1" s="1"/>
  <c r="J1314" i="1" a="1"/>
  <c r="J1314" i="1" s="1"/>
  <c r="I1314" i="1"/>
  <c r="M1314" i="1" s="1"/>
  <c r="J1313" i="1" a="1"/>
  <c r="J1313" i="1" s="1"/>
  <c r="I1313" i="1"/>
  <c r="M1313" i="1" s="1"/>
  <c r="J1312" i="1" a="1"/>
  <c r="J1312" i="1" s="1"/>
  <c r="I1312" i="1"/>
  <c r="M1312" i="1" s="1"/>
  <c r="J1311" i="1"/>
  <c r="J1311" i="1" a="1"/>
  <c r="I1311" i="1"/>
  <c r="M1311" i="1" s="1"/>
  <c r="J1310" i="1" a="1"/>
  <c r="J1310" i="1" s="1"/>
  <c r="I1310" i="1"/>
  <c r="M1310" i="1" s="1"/>
  <c r="J1309" i="1" a="1"/>
  <c r="J1309" i="1" s="1"/>
  <c r="I1309" i="1"/>
  <c r="M1309" i="1" s="1"/>
  <c r="J1308" i="1" a="1"/>
  <c r="J1308" i="1" s="1"/>
  <c r="I1308" i="1"/>
  <c r="M1308" i="1" s="1"/>
  <c r="M1307" i="1"/>
  <c r="J1307" i="1" a="1"/>
  <c r="J1307" i="1" s="1"/>
  <c r="I1307" i="1"/>
  <c r="J1306" i="1" a="1"/>
  <c r="J1306" i="1" s="1"/>
  <c r="I1306" i="1"/>
  <c r="M1306" i="1" s="1"/>
  <c r="J1305" i="1" a="1"/>
  <c r="J1305" i="1" s="1"/>
  <c r="I1305" i="1"/>
  <c r="M1305" i="1" s="1"/>
  <c r="J1304" i="1" a="1"/>
  <c r="J1304" i="1" s="1"/>
  <c r="I1304" i="1"/>
  <c r="M1304" i="1" s="1"/>
  <c r="J1303" i="1" a="1"/>
  <c r="J1303" i="1" s="1"/>
  <c r="I1303" i="1"/>
  <c r="M1303" i="1" s="1"/>
  <c r="M1302" i="1"/>
  <c r="J1302" i="1"/>
  <c r="J1302" i="1" a="1"/>
  <c r="I1302" i="1"/>
  <c r="J1301" i="1" a="1"/>
  <c r="J1301" i="1" s="1"/>
  <c r="I1301" i="1"/>
  <c r="M1301" i="1" s="1"/>
  <c r="J1300" i="1" a="1"/>
  <c r="J1300" i="1" s="1"/>
  <c r="I1300" i="1"/>
  <c r="M1300" i="1" s="1"/>
  <c r="J1299" i="1" a="1"/>
  <c r="J1299" i="1" s="1"/>
  <c r="I1299" i="1"/>
  <c r="M1299" i="1" s="1"/>
  <c r="J1298" i="1" a="1"/>
  <c r="J1298" i="1" s="1"/>
  <c r="I1298" i="1"/>
  <c r="M1298" i="1" s="1"/>
  <c r="J1297" i="1" a="1"/>
  <c r="J1297" i="1" s="1"/>
  <c r="I1297" i="1"/>
  <c r="M1297" i="1" s="1"/>
  <c r="J1296" i="1" a="1"/>
  <c r="J1296" i="1" s="1"/>
  <c r="I1296" i="1"/>
  <c r="M1296" i="1" s="1"/>
  <c r="J1295" i="1"/>
  <c r="J1295" i="1" a="1"/>
  <c r="I1295" i="1"/>
  <c r="M1295" i="1" s="1"/>
  <c r="J1294" i="1" a="1"/>
  <c r="J1294" i="1" s="1"/>
  <c r="I1294" i="1"/>
  <c r="M1294" i="1" s="1"/>
  <c r="J1293" i="1" a="1"/>
  <c r="J1293" i="1" s="1"/>
  <c r="I1293" i="1"/>
  <c r="M1293" i="1" s="1"/>
  <c r="J1292" i="1" a="1"/>
  <c r="J1292" i="1" s="1"/>
  <c r="I1292" i="1"/>
  <c r="M1292" i="1" s="1"/>
  <c r="J1291" i="1" a="1"/>
  <c r="J1291" i="1" s="1"/>
  <c r="I1291" i="1"/>
  <c r="M1291" i="1" s="1"/>
  <c r="J1290" i="1" a="1"/>
  <c r="J1290" i="1" s="1"/>
  <c r="I1290" i="1"/>
  <c r="M1290" i="1" s="1"/>
  <c r="J1289" i="1" a="1"/>
  <c r="J1289" i="1" s="1"/>
  <c r="I1289" i="1"/>
  <c r="M1289" i="1" s="1"/>
  <c r="M1288" i="1"/>
  <c r="J1288" i="1" a="1"/>
  <c r="J1288" i="1" s="1"/>
  <c r="I1288" i="1"/>
  <c r="J1287" i="1" a="1"/>
  <c r="J1287" i="1" s="1"/>
  <c r="I1287" i="1"/>
  <c r="M1287" i="1" s="1"/>
  <c r="J1286" i="1" a="1"/>
  <c r="J1286" i="1" s="1"/>
  <c r="I1286" i="1"/>
  <c r="M1286" i="1" s="1"/>
  <c r="J1285" i="1" a="1"/>
  <c r="J1285" i="1" s="1"/>
  <c r="I1285" i="1"/>
  <c r="M1285" i="1" s="1"/>
  <c r="J1284" i="1" a="1"/>
  <c r="J1284" i="1" s="1"/>
  <c r="I1284" i="1"/>
  <c r="M1284" i="1" s="1"/>
  <c r="J1283" i="1" a="1"/>
  <c r="J1283" i="1" s="1"/>
  <c r="I1283" i="1"/>
  <c r="M1283" i="1" s="1"/>
  <c r="J1282" i="1" a="1"/>
  <c r="J1282" i="1" s="1"/>
  <c r="I1282" i="1"/>
  <c r="M1282" i="1" s="1"/>
  <c r="J1281" i="1" a="1"/>
  <c r="J1281" i="1" s="1"/>
  <c r="I1281" i="1"/>
  <c r="M1281" i="1" s="1"/>
  <c r="J1280" i="1" a="1"/>
  <c r="J1280" i="1" s="1"/>
  <c r="I1280" i="1"/>
  <c r="M1280" i="1" s="1"/>
  <c r="J1279" i="1" a="1"/>
  <c r="J1279" i="1" s="1"/>
  <c r="I1279" i="1"/>
  <c r="M1279" i="1" s="1"/>
  <c r="J1278" i="1"/>
  <c r="J1278" i="1" a="1"/>
  <c r="I1278" i="1"/>
  <c r="M1278" i="1" s="1"/>
  <c r="J1277" i="1"/>
  <c r="J1277" i="1" a="1"/>
  <c r="I1277" i="1"/>
  <c r="M1277" i="1" s="1"/>
  <c r="J1276" i="1" a="1"/>
  <c r="J1276" i="1" s="1"/>
  <c r="I1276" i="1"/>
  <c r="M1276" i="1" s="1"/>
  <c r="J1275" i="1" a="1"/>
  <c r="J1275" i="1" s="1"/>
  <c r="I1275" i="1"/>
  <c r="M1275" i="1" s="1"/>
  <c r="J1274" i="1"/>
  <c r="J1274" i="1" a="1"/>
  <c r="I1274" i="1"/>
  <c r="M1274" i="1" s="1"/>
  <c r="J1273" i="1" a="1"/>
  <c r="J1273" i="1" s="1"/>
  <c r="I1273" i="1"/>
  <c r="M1273" i="1" s="1"/>
  <c r="J1272" i="1" a="1"/>
  <c r="J1272" i="1" s="1"/>
  <c r="I1272" i="1"/>
  <c r="M1272" i="1" s="1"/>
  <c r="J1271" i="1" a="1"/>
  <c r="J1271" i="1" s="1"/>
  <c r="I1271" i="1"/>
  <c r="M1271" i="1" s="1"/>
  <c r="M1270" i="1"/>
  <c r="J1270" i="1" a="1"/>
  <c r="J1270" i="1" s="1"/>
  <c r="I1270" i="1"/>
  <c r="J1269" i="1" a="1"/>
  <c r="J1269" i="1" s="1"/>
  <c r="I1269" i="1"/>
  <c r="M1269" i="1" s="1"/>
  <c r="J1268" i="1" a="1"/>
  <c r="J1268" i="1" s="1"/>
  <c r="I1268" i="1"/>
  <c r="M1268" i="1" s="1"/>
  <c r="J1267" i="1" a="1"/>
  <c r="J1267" i="1" s="1"/>
  <c r="I1267" i="1"/>
  <c r="M1267" i="1" s="1"/>
  <c r="J1266" i="1" a="1"/>
  <c r="J1266" i="1" s="1"/>
  <c r="I1266" i="1"/>
  <c r="M1266" i="1" s="1"/>
  <c r="J1265" i="1" a="1"/>
  <c r="J1265" i="1" s="1"/>
  <c r="I1265" i="1"/>
  <c r="M1265" i="1" s="1"/>
  <c r="J1264" i="1" a="1"/>
  <c r="J1264" i="1" s="1"/>
  <c r="I1264" i="1"/>
  <c r="M1264" i="1" s="1"/>
  <c r="M1263" i="1"/>
  <c r="J1263" i="1" a="1"/>
  <c r="J1263" i="1" s="1"/>
  <c r="I1263" i="1"/>
  <c r="J1262" i="1" a="1"/>
  <c r="J1262" i="1" s="1"/>
  <c r="I1262" i="1"/>
  <c r="M1262" i="1" s="1"/>
  <c r="J1261" i="1" a="1"/>
  <c r="J1261" i="1" s="1"/>
  <c r="I1261" i="1"/>
  <c r="M1261" i="1" s="1"/>
  <c r="J1260" i="1" a="1"/>
  <c r="J1260" i="1" s="1"/>
  <c r="I1260" i="1"/>
  <c r="M1260" i="1" s="1"/>
  <c r="J1259" i="1" a="1"/>
  <c r="J1259" i="1" s="1"/>
  <c r="I1259" i="1"/>
  <c r="M1259" i="1" s="1"/>
  <c r="J1258" i="1" a="1"/>
  <c r="J1258" i="1" s="1"/>
  <c r="I1258" i="1"/>
  <c r="M1258" i="1" s="1"/>
  <c r="J1257" i="1" a="1"/>
  <c r="J1257" i="1" s="1"/>
  <c r="I1257" i="1"/>
  <c r="M1257" i="1" s="1"/>
  <c r="J1256" i="1" a="1"/>
  <c r="J1256" i="1" s="1"/>
  <c r="I1256" i="1"/>
  <c r="M1256" i="1" s="1"/>
  <c r="M1255" i="1"/>
  <c r="J1255" i="1"/>
  <c r="J1255" i="1" a="1"/>
  <c r="I1255" i="1"/>
  <c r="J1254" i="1" a="1"/>
  <c r="J1254" i="1" s="1"/>
  <c r="I1254" i="1"/>
  <c r="M1254" i="1" s="1"/>
  <c r="J1253" i="1" a="1"/>
  <c r="J1253" i="1" s="1"/>
  <c r="I1253" i="1"/>
  <c r="M1253" i="1" s="1"/>
  <c r="J1252" i="1" a="1"/>
  <c r="J1252" i="1" s="1"/>
  <c r="I1252" i="1"/>
  <c r="M1252" i="1" s="1"/>
  <c r="J1251" i="1" a="1"/>
  <c r="J1251" i="1" s="1"/>
  <c r="I1251" i="1"/>
  <c r="M1251" i="1" s="1"/>
  <c r="J1250" i="1" a="1"/>
  <c r="J1250" i="1" s="1"/>
  <c r="I1250" i="1"/>
  <c r="M1250" i="1" s="1"/>
  <c r="J1249" i="1" a="1"/>
  <c r="J1249" i="1" s="1"/>
  <c r="I1249" i="1"/>
  <c r="M1249" i="1" s="1"/>
  <c r="J1248" i="1" a="1"/>
  <c r="J1248" i="1" s="1"/>
  <c r="I1248" i="1"/>
  <c r="M1248" i="1" s="1"/>
  <c r="J1247" i="1" a="1"/>
  <c r="J1247" i="1" s="1"/>
  <c r="I1247" i="1"/>
  <c r="M1247" i="1" s="1"/>
  <c r="J1246" i="1" a="1"/>
  <c r="J1246" i="1" s="1"/>
  <c r="I1246" i="1"/>
  <c r="M1246" i="1" s="1"/>
  <c r="J1245" i="1" a="1"/>
  <c r="J1245" i="1" s="1"/>
  <c r="I1245" i="1"/>
  <c r="M1245" i="1" s="1"/>
  <c r="J1244" i="1" a="1"/>
  <c r="J1244" i="1" s="1"/>
  <c r="I1244" i="1"/>
  <c r="M1244" i="1" s="1"/>
  <c r="J1243" i="1" a="1"/>
  <c r="J1243" i="1" s="1"/>
  <c r="I1243" i="1"/>
  <c r="M1243" i="1" s="1"/>
  <c r="J1242" i="1" a="1"/>
  <c r="J1242" i="1" s="1"/>
  <c r="I1242" i="1"/>
  <c r="M1242" i="1" s="1"/>
  <c r="J1241" i="1" a="1"/>
  <c r="J1241" i="1" s="1"/>
  <c r="I1241" i="1"/>
  <c r="M1241" i="1" s="1"/>
  <c r="J1240" i="1" a="1"/>
  <c r="J1240" i="1" s="1"/>
  <c r="I1240" i="1"/>
  <c r="M1240" i="1" s="1"/>
  <c r="M1239" i="1"/>
  <c r="J1239" i="1" a="1"/>
  <c r="J1239" i="1" s="1"/>
  <c r="I1239" i="1"/>
  <c r="J1238" i="1" a="1"/>
  <c r="J1238" i="1" s="1"/>
  <c r="I1238" i="1"/>
  <c r="M1238" i="1" s="1"/>
  <c r="J1237" i="1" a="1"/>
  <c r="J1237" i="1" s="1"/>
  <c r="I1237" i="1"/>
  <c r="M1237" i="1" s="1"/>
  <c r="J1236" i="1" a="1"/>
  <c r="J1236" i="1" s="1"/>
  <c r="I1236" i="1"/>
  <c r="M1236" i="1" s="1"/>
  <c r="J1235" i="1" a="1"/>
  <c r="J1235" i="1" s="1"/>
  <c r="I1235" i="1"/>
  <c r="M1235" i="1" s="1"/>
  <c r="M1234" i="1"/>
  <c r="J1234" i="1" a="1"/>
  <c r="J1234" i="1" s="1"/>
  <c r="I1234" i="1"/>
  <c r="J1233" i="1" a="1"/>
  <c r="J1233" i="1" s="1"/>
  <c r="I1233" i="1"/>
  <c r="M1233" i="1" s="1"/>
  <c r="J1232" i="1" a="1"/>
  <c r="J1232" i="1" s="1"/>
  <c r="I1232" i="1"/>
  <c r="M1232" i="1" s="1"/>
  <c r="J1231" i="1" a="1"/>
  <c r="J1231" i="1" s="1"/>
  <c r="I1231" i="1"/>
  <c r="M1231" i="1" s="1"/>
  <c r="J1230" i="1" a="1"/>
  <c r="J1230" i="1" s="1"/>
  <c r="I1230" i="1"/>
  <c r="M1230" i="1" s="1"/>
  <c r="J1229" i="1" a="1"/>
  <c r="J1229" i="1" s="1"/>
  <c r="I1229" i="1"/>
  <c r="M1229" i="1" s="1"/>
  <c r="J1228" i="1" a="1"/>
  <c r="J1228" i="1" s="1"/>
  <c r="I1228" i="1"/>
  <c r="M1228" i="1" s="1"/>
  <c r="J1227" i="1" a="1"/>
  <c r="J1227" i="1" s="1"/>
  <c r="I1227" i="1"/>
  <c r="M1227" i="1" s="1"/>
  <c r="J1226" i="1" a="1"/>
  <c r="J1226" i="1" s="1"/>
  <c r="I1226" i="1"/>
  <c r="M1226" i="1" s="1"/>
  <c r="J1225" i="1" a="1"/>
  <c r="J1225" i="1" s="1"/>
  <c r="I1225" i="1"/>
  <c r="M1225" i="1" s="1"/>
  <c r="J1224" i="1" a="1"/>
  <c r="J1224" i="1" s="1"/>
  <c r="I1224" i="1"/>
  <c r="M1224" i="1" s="1"/>
  <c r="J1223" i="1" a="1"/>
  <c r="J1223" i="1" s="1"/>
  <c r="I1223" i="1"/>
  <c r="M1223" i="1" s="1"/>
  <c r="J1222" i="1" a="1"/>
  <c r="J1222" i="1" s="1"/>
  <c r="I1222" i="1"/>
  <c r="M1222" i="1" s="1"/>
  <c r="J1221" i="1" a="1"/>
  <c r="J1221" i="1" s="1"/>
  <c r="I1221" i="1"/>
  <c r="M1221" i="1" s="1"/>
  <c r="J1220" i="1" a="1"/>
  <c r="J1220" i="1" s="1"/>
  <c r="I1220" i="1"/>
  <c r="M1220" i="1" s="1"/>
  <c r="J1219" i="1" a="1"/>
  <c r="J1219" i="1" s="1"/>
  <c r="I1219" i="1"/>
  <c r="M1219" i="1" s="1"/>
  <c r="J1218" i="1" a="1"/>
  <c r="J1218" i="1" s="1"/>
  <c r="I1218" i="1"/>
  <c r="M1218" i="1" s="1"/>
  <c r="J1217" i="1" a="1"/>
  <c r="J1217" i="1" s="1"/>
  <c r="I1217" i="1"/>
  <c r="M1217" i="1" s="1"/>
  <c r="J1216" i="1" a="1"/>
  <c r="J1216" i="1" s="1"/>
  <c r="I1216" i="1"/>
  <c r="M1216" i="1" s="1"/>
  <c r="J1215" i="1" a="1"/>
  <c r="J1215" i="1" s="1"/>
  <c r="I1215" i="1"/>
  <c r="M1215" i="1" s="1"/>
  <c r="J1214" i="1" a="1"/>
  <c r="J1214" i="1" s="1"/>
  <c r="I1214" i="1"/>
  <c r="M1214" i="1" s="1"/>
  <c r="J1213" i="1"/>
  <c r="J1213" i="1" a="1"/>
  <c r="I1213" i="1"/>
  <c r="M1213" i="1" s="1"/>
  <c r="J1212" i="1" a="1"/>
  <c r="J1212" i="1" s="1"/>
  <c r="I1212" i="1"/>
  <c r="M1212" i="1" s="1"/>
  <c r="J1211" i="1" a="1"/>
  <c r="J1211" i="1" s="1"/>
  <c r="I1211" i="1"/>
  <c r="M1211" i="1" s="1"/>
  <c r="J1210" i="1" a="1"/>
  <c r="J1210" i="1" s="1"/>
  <c r="I1210" i="1"/>
  <c r="M1210" i="1" s="1"/>
  <c r="J1209" i="1" a="1"/>
  <c r="J1209" i="1" s="1"/>
  <c r="I1209" i="1"/>
  <c r="M1209" i="1" s="1"/>
  <c r="M1208" i="1"/>
  <c r="J1208" i="1" a="1"/>
  <c r="J1208" i="1" s="1"/>
  <c r="I1208" i="1"/>
  <c r="J1207" i="1" a="1"/>
  <c r="J1207" i="1" s="1"/>
  <c r="I1207" i="1"/>
  <c r="M1207" i="1" s="1"/>
  <c r="J1206" i="1" a="1"/>
  <c r="J1206" i="1" s="1"/>
  <c r="I1206" i="1"/>
  <c r="M1206" i="1" s="1"/>
  <c r="J1205" i="1" a="1"/>
  <c r="J1205" i="1" s="1"/>
  <c r="I1205" i="1"/>
  <c r="M1205" i="1" s="1"/>
  <c r="J1204" i="1" a="1"/>
  <c r="J1204" i="1" s="1"/>
  <c r="I1204" i="1"/>
  <c r="M1204" i="1" s="1"/>
  <c r="J1203" i="1" a="1"/>
  <c r="J1203" i="1" s="1"/>
  <c r="I1203" i="1"/>
  <c r="M1203" i="1" s="1"/>
  <c r="J1202" i="1" a="1"/>
  <c r="J1202" i="1" s="1"/>
  <c r="I1202" i="1"/>
  <c r="M1202" i="1" s="1"/>
  <c r="J1201" i="1" a="1"/>
  <c r="J1201" i="1" s="1"/>
  <c r="I1201" i="1"/>
  <c r="M1201" i="1" s="1"/>
  <c r="J1200" i="1" a="1"/>
  <c r="J1200" i="1" s="1"/>
  <c r="I1200" i="1"/>
  <c r="M1200" i="1" s="1"/>
  <c r="M1199" i="1"/>
  <c r="J1199" i="1" a="1"/>
  <c r="J1199" i="1" s="1"/>
  <c r="I1199" i="1"/>
  <c r="J1198" i="1"/>
  <c r="J1198" i="1" a="1"/>
  <c r="I1198" i="1"/>
  <c r="M1198" i="1" s="1"/>
  <c r="J1197" i="1"/>
  <c r="J1197" i="1" a="1"/>
  <c r="I1197" i="1"/>
  <c r="M1197" i="1" s="1"/>
  <c r="J1196" i="1"/>
  <c r="J1196" i="1" a="1"/>
  <c r="I1196" i="1"/>
  <c r="M1196" i="1" s="1"/>
  <c r="J1195" i="1" a="1"/>
  <c r="J1195" i="1" s="1"/>
  <c r="I1195" i="1"/>
  <c r="M1195" i="1" s="1"/>
  <c r="M1194" i="1"/>
  <c r="J1194" i="1" a="1"/>
  <c r="J1194" i="1" s="1"/>
  <c r="I1194" i="1"/>
  <c r="M1193" i="1"/>
  <c r="J1193" i="1" a="1"/>
  <c r="J1193" i="1" s="1"/>
  <c r="I1193" i="1"/>
  <c r="J1192" i="1" a="1"/>
  <c r="J1192" i="1" s="1"/>
  <c r="I1192" i="1"/>
  <c r="M1192" i="1" s="1"/>
  <c r="J1191" i="1" a="1"/>
  <c r="J1191" i="1" s="1"/>
  <c r="I1191" i="1"/>
  <c r="M1191" i="1" s="1"/>
  <c r="J1190" i="1" a="1"/>
  <c r="J1190" i="1" s="1"/>
  <c r="I1190" i="1"/>
  <c r="M1190" i="1" s="1"/>
  <c r="J1189" i="1" a="1"/>
  <c r="J1189" i="1" s="1"/>
  <c r="I1189" i="1"/>
  <c r="M1189" i="1" s="1"/>
  <c r="J1188" i="1" a="1"/>
  <c r="J1188" i="1" s="1"/>
  <c r="I1188" i="1"/>
  <c r="M1188" i="1" s="1"/>
  <c r="J1187" i="1" a="1"/>
  <c r="J1187" i="1" s="1"/>
  <c r="I1187" i="1"/>
  <c r="M1187" i="1" s="1"/>
  <c r="J1186" i="1" a="1"/>
  <c r="J1186" i="1" s="1"/>
  <c r="I1186" i="1"/>
  <c r="M1186" i="1" s="1"/>
  <c r="J1185" i="1" a="1"/>
  <c r="J1185" i="1" s="1"/>
  <c r="I1185" i="1"/>
  <c r="M1185" i="1" s="1"/>
  <c r="J1184" i="1" a="1"/>
  <c r="J1184" i="1" s="1"/>
  <c r="I1184" i="1"/>
  <c r="M1184" i="1" s="1"/>
  <c r="M1183" i="1"/>
  <c r="J1183" i="1" a="1"/>
  <c r="J1183" i="1" s="1"/>
  <c r="I1183" i="1"/>
  <c r="J1182" i="1" a="1"/>
  <c r="J1182" i="1" s="1"/>
  <c r="I1182" i="1"/>
  <c r="M1182" i="1" s="1"/>
  <c r="J1181" i="1" a="1"/>
  <c r="J1181" i="1" s="1"/>
  <c r="I1181" i="1"/>
  <c r="M1181" i="1" s="1"/>
  <c r="J1180" i="1" a="1"/>
  <c r="J1180" i="1" s="1"/>
  <c r="I1180" i="1"/>
  <c r="M1180" i="1" s="1"/>
  <c r="J1179" i="1" a="1"/>
  <c r="J1179" i="1" s="1"/>
  <c r="I1179" i="1"/>
  <c r="M1179" i="1" s="1"/>
  <c r="J1178" i="1" a="1"/>
  <c r="J1178" i="1" s="1"/>
  <c r="I1178" i="1"/>
  <c r="M1178" i="1" s="1"/>
  <c r="J1177" i="1" a="1"/>
  <c r="J1177" i="1" s="1"/>
  <c r="I1177" i="1"/>
  <c r="M1177" i="1" s="1"/>
  <c r="J1176" i="1" a="1"/>
  <c r="J1176" i="1" s="1"/>
  <c r="I1176" i="1"/>
  <c r="M1176" i="1" s="1"/>
  <c r="M1175" i="1"/>
  <c r="J1175" i="1" a="1"/>
  <c r="J1175" i="1" s="1"/>
  <c r="I1175" i="1"/>
  <c r="J1174" i="1" a="1"/>
  <c r="J1174" i="1" s="1"/>
  <c r="I1174" i="1"/>
  <c r="M1174" i="1" s="1"/>
  <c r="M1173" i="1"/>
  <c r="J1173" i="1" a="1"/>
  <c r="J1173" i="1" s="1"/>
  <c r="I1173" i="1"/>
  <c r="J1172" i="1" a="1"/>
  <c r="J1172" i="1" s="1"/>
  <c r="I1172" i="1"/>
  <c r="M1172" i="1" s="1"/>
  <c r="J1171" i="1" a="1"/>
  <c r="J1171" i="1" s="1"/>
  <c r="I1171" i="1"/>
  <c r="M1171" i="1" s="1"/>
  <c r="J1170" i="1" a="1"/>
  <c r="J1170" i="1" s="1"/>
  <c r="I1170" i="1"/>
  <c r="M1170" i="1" s="1"/>
  <c r="M1169" i="1"/>
  <c r="J1169" i="1" a="1"/>
  <c r="J1169" i="1" s="1"/>
  <c r="I1169" i="1"/>
  <c r="J1168" i="1" a="1"/>
  <c r="J1168" i="1" s="1"/>
  <c r="I1168" i="1"/>
  <c r="M1168" i="1" s="1"/>
  <c r="J1167" i="1" a="1"/>
  <c r="J1167" i="1" s="1"/>
  <c r="I1167" i="1"/>
  <c r="M1167" i="1" s="1"/>
  <c r="J1166" i="1" a="1"/>
  <c r="J1166" i="1" s="1"/>
  <c r="I1166" i="1"/>
  <c r="M1166" i="1" s="1"/>
  <c r="J1165" i="1" a="1"/>
  <c r="J1165" i="1" s="1"/>
  <c r="I1165" i="1"/>
  <c r="M1165" i="1" s="1"/>
  <c r="J1164" i="1" a="1"/>
  <c r="J1164" i="1" s="1"/>
  <c r="I1164" i="1"/>
  <c r="M1164" i="1" s="1"/>
  <c r="J1163" i="1" a="1"/>
  <c r="J1163" i="1" s="1"/>
  <c r="I1163" i="1"/>
  <c r="M1163" i="1" s="1"/>
  <c r="J1162" i="1" a="1"/>
  <c r="J1162" i="1" s="1"/>
  <c r="I1162" i="1"/>
  <c r="M1162" i="1" s="1"/>
  <c r="J1161" i="1" a="1"/>
  <c r="J1161" i="1" s="1"/>
  <c r="I1161" i="1"/>
  <c r="M1161" i="1" s="1"/>
  <c r="J1160" i="1"/>
  <c r="J1160" i="1" a="1"/>
  <c r="I1160" i="1"/>
  <c r="M1160" i="1" s="1"/>
  <c r="J1159" i="1" a="1"/>
  <c r="J1159" i="1" s="1"/>
  <c r="I1159" i="1"/>
  <c r="M1159" i="1" s="1"/>
  <c r="J1158" i="1" a="1"/>
  <c r="J1158" i="1" s="1"/>
  <c r="I1158" i="1"/>
  <c r="M1158" i="1" s="1"/>
  <c r="J1157" i="1" a="1"/>
  <c r="J1157" i="1" s="1"/>
  <c r="I1157" i="1"/>
  <c r="M1157" i="1" s="1"/>
  <c r="M1156" i="1"/>
  <c r="J1156" i="1" a="1"/>
  <c r="J1156" i="1" s="1"/>
  <c r="I1156" i="1"/>
  <c r="J1155" i="1" a="1"/>
  <c r="J1155" i="1" s="1"/>
  <c r="I1155" i="1"/>
  <c r="M1155" i="1" s="1"/>
  <c r="M1154" i="1"/>
  <c r="J1154" i="1" a="1"/>
  <c r="J1154" i="1" s="1"/>
  <c r="I1154" i="1"/>
  <c r="J1153" i="1" a="1"/>
  <c r="J1153" i="1" s="1"/>
  <c r="I1153" i="1"/>
  <c r="M1153" i="1" s="1"/>
  <c r="J1152" i="1"/>
  <c r="J1152" i="1" a="1"/>
  <c r="I1152" i="1"/>
  <c r="M1152" i="1" s="1"/>
  <c r="J1151" i="1" a="1"/>
  <c r="J1151" i="1" s="1"/>
  <c r="I1151" i="1"/>
  <c r="M1151" i="1" s="1"/>
  <c r="J1150" i="1" a="1"/>
  <c r="J1150" i="1" s="1"/>
  <c r="I1150" i="1"/>
  <c r="M1150" i="1" s="1"/>
  <c r="J1149" i="1" a="1"/>
  <c r="J1149" i="1" s="1"/>
  <c r="I1149" i="1"/>
  <c r="M1149" i="1" s="1"/>
  <c r="J1148" i="1" a="1"/>
  <c r="J1148" i="1" s="1"/>
  <c r="I1148" i="1"/>
  <c r="M1148" i="1" s="1"/>
  <c r="J1147" i="1" a="1"/>
  <c r="J1147" i="1" s="1"/>
  <c r="I1147" i="1"/>
  <c r="M1147" i="1" s="1"/>
  <c r="J1146" i="1" a="1"/>
  <c r="J1146" i="1" s="1"/>
  <c r="I1146" i="1"/>
  <c r="M1146" i="1" s="1"/>
  <c r="J1145" i="1" a="1"/>
  <c r="J1145" i="1" s="1"/>
  <c r="I1145" i="1"/>
  <c r="M1145" i="1" s="1"/>
  <c r="J1144" i="1" a="1"/>
  <c r="J1144" i="1" s="1"/>
  <c r="I1144" i="1"/>
  <c r="M1144" i="1" s="1"/>
  <c r="J1143" i="1" a="1"/>
  <c r="J1143" i="1" s="1"/>
  <c r="I1143" i="1"/>
  <c r="M1143" i="1" s="1"/>
  <c r="J1142" i="1" a="1"/>
  <c r="J1142" i="1" s="1"/>
  <c r="I1142" i="1"/>
  <c r="M1142" i="1" s="1"/>
  <c r="J1141" i="1" a="1"/>
  <c r="J1141" i="1" s="1"/>
  <c r="I1141" i="1"/>
  <c r="M1141" i="1" s="1"/>
  <c r="J1140" i="1" a="1"/>
  <c r="J1140" i="1" s="1"/>
  <c r="I1140" i="1"/>
  <c r="M1140" i="1" s="1"/>
  <c r="J1139" i="1" a="1"/>
  <c r="J1139" i="1" s="1"/>
  <c r="I1139" i="1"/>
  <c r="M1139" i="1" s="1"/>
  <c r="J1138" i="1" a="1"/>
  <c r="J1138" i="1" s="1"/>
  <c r="I1138" i="1"/>
  <c r="M1138" i="1" s="1"/>
  <c r="M1137" i="1"/>
  <c r="J1137" i="1" a="1"/>
  <c r="J1137" i="1" s="1"/>
  <c r="I1137" i="1"/>
  <c r="J1136" i="1" a="1"/>
  <c r="J1136" i="1" s="1"/>
  <c r="I1136" i="1"/>
  <c r="M1136" i="1" s="1"/>
  <c r="J1135" i="1" a="1"/>
  <c r="J1135" i="1" s="1"/>
  <c r="I1135" i="1"/>
  <c r="M1135" i="1" s="1"/>
  <c r="J1134" i="1"/>
  <c r="J1134" i="1" a="1"/>
  <c r="I1134" i="1"/>
  <c r="M1134" i="1" s="1"/>
  <c r="J1133" i="1" a="1"/>
  <c r="J1133" i="1" s="1"/>
  <c r="I1133" i="1"/>
  <c r="M1133" i="1" s="1"/>
  <c r="J1132" i="1" a="1"/>
  <c r="J1132" i="1" s="1"/>
  <c r="I1132" i="1"/>
  <c r="M1132" i="1" s="1"/>
  <c r="J1131" i="1" a="1"/>
  <c r="J1131" i="1" s="1"/>
  <c r="I1131" i="1"/>
  <c r="M1131" i="1" s="1"/>
  <c r="J1130" i="1" a="1"/>
  <c r="J1130" i="1" s="1"/>
  <c r="I1130" i="1"/>
  <c r="M1130" i="1" s="1"/>
  <c r="M1129" i="1"/>
  <c r="J1129" i="1" a="1"/>
  <c r="J1129" i="1" s="1"/>
  <c r="I1129" i="1"/>
  <c r="M1128" i="1"/>
  <c r="J1128" i="1" a="1"/>
  <c r="J1128" i="1" s="1"/>
  <c r="I1128" i="1"/>
  <c r="J1127" i="1" a="1"/>
  <c r="J1127" i="1" s="1"/>
  <c r="I1127" i="1"/>
  <c r="M1127" i="1" s="1"/>
  <c r="J1126" i="1" a="1"/>
  <c r="J1126" i="1" s="1"/>
  <c r="I1126" i="1"/>
  <c r="M1126" i="1" s="1"/>
  <c r="J1125" i="1" a="1"/>
  <c r="J1125" i="1" s="1"/>
  <c r="I1125" i="1"/>
  <c r="M1125" i="1" s="1"/>
  <c r="J1124" i="1" a="1"/>
  <c r="J1124" i="1" s="1"/>
  <c r="I1124" i="1"/>
  <c r="M1124" i="1" s="1"/>
  <c r="J1123" i="1" a="1"/>
  <c r="J1123" i="1" s="1"/>
  <c r="I1123" i="1"/>
  <c r="M1123" i="1" s="1"/>
  <c r="J1122" i="1" a="1"/>
  <c r="J1122" i="1" s="1"/>
  <c r="I1122" i="1"/>
  <c r="M1122" i="1" s="1"/>
  <c r="J1121" i="1" a="1"/>
  <c r="J1121" i="1" s="1"/>
  <c r="I1121" i="1"/>
  <c r="M1121" i="1" s="1"/>
  <c r="J1120" i="1" a="1"/>
  <c r="J1120" i="1" s="1"/>
  <c r="I1120" i="1"/>
  <c r="M1120" i="1" s="1"/>
  <c r="J1119" i="1" a="1"/>
  <c r="J1119" i="1" s="1"/>
  <c r="I1119" i="1"/>
  <c r="M1119" i="1" s="1"/>
  <c r="J1118" i="1" a="1"/>
  <c r="J1118" i="1" s="1"/>
  <c r="I1118" i="1"/>
  <c r="M1118" i="1" s="1"/>
  <c r="J1117" i="1" a="1"/>
  <c r="J1117" i="1" s="1"/>
  <c r="I1117" i="1"/>
  <c r="M1117" i="1" s="1"/>
  <c r="J1116" i="1"/>
  <c r="J1116" i="1" a="1"/>
  <c r="I1116" i="1"/>
  <c r="M1116" i="1" s="1"/>
  <c r="J1115" i="1" a="1"/>
  <c r="J1115" i="1" s="1"/>
  <c r="I1115" i="1"/>
  <c r="M1115" i="1" s="1"/>
  <c r="J1114" i="1" a="1"/>
  <c r="J1114" i="1" s="1"/>
  <c r="I1114" i="1"/>
  <c r="M1114" i="1" s="1"/>
  <c r="J1113" i="1" a="1"/>
  <c r="J1113" i="1" s="1"/>
  <c r="I1113" i="1"/>
  <c r="M1113" i="1" s="1"/>
  <c r="M1112" i="1"/>
  <c r="J1112" i="1" a="1"/>
  <c r="J1112" i="1" s="1"/>
  <c r="I1112" i="1"/>
  <c r="J1111" i="1" a="1"/>
  <c r="J1111" i="1" s="1"/>
  <c r="I1111" i="1"/>
  <c r="M1111" i="1" s="1"/>
  <c r="J1110" i="1" a="1"/>
  <c r="J1110" i="1" s="1"/>
  <c r="I1110" i="1"/>
  <c r="M1110" i="1" s="1"/>
  <c r="J1109" i="1" a="1"/>
  <c r="J1109" i="1" s="1"/>
  <c r="I1109" i="1"/>
  <c r="M1109" i="1" s="1"/>
  <c r="J1108" i="1" a="1"/>
  <c r="J1108" i="1" s="1"/>
  <c r="I1108" i="1"/>
  <c r="M1108" i="1" s="1"/>
  <c r="J1107" i="1" a="1"/>
  <c r="J1107" i="1" s="1"/>
  <c r="I1107" i="1"/>
  <c r="M1107" i="1" s="1"/>
  <c r="J1106" i="1" a="1"/>
  <c r="J1106" i="1" s="1"/>
  <c r="I1106" i="1"/>
  <c r="M1106" i="1" s="1"/>
  <c r="J1105" i="1" a="1"/>
  <c r="J1105" i="1" s="1"/>
  <c r="I1105" i="1"/>
  <c r="M1105" i="1" s="1"/>
  <c r="J1104" i="1" a="1"/>
  <c r="J1104" i="1" s="1"/>
  <c r="I1104" i="1"/>
  <c r="M1104" i="1" s="1"/>
  <c r="M1103" i="1"/>
  <c r="J1103" i="1" a="1"/>
  <c r="J1103" i="1" s="1"/>
  <c r="I1103" i="1"/>
  <c r="J1102" i="1" a="1"/>
  <c r="J1102" i="1" s="1"/>
  <c r="I1102" i="1"/>
  <c r="M1102" i="1" s="1"/>
  <c r="J1101" i="1" a="1"/>
  <c r="J1101" i="1" s="1"/>
  <c r="I1101" i="1"/>
  <c r="M1101" i="1" s="1"/>
  <c r="J1100" i="1" a="1"/>
  <c r="J1100" i="1" s="1"/>
  <c r="I1100" i="1"/>
  <c r="M1100" i="1" s="1"/>
  <c r="J1099" i="1"/>
  <c r="J1099" i="1" a="1"/>
  <c r="I1099" i="1"/>
  <c r="M1099" i="1" s="1"/>
  <c r="J1098" i="1" a="1"/>
  <c r="J1098" i="1" s="1"/>
  <c r="I1098" i="1"/>
  <c r="M1098" i="1" s="1"/>
  <c r="J1097" i="1" a="1"/>
  <c r="J1097" i="1" s="1"/>
  <c r="I1097" i="1"/>
  <c r="M1097" i="1" s="1"/>
  <c r="J1096" i="1" a="1"/>
  <c r="J1096" i="1" s="1"/>
  <c r="I1096" i="1"/>
  <c r="M1096" i="1" s="1"/>
  <c r="J1095" i="1" a="1"/>
  <c r="J1095" i="1" s="1"/>
  <c r="I1095" i="1"/>
  <c r="M1095" i="1" s="1"/>
  <c r="M1094" i="1"/>
  <c r="J1094" i="1" a="1"/>
  <c r="J1094" i="1" s="1"/>
  <c r="I1094" i="1"/>
  <c r="J1093" i="1" a="1"/>
  <c r="J1093" i="1" s="1"/>
  <c r="I1093" i="1"/>
  <c r="M1093" i="1" s="1"/>
  <c r="J1092" i="1" a="1"/>
  <c r="J1092" i="1" s="1"/>
  <c r="I1092" i="1"/>
  <c r="M1092" i="1" s="1"/>
  <c r="J1091" i="1" a="1"/>
  <c r="J1091" i="1" s="1"/>
  <c r="I1091" i="1"/>
  <c r="M1091" i="1" s="1"/>
  <c r="J1090" i="1" a="1"/>
  <c r="J1090" i="1" s="1"/>
  <c r="I1090" i="1"/>
  <c r="M1090" i="1" s="1"/>
  <c r="J1089" i="1" a="1"/>
  <c r="J1089" i="1" s="1"/>
  <c r="I1089" i="1"/>
  <c r="M1089" i="1" s="1"/>
  <c r="J1088" i="1" a="1"/>
  <c r="J1088" i="1" s="1"/>
  <c r="I1088" i="1"/>
  <c r="M1088" i="1" s="1"/>
  <c r="J1087" i="1" a="1"/>
  <c r="J1087" i="1" s="1"/>
  <c r="I1087" i="1"/>
  <c r="M1087" i="1" s="1"/>
  <c r="J1086" i="1" a="1"/>
  <c r="J1086" i="1" s="1"/>
  <c r="I1086" i="1"/>
  <c r="M1086" i="1" s="1"/>
  <c r="J1085" i="1" a="1"/>
  <c r="J1085" i="1" s="1"/>
  <c r="I1085" i="1"/>
  <c r="M1085" i="1" s="1"/>
  <c r="J1084" i="1" a="1"/>
  <c r="J1084" i="1" s="1"/>
  <c r="I1084" i="1"/>
  <c r="M1084" i="1" s="1"/>
  <c r="J1083" i="1" a="1"/>
  <c r="J1083" i="1" s="1"/>
  <c r="I1083" i="1"/>
  <c r="M1083" i="1" s="1"/>
  <c r="J1082" i="1" a="1"/>
  <c r="J1082" i="1" s="1"/>
  <c r="I1082" i="1"/>
  <c r="M1082" i="1" s="1"/>
  <c r="M1081" i="1"/>
  <c r="J1081" i="1" a="1"/>
  <c r="J1081" i="1" s="1"/>
  <c r="I1081" i="1"/>
  <c r="J1080" i="1" a="1"/>
  <c r="J1080" i="1" s="1"/>
  <c r="I1080" i="1"/>
  <c r="M1080" i="1" s="1"/>
  <c r="J1079" i="1" a="1"/>
  <c r="J1079" i="1" s="1"/>
  <c r="I1079" i="1"/>
  <c r="M1079" i="1" s="1"/>
  <c r="J1078" i="1" a="1"/>
  <c r="J1078" i="1" s="1"/>
  <c r="I1078" i="1"/>
  <c r="M1078" i="1" s="1"/>
  <c r="J1077" i="1" a="1"/>
  <c r="J1077" i="1" s="1"/>
  <c r="I1077" i="1"/>
  <c r="M1077" i="1" s="1"/>
  <c r="J1076" i="1" a="1"/>
  <c r="J1076" i="1" s="1"/>
  <c r="I1076" i="1"/>
  <c r="M1076" i="1" s="1"/>
  <c r="J1075" i="1" a="1"/>
  <c r="J1075" i="1" s="1"/>
  <c r="I1075" i="1"/>
  <c r="M1075" i="1" s="1"/>
  <c r="J1074" i="1" a="1"/>
  <c r="J1074" i="1" s="1"/>
  <c r="I1074" i="1"/>
  <c r="M1074" i="1" s="1"/>
  <c r="M1073" i="1"/>
  <c r="J1073" i="1" a="1"/>
  <c r="J1073" i="1" s="1"/>
  <c r="I1073" i="1"/>
  <c r="J1072" i="1" a="1"/>
  <c r="J1072" i="1" s="1"/>
  <c r="I1072" i="1"/>
  <c r="M1072" i="1" s="1"/>
  <c r="J1071" i="1" a="1"/>
  <c r="J1071" i="1" s="1"/>
  <c r="I1071" i="1"/>
  <c r="M1071" i="1" s="1"/>
  <c r="J1070" i="1" a="1"/>
  <c r="J1070" i="1" s="1"/>
  <c r="I1070" i="1"/>
  <c r="M1070" i="1" s="1"/>
  <c r="J1069" i="1" a="1"/>
  <c r="J1069" i="1" s="1"/>
  <c r="I1069" i="1"/>
  <c r="M1069" i="1" s="1"/>
  <c r="M1068" i="1"/>
  <c r="J1068" i="1" a="1"/>
  <c r="J1068" i="1" s="1"/>
  <c r="I1068" i="1"/>
  <c r="J1067" i="1" a="1"/>
  <c r="J1067" i="1" s="1"/>
  <c r="I1067" i="1"/>
  <c r="M1067" i="1" s="1"/>
  <c r="J1066" i="1" a="1"/>
  <c r="J1066" i="1" s="1"/>
  <c r="I1066" i="1"/>
  <c r="M1066" i="1" s="1"/>
  <c r="J1065" i="1" a="1"/>
  <c r="J1065" i="1" s="1"/>
  <c r="I1065" i="1"/>
  <c r="M1065" i="1" s="1"/>
  <c r="M1064" i="1"/>
  <c r="J1064" i="1" a="1"/>
  <c r="J1064" i="1" s="1"/>
  <c r="I1064" i="1"/>
  <c r="J1063" i="1" a="1"/>
  <c r="J1063" i="1" s="1"/>
  <c r="I1063" i="1"/>
  <c r="M1063" i="1" s="1"/>
  <c r="J1062" i="1" a="1"/>
  <c r="J1062" i="1" s="1"/>
  <c r="I1062" i="1"/>
  <c r="M1062" i="1" s="1"/>
  <c r="J1061" i="1" a="1"/>
  <c r="J1061" i="1" s="1"/>
  <c r="I1061" i="1"/>
  <c r="M1061" i="1" s="1"/>
  <c r="J1060" i="1" a="1"/>
  <c r="J1060" i="1" s="1"/>
  <c r="I1060" i="1"/>
  <c r="M1060" i="1" s="1"/>
  <c r="J1059" i="1" a="1"/>
  <c r="J1059" i="1" s="1"/>
  <c r="I1059" i="1"/>
  <c r="M1059" i="1" s="1"/>
  <c r="J1058" i="1" a="1"/>
  <c r="J1058" i="1" s="1"/>
  <c r="I1058" i="1"/>
  <c r="M1058" i="1" s="1"/>
  <c r="J1057" i="1" a="1"/>
  <c r="J1057" i="1" s="1"/>
  <c r="I1057" i="1"/>
  <c r="M1057" i="1" s="1"/>
  <c r="J1056" i="1" a="1"/>
  <c r="J1056" i="1" s="1"/>
  <c r="I1056" i="1"/>
  <c r="M1056" i="1" s="1"/>
  <c r="M1055" i="1"/>
  <c r="J1055" i="1" a="1"/>
  <c r="J1055" i="1" s="1"/>
  <c r="I1055" i="1"/>
  <c r="J1054" i="1" a="1"/>
  <c r="J1054" i="1" s="1"/>
  <c r="I1054" i="1"/>
  <c r="M1054" i="1" s="1"/>
  <c r="J1053" i="1"/>
  <c r="J1053" i="1" a="1"/>
  <c r="I1053" i="1"/>
  <c r="M1053" i="1" s="1"/>
  <c r="J1052" i="1" a="1"/>
  <c r="J1052" i="1" s="1"/>
  <c r="I1052" i="1"/>
  <c r="M1052" i="1" s="1"/>
  <c r="J1051" i="1" a="1"/>
  <c r="J1051" i="1" s="1"/>
  <c r="I1051" i="1"/>
  <c r="M1051" i="1" s="1"/>
  <c r="M1050" i="1"/>
  <c r="J1050" i="1" a="1"/>
  <c r="J1050" i="1" s="1"/>
  <c r="I1050" i="1"/>
  <c r="J1049" i="1" a="1"/>
  <c r="J1049" i="1" s="1"/>
  <c r="I1049" i="1"/>
  <c r="M1049" i="1" s="1"/>
  <c r="J1048" i="1" a="1"/>
  <c r="J1048" i="1" s="1"/>
  <c r="I1048" i="1"/>
  <c r="M1048" i="1" s="1"/>
  <c r="J1047" i="1" a="1"/>
  <c r="J1047" i="1" s="1"/>
  <c r="I1047" i="1"/>
  <c r="M1047" i="1" s="1"/>
  <c r="J1046" i="1" a="1"/>
  <c r="J1046" i="1" s="1"/>
  <c r="I1046" i="1"/>
  <c r="M1046" i="1" s="1"/>
  <c r="J1045" i="1" a="1"/>
  <c r="J1045" i="1" s="1"/>
  <c r="I1045" i="1"/>
  <c r="M1045" i="1" s="1"/>
  <c r="J1044" i="1" a="1"/>
  <c r="J1044" i="1" s="1"/>
  <c r="I1044" i="1"/>
  <c r="M1044" i="1" s="1"/>
  <c r="J1043" i="1" a="1"/>
  <c r="J1043" i="1" s="1"/>
  <c r="I1043" i="1"/>
  <c r="M1043" i="1" s="1"/>
  <c r="J1042" i="1" a="1"/>
  <c r="J1042" i="1" s="1"/>
  <c r="I1042" i="1"/>
  <c r="M1042" i="1" s="1"/>
  <c r="J1041" i="1" a="1"/>
  <c r="J1041" i="1" s="1"/>
  <c r="I1041" i="1"/>
  <c r="M1041" i="1" s="1"/>
  <c r="J1040" i="1" a="1"/>
  <c r="J1040" i="1" s="1"/>
  <c r="I1040" i="1"/>
  <c r="M1040" i="1" s="1"/>
  <c r="J1039" i="1" a="1"/>
  <c r="J1039" i="1" s="1"/>
  <c r="I1039" i="1"/>
  <c r="M1039" i="1" s="1"/>
  <c r="J1038" i="1" a="1"/>
  <c r="J1038" i="1" s="1"/>
  <c r="I1038" i="1"/>
  <c r="M1038" i="1" s="1"/>
  <c r="J1037" i="1" a="1"/>
  <c r="J1037" i="1" s="1"/>
  <c r="I1037" i="1"/>
  <c r="M1037" i="1" s="1"/>
  <c r="J1036" i="1" a="1"/>
  <c r="J1036" i="1" s="1"/>
  <c r="I1036" i="1"/>
  <c r="M1036" i="1" s="1"/>
  <c r="J1035" i="1" a="1"/>
  <c r="J1035" i="1" s="1"/>
  <c r="I1035" i="1"/>
  <c r="M1035" i="1" s="1"/>
  <c r="J1034" i="1"/>
  <c r="J1034" i="1" a="1"/>
  <c r="I1034" i="1"/>
  <c r="M1034" i="1" s="1"/>
  <c r="J1033" i="1" a="1"/>
  <c r="J1033" i="1" s="1"/>
  <c r="I1033" i="1"/>
  <c r="M1033" i="1" s="1"/>
  <c r="J1032" i="1" a="1"/>
  <c r="J1032" i="1" s="1"/>
  <c r="I1032" i="1"/>
  <c r="M1032" i="1" s="1"/>
  <c r="J1031" i="1" a="1"/>
  <c r="J1031" i="1" s="1"/>
  <c r="I1031" i="1"/>
  <c r="M1031" i="1" s="1"/>
  <c r="J1030" i="1" a="1"/>
  <c r="J1030" i="1" s="1"/>
  <c r="I1030" i="1"/>
  <c r="M1030" i="1" s="1"/>
  <c r="J1029" i="1" a="1"/>
  <c r="J1029" i="1" s="1"/>
  <c r="I1029" i="1"/>
  <c r="M1029" i="1" s="1"/>
  <c r="J1028" i="1" a="1"/>
  <c r="J1028" i="1" s="1"/>
  <c r="I1028" i="1"/>
  <c r="M1028" i="1" s="1"/>
  <c r="J1027" i="1" a="1"/>
  <c r="J1027" i="1" s="1"/>
  <c r="I1027" i="1"/>
  <c r="M1027" i="1" s="1"/>
  <c r="J1026" i="1" a="1"/>
  <c r="J1026" i="1" s="1"/>
  <c r="I1026" i="1"/>
  <c r="M1026" i="1" s="1"/>
  <c r="J1025" i="1" a="1"/>
  <c r="J1025" i="1" s="1"/>
  <c r="I1025" i="1"/>
  <c r="M1025" i="1" s="1"/>
  <c r="J1024" i="1" a="1"/>
  <c r="J1024" i="1" s="1"/>
  <c r="I1024" i="1"/>
  <c r="M1024" i="1" s="1"/>
  <c r="J1023" i="1" a="1"/>
  <c r="J1023" i="1" s="1"/>
  <c r="I1023" i="1"/>
  <c r="M1023" i="1" s="1"/>
  <c r="M1022" i="1"/>
  <c r="J1022" i="1" a="1"/>
  <c r="J1022" i="1" s="1"/>
  <c r="I1022" i="1"/>
  <c r="M1021" i="1"/>
  <c r="J1021" i="1" a="1"/>
  <c r="J1021" i="1" s="1"/>
  <c r="I1021" i="1"/>
  <c r="J1020" i="1" a="1"/>
  <c r="J1020" i="1" s="1"/>
  <c r="I1020" i="1"/>
  <c r="M1020" i="1" s="1"/>
  <c r="J1019" i="1" a="1"/>
  <c r="J1019" i="1" s="1"/>
  <c r="I1019" i="1"/>
  <c r="M1019" i="1" s="1"/>
  <c r="J1018" i="1" a="1"/>
  <c r="J1018" i="1" s="1"/>
  <c r="I1018" i="1"/>
  <c r="M1018" i="1" s="1"/>
  <c r="J1017" i="1"/>
  <c r="J1017" i="1" a="1"/>
  <c r="I1017" i="1"/>
  <c r="M1017" i="1" s="1"/>
  <c r="J1016" i="1" a="1"/>
  <c r="J1016" i="1" s="1"/>
  <c r="I1016" i="1"/>
  <c r="M1016" i="1" s="1"/>
  <c r="J1015" i="1" a="1"/>
  <c r="J1015" i="1" s="1"/>
  <c r="I1015" i="1"/>
  <c r="M1015" i="1" s="1"/>
  <c r="M1014" i="1"/>
  <c r="J1014" i="1" a="1"/>
  <c r="J1014" i="1" s="1"/>
  <c r="I1014" i="1"/>
  <c r="M1013" i="1"/>
  <c r="J1013" i="1" a="1"/>
  <c r="J1013" i="1" s="1"/>
  <c r="I1013" i="1"/>
  <c r="M1012" i="1"/>
  <c r="J1012" i="1" a="1"/>
  <c r="J1012" i="1" s="1"/>
  <c r="I1012" i="1"/>
  <c r="J1011" i="1" a="1"/>
  <c r="J1011" i="1" s="1"/>
  <c r="I1011" i="1"/>
  <c r="M1011" i="1" s="1"/>
  <c r="J1010" i="1" a="1"/>
  <c r="J1010" i="1" s="1"/>
  <c r="I1010" i="1"/>
  <c r="M1010" i="1" s="1"/>
  <c r="J1009" i="1" a="1"/>
  <c r="J1009" i="1" s="1"/>
  <c r="I1009" i="1"/>
  <c r="M1009" i="1" s="1"/>
  <c r="J1008" i="1" a="1"/>
  <c r="J1008" i="1" s="1"/>
  <c r="I1008" i="1"/>
  <c r="M1008" i="1" s="1"/>
  <c r="J1007" i="1"/>
  <c r="J1007" i="1" a="1"/>
  <c r="I1007" i="1"/>
  <c r="M1007" i="1" s="1"/>
  <c r="J1006" i="1" a="1"/>
  <c r="J1006" i="1" s="1"/>
  <c r="I1006" i="1"/>
  <c r="M1006" i="1" s="1"/>
  <c r="J1005" i="1" a="1"/>
  <c r="J1005" i="1" s="1"/>
  <c r="I1005" i="1"/>
  <c r="M1005" i="1" s="1"/>
  <c r="J1004" i="1" a="1"/>
  <c r="J1004" i="1" s="1"/>
  <c r="I1004" i="1"/>
  <c r="M1004" i="1" s="1"/>
  <c r="M1003" i="1"/>
  <c r="J1003" i="1" a="1"/>
  <c r="J1003" i="1" s="1"/>
  <c r="I1003" i="1"/>
  <c r="J1002" i="1" a="1"/>
  <c r="J1002" i="1" s="1"/>
  <c r="I1002" i="1"/>
  <c r="M1002" i="1" s="1"/>
  <c r="J1001" i="1" a="1"/>
  <c r="J1001" i="1" s="1"/>
  <c r="I1001" i="1"/>
  <c r="M1001" i="1" s="1"/>
  <c r="J1000" i="1" a="1"/>
  <c r="J1000" i="1" s="1"/>
  <c r="I1000" i="1"/>
  <c r="M1000" i="1" s="1"/>
  <c r="J999" i="1"/>
  <c r="J999" i="1" a="1"/>
  <c r="I999" i="1"/>
  <c r="M999" i="1" s="1"/>
  <c r="J998" i="1" a="1"/>
  <c r="J998" i="1" s="1"/>
  <c r="I998" i="1"/>
  <c r="M998" i="1" s="1"/>
  <c r="J997" i="1" a="1"/>
  <c r="J997" i="1" s="1"/>
  <c r="I997" i="1"/>
  <c r="M997" i="1" s="1"/>
  <c r="J996" i="1" a="1"/>
  <c r="J996" i="1" s="1"/>
  <c r="I996" i="1"/>
  <c r="M996" i="1" s="1"/>
  <c r="J995" i="1" a="1"/>
  <c r="J995" i="1" s="1"/>
  <c r="I995" i="1"/>
  <c r="M995" i="1" s="1"/>
  <c r="J994" i="1" a="1"/>
  <c r="J994" i="1" s="1"/>
  <c r="I994" i="1"/>
  <c r="M994" i="1" s="1"/>
  <c r="J993" i="1" a="1"/>
  <c r="J993" i="1" s="1"/>
  <c r="I993" i="1"/>
  <c r="M993" i="1" s="1"/>
  <c r="J992" i="1" a="1"/>
  <c r="J992" i="1" s="1"/>
  <c r="I992" i="1"/>
  <c r="M992" i="1" s="1"/>
  <c r="J991" i="1" a="1"/>
  <c r="J991" i="1" s="1"/>
  <c r="I991" i="1"/>
  <c r="M991" i="1" s="1"/>
  <c r="J990" i="1" a="1"/>
  <c r="J990" i="1" s="1"/>
  <c r="I990" i="1"/>
  <c r="M990" i="1" s="1"/>
  <c r="J989" i="1" a="1"/>
  <c r="J989" i="1" s="1"/>
  <c r="I989" i="1"/>
  <c r="M989" i="1" s="1"/>
  <c r="J988" i="1"/>
  <c r="J988" i="1" a="1"/>
  <c r="I988" i="1"/>
  <c r="M988" i="1" s="1"/>
  <c r="J987" i="1" a="1"/>
  <c r="J987" i="1" s="1"/>
  <c r="I987" i="1"/>
  <c r="M987" i="1" s="1"/>
  <c r="J986" i="1" a="1"/>
  <c r="J986" i="1" s="1"/>
  <c r="I986" i="1"/>
  <c r="M986" i="1" s="1"/>
  <c r="J985" i="1" a="1"/>
  <c r="J985" i="1" s="1"/>
  <c r="I985" i="1"/>
  <c r="M985" i="1" s="1"/>
  <c r="J984" i="1" a="1"/>
  <c r="J984" i="1" s="1"/>
  <c r="I984" i="1"/>
  <c r="M984" i="1" s="1"/>
  <c r="J983" i="1" a="1"/>
  <c r="J983" i="1" s="1"/>
  <c r="I983" i="1"/>
  <c r="M983" i="1" s="1"/>
  <c r="J982" i="1" a="1"/>
  <c r="J982" i="1" s="1"/>
  <c r="I982" i="1"/>
  <c r="M982" i="1" s="1"/>
  <c r="J981" i="1" a="1"/>
  <c r="J981" i="1" s="1"/>
  <c r="I981" i="1"/>
  <c r="M981" i="1" s="1"/>
  <c r="J980" i="1"/>
  <c r="J980" i="1" a="1"/>
  <c r="I980" i="1"/>
  <c r="M980" i="1" s="1"/>
  <c r="J979" i="1" a="1"/>
  <c r="J979" i="1" s="1"/>
  <c r="I979" i="1"/>
  <c r="M979" i="1" s="1"/>
  <c r="J978" i="1" a="1"/>
  <c r="J978" i="1" s="1"/>
  <c r="I978" i="1"/>
  <c r="M978" i="1" s="1"/>
  <c r="J977" i="1" a="1"/>
  <c r="J977" i="1" s="1"/>
  <c r="I977" i="1"/>
  <c r="M977" i="1" s="1"/>
  <c r="J976" i="1" a="1"/>
  <c r="J976" i="1" s="1"/>
  <c r="I976" i="1"/>
  <c r="M976" i="1" s="1"/>
  <c r="J975" i="1" a="1"/>
  <c r="J975" i="1" s="1"/>
  <c r="I975" i="1"/>
  <c r="M975" i="1" s="1"/>
  <c r="J974" i="1" a="1"/>
  <c r="J974" i="1" s="1"/>
  <c r="I974" i="1"/>
  <c r="M974" i="1" s="1"/>
  <c r="J973" i="1" a="1"/>
  <c r="J973" i="1" s="1"/>
  <c r="I973" i="1"/>
  <c r="M973" i="1" s="1"/>
  <c r="J972" i="1" a="1"/>
  <c r="J972" i="1" s="1"/>
  <c r="I972" i="1"/>
  <c r="M972" i="1" s="1"/>
  <c r="J971" i="1" a="1"/>
  <c r="J971" i="1" s="1"/>
  <c r="I971" i="1"/>
  <c r="M971" i="1" s="1"/>
  <c r="J970" i="1" a="1"/>
  <c r="J970" i="1" s="1"/>
  <c r="I970" i="1"/>
  <c r="M970" i="1" s="1"/>
  <c r="J969" i="1"/>
  <c r="J969" i="1" a="1"/>
  <c r="I969" i="1"/>
  <c r="M969" i="1" s="1"/>
  <c r="J968" i="1" a="1"/>
  <c r="J968" i="1" s="1"/>
  <c r="I968" i="1"/>
  <c r="M968" i="1" s="1"/>
  <c r="J967" i="1" a="1"/>
  <c r="J967" i="1" s="1"/>
  <c r="I967" i="1"/>
  <c r="M967" i="1" s="1"/>
  <c r="J966" i="1" a="1"/>
  <c r="J966" i="1" s="1"/>
  <c r="I966" i="1"/>
  <c r="M966" i="1" s="1"/>
  <c r="M965" i="1"/>
  <c r="J965" i="1" a="1"/>
  <c r="J965" i="1" s="1"/>
  <c r="I965" i="1"/>
  <c r="J964" i="1" a="1"/>
  <c r="J964" i="1" s="1"/>
  <c r="I964" i="1"/>
  <c r="M964" i="1" s="1"/>
  <c r="J963" i="1" a="1"/>
  <c r="J963" i="1" s="1"/>
  <c r="I963" i="1"/>
  <c r="M963" i="1" s="1"/>
  <c r="J962" i="1" a="1"/>
  <c r="J962" i="1" s="1"/>
  <c r="I962" i="1"/>
  <c r="M962" i="1" s="1"/>
  <c r="J961" i="1" a="1"/>
  <c r="J961" i="1" s="1"/>
  <c r="I961" i="1"/>
  <c r="M961" i="1" s="1"/>
  <c r="M960" i="1"/>
  <c r="J960" i="1" a="1"/>
  <c r="J960" i="1" s="1"/>
  <c r="I960" i="1"/>
  <c r="J959" i="1" a="1"/>
  <c r="J959" i="1" s="1"/>
  <c r="I959" i="1"/>
  <c r="M959" i="1" s="1"/>
  <c r="M958" i="1"/>
  <c r="J958" i="1" a="1"/>
  <c r="J958" i="1" s="1"/>
  <c r="I958" i="1"/>
  <c r="J957" i="1" a="1"/>
  <c r="J957" i="1" s="1"/>
  <c r="I957" i="1"/>
  <c r="M957" i="1" s="1"/>
  <c r="J956" i="1"/>
  <c r="J956" i="1" a="1"/>
  <c r="I956" i="1"/>
  <c r="M956" i="1" s="1"/>
  <c r="J955" i="1" a="1"/>
  <c r="J955" i="1" s="1"/>
  <c r="I955" i="1"/>
  <c r="M955" i="1" s="1"/>
  <c r="J954" i="1" a="1"/>
  <c r="J954" i="1" s="1"/>
  <c r="I954" i="1"/>
  <c r="M954" i="1" s="1"/>
  <c r="J953" i="1" a="1"/>
  <c r="J953" i="1" s="1"/>
  <c r="I953" i="1"/>
  <c r="M953" i="1" s="1"/>
  <c r="J952" i="1" a="1"/>
  <c r="J952" i="1" s="1"/>
  <c r="I952" i="1"/>
  <c r="M952" i="1" s="1"/>
  <c r="J951" i="1" a="1"/>
  <c r="J951" i="1" s="1"/>
  <c r="I951" i="1"/>
  <c r="M951" i="1" s="1"/>
  <c r="M950" i="1"/>
  <c r="J950" i="1" a="1"/>
  <c r="J950" i="1" s="1"/>
  <c r="I950" i="1"/>
  <c r="J949" i="1" a="1"/>
  <c r="J949" i="1" s="1"/>
  <c r="I949" i="1"/>
  <c r="M949" i="1" s="1"/>
  <c r="J948" i="1" a="1"/>
  <c r="J948" i="1" s="1"/>
  <c r="I948" i="1"/>
  <c r="M948" i="1" s="1"/>
  <c r="J947" i="1" a="1"/>
  <c r="J947" i="1" s="1"/>
  <c r="I947" i="1"/>
  <c r="M947" i="1" s="1"/>
  <c r="J946" i="1" a="1"/>
  <c r="J946" i="1" s="1"/>
  <c r="I946" i="1"/>
  <c r="M946" i="1" s="1"/>
  <c r="J945" i="1"/>
  <c r="J945" i="1" a="1"/>
  <c r="I945" i="1"/>
  <c r="M945" i="1" s="1"/>
  <c r="J944" i="1" a="1"/>
  <c r="J944" i="1" s="1"/>
  <c r="I944" i="1"/>
  <c r="M944" i="1" s="1"/>
  <c r="J943" i="1" a="1"/>
  <c r="J943" i="1" s="1"/>
  <c r="I943" i="1"/>
  <c r="M943" i="1" s="1"/>
  <c r="J942" i="1" a="1"/>
  <c r="J942" i="1" s="1"/>
  <c r="I942" i="1"/>
  <c r="M942" i="1" s="1"/>
  <c r="J941" i="1" a="1"/>
  <c r="J941" i="1" s="1"/>
  <c r="I941" i="1"/>
  <c r="M941" i="1" s="1"/>
  <c r="J940" i="1" a="1"/>
  <c r="J940" i="1" s="1"/>
  <c r="I940" i="1"/>
  <c r="M940" i="1" s="1"/>
  <c r="J939" i="1" a="1"/>
  <c r="J939" i="1" s="1"/>
  <c r="I939" i="1"/>
  <c r="M939" i="1" s="1"/>
  <c r="J938" i="1" a="1"/>
  <c r="J938" i="1" s="1"/>
  <c r="I938" i="1"/>
  <c r="M938" i="1" s="1"/>
  <c r="J937" i="1"/>
  <c r="J937" i="1" a="1"/>
  <c r="I937" i="1"/>
  <c r="M937" i="1" s="1"/>
  <c r="J936" i="1" a="1"/>
  <c r="J936" i="1" s="1"/>
  <c r="I936" i="1"/>
  <c r="M936" i="1" s="1"/>
  <c r="J935" i="1"/>
  <c r="J935" i="1" a="1"/>
  <c r="I935" i="1"/>
  <c r="M935" i="1" s="1"/>
  <c r="J934" i="1" a="1"/>
  <c r="J934" i="1" s="1"/>
  <c r="I934" i="1"/>
  <c r="M934" i="1" s="1"/>
  <c r="J933" i="1" a="1"/>
  <c r="J933" i="1" s="1"/>
  <c r="I933" i="1"/>
  <c r="M933" i="1" s="1"/>
  <c r="J932" i="1" a="1"/>
  <c r="J932" i="1" s="1"/>
  <c r="I932" i="1"/>
  <c r="M932" i="1" s="1"/>
  <c r="M931" i="1"/>
  <c r="J931" i="1"/>
  <c r="J931" i="1" a="1"/>
  <c r="I931" i="1"/>
  <c r="J930" i="1" a="1"/>
  <c r="J930" i="1" s="1"/>
  <c r="I930" i="1"/>
  <c r="M930" i="1" s="1"/>
  <c r="J929" i="1" a="1"/>
  <c r="J929" i="1" s="1"/>
  <c r="I929" i="1"/>
  <c r="M929" i="1" s="1"/>
  <c r="J928" i="1" a="1"/>
  <c r="J928" i="1" s="1"/>
  <c r="I928" i="1"/>
  <c r="M928" i="1" s="1"/>
  <c r="J927" i="1" a="1"/>
  <c r="J927" i="1" s="1"/>
  <c r="I927" i="1"/>
  <c r="M927" i="1" s="1"/>
  <c r="J926" i="1" a="1"/>
  <c r="J926" i="1" s="1"/>
  <c r="I926" i="1"/>
  <c r="M926" i="1" s="1"/>
  <c r="J925" i="1" a="1"/>
  <c r="J925" i="1" s="1"/>
  <c r="I925" i="1"/>
  <c r="M925" i="1" s="1"/>
  <c r="J924" i="1" a="1"/>
  <c r="J924" i="1" s="1"/>
  <c r="I924" i="1"/>
  <c r="M924" i="1" s="1"/>
  <c r="J923" i="1" a="1"/>
  <c r="J923" i="1" s="1"/>
  <c r="I923" i="1"/>
  <c r="M923" i="1" s="1"/>
  <c r="J922" i="1" a="1"/>
  <c r="J922" i="1" s="1"/>
  <c r="I922" i="1"/>
  <c r="M922" i="1" s="1"/>
  <c r="M921" i="1"/>
  <c r="J921" i="1" a="1"/>
  <c r="J921" i="1" s="1"/>
  <c r="I921" i="1"/>
  <c r="M920" i="1"/>
  <c r="J920" i="1" a="1"/>
  <c r="J920" i="1" s="1"/>
  <c r="I920" i="1"/>
  <c r="J919" i="1" a="1"/>
  <c r="J919" i="1" s="1"/>
  <c r="I919" i="1"/>
  <c r="M919" i="1" s="1"/>
  <c r="J918" i="1" a="1"/>
  <c r="J918" i="1" s="1"/>
  <c r="I918" i="1"/>
  <c r="M918" i="1" s="1"/>
  <c r="J917" i="1" a="1"/>
  <c r="J917" i="1" s="1"/>
  <c r="I917" i="1"/>
  <c r="M917" i="1" s="1"/>
  <c r="J916" i="1" a="1"/>
  <c r="J916" i="1" s="1"/>
  <c r="I916" i="1"/>
  <c r="M916" i="1" s="1"/>
  <c r="J915" i="1" a="1"/>
  <c r="J915" i="1" s="1"/>
  <c r="I915" i="1"/>
  <c r="M915" i="1" s="1"/>
  <c r="J914" i="1" a="1"/>
  <c r="J914" i="1" s="1"/>
  <c r="I914" i="1"/>
  <c r="M914" i="1" s="1"/>
  <c r="J913" i="1" a="1"/>
  <c r="J913" i="1" s="1"/>
  <c r="I913" i="1"/>
  <c r="M913" i="1" s="1"/>
  <c r="J912" i="1" a="1"/>
  <c r="J912" i="1" s="1"/>
  <c r="I912" i="1"/>
  <c r="M912" i="1" s="1"/>
  <c r="M911" i="1"/>
  <c r="J911" i="1" a="1"/>
  <c r="J911" i="1" s="1"/>
  <c r="I911" i="1"/>
  <c r="J910" i="1" a="1"/>
  <c r="J910" i="1" s="1"/>
  <c r="I910" i="1"/>
  <c r="M910" i="1" s="1"/>
  <c r="J909" i="1"/>
  <c r="J909" i="1" a="1"/>
  <c r="I909" i="1"/>
  <c r="M909" i="1" s="1"/>
  <c r="J908" i="1" a="1"/>
  <c r="J908" i="1" s="1"/>
  <c r="I908" i="1"/>
  <c r="M908" i="1" s="1"/>
  <c r="J907" i="1" a="1"/>
  <c r="J907" i="1" s="1"/>
  <c r="I907" i="1"/>
  <c r="M907" i="1" s="1"/>
  <c r="J906" i="1" a="1"/>
  <c r="J906" i="1" s="1"/>
  <c r="I906" i="1"/>
  <c r="M906" i="1" s="1"/>
  <c r="J905" i="1" a="1"/>
  <c r="J905" i="1" s="1"/>
  <c r="I905" i="1"/>
  <c r="M905" i="1" s="1"/>
  <c r="J904" i="1" a="1"/>
  <c r="J904" i="1" s="1"/>
  <c r="I904" i="1"/>
  <c r="M904" i="1" s="1"/>
  <c r="M903" i="1"/>
  <c r="J903" i="1" a="1"/>
  <c r="J903" i="1" s="1"/>
  <c r="I903" i="1"/>
  <c r="J902" i="1" a="1"/>
  <c r="J902" i="1" s="1"/>
  <c r="I902" i="1"/>
  <c r="M902" i="1" s="1"/>
  <c r="J901" i="1" a="1"/>
  <c r="J901" i="1" s="1"/>
  <c r="I901" i="1"/>
  <c r="M901" i="1" s="1"/>
  <c r="J900" i="1" a="1"/>
  <c r="J900" i="1" s="1"/>
  <c r="I900" i="1"/>
  <c r="M900" i="1" s="1"/>
  <c r="J899" i="1" a="1"/>
  <c r="J899" i="1" s="1"/>
  <c r="I899" i="1"/>
  <c r="M899" i="1" s="1"/>
  <c r="J898" i="1" a="1"/>
  <c r="J898" i="1" s="1"/>
  <c r="I898" i="1"/>
  <c r="M898" i="1" s="1"/>
  <c r="J897" i="1" a="1"/>
  <c r="J897" i="1" s="1"/>
  <c r="I897" i="1"/>
  <c r="M897" i="1" s="1"/>
  <c r="J896" i="1" a="1"/>
  <c r="J896" i="1" s="1"/>
  <c r="I896" i="1"/>
  <c r="M896" i="1" s="1"/>
  <c r="J895" i="1" a="1"/>
  <c r="J895" i="1" s="1"/>
  <c r="I895" i="1"/>
  <c r="M895" i="1" s="1"/>
  <c r="J894" i="1" a="1"/>
  <c r="J894" i="1" s="1"/>
  <c r="I894" i="1"/>
  <c r="M894" i="1" s="1"/>
  <c r="J893" i="1" a="1"/>
  <c r="J893" i="1" s="1"/>
  <c r="I893" i="1"/>
  <c r="M893" i="1" s="1"/>
  <c r="J892" i="1" a="1"/>
  <c r="J892" i="1" s="1"/>
  <c r="I892" i="1"/>
  <c r="M892" i="1" s="1"/>
  <c r="J891" i="1" a="1"/>
  <c r="J891" i="1" s="1"/>
  <c r="I891" i="1"/>
  <c r="M891" i="1" s="1"/>
  <c r="J890" i="1" a="1"/>
  <c r="J890" i="1" s="1"/>
  <c r="I890" i="1"/>
  <c r="M890" i="1" s="1"/>
  <c r="J889" i="1" a="1"/>
  <c r="J889" i="1" s="1"/>
  <c r="I889" i="1"/>
  <c r="M889" i="1" s="1"/>
  <c r="J888" i="1"/>
  <c r="J888" i="1" a="1"/>
  <c r="I888" i="1"/>
  <c r="M888" i="1" s="1"/>
  <c r="J887" i="1" a="1"/>
  <c r="J887" i="1" s="1"/>
  <c r="I887" i="1"/>
  <c r="M887" i="1" s="1"/>
  <c r="J886" i="1" a="1"/>
  <c r="J886" i="1" s="1"/>
  <c r="I886" i="1"/>
  <c r="M886" i="1" s="1"/>
  <c r="J885" i="1"/>
  <c r="J885" i="1" a="1"/>
  <c r="I885" i="1"/>
  <c r="M885" i="1" s="1"/>
  <c r="M884" i="1"/>
  <c r="J884" i="1"/>
  <c r="J884" i="1" a="1"/>
  <c r="I884" i="1"/>
  <c r="J883" i="1"/>
  <c r="J883" i="1" a="1"/>
  <c r="I883" i="1"/>
  <c r="M883" i="1" s="1"/>
  <c r="J882" i="1" a="1"/>
  <c r="J882" i="1" s="1"/>
  <c r="I882" i="1"/>
  <c r="M882" i="1" s="1"/>
  <c r="J881" i="1" a="1"/>
  <c r="J881" i="1" s="1"/>
  <c r="I881" i="1"/>
  <c r="M881" i="1" s="1"/>
  <c r="J880" i="1" a="1"/>
  <c r="J880" i="1" s="1"/>
  <c r="I880" i="1"/>
  <c r="M880" i="1" s="1"/>
  <c r="J879" i="1" a="1"/>
  <c r="J879" i="1" s="1"/>
  <c r="I879" i="1"/>
  <c r="M879" i="1" s="1"/>
  <c r="J878" i="1" a="1"/>
  <c r="J878" i="1" s="1"/>
  <c r="I878" i="1"/>
  <c r="M878" i="1" s="1"/>
  <c r="J877" i="1" a="1"/>
  <c r="J877" i="1" s="1"/>
  <c r="I877" i="1"/>
  <c r="M877" i="1" s="1"/>
  <c r="J876" i="1" a="1"/>
  <c r="J876" i="1" s="1"/>
  <c r="I876" i="1"/>
  <c r="M876" i="1" s="1"/>
  <c r="J875" i="1" a="1"/>
  <c r="J875" i="1" s="1"/>
  <c r="I875" i="1"/>
  <c r="M875" i="1" s="1"/>
  <c r="J874" i="1" a="1"/>
  <c r="J874" i="1" s="1"/>
  <c r="I874" i="1"/>
  <c r="M874" i="1" s="1"/>
  <c r="M873" i="1"/>
  <c r="J873" i="1" a="1"/>
  <c r="J873" i="1" s="1"/>
  <c r="I873" i="1"/>
  <c r="J872" i="1" a="1"/>
  <c r="J872" i="1" s="1"/>
  <c r="I872" i="1"/>
  <c r="M872" i="1" s="1"/>
  <c r="J871" i="1" a="1"/>
  <c r="J871" i="1" s="1"/>
  <c r="I871" i="1"/>
  <c r="M871" i="1" s="1"/>
  <c r="J870" i="1" a="1"/>
  <c r="J870" i="1" s="1"/>
  <c r="I870" i="1"/>
  <c r="M870" i="1" s="1"/>
  <c r="J869" i="1" a="1"/>
  <c r="J869" i="1" s="1"/>
  <c r="I869" i="1"/>
  <c r="M869" i="1" s="1"/>
  <c r="J868" i="1" a="1"/>
  <c r="J868" i="1" s="1"/>
  <c r="I868" i="1"/>
  <c r="M868" i="1" s="1"/>
  <c r="J867" i="1" a="1"/>
  <c r="J867" i="1" s="1"/>
  <c r="I867" i="1"/>
  <c r="M867" i="1" s="1"/>
  <c r="J866" i="1" a="1"/>
  <c r="J866" i="1" s="1"/>
  <c r="I866" i="1"/>
  <c r="M866" i="1" s="1"/>
  <c r="J865" i="1" a="1"/>
  <c r="J865" i="1" s="1"/>
  <c r="I865" i="1"/>
  <c r="M865" i="1" s="1"/>
  <c r="J864" i="1" a="1"/>
  <c r="J864" i="1" s="1"/>
  <c r="I864" i="1"/>
  <c r="M864" i="1" s="1"/>
  <c r="J863" i="1" a="1"/>
  <c r="J863" i="1" s="1"/>
  <c r="I863" i="1"/>
  <c r="M863" i="1" s="1"/>
  <c r="J862" i="1" a="1"/>
  <c r="J862" i="1" s="1"/>
  <c r="I862" i="1"/>
  <c r="M862" i="1" s="1"/>
  <c r="J861" i="1" a="1"/>
  <c r="J861" i="1" s="1"/>
  <c r="I861" i="1"/>
  <c r="M861" i="1" s="1"/>
  <c r="M860" i="1"/>
  <c r="J860" i="1" a="1"/>
  <c r="J860" i="1" s="1"/>
  <c r="I860" i="1"/>
  <c r="J859" i="1" a="1"/>
  <c r="J859" i="1" s="1"/>
  <c r="I859" i="1"/>
  <c r="M859" i="1" s="1"/>
  <c r="M858" i="1"/>
  <c r="J858" i="1" a="1"/>
  <c r="J858" i="1" s="1"/>
  <c r="I858" i="1"/>
  <c r="J857" i="1" a="1"/>
  <c r="J857" i="1" s="1"/>
  <c r="I857" i="1"/>
  <c r="M857" i="1" s="1"/>
  <c r="J856" i="1" a="1"/>
  <c r="J856" i="1" s="1"/>
  <c r="I856" i="1"/>
  <c r="M856" i="1" s="1"/>
  <c r="M855" i="1"/>
  <c r="J855" i="1" a="1"/>
  <c r="J855" i="1" s="1"/>
  <c r="I855" i="1"/>
  <c r="M854" i="1"/>
  <c r="J854" i="1" a="1"/>
  <c r="J854" i="1" s="1"/>
  <c r="I854" i="1"/>
  <c r="J853" i="1" a="1"/>
  <c r="J853" i="1" s="1"/>
  <c r="I853" i="1"/>
  <c r="M853" i="1" s="1"/>
  <c r="J852" i="1" a="1"/>
  <c r="J852" i="1" s="1"/>
  <c r="I852" i="1"/>
  <c r="M852" i="1" s="1"/>
  <c r="J851" i="1" a="1"/>
  <c r="J851" i="1" s="1"/>
  <c r="I851" i="1"/>
  <c r="M851" i="1" s="1"/>
  <c r="J850" i="1" a="1"/>
  <c r="J850" i="1" s="1"/>
  <c r="I850" i="1"/>
  <c r="M850" i="1" s="1"/>
  <c r="J849" i="1" a="1"/>
  <c r="J849" i="1" s="1"/>
  <c r="I849" i="1"/>
  <c r="M849" i="1" s="1"/>
  <c r="J848" i="1" a="1"/>
  <c r="J848" i="1" s="1"/>
  <c r="I848" i="1"/>
  <c r="M848" i="1" s="1"/>
  <c r="J847" i="1" a="1"/>
  <c r="J847" i="1" s="1"/>
  <c r="I847" i="1"/>
  <c r="M847" i="1" s="1"/>
  <c r="J846" i="1" a="1"/>
  <c r="J846" i="1" s="1"/>
  <c r="I846" i="1"/>
  <c r="M846" i="1" s="1"/>
  <c r="J845" i="1" a="1"/>
  <c r="J845" i="1" s="1"/>
  <c r="I845" i="1"/>
  <c r="M845" i="1" s="1"/>
  <c r="J844" i="1" a="1"/>
  <c r="J844" i="1" s="1"/>
  <c r="I844" i="1"/>
  <c r="M844" i="1" s="1"/>
  <c r="J843" i="1" a="1"/>
  <c r="J843" i="1" s="1"/>
  <c r="I843" i="1"/>
  <c r="M843" i="1" s="1"/>
  <c r="J842" i="1" a="1"/>
  <c r="J842" i="1" s="1"/>
  <c r="I842" i="1"/>
  <c r="M842" i="1" s="1"/>
  <c r="J841" i="1" a="1"/>
  <c r="J841" i="1" s="1"/>
  <c r="I841" i="1"/>
  <c r="M841" i="1" s="1"/>
  <c r="J840" i="1" a="1"/>
  <c r="J840" i="1" s="1"/>
  <c r="I840" i="1"/>
  <c r="M840" i="1" s="1"/>
  <c r="M839" i="1"/>
  <c r="J839" i="1" a="1"/>
  <c r="J839" i="1" s="1"/>
  <c r="I839" i="1"/>
  <c r="J838" i="1" a="1"/>
  <c r="J838" i="1" s="1"/>
  <c r="I838" i="1"/>
  <c r="M838" i="1" s="1"/>
  <c r="M837" i="1"/>
  <c r="J837" i="1" a="1"/>
  <c r="J837" i="1" s="1"/>
  <c r="I837" i="1"/>
  <c r="J836" i="1" a="1"/>
  <c r="J836" i="1" s="1"/>
  <c r="I836" i="1"/>
  <c r="M836" i="1" s="1"/>
  <c r="J835" i="1" a="1"/>
  <c r="J835" i="1" s="1"/>
  <c r="I835" i="1"/>
  <c r="M835" i="1" s="1"/>
  <c r="J834" i="1" a="1"/>
  <c r="J834" i="1" s="1"/>
  <c r="I834" i="1"/>
  <c r="M834" i="1" s="1"/>
  <c r="J833" i="1" a="1"/>
  <c r="J833" i="1" s="1"/>
  <c r="I833" i="1"/>
  <c r="M833" i="1" s="1"/>
  <c r="J832" i="1" a="1"/>
  <c r="J832" i="1" s="1"/>
  <c r="I832" i="1"/>
  <c r="M832" i="1" s="1"/>
  <c r="J831" i="1" a="1"/>
  <c r="J831" i="1" s="1"/>
  <c r="I831" i="1"/>
  <c r="M831" i="1" s="1"/>
  <c r="J830" i="1" a="1"/>
  <c r="J830" i="1" s="1"/>
  <c r="I830" i="1"/>
  <c r="M830" i="1" s="1"/>
  <c r="J829" i="1" a="1"/>
  <c r="J829" i="1" s="1"/>
  <c r="I829" i="1"/>
  <c r="M829" i="1" s="1"/>
  <c r="M828" i="1"/>
  <c r="J828" i="1"/>
  <c r="J828" i="1" a="1"/>
  <c r="I828" i="1"/>
  <c r="J827" i="1" a="1"/>
  <c r="J827" i="1" s="1"/>
  <c r="I827" i="1"/>
  <c r="M827" i="1" s="1"/>
  <c r="J826" i="1" a="1"/>
  <c r="J826" i="1" s="1"/>
  <c r="I826" i="1"/>
  <c r="M826" i="1" s="1"/>
  <c r="M825" i="1"/>
  <c r="J825" i="1" a="1"/>
  <c r="J825" i="1" s="1"/>
  <c r="I825" i="1"/>
  <c r="M824" i="1"/>
  <c r="J824" i="1" a="1"/>
  <c r="J824" i="1" s="1"/>
  <c r="I824" i="1"/>
  <c r="J823" i="1" a="1"/>
  <c r="J823" i="1" s="1"/>
  <c r="I823" i="1"/>
  <c r="M823" i="1" s="1"/>
  <c r="J822" i="1" a="1"/>
  <c r="J822" i="1" s="1"/>
  <c r="I822" i="1"/>
  <c r="M822" i="1" s="1"/>
  <c r="J821" i="1" a="1"/>
  <c r="J821" i="1" s="1"/>
  <c r="I821" i="1"/>
  <c r="M821" i="1" s="1"/>
  <c r="J820" i="1" a="1"/>
  <c r="J820" i="1" s="1"/>
  <c r="I820" i="1"/>
  <c r="M820" i="1" s="1"/>
  <c r="J819" i="1" a="1"/>
  <c r="J819" i="1" s="1"/>
  <c r="I819" i="1"/>
  <c r="M819" i="1" s="1"/>
  <c r="J818" i="1" a="1"/>
  <c r="J818" i="1" s="1"/>
  <c r="I818" i="1"/>
  <c r="M818" i="1" s="1"/>
  <c r="J817" i="1" a="1"/>
  <c r="J817" i="1" s="1"/>
  <c r="I817" i="1"/>
  <c r="M817" i="1" s="1"/>
  <c r="J816" i="1" a="1"/>
  <c r="J816" i="1" s="1"/>
  <c r="I816" i="1"/>
  <c r="M816" i="1" s="1"/>
  <c r="J815" i="1" a="1"/>
  <c r="J815" i="1" s="1"/>
  <c r="I815" i="1"/>
  <c r="M815" i="1" s="1"/>
  <c r="J814" i="1"/>
  <c r="J814" i="1" a="1"/>
  <c r="I814" i="1"/>
  <c r="M814" i="1" s="1"/>
  <c r="J813" i="1"/>
  <c r="J813" i="1" a="1"/>
  <c r="I813" i="1"/>
  <c r="M813" i="1" s="1"/>
  <c r="J812" i="1" a="1"/>
  <c r="J812" i="1" s="1"/>
  <c r="I812" i="1"/>
  <c r="M812" i="1" s="1"/>
  <c r="J811" i="1" a="1"/>
  <c r="J811" i="1" s="1"/>
  <c r="I811" i="1"/>
  <c r="M811" i="1" s="1"/>
  <c r="J810" i="1" a="1"/>
  <c r="J810" i="1" s="1"/>
  <c r="I810" i="1"/>
  <c r="M810" i="1" s="1"/>
  <c r="J809" i="1"/>
  <c r="J809" i="1" a="1"/>
  <c r="I809" i="1"/>
  <c r="M809" i="1" s="1"/>
  <c r="J808" i="1" a="1"/>
  <c r="J808" i="1" s="1"/>
  <c r="I808" i="1"/>
  <c r="M808" i="1" s="1"/>
  <c r="J807" i="1" a="1"/>
  <c r="J807" i="1" s="1"/>
  <c r="I807" i="1"/>
  <c r="M807" i="1" s="1"/>
  <c r="J806" i="1" a="1"/>
  <c r="J806" i="1" s="1"/>
  <c r="I806" i="1"/>
  <c r="M806" i="1" s="1"/>
  <c r="J805" i="1" a="1"/>
  <c r="J805" i="1" s="1"/>
  <c r="I805" i="1"/>
  <c r="M805" i="1" s="1"/>
  <c r="M804" i="1"/>
  <c r="J804" i="1" a="1"/>
  <c r="J804" i="1" s="1"/>
  <c r="I804" i="1"/>
  <c r="J803" i="1" a="1"/>
  <c r="J803" i="1" s="1"/>
  <c r="I803" i="1"/>
  <c r="M803" i="1" s="1"/>
  <c r="J802" i="1" a="1"/>
  <c r="J802" i="1" s="1"/>
  <c r="I802" i="1"/>
  <c r="M802" i="1" s="1"/>
  <c r="M801" i="1"/>
  <c r="J801" i="1" a="1"/>
  <c r="J801" i="1" s="1"/>
  <c r="I801" i="1"/>
  <c r="J800" i="1" a="1"/>
  <c r="J800" i="1" s="1"/>
  <c r="I800" i="1"/>
  <c r="M800" i="1" s="1"/>
  <c r="J799" i="1"/>
  <c r="J799" i="1" a="1"/>
  <c r="I799" i="1"/>
  <c r="M799" i="1" s="1"/>
  <c r="J798" i="1" a="1"/>
  <c r="J798" i="1" s="1"/>
  <c r="I798" i="1"/>
  <c r="M798" i="1" s="1"/>
  <c r="J797" i="1" a="1"/>
  <c r="J797" i="1" s="1"/>
  <c r="I797" i="1"/>
  <c r="M797" i="1" s="1"/>
  <c r="J796" i="1" a="1"/>
  <c r="J796" i="1" s="1"/>
  <c r="I796" i="1"/>
  <c r="M796" i="1" s="1"/>
  <c r="M795" i="1"/>
  <c r="J795" i="1"/>
  <c r="J795" i="1" a="1"/>
  <c r="I795" i="1"/>
  <c r="J794" i="1" a="1"/>
  <c r="J794" i="1" s="1"/>
  <c r="I794" i="1"/>
  <c r="M794" i="1" s="1"/>
  <c r="J793" i="1" a="1"/>
  <c r="J793" i="1" s="1"/>
  <c r="I793" i="1"/>
  <c r="M793" i="1" s="1"/>
  <c r="J792" i="1"/>
  <c r="J792" i="1" a="1"/>
  <c r="I792" i="1"/>
  <c r="M792" i="1" s="1"/>
  <c r="J791" i="1"/>
  <c r="J791" i="1" a="1"/>
  <c r="I791" i="1"/>
  <c r="M791" i="1" s="1"/>
  <c r="J790" i="1" a="1"/>
  <c r="J790" i="1" s="1"/>
  <c r="I790" i="1"/>
  <c r="M790" i="1" s="1"/>
  <c r="J789" i="1" a="1"/>
  <c r="J789" i="1" s="1"/>
  <c r="I789" i="1"/>
  <c r="M789" i="1" s="1"/>
  <c r="J788" i="1" a="1"/>
  <c r="J788" i="1" s="1"/>
  <c r="I788" i="1"/>
  <c r="M788" i="1" s="1"/>
  <c r="J787" i="1" a="1"/>
  <c r="J787" i="1" s="1"/>
  <c r="I787" i="1"/>
  <c r="M787" i="1" s="1"/>
  <c r="J786" i="1" a="1"/>
  <c r="J786" i="1" s="1"/>
  <c r="I786" i="1"/>
  <c r="M786" i="1" s="1"/>
  <c r="J785" i="1" a="1"/>
  <c r="J785" i="1" s="1"/>
  <c r="I785" i="1"/>
  <c r="M785" i="1" s="1"/>
  <c r="J784" i="1" a="1"/>
  <c r="J784" i="1" s="1"/>
  <c r="I784" i="1"/>
  <c r="M784" i="1" s="1"/>
  <c r="J783" i="1" a="1"/>
  <c r="J783" i="1" s="1"/>
  <c r="I783" i="1"/>
  <c r="M783" i="1" s="1"/>
  <c r="J782" i="1" a="1"/>
  <c r="J782" i="1" s="1"/>
  <c r="I782" i="1"/>
  <c r="M782" i="1" s="1"/>
  <c r="J781" i="1" a="1"/>
  <c r="J781" i="1" s="1"/>
  <c r="I781" i="1"/>
  <c r="M781" i="1" s="1"/>
  <c r="J780" i="1" a="1"/>
  <c r="J780" i="1" s="1"/>
  <c r="I780" i="1"/>
  <c r="M780" i="1" s="1"/>
  <c r="J779" i="1" a="1"/>
  <c r="J779" i="1" s="1"/>
  <c r="I779" i="1"/>
  <c r="M779" i="1" s="1"/>
  <c r="J778" i="1" a="1"/>
  <c r="J778" i="1" s="1"/>
  <c r="I778" i="1"/>
  <c r="M778" i="1" s="1"/>
  <c r="J777" i="1" a="1"/>
  <c r="J777" i="1" s="1"/>
  <c r="I777" i="1"/>
  <c r="M777" i="1" s="1"/>
  <c r="J776" i="1" a="1"/>
  <c r="J776" i="1" s="1"/>
  <c r="I776" i="1"/>
  <c r="M776" i="1" s="1"/>
  <c r="J775" i="1" a="1"/>
  <c r="J775" i="1" s="1"/>
  <c r="I775" i="1"/>
  <c r="M775" i="1" s="1"/>
  <c r="J774" i="1" a="1"/>
  <c r="J774" i="1" s="1"/>
  <c r="I774" i="1"/>
  <c r="M774" i="1" s="1"/>
  <c r="J773" i="1" a="1"/>
  <c r="J773" i="1" s="1"/>
  <c r="I773" i="1"/>
  <c r="M773" i="1" s="1"/>
  <c r="J772" i="1" a="1"/>
  <c r="J772" i="1" s="1"/>
  <c r="I772" i="1"/>
  <c r="M772" i="1" s="1"/>
  <c r="M771" i="1"/>
  <c r="J771" i="1" a="1"/>
  <c r="J771" i="1" s="1"/>
  <c r="I771" i="1"/>
  <c r="M770" i="1"/>
  <c r="J770" i="1" a="1"/>
  <c r="J770" i="1" s="1"/>
  <c r="I770" i="1"/>
  <c r="J769" i="1" a="1"/>
  <c r="J769" i="1" s="1"/>
  <c r="I769" i="1"/>
  <c r="M769" i="1" s="1"/>
  <c r="M768" i="1"/>
  <c r="J768" i="1" a="1"/>
  <c r="J768" i="1" s="1"/>
  <c r="I768" i="1"/>
  <c r="J767" i="1" a="1"/>
  <c r="J767" i="1" s="1"/>
  <c r="I767" i="1"/>
  <c r="M767" i="1" s="1"/>
  <c r="J766" i="1" a="1"/>
  <c r="J766" i="1" s="1"/>
  <c r="I766" i="1"/>
  <c r="M766" i="1" s="1"/>
  <c r="J765" i="1" a="1"/>
  <c r="J765" i="1" s="1"/>
  <c r="I765" i="1"/>
  <c r="M765" i="1" s="1"/>
  <c r="M764" i="1"/>
  <c r="J764" i="1" a="1"/>
  <c r="J764" i="1" s="1"/>
  <c r="I764" i="1"/>
  <c r="J763" i="1" a="1"/>
  <c r="J763" i="1" s="1"/>
  <c r="I763" i="1"/>
  <c r="M763" i="1" s="1"/>
  <c r="J762" i="1" a="1"/>
  <c r="J762" i="1" s="1"/>
  <c r="I762" i="1"/>
  <c r="M762" i="1" s="1"/>
  <c r="J761" i="1"/>
  <c r="J761" i="1" a="1"/>
  <c r="I761" i="1"/>
  <c r="M761" i="1" s="1"/>
  <c r="J760" i="1" a="1"/>
  <c r="J760" i="1" s="1"/>
  <c r="I760" i="1"/>
  <c r="M760" i="1" s="1"/>
  <c r="M759" i="1"/>
  <c r="J759" i="1" a="1"/>
  <c r="J759" i="1" s="1"/>
  <c r="I759" i="1"/>
  <c r="J758" i="1" a="1"/>
  <c r="J758" i="1" s="1"/>
  <c r="I758" i="1"/>
  <c r="M758" i="1" s="1"/>
  <c r="J757" i="1" a="1"/>
  <c r="J757" i="1" s="1"/>
  <c r="I757" i="1"/>
  <c r="M757" i="1" s="1"/>
  <c r="J756" i="1" a="1"/>
  <c r="J756" i="1" s="1"/>
  <c r="I756" i="1"/>
  <c r="M756" i="1" s="1"/>
  <c r="J755" i="1"/>
  <c r="J755" i="1" a="1"/>
  <c r="I755" i="1"/>
  <c r="M755" i="1" s="1"/>
  <c r="J754" i="1" a="1"/>
  <c r="J754" i="1" s="1"/>
  <c r="I754" i="1"/>
  <c r="M754" i="1" s="1"/>
  <c r="J753" i="1" a="1"/>
  <c r="J753" i="1" s="1"/>
  <c r="I753" i="1"/>
  <c r="M753" i="1" s="1"/>
  <c r="J752" i="1" a="1"/>
  <c r="J752" i="1" s="1"/>
  <c r="I752" i="1"/>
  <c r="M752" i="1" s="1"/>
  <c r="J751" i="1" a="1"/>
  <c r="J751" i="1" s="1"/>
  <c r="I751" i="1"/>
  <c r="M751" i="1" s="1"/>
  <c r="J750" i="1" a="1"/>
  <c r="J750" i="1" s="1"/>
  <c r="I750" i="1"/>
  <c r="M750" i="1" s="1"/>
  <c r="J749" i="1" a="1"/>
  <c r="J749" i="1" s="1"/>
  <c r="I749" i="1"/>
  <c r="M749" i="1" s="1"/>
  <c r="J748" i="1" a="1"/>
  <c r="J748" i="1" s="1"/>
  <c r="I748" i="1"/>
  <c r="M748" i="1" s="1"/>
  <c r="J747" i="1" a="1"/>
  <c r="J747" i="1" s="1"/>
  <c r="I747" i="1"/>
  <c r="M747" i="1" s="1"/>
  <c r="M746" i="1"/>
  <c r="J746" i="1" a="1"/>
  <c r="J746" i="1" s="1"/>
  <c r="I746" i="1"/>
  <c r="J745" i="1" a="1"/>
  <c r="J745" i="1" s="1"/>
  <c r="I745" i="1"/>
  <c r="M745" i="1" s="1"/>
  <c r="J744" i="1" a="1"/>
  <c r="J744" i="1" s="1"/>
  <c r="I744" i="1"/>
  <c r="M744" i="1" s="1"/>
  <c r="J743" i="1" a="1"/>
  <c r="J743" i="1" s="1"/>
  <c r="I743" i="1"/>
  <c r="M743" i="1" s="1"/>
  <c r="J742" i="1" a="1"/>
  <c r="J742" i="1" s="1"/>
  <c r="I742" i="1"/>
  <c r="M742" i="1" s="1"/>
  <c r="J741" i="1" a="1"/>
  <c r="J741" i="1" s="1"/>
  <c r="I741" i="1"/>
  <c r="M741" i="1" s="1"/>
  <c r="J740" i="1" a="1"/>
  <c r="J740" i="1" s="1"/>
  <c r="I740" i="1"/>
  <c r="M740" i="1" s="1"/>
  <c r="J739" i="1" a="1"/>
  <c r="J739" i="1" s="1"/>
  <c r="I739" i="1"/>
  <c r="M739" i="1" s="1"/>
  <c r="J738" i="1" a="1"/>
  <c r="J738" i="1" s="1"/>
  <c r="I738" i="1"/>
  <c r="M738" i="1" s="1"/>
  <c r="J737" i="1"/>
  <c r="J737" i="1" a="1"/>
  <c r="I737" i="1"/>
  <c r="M737" i="1" s="1"/>
  <c r="J736" i="1" a="1"/>
  <c r="J736" i="1" s="1"/>
  <c r="I736" i="1"/>
  <c r="M736" i="1" s="1"/>
  <c r="M735" i="1"/>
  <c r="J735" i="1" a="1"/>
  <c r="J735" i="1" s="1"/>
  <c r="I735" i="1"/>
  <c r="J734" i="1" a="1"/>
  <c r="J734" i="1" s="1"/>
  <c r="I734" i="1"/>
  <c r="M734" i="1" s="1"/>
  <c r="J733" i="1" a="1"/>
  <c r="J733" i="1" s="1"/>
  <c r="I733" i="1"/>
  <c r="M733" i="1" s="1"/>
  <c r="J732" i="1"/>
  <c r="J732" i="1" a="1"/>
  <c r="I732" i="1"/>
  <c r="M732" i="1" s="1"/>
  <c r="M731" i="1"/>
  <c r="J731" i="1" a="1"/>
  <c r="J731" i="1" s="1"/>
  <c r="I731" i="1"/>
  <c r="J730" i="1" a="1"/>
  <c r="J730" i="1" s="1"/>
  <c r="I730" i="1"/>
  <c r="M730" i="1" s="1"/>
  <c r="J729" i="1" a="1"/>
  <c r="J729" i="1" s="1"/>
  <c r="I729" i="1"/>
  <c r="M729" i="1" s="1"/>
  <c r="J728" i="1" a="1"/>
  <c r="J728" i="1" s="1"/>
  <c r="I728" i="1"/>
  <c r="M728" i="1" s="1"/>
  <c r="J727" i="1"/>
  <c r="J727" i="1" a="1"/>
  <c r="I727" i="1"/>
  <c r="M727" i="1" s="1"/>
  <c r="J726" i="1" a="1"/>
  <c r="J726" i="1" s="1"/>
  <c r="I726" i="1"/>
  <c r="M726" i="1" s="1"/>
  <c r="J725" i="1" a="1"/>
  <c r="J725" i="1" s="1"/>
  <c r="I725" i="1"/>
  <c r="M725" i="1" s="1"/>
  <c r="J724" i="1"/>
  <c r="J724" i="1" a="1"/>
  <c r="I724" i="1"/>
  <c r="M724" i="1" s="1"/>
  <c r="J723" i="1" a="1"/>
  <c r="J723" i="1" s="1"/>
  <c r="I723" i="1"/>
  <c r="M723" i="1" s="1"/>
  <c r="J722" i="1"/>
  <c r="J722" i="1" a="1"/>
  <c r="I722" i="1"/>
  <c r="M722" i="1" s="1"/>
  <c r="J721" i="1" a="1"/>
  <c r="J721" i="1" s="1"/>
  <c r="I721" i="1"/>
  <c r="M721" i="1" s="1"/>
  <c r="J720" i="1" a="1"/>
  <c r="J720" i="1" s="1"/>
  <c r="I720" i="1"/>
  <c r="M720" i="1" s="1"/>
  <c r="J719" i="1" a="1"/>
  <c r="J719" i="1" s="1"/>
  <c r="I719" i="1"/>
  <c r="M719" i="1" s="1"/>
  <c r="J718" i="1" a="1"/>
  <c r="J718" i="1" s="1"/>
  <c r="I718" i="1"/>
  <c r="M718" i="1" s="1"/>
  <c r="J717" i="1" a="1"/>
  <c r="J717" i="1" s="1"/>
  <c r="I717" i="1"/>
  <c r="M717" i="1" s="1"/>
  <c r="J716" i="1" a="1"/>
  <c r="J716" i="1" s="1"/>
  <c r="I716" i="1"/>
  <c r="M716" i="1" s="1"/>
  <c r="J715" i="1" a="1"/>
  <c r="J715" i="1" s="1"/>
  <c r="I715" i="1"/>
  <c r="M715" i="1" s="1"/>
  <c r="J714" i="1" a="1"/>
  <c r="J714" i="1" s="1"/>
  <c r="I714" i="1"/>
  <c r="M714" i="1" s="1"/>
  <c r="J713" i="1" a="1"/>
  <c r="J713" i="1" s="1"/>
  <c r="I713" i="1"/>
  <c r="M713" i="1" s="1"/>
  <c r="J712" i="1" a="1"/>
  <c r="J712" i="1" s="1"/>
  <c r="I712" i="1"/>
  <c r="M712" i="1" s="1"/>
  <c r="J711" i="1" a="1"/>
  <c r="J711" i="1" s="1"/>
  <c r="I711" i="1"/>
  <c r="M711" i="1" s="1"/>
  <c r="J710" i="1" a="1"/>
  <c r="J710" i="1" s="1"/>
  <c r="I710" i="1"/>
  <c r="M710" i="1" s="1"/>
  <c r="J709" i="1" a="1"/>
  <c r="J709" i="1" s="1"/>
  <c r="I709" i="1"/>
  <c r="M709" i="1" s="1"/>
  <c r="J708" i="1"/>
  <c r="J708" i="1" a="1"/>
  <c r="I708" i="1"/>
  <c r="M708" i="1" s="1"/>
  <c r="J707" i="1" a="1"/>
  <c r="J707" i="1" s="1"/>
  <c r="I707" i="1"/>
  <c r="M707" i="1" s="1"/>
  <c r="J706" i="1" a="1"/>
  <c r="J706" i="1" s="1"/>
  <c r="I706" i="1"/>
  <c r="M706" i="1" s="1"/>
  <c r="J705" i="1" a="1"/>
  <c r="J705" i="1" s="1"/>
  <c r="I705" i="1"/>
  <c r="M705" i="1" s="1"/>
  <c r="J704" i="1" a="1"/>
  <c r="J704" i="1" s="1"/>
  <c r="I704" i="1"/>
  <c r="M704" i="1" s="1"/>
  <c r="J703" i="1"/>
  <c r="J703" i="1" a="1"/>
  <c r="I703" i="1"/>
  <c r="M703" i="1" s="1"/>
  <c r="J702" i="1" a="1"/>
  <c r="J702" i="1" s="1"/>
  <c r="I702" i="1"/>
  <c r="M702" i="1" s="1"/>
  <c r="J701" i="1" a="1"/>
  <c r="J701" i="1" s="1"/>
  <c r="I701" i="1"/>
  <c r="M701" i="1" s="1"/>
  <c r="J700" i="1" a="1"/>
  <c r="J700" i="1" s="1"/>
  <c r="I700" i="1"/>
  <c r="M700" i="1" s="1"/>
  <c r="J699" i="1" a="1"/>
  <c r="J699" i="1" s="1"/>
  <c r="I699" i="1"/>
  <c r="M699" i="1" s="1"/>
  <c r="J698" i="1" a="1"/>
  <c r="J698" i="1" s="1"/>
  <c r="I698" i="1"/>
  <c r="M698" i="1" s="1"/>
  <c r="J697" i="1" a="1"/>
  <c r="J697" i="1" s="1"/>
  <c r="I697" i="1"/>
  <c r="M697" i="1" s="1"/>
  <c r="M696" i="1"/>
  <c r="J696" i="1" a="1"/>
  <c r="J696" i="1" s="1"/>
  <c r="I696" i="1"/>
  <c r="J695" i="1"/>
  <c r="J695" i="1" a="1"/>
  <c r="I695" i="1"/>
  <c r="M695" i="1" s="1"/>
  <c r="M694" i="1"/>
  <c r="J694" i="1" a="1"/>
  <c r="J694" i="1" s="1"/>
  <c r="I694" i="1"/>
  <c r="J693" i="1" a="1"/>
  <c r="J693" i="1" s="1"/>
  <c r="I693" i="1"/>
  <c r="M693" i="1" s="1"/>
  <c r="J692" i="1" a="1"/>
  <c r="J692" i="1" s="1"/>
  <c r="I692" i="1"/>
  <c r="M692" i="1" s="1"/>
  <c r="J691" i="1" a="1"/>
  <c r="J691" i="1" s="1"/>
  <c r="I691" i="1"/>
  <c r="M691" i="1" s="1"/>
  <c r="J690" i="1" a="1"/>
  <c r="J690" i="1" s="1"/>
  <c r="I690" i="1"/>
  <c r="M690" i="1" s="1"/>
  <c r="J689" i="1" a="1"/>
  <c r="J689" i="1" s="1"/>
  <c r="I689" i="1"/>
  <c r="M689" i="1" s="1"/>
  <c r="J688" i="1" a="1"/>
  <c r="J688" i="1" s="1"/>
  <c r="I688" i="1"/>
  <c r="M688" i="1" s="1"/>
  <c r="J687" i="1" a="1"/>
  <c r="J687" i="1" s="1"/>
  <c r="I687" i="1"/>
  <c r="M687" i="1" s="1"/>
  <c r="J686" i="1" a="1"/>
  <c r="J686" i="1" s="1"/>
  <c r="I686" i="1"/>
  <c r="M686" i="1" s="1"/>
  <c r="J685" i="1" a="1"/>
  <c r="J685" i="1" s="1"/>
  <c r="I685" i="1"/>
  <c r="M685" i="1" s="1"/>
  <c r="J684" i="1" a="1"/>
  <c r="J684" i="1" s="1"/>
  <c r="I684" i="1"/>
  <c r="M684" i="1" s="1"/>
  <c r="J683" i="1"/>
  <c r="J683" i="1" a="1"/>
  <c r="I683" i="1"/>
  <c r="M683" i="1" s="1"/>
  <c r="J682" i="1" a="1"/>
  <c r="J682" i="1" s="1"/>
  <c r="I682" i="1"/>
  <c r="M682" i="1" s="1"/>
  <c r="J681" i="1" a="1"/>
  <c r="J681" i="1" s="1"/>
  <c r="I681" i="1"/>
  <c r="M681" i="1" s="1"/>
  <c r="J680" i="1"/>
  <c r="J680" i="1" a="1"/>
  <c r="I680" i="1"/>
  <c r="M680" i="1" s="1"/>
  <c r="J679" i="1" a="1"/>
  <c r="J679" i="1" s="1"/>
  <c r="I679" i="1"/>
  <c r="M679" i="1" s="1"/>
  <c r="M678" i="1"/>
  <c r="J678" i="1" a="1"/>
  <c r="J678" i="1" s="1"/>
  <c r="I678" i="1"/>
  <c r="M677" i="1"/>
  <c r="J677" i="1" a="1"/>
  <c r="J677" i="1" s="1"/>
  <c r="I677" i="1"/>
  <c r="M676" i="1"/>
  <c r="J676" i="1" a="1"/>
  <c r="J676" i="1" s="1"/>
  <c r="I676" i="1"/>
  <c r="J675" i="1" a="1"/>
  <c r="J675" i="1" s="1"/>
  <c r="I675" i="1"/>
  <c r="M675" i="1" s="1"/>
  <c r="J674" i="1" a="1"/>
  <c r="J674" i="1" s="1"/>
  <c r="I674" i="1"/>
  <c r="M674" i="1" s="1"/>
  <c r="J673" i="1" a="1"/>
  <c r="J673" i="1" s="1"/>
  <c r="I673" i="1"/>
  <c r="M673" i="1" s="1"/>
  <c r="J672" i="1" a="1"/>
  <c r="J672" i="1" s="1"/>
  <c r="I672" i="1"/>
  <c r="M672" i="1" s="1"/>
  <c r="J671" i="1" a="1"/>
  <c r="J671" i="1" s="1"/>
  <c r="I671" i="1"/>
  <c r="M671" i="1" s="1"/>
  <c r="J670" i="1"/>
  <c r="J670" i="1" a="1"/>
  <c r="I670" i="1"/>
  <c r="M670" i="1" s="1"/>
  <c r="J669" i="1"/>
  <c r="J669" i="1" a="1"/>
  <c r="I669" i="1"/>
  <c r="M669" i="1" s="1"/>
  <c r="J668" i="1"/>
  <c r="J668" i="1" a="1"/>
  <c r="I668" i="1"/>
  <c r="M668" i="1" s="1"/>
  <c r="J667" i="1" a="1"/>
  <c r="J667" i="1" s="1"/>
  <c r="I667" i="1"/>
  <c r="M667" i="1" s="1"/>
  <c r="J666" i="1" a="1"/>
  <c r="J666" i="1" s="1"/>
  <c r="I666" i="1"/>
  <c r="M666" i="1" s="1"/>
  <c r="J665" i="1"/>
  <c r="J665" i="1" a="1"/>
  <c r="I665" i="1"/>
  <c r="M665" i="1" s="1"/>
  <c r="J664" i="1" a="1"/>
  <c r="J664" i="1" s="1"/>
  <c r="I664" i="1"/>
  <c r="M664" i="1" s="1"/>
  <c r="J663" i="1" a="1"/>
  <c r="J663" i="1" s="1"/>
  <c r="I663" i="1"/>
  <c r="M663" i="1" s="1"/>
  <c r="J662" i="1" a="1"/>
  <c r="J662" i="1" s="1"/>
  <c r="I662" i="1"/>
  <c r="M662" i="1" s="1"/>
  <c r="J661" i="1" a="1"/>
  <c r="J661" i="1" s="1"/>
  <c r="I661" i="1"/>
  <c r="M661" i="1" s="1"/>
  <c r="J660" i="1" a="1"/>
  <c r="J660" i="1" s="1"/>
  <c r="I660" i="1"/>
  <c r="M660" i="1" s="1"/>
  <c r="J659" i="1" a="1"/>
  <c r="J659" i="1" s="1"/>
  <c r="I659" i="1"/>
  <c r="M659" i="1" s="1"/>
  <c r="J658" i="1" a="1"/>
  <c r="J658" i="1" s="1"/>
  <c r="I658" i="1"/>
  <c r="M658" i="1" s="1"/>
  <c r="J657" i="1" a="1"/>
  <c r="J657" i="1" s="1"/>
  <c r="I657" i="1"/>
  <c r="M657" i="1" s="1"/>
  <c r="M656" i="1"/>
  <c r="J656" i="1" a="1"/>
  <c r="J656" i="1" s="1"/>
  <c r="I656" i="1"/>
  <c r="J655" i="1" a="1"/>
  <c r="J655" i="1" s="1"/>
  <c r="I655" i="1"/>
  <c r="M655" i="1" s="1"/>
  <c r="J654" i="1" a="1"/>
  <c r="J654" i="1" s="1"/>
  <c r="I654" i="1"/>
  <c r="M654" i="1" s="1"/>
  <c r="J653" i="1"/>
  <c r="J653" i="1" a="1"/>
  <c r="I653" i="1"/>
  <c r="M653" i="1" s="1"/>
  <c r="J652" i="1" a="1"/>
  <c r="J652" i="1" s="1"/>
  <c r="I652" i="1"/>
  <c r="M652" i="1" s="1"/>
  <c r="M651" i="1"/>
  <c r="J651" i="1" a="1"/>
  <c r="J651" i="1" s="1"/>
  <c r="I651" i="1"/>
  <c r="J650" i="1" a="1"/>
  <c r="J650" i="1" s="1"/>
  <c r="I650" i="1"/>
  <c r="M650" i="1" s="1"/>
  <c r="J649" i="1" a="1"/>
  <c r="J649" i="1" s="1"/>
  <c r="I649" i="1"/>
  <c r="M649" i="1" s="1"/>
  <c r="J648" i="1" a="1"/>
  <c r="J648" i="1" s="1"/>
  <c r="I648" i="1"/>
  <c r="M648" i="1" s="1"/>
  <c r="J647" i="1"/>
  <c r="J647" i="1" a="1"/>
  <c r="I647" i="1"/>
  <c r="M647" i="1" s="1"/>
  <c r="J646" i="1" a="1"/>
  <c r="J646" i="1" s="1"/>
  <c r="I646" i="1"/>
  <c r="M646" i="1" s="1"/>
  <c r="J645" i="1" a="1"/>
  <c r="J645" i="1" s="1"/>
  <c r="I645" i="1"/>
  <c r="M645" i="1" s="1"/>
  <c r="M644" i="1"/>
  <c r="J644" i="1" a="1"/>
  <c r="J644" i="1" s="1"/>
  <c r="I644" i="1"/>
  <c r="J643" i="1" a="1"/>
  <c r="J643" i="1" s="1"/>
  <c r="I643" i="1"/>
  <c r="M643" i="1" s="1"/>
  <c r="J642" i="1" a="1"/>
  <c r="J642" i="1" s="1"/>
  <c r="I642" i="1"/>
  <c r="M642" i="1" s="1"/>
  <c r="J641" i="1" a="1"/>
  <c r="J641" i="1" s="1"/>
  <c r="I641" i="1"/>
  <c r="M641" i="1" s="1"/>
  <c r="J640" i="1" a="1"/>
  <c r="J640" i="1" s="1"/>
  <c r="I640" i="1"/>
  <c r="M640" i="1" s="1"/>
  <c r="M639" i="1"/>
  <c r="J639" i="1" a="1"/>
  <c r="J639" i="1" s="1"/>
  <c r="I639" i="1"/>
  <c r="J638" i="1" a="1"/>
  <c r="J638" i="1" s="1"/>
  <c r="I638" i="1"/>
  <c r="M638" i="1" s="1"/>
  <c r="J637" i="1" a="1"/>
  <c r="J637" i="1" s="1"/>
  <c r="I637" i="1"/>
  <c r="M637" i="1" s="1"/>
  <c r="J636" i="1" a="1"/>
  <c r="J636" i="1" s="1"/>
  <c r="I636" i="1"/>
  <c r="M636" i="1" s="1"/>
  <c r="J635" i="1" a="1"/>
  <c r="J635" i="1" s="1"/>
  <c r="I635" i="1"/>
  <c r="M635" i="1" s="1"/>
  <c r="J634" i="1" a="1"/>
  <c r="J634" i="1" s="1"/>
  <c r="I634" i="1"/>
  <c r="M634" i="1" s="1"/>
  <c r="M633" i="1"/>
  <c r="J633" i="1" a="1"/>
  <c r="J633" i="1" s="1"/>
  <c r="I633" i="1"/>
  <c r="J632" i="1"/>
  <c r="J632" i="1" a="1"/>
  <c r="I632" i="1"/>
  <c r="M632" i="1" s="1"/>
  <c r="J631" i="1" a="1"/>
  <c r="J631" i="1" s="1"/>
  <c r="I631" i="1"/>
  <c r="M631" i="1" s="1"/>
  <c r="J630" i="1" a="1"/>
  <c r="J630" i="1" s="1"/>
  <c r="I630" i="1"/>
  <c r="M630" i="1" s="1"/>
  <c r="J629" i="1" a="1"/>
  <c r="J629" i="1" s="1"/>
  <c r="I629" i="1"/>
  <c r="M629" i="1" s="1"/>
  <c r="J628" i="1" a="1"/>
  <c r="J628" i="1" s="1"/>
  <c r="I628" i="1"/>
  <c r="M628" i="1" s="1"/>
  <c r="J627" i="1" a="1"/>
  <c r="J627" i="1" s="1"/>
  <c r="I627" i="1"/>
  <c r="M627" i="1" s="1"/>
  <c r="J626" i="1" a="1"/>
  <c r="J626" i="1" s="1"/>
  <c r="I626" i="1"/>
  <c r="M626" i="1" s="1"/>
  <c r="J625" i="1" a="1"/>
  <c r="J625" i="1" s="1"/>
  <c r="I625" i="1"/>
  <c r="M625" i="1" s="1"/>
  <c r="M624" i="1"/>
  <c r="J624" i="1" a="1"/>
  <c r="J624" i="1" s="1"/>
  <c r="I624" i="1"/>
  <c r="J623" i="1" a="1"/>
  <c r="J623" i="1" s="1"/>
  <c r="I623" i="1"/>
  <c r="M623" i="1" s="1"/>
  <c r="J622" i="1" a="1"/>
  <c r="J622" i="1" s="1"/>
  <c r="I622" i="1"/>
  <c r="M622" i="1" s="1"/>
  <c r="M621" i="1"/>
  <c r="J621" i="1" a="1"/>
  <c r="J621" i="1" s="1"/>
  <c r="I621" i="1"/>
  <c r="M620" i="1"/>
  <c r="J620" i="1" a="1"/>
  <c r="J620" i="1" s="1"/>
  <c r="I620" i="1"/>
  <c r="J619" i="1" a="1"/>
  <c r="J619" i="1" s="1"/>
  <c r="I619" i="1"/>
  <c r="M619" i="1" s="1"/>
  <c r="J618" i="1" a="1"/>
  <c r="J618" i="1" s="1"/>
  <c r="I618" i="1"/>
  <c r="M618" i="1" s="1"/>
  <c r="J617" i="1" a="1"/>
  <c r="J617" i="1" s="1"/>
  <c r="I617" i="1"/>
  <c r="M617" i="1" s="1"/>
  <c r="J616" i="1" a="1"/>
  <c r="J616" i="1" s="1"/>
  <c r="I616" i="1"/>
  <c r="M616" i="1" s="1"/>
  <c r="J615" i="1" a="1"/>
  <c r="J615" i="1" s="1"/>
  <c r="I615" i="1"/>
  <c r="M615" i="1" s="1"/>
  <c r="J614" i="1" a="1"/>
  <c r="J614" i="1" s="1"/>
  <c r="I614" i="1"/>
  <c r="M614" i="1" s="1"/>
  <c r="J613" i="1" a="1"/>
  <c r="J613" i="1" s="1"/>
  <c r="I613" i="1"/>
  <c r="M613" i="1" s="1"/>
  <c r="J612" i="1"/>
  <c r="J612" i="1" a="1"/>
  <c r="I612" i="1"/>
  <c r="M612" i="1" s="1"/>
  <c r="J611" i="1" a="1"/>
  <c r="J611" i="1" s="1"/>
  <c r="I611" i="1"/>
  <c r="M611" i="1" s="1"/>
  <c r="J610" i="1" a="1"/>
  <c r="J610" i="1" s="1"/>
  <c r="I610" i="1"/>
  <c r="M610" i="1" s="1"/>
  <c r="J609" i="1" a="1"/>
  <c r="J609" i="1" s="1"/>
  <c r="I609" i="1"/>
  <c r="M609" i="1" s="1"/>
  <c r="J608" i="1" a="1"/>
  <c r="J608" i="1" s="1"/>
  <c r="I608" i="1"/>
  <c r="M608" i="1" s="1"/>
  <c r="J607" i="1" a="1"/>
  <c r="J607" i="1" s="1"/>
  <c r="I607" i="1"/>
  <c r="M607" i="1" s="1"/>
  <c r="J606" i="1" a="1"/>
  <c r="J606" i="1" s="1"/>
  <c r="I606" i="1"/>
  <c r="M606" i="1" s="1"/>
  <c r="J605" i="1" a="1"/>
  <c r="J605" i="1" s="1"/>
  <c r="I605" i="1"/>
  <c r="M605" i="1" s="1"/>
  <c r="J604" i="1" a="1"/>
  <c r="J604" i="1" s="1"/>
  <c r="I604" i="1"/>
  <c r="M604" i="1" s="1"/>
  <c r="J603" i="1" a="1"/>
  <c r="J603" i="1" s="1"/>
  <c r="I603" i="1"/>
  <c r="M603" i="1" s="1"/>
  <c r="J602" i="1" a="1"/>
  <c r="J602" i="1" s="1"/>
  <c r="I602" i="1"/>
  <c r="M602" i="1" s="1"/>
  <c r="J601" i="1"/>
  <c r="J601" i="1" a="1"/>
  <c r="I601" i="1"/>
  <c r="M601" i="1" s="1"/>
  <c r="J600" i="1" a="1"/>
  <c r="J600" i="1" s="1"/>
  <c r="I600" i="1"/>
  <c r="M600" i="1" s="1"/>
  <c r="J599" i="1" a="1"/>
  <c r="J599" i="1" s="1"/>
  <c r="I599" i="1"/>
  <c r="M599" i="1" s="1"/>
  <c r="J598" i="1" a="1"/>
  <c r="J598" i="1" s="1"/>
  <c r="I598" i="1"/>
  <c r="M598" i="1" s="1"/>
  <c r="M597" i="1"/>
  <c r="J597" i="1" a="1"/>
  <c r="J597" i="1" s="1"/>
  <c r="I597" i="1"/>
  <c r="J596" i="1" a="1"/>
  <c r="J596" i="1" s="1"/>
  <c r="I596" i="1"/>
  <c r="M596" i="1" s="1"/>
  <c r="J595" i="1" a="1"/>
  <c r="J595" i="1" s="1"/>
  <c r="I595" i="1"/>
  <c r="M595" i="1" s="1"/>
  <c r="J594" i="1" a="1"/>
  <c r="J594" i="1" s="1"/>
  <c r="I594" i="1"/>
  <c r="M594" i="1" s="1"/>
  <c r="J593" i="1" a="1"/>
  <c r="J593" i="1" s="1"/>
  <c r="I593" i="1"/>
  <c r="M593" i="1" s="1"/>
  <c r="J592" i="1" a="1"/>
  <c r="J592" i="1" s="1"/>
  <c r="I592" i="1"/>
  <c r="M592" i="1" s="1"/>
  <c r="M591" i="1"/>
  <c r="J591" i="1" a="1"/>
  <c r="J591" i="1" s="1"/>
  <c r="I591" i="1"/>
  <c r="J590" i="1" a="1"/>
  <c r="J590" i="1" s="1"/>
  <c r="I590" i="1"/>
  <c r="M590" i="1" s="1"/>
  <c r="M589" i="1"/>
  <c r="J589" i="1" a="1"/>
  <c r="J589" i="1" s="1"/>
  <c r="I589" i="1"/>
  <c r="J588" i="1" a="1"/>
  <c r="J588" i="1" s="1"/>
  <c r="I588" i="1"/>
  <c r="M588" i="1" s="1"/>
  <c r="J587" i="1" a="1"/>
  <c r="J587" i="1" s="1"/>
  <c r="I587" i="1"/>
  <c r="M587" i="1" s="1"/>
  <c r="M586" i="1"/>
  <c r="J586" i="1" a="1"/>
  <c r="J586" i="1" s="1"/>
  <c r="I586" i="1"/>
  <c r="J585" i="1" a="1"/>
  <c r="J585" i="1" s="1"/>
  <c r="I585" i="1"/>
  <c r="M585" i="1" s="1"/>
  <c r="M584" i="1"/>
  <c r="J584" i="1"/>
  <c r="J584" i="1" a="1"/>
  <c r="I584" i="1"/>
  <c r="J583" i="1" a="1"/>
  <c r="J583" i="1" s="1"/>
  <c r="I583" i="1"/>
  <c r="M583" i="1" s="1"/>
  <c r="J582" i="1" a="1"/>
  <c r="J582" i="1" s="1"/>
  <c r="I582" i="1"/>
  <c r="M582" i="1" s="1"/>
  <c r="J581" i="1"/>
  <c r="J581" i="1" a="1"/>
  <c r="I581" i="1"/>
  <c r="M581" i="1" s="1"/>
  <c r="J580" i="1"/>
  <c r="J580" i="1" a="1"/>
  <c r="I580" i="1"/>
  <c r="M580" i="1" s="1"/>
  <c r="J579" i="1" a="1"/>
  <c r="J579" i="1" s="1"/>
  <c r="I579" i="1"/>
  <c r="M579" i="1" s="1"/>
  <c r="J578" i="1" a="1"/>
  <c r="J578" i="1" s="1"/>
  <c r="I578" i="1"/>
  <c r="M578" i="1" s="1"/>
  <c r="J577" i="1" a="1"/>
  <c r="J577" i="1" s="1"/>
  <c r="I577" i="1"/>
  <c r="M577" i="1" s="1"/>
  <c r="J576" i="1" a="1"/>
  <c r="J576" i="1" s="1"/>
  <c r="I576" i="1"/>
  <c r="M576" i="1" s="1"/>
  <c r="J575" i="1" a="1"/>
  <c r="J575" i="1" s="1"/>
  <c r="I575" i="1"/>
  <c r="M575" i="1" s="1"/>
  <c r="J574" i="1" a="1"/>
  <c r="J574" i="1" s="1"/>
  <c r="I574" i="1"/>
  <c r="M574" i="1" s="1"/>
  <c r="J573" i="1" a="1"/>
  <c r="J573" i="1" s="1"/>
  <c r="I573" i="1"/>
  <c r="M573" i="1" s="1"/>
  <c r="J572" i="1" a="1"/>
  <c r="J572" i="1" s="1"/>
  <c r="I572" i="1"/>
  <c r="M572" i="1" s="1"/>
  <c r="J571" i="1" a="1"/>
  <c r="J571" i="1" s="1"/>
  <c r="I571" i="1"/>
  <c r="M571" i="1" s="1"/>
  <c r="J570" i="1" a="1"/>
  <c r="J570" i="1" s="1"/>
  <c r="I570" i="1"/>
  <c r="M570" i="1" s="1"/>
  <c r="J569" i="1" a="1"/>
  <c r="J569" i="1" s="1"/>
  <c r="I569" i="1"/>
  <c r="M569" i="1" s="1"/>
  <c r="J568" i="1" a="1"/>
  <c r="J568" i="1" s="1"/>
  <c r="I568" i="1"/>
  <c r="M568" i="1" s="1"/>
  <c r="J567" i="1" a="1"/>
  <c r="J567" i="1" s="1"/>
  <c r="I567" i="1"/>
  <c r="M567" i="1" s="1"/>
  <c r="J566" i="1" a="1"/>
  <c r="J566" i="1" s="1"/>
  <c r="I566" i="1"/>
  <c r="M566" i="1" s="1"/>
  <c r="J565" i="1"/>
  <c r="J565" i="1" a="1"/>
  <c r="I565" i="1"/>
  <c r="M565" i="1" s="1"/>
  <c r="J564" i="1" a="1"/>
  <c r="J564" i="1" s="1"/>
  <c r="I564" i="1"/>
  <c r="M564" i="1" s="1"/>
  <c r="J563" i="1" a="1"/>
  <c r="J563" i="1" s="1"/>
  <c r="I563" i="1"/>
  <c r="M563" i="1" s="1"/>
  <c r="J562" i="1" a="1"/>
  <c r="J562" i="1" s="1"/>
  <c r="I562" i="1"/>
  <c r="M562" i="1" s="1"/>
  <c r="M561" i="1"/>
  <c r="J561" i="1" a="1"/>
  <c r="J561" i="1" s="1"/>
  <c r="I561" i="1"/>
  <c r="J560" i="1" a="1"/>
  <c r="J560" i="1" s="1"/>
  <c r="I560" i="1"/>
  <c r="M560" i="1" s="1"/>
  <c r="J559" i="1" a="1"/>
  <c r="J559" i="1" s="1"/>
  <c r="I559" i="1"/>
  <c r="M559" i="1" s="1"/>
  <c r="J558" i="1" a="1"/>
  <c r="J558" i="1" s="1"/>
  <c r="I558" i="1"/>
  <c r="M558" i="1" s="1"/>
  <c r="J557" i="1" a="1"/>
  <c r="J557" i="1" s="1"/>
  <c r="I557" i="1"/>
  <c r="M557" i="1" s="1"/>
  <c r="J556" i="1" a="1"/>
  <c r="J556" i="1" s="1"/>
  <c r="I556" i="1"/>
  <c r="M556" i="1" s="1"/>
  <c r="J555" i="1" a="1"/>
  <c r="J555" i="1" s="1"/>
  <c r="I555" i="1"/>
  <c r="M555" i="1" s="1"/>
  <c r="M554" i="1"/>
  <c r="J554" i="1" a="1"/>
  <c r="J554" i="1" s="1"/>
  <c r="I554" i="1"/>
  <c r="J553" i="1" a="1"/>
  <c r="J553" i="1" s="1"/>
  <c r="I553" i="1"/>
  <c r="M553" i="1" s="1"/>
  <c r="J552" i="1" a="1"/>
  <c r="J552" i="1" s="1"/>
  <c r="I552" i="1"/>
  <c r="M552" i="1" s="1"/>
  <c r="J551" i="1" a="1"/>
  <c r="J551" i="1" s="1"/>
  <c r="I551" i="1"/>
  <c r="M551" i="1" s="1"/>
  <c r="J550" i="1" a="1"/>
  <c r="J550" i="1" s="1"/>
  <c r="I550" i="1"/>
  <c r="M550" i="1" s="1"/>
  <c r="J549" i="1" a="1"/>
  <c r="J549" i="1" s="1"/>
  <c r="I549" i="1"/>
  <c r="M549" i="1" s="1"/>
  <c r="J548" i="1" a="1"/>
  <c r="J548" i="1" s="1"/>
  <c r="I548" i="1"/>
  <c r="M548" i="1" s="1"/>
  <c r="J547" i="1" a="1"/>
  <c r="J547" i="1" s="1"/>
  <c r="I547" i="1"/>
  <c r="M547" i="1" s="1"/>
  <c r="J546" i="1" a="1"/>
  <c r="J546" i="1" s="1"/>
  <c r="I546" i="1"/>
  <c r="M546" i="1" s="1"/>
  <c r="J545" i="1" a="1"/>
  <c r="J545" i="1" s="1"/>
  <c r="I545" i="1"/>
  <c r="M545" i="1" s="1"/>
  <c r="J544" i="1" a="1"/>
  <c r="J544" i="1" s="1"/>
  <c r="I544" i="1"/>
  <c r="M544" i="1" s="1"/>
  <c r="M543" i="1"/>
  <c r="J543" i="1" a="1"/>
  <c r="J543" i="1" s="1"/>
  <c r="I543" i="1"/>
  <c r="J542" i="1" a="1"/>
  <c r="J542" i="1" s="1"/>
  <c r="I542" i="1"/>
  <c r="M542" i="1" s="1"/>
  <c r="M541" i="1"/>
  <c r="J541" i="1" a="1"/>
  <c r="J541" i="1" s="1"/>
  <c r="I541" i="1"/>
  <c r="J540" i="1" a="1"/>
  <c r="J540" i="1" s="1"/>
  <c r="I540" i="1"/>
  <c r="M540" i="1" s="1"/>
  <c r="J539" i="1" a="1"/>
  <c r="J539" i="1" s="1"/>
  <c r="I539" i="1"/>
  <c r="M539" i="1" s="1"/>
  <c r="J538" i="1" a="1"/>
  <c r="J538" i="1" s="1"/>
  <c r="I538" i="1"/>
  <c r="M538" i="1" s="1"/>
  <c r="M537" i="1"/>
  <c r="J537" i="1" a="1"/>
  <c r="J537" i="1" s="1"/>
  <c r="I537" i="1"/>
  <c r="J536" i="1" a="1"/>
  <c r="J536" i="1" s="1"/>
  <c r="I536" i="1"/>
  <c r="M536" i="1" s="1"/>
  <c r="J535" i="1" a="1"/>
  <c r="J535" i="1" s="1"/>
  <c r="I535" i="1"/>
  <c r="M535" i="1" s="1"/>
  <c r="J534" i="1" a="1"/>
  <c r="J534" i="1" s="1"/>
  <c r="I534" i="1"/>
  <c r="M534" i="1" s="1"/>
  <c r="J533" i="1" a="1"/>
  <c r="J533" i="1" s="1"/>
  <c r="I533" i="1"/>
  <c r="M533" i="1" s="1"/>
  <c r="M532" i="1"/>
  <c r="J532" i="1" a="1"/>
  <c r="J532" i="1" s="1"/>
  <c r="I532" i="1"/>
  <c r="J531" i="1" a="1"/>
  <c r="J531" i="1" s="1"/>
  <c r="I531" i="1"/>
  <c r="M531" i="1" s="1"/>
  <c r="J530" i="1" a="1"/>
  <c r="J530" i="1" s="1"/>
  <c r="I530" i="1"/>
  <c r="M530" i="1" s="1"/>
  <c r="J529" i="1" a="1"/>
  <c r="J529" i="1" s="1"/>
  <c r="I529" i="1"/>
  <c r="M529" i="1" s="1"/>
  <c r="J528" i="1" a="1"/>
  <c r="J528" i="1" s="1"/>
  <c r="I528" i="1"/>
  <c r="M528" i="1" s="1"/>
  <c r="J527" i="1" a="1"/>
  <c r="J527" i="1" s="1"/>
  <c r="I527" i="1"/>
  <c r="M527" i="1" s="1"/>
  <c r="J526" i="1"/>
  <c r="J526" i="1" a="1"/>
  <c r="I526" i="1"/>
  <c r="M526" i="1" s="1"/>
  <c r="M525" i="1"/>
  <c r="J525" i="1" a="1"/>
  <c r="J525" i="1" s="1"/>
  <c r="I525" i="1"/>
  <c r="J524" i="1" a="1"/>
  <c r="J524" i="1" s="1"/>
  <c r="I524" i="1"/>
  <c r="M524" i="1" s="1"/>
  <c r="J523" i="1" a="1"/>
  <c r="J523" i="1" s="1"/>
  <c r="I523" i="1"/>
  <c r="M523" i="1" s="1"/>
  <c r="J522" i="1" a="1"/>
  <c r="J522" i="1" s="1"/>
  <c r="I522" i="1"/>
  <c r="M522" i="1" s="1"/>
  <c r="J521" i="1" a="1"/>
  <c r="J521" i="1" s="1"/>
  <c r="I521" i="1"/>
  <c r="M521" i="1" s="1"/>
  <c r="J520" i="1" a="1"/>
  <c r="J520" i="1" s="1"/>
  <c r="I520" i="1"/>
  <c r="M520" i="1" s="1"/>
  <c r="J519" i="1" a="1"/>
  <c r="J519" i="1" s="1"/>
  <c r="I519" i="1"/>
  <c r="M519" i="1" s="1"/>
  <c r="J518" i="1" a="1"/>
  <c r="J518" i="1" s="1"/>
  <c r="I518" i="1"/>
  <c r="M518" i="1" s="1"/>
  <c r="M517" i="1"/>
  <c r="J517" i="1" a="1"/>
  <c r="J517" i="1" s="1"/>
  <c r="I517" i="1"/>
  <c r="M516" i="1"/>
  <c r="J516" i="1" a="1"/>
  <c r="J516" i="1" s="1"/>
  <c r="I516" i="1"/>
  <c r="J515" i="1" a="1"/>
  <c r="J515" i="1" s="1"/>
  <c r="I515" i="1"/>
  <c r="M515" i="1" s="1"/>
  <c r="J514" i="1" a="1"/>
  <c r="J514" i="1" s="1"/>
  <c r="I514" i="1"/>
  <c r="M514" i="1" s="1"/>
  <c r="J513" i="1" a="1"/>
  <c r="J513" i="1" s="1"/>
  <c r="I513" i="1"/>
  <c r="M513" i="1" s="1"/>
  <c r="J512" i="1" a="1"/>
  <c r="J512" i="1" s="1"/>
  <c r="I512" i="1"/>
  <c r="M512" i="1" s="1"/>
  <c r="J511" i="1" a="1"/>
  <c r="J511" i="1" s="1"/>
  <c r="I511" i="1"/>
  <c r="M511" i="1" s="1"/>
  <c r="J510" i="1" a="1"/>
  <c r="J510" i="1" s="1"/>
  <c r="I510" i="1"/>
  <c r="M510" i="1" s="1"/>
  <c r="J509" i="1" a="1"/>
  <c r="J509" i="1" s="1"/>
  <c r="I509" i="1"/>
  <c r="M509" i="1" s="1"/>
  <c r="J508" i="1" a="1"/>
  <c r="J508" i="1" s="1"/>
  <c r="I508" i="1"/>
  <c r="M508" i="1" s="1"/>
  <c r="J507" i="1" a="1"/>
  <c r="J507" i="1" s="1"/>
  <c r="I507" i="1"/>
  <c r="M507" i="1" s="1"/>
  <c r="J506" i="1" a="1"/>
  <c r="J506" i="1" s="1"/>
  <c r="I506" i="1"/>
  <c r="M506" i="1" s="1"/>
  <c r="J505" i="1" a="1"/>
  <c r="J505" i="1" s="1"/>
  <c r="I505" i="1"/>
  <c r="M505" i="1" s="1"/>
  <c r="J504" i="1"/>
  <c r="J504" i="1" a="1"/>
  <c r="I504" i="1"/>
  <c r="M504" i="1" s="1"/>
  <c r="J503" i="1" a="1"/>
  <c r="J503" i="1" s="1"/>
  <c r="I503" i="1"/>
  <c r="M503" i="1" s="1"/>
  <c r="J502" i="1" a="1"/>
  <c r="J502" i="1" s="1"/>
  <c r="I502" i="1"/>
  <c r="M502" i="1" s="1"/>
  <c r="J501" i="1" a="1"/>
  <c r="J501" i="1" s="1"/>
  <c r="I501" i="1"/>
  <c r="M501" i="1" s="1"/>
  <c r="M500" i="1"/>
  <c r="J500" i="1" a="1"/>
  <c r="J500" i="1" s="1"/>
  <c r="I500" i="1"/>
  <c r="M499" i="1"/>
  <c r="J499" i="1" a="1"/>
  <c r="J499" i="1" s="1"/>
  <c r="I499" i="1"/>
  <c r="M498" i="1"/>
  <c r="J498" i="1" a="1"/>
  <c r="J498" i="1" s="1"/>
  <c r="I498" i="1"/>
  <c r="J497" i="1" a="1"/>
  <c r="J497" i="1" s="1"/>
  <c r="I497" i="1"/>
  <c r="M497" i="1" s="1"/>
  <c r="M496" i="1"/>
  <c r="J496" i="1" a="1"/>
  <c r="J496" i="1" s="1"/>
  <c r="I496" i="1"/>
  <c r="J495" i="1" a="1"/>
  <c r="J495" i="1" s="1"/>
  <c r="I495" i="1"/>
  <c r="M495" i="1" s="1"/>
  <c r="J494" i="1" a="1"/>
  <c r="J494" i="1" s="1"/>
  <c r="I494" i="1"/>
  <c r="M494" i="1" s="1"/>
  <c r="J493" i="1" a="1"/>
  <c r="J493" i="1" s="1"/>
  <c r="I493" i="1"/>
  <c r="M493" i="1" s="1"/>
  <c r="J492" i="1"/>
  <c r="J492" i="1" a="1"/>
  <c r="I492" i="1"/>
  <c r="M492" i="1" s="1"/>
  <c r="J491" i="1" a="1"/>
  <c r="J491" i="1" s="1"/>
  <c r="I491" i="1"/>
  <c r="M491" i="1" s="1"/>
  <c r="J490" i="1"/>
  <c r="J490" i="1" a="1"/>
  <c r="I490" i="1"/>
  <c r="M490" i="1" s="1"/>
  <c r="J489" i="1" a="1"/>
  <c r="J489" i="1" s="1"/>
  <c r="I489" i="1"/>
  <c r="M489" i="1" s="1"/>
  <c r="J488" i="1" a="1"/>
  <c r="J488" i="1" s="1"/>
  <c r="I488" i="1"/>
  <c r="M488" i="1" s="1"/>
  <c r="J487" i="1" a="1"/>
  <c r="J487" i="1" s="1"/>
  <c r="I487" i="1"/>
  <c r="M487" i="1" s="1"/>
  <c r="M486" i="1"/>
  <c r="J486" i="1"/>
  <c r="J486" i="1" a="1"/>
  <c r="I486" i="1"/>
  <c r="J485" i="1" a="1"/>
  <c r="J485" i="1" s="1"/>
  <c r="I485" i="1"/>
  <c r="M485" i="1" s="1"/>
  <c r="J484" i="1" a="1"/>
  <c r="J484" i="1" s="1"/>
  <c r="I484" i="1"/>
  <c r="M484" i="1" s="1"/>
  <c r="J483" i="1" a="1"/>
  <c r="J483" i="1" s="1"/>
  <c r="I483" i="1"/>
  <c r="M483" i="1" s="1"/>
  <c r="J482" i="1" a="1"/>
  <c r="J482" i="1" s="1"/>
  <c r="I482" i="1"/>
  <c r="M482" i="1" s="1"/>
  <c r="J481" i="1" a="1"/>
  <c r="J481" i="1" s="1"/>
  <c r="I481" i="1"/>
  <c r="M481" i="1" s="1"/>
  <c r="J480" i="1" a="1"/>
  <c r="J480" i="1" s="1"/>
  <c r="I480" i="1"/>
  <c r="M480" i="1" s="1"/>
  <c r="J479" i="1" a="1"/>
  <c r="J479" i="1" s="1"/>
  <c r="I479" i="1"/>
  <c r="M479" i="1" s="1"/>
  <c r="M478" i="1"/>
  <c r="J478" i="1" a="1"/>
  <c r="J478" i="1" s="1"/>
  <c r="I478" i="1"/>
  <c r="J477" i="1" a="1"/>
  <c r="J477" i="1" s="1"/>
  <c r="I477" i="1"/>
  <c r="M477" i="1" s="1"/>
  <c r="J476" i="1" a="1"/>
  <c r="J476" i="1" s="1"/>
  <c r="I476" i="1"/>
  <c r="M476" i="1" s="1"/>
  <c r="J475" i="1" a="1"/>
  <c r="J475" i="1" s="1"/>
  <c r="I475" i="1"/>
  <c r="M475" i="1" s="1"/>
  <c r="J474" i="1" a="1"/>
  <c r="J474" i="1" s="1"/>
  <c r="I474" i="1"/>
  <c r="M474" i="1" s="1"/>
  <c r="J473" i="1" a="1"/>
  <c r="J473" i="1" s="1"/>
  <c r="I473" i="1"/>
  <c r="M473" i="1" s="1"/>
  <c r="J472" i="1" a="1"/>
  <c r="J472" i="1" s="1"/>
  <c r="I472" i="1"/>
  <c r="M472" i="1" s="1"/>
  <c r="J471" i="1" a="1"/>
  <c r="J471" i="1" s="1"/>
  <c r="I471" i="1"/>
  <c r="M471" i="1" s="1"/>
  <c r="J470" i="1" a="1"/>
  <c r="J470" i="1" s="1"/>
  <c r="I470" i="1"/>
  <c r="M470" i="1" s="1"/>
  <c r="J469" i="1" a="1"/>
  <c r="J469" i="1" s="1"/>
  <c r="I469" i="1"/>
  <c r="M469" i="1" s="1"/>
  <c r="J468" i="1"/>
  <c r="J468" i="1" a="1"/>
  <c r="I468" i="1"/>
  <c r="M468" i="1" s="1"/>
  <c r="J467" i="1" a="1"/>
  <c r="J467" i="1" s="1"/>
  <c r="I467" i="1"/>
  <c r="M467" i="1" s="1"/>
  <c r="J466" i="1" a="1"/>
  <c r="J466" i="1" s="1"/>
  <c r="I466" i="1"/>
  <c r="M466" i="1" s="1"/>
  <c r="J465" i="1" a="1"/>
  <c r="J465" i="1" s="1"/>
  <c r="I465" i="1"/>
  <c r="M465" i="1" s="1"/>
  <c r="J464" i="1" a="1"/>
  <c r="J464" i="1" s="1"/>
  <c r="I464" i="1"/>
  <c r="M464" i="1" s="1"/>
  <c r="M463" i="1"/>
  <c r="J463" i="1" a="1"/>
  <c r="J463" i="1" s="1"/>
  <c r="I463" i="1"/>
  <c r="M462" i="1"/>
  <c r="J462" i="1" a="1"/>
  <c r="J462" i="1" s="1"/>
  <c r="I462" i="1"/>
  <c r="J461" i="1" a="1"/>
  <c r="J461" i="1" s="1"/>
  <c r="I461" i="1"/>
  <c r="M461" i="1" s="1"/>
  <c r="J460" i="1" a="1"/>
  <c r="J460" i="1" s="1"/>
  <c r="I460" i="1"/>
  <c r="M460" i="1" s="1"/>
  <c r="J459" i="1" a="1"/>
  <c r="J459" i="1" s="1"/>
  <c r="I459" i="1"/>
  <c r="M459" i="1" s="1"/>
  <c r="J458" i="1" a="1"/>
  <c r="J458" i="1" s="1"/>
  <c r="I458" i="1"/>
  <c r="M458" i="1" s="1"/>
  <c r="J457" i="1" a="1"/>
  <c r="J457" i="1" s="1"/>
  <c r="I457" i="1"/>
  <c r="M457" i="1" s="1"/>
  <c r="J456" i="1" a="1"/>
  <c r="J456" i="1" s="1"/>
  <c r="I456" i="1"/>
  <c r="M456" i="1" s="1"/>
  <c r="J455" i="1" a="1"/>
  <c r="J455" i="1" s="1"/>
  <c r="I455" i="1"/>
  <c r="M455" i="1" s="1"/>
  <c r="J454" i="1" a="1"/>
  <c r="J454" i="1" s="1"/>
  <c r="I454" i="1"/>
  <c r="M454" i="1" s="1"/>
  <c r="J453" i="1" a="1"/>
  <c r="J453" i="1" s="1"/>
  <c r="I453" i="1"/>
  <c r="M453" i="1" s="1"/>
  <c r="J452" i="1" a="1"/>
  <c r="J452" i="1" s="1"/>
  <c r="I452" i="1"/>
  <c r="M452" i="1" s="1"/>
  <c r="J451" i="1" a="1"/>
  <c r="J451" i="1" s="1"/>
  <c r="I451" i="1"/>
  <c r="M451" i="1" s="1"/>
  <c r="J450" i="1" a="1"/>
  <c r="J450" i="1" s="1"/>
  <c r="I450" i="1"/>
  <c r="M450" i="1" s="1"/>
  <c r="J449" i="1" a="1"/>
  <c r="J449" i="1" s="1"/>
  <c r="I449" i="1"/>
  <c r="M449" i="1" s="1"/>
  <c r="J448" i="1" a="1"/>
  <c r="J448" i="1" s="1"/>
  <c r="I448" i="1"/>
  <c r="M448" i="1" s="1"/>
  <c r="M447" i="1"/>
  <c r="J447" i="1" a="1"/>
  <c r="J447" i="1" s="1"/>
  <c r="I447" i="1"/>
  <c r="J446" i="1" a="1"/>
  <c r="J446" i="1" s="1"/>
  <c r="I446" i="1"/>
  <c r="M446" i="1" s="1"/>
  <c r="J445" i="1" a="1"/>
  <c r="J445" i="1" s="1"/>
  <c r="I445" i="1"/>
  <c r="M445" i="1" s="1"/>
  <c r="J444" i="1" a="1"/>
  <c r="J444" i="1" s="1"/>
  <c r="I444" i="1"/>
  <c r="M444" i="1" s="1"/>
  <c r="J443" i="1" a="1"/>
  <c r="J443" i="1" s="1"/>
  <c r="I443" i="1"/>
  <c r="M443" i="1" s="1"/>
  <c r="J442" i="1" a="1"/>
  <c r="J442" i="1" s="1"/>
  <c r="I442" i="1"/>
  <c r="M442" i="1" s="1"/>
  <c r="J441" i="1" a="1"/>
  <c r="J441" i="1" s="1"/>
  <c r="I441" i="1"/>
  <c r="M441" i="1" s="1"/>
  <c r="M440" i="1"/>
  <c r="J440" i="1" a="1"/>
  <c r="J440" i="1" s="1"/>
  <c r="I440" i="1"/>
  <c r="J439" i="1" a="1"/>
  <c r="J439" i="1" s="1"/>
  <c r="I439" i="1"/>
  <c r="M439" i="1" s="1"/>
  <c r="J438" i="1" a="1"/>
  <c r="J438" i="1" s="1"/>
  <c r="I438" i="1"/>
  <c r="M438" i="1" s="1"/>
  <c r="J437" i="1" a="1"/>
  <c r="J437" i="1" s="1"/>
  <c r="I437" i="1"/>
  <c r="M437" i="1" s="1"/>
  <c r="J436" i="1" a="1"/>
  <c r="J436" i="1" s="1"/>
  <c r="I436" i="1"/>
  <c r="M436" i="1" s="1"/>
  <c r="M435" i="1"/>
  <c r="J435" i="1" a="1"/>
  <c r="J435" i="1" s="1"/>
  <c r="I435" i="1"/>
  <c r="J434" i="1" a="1"/>
  <c r="J434" i="1" s="1"/>
  <c r="I434" i="1"/>
  <c r="M434" i="1" s="1"/>
  <c r="J433" i="1" a="1"/>
  <c r="J433" i="1" s="1"/>
  <c r="I433" i="1"/>
  <c r="M433" i="1" s="1"/>
  <c r="J432" i="1" a="1"/>
  <c r="J432" i="1" s="1"/>
  <c r="I432" i="1"/>
  <c r="M432" i="1" s="1"/>
  <c r="J431" i="1"/>
  <c r="J431" i="1" a="1"/>
  <c r="I431" i="1"/>
  <c r="M431" i="1" s="1"/>
  <c r="J430" i="1" a="1"/>
  <c r="J430" i="1" s="1"/>
  <c r="I430" i="1"/>
  <c r="M430" i="1" s="1"/>
  <c r="J429" i="1" a="1"/>
  <c r="J429" i="1" s="1"/>
  <c r="I429" i="1"/>
  <c r="M429" i="1" s="1"/>
  <c r="J428" i="1" a="1"/>
  <c r="J428" i="1" s="1"/>
  <c r="I428" i="1"/>
  <c r="M428" i="1" s="1"/>
  <c r="J427" i="1" a="1"/>
  <c r="J427" i="1" s="1"/>
  <c r="I427" i="1"/>
  <c r="M427" i="1" s="1"/>
  <c r="M426" i="1"/>
  <c r="J426" i="1" a="1"/>
  <c r="J426" i="1" s="1"/>
  <c r="I426" i="1"/>
  <c r="M425" i="1"/>
  <c r="J425" i="1" a="1"/>
  <c r="J425" i="1" s="1"/>
  <c r="I425" i="1"/>
  <c r="J424" i="1" a="1"/>
  <c r="J424" i="1" s="1"/>
  <c r="I424" i="1"/>
  <c r="M424" i="1" s="1"/>
  <c r="J423" i="1" a="1"/>
  <c r="J423" i="1" s="1"/>
  <c r="I423" i="1"/>
  <c r="M423" i="1" s="1"/>
  <c r="J422" i="1" a="1"/>
  <c r="J422" i="1" s="1"/>
  <c r="I422" i="1"/>
  <c r="M422" i="1" s="1"/>
  <c r="J421" i="1"/>
  <c r="J421" i="1" a="1"/>
  <c r="I421" i="1"/>
  <c r="M421" i="1" s="1"/>
  <c r="J420" i="1" a="1"/>
  <c r="J420" i="1" s="1"/>
  <c r="I420" i="1"/>
  <c r="M420" i="1" s="1"/>
  <c r="J419" i="1" a="1"/>
  <c r="J419" i="1" s="1"/>
  <c r="I419" i="1"/>
  <c r="M419" i="1" s="1"/>
  <c r="J418" i="1"/>
  <c r="J418" i="1" a="1"/>
  <c r="I418" i="1"/>
  <c r="M418" i="1" s="1"/>
  <c r="J417" i="1" a="1"/>
  <c r="J417" i="1" s="1"/>
  <c r="I417" i="1"/>
  <c r="M417" i="1" s="1"/>
  <c r="J416" i="1" a="1"/>
  <c r="J416" i="1" s="1"/>
  <c r="I416" i="1"/>
  <c r="M416" i="1" s="1"/>
  <c r="J415" i="1"/>
  <c r="J415" i="1" a="1"/>
  <c r="I415" i="1"/>
  <c r="M415" i="1" s="1"/>
  <c r="J414" i="1" a="1"/>
  <c r="J414" i="1" s="1"/>
  <c r="I414" i="1"/>
  <c r="M414" i="1" s="1"/>
  <c r="J413" i="1" a="1"/>
  <c r="J413" i="1" s="1"/>
  <c r="I413" i="1"/>
  <c r="M413" i="1" s="1"/>
  <c r="J412" i="1" a="1"/>
  <c r="J412" i="1" s="1"/>
  <c r="I412" i="1"/>
  <c r="M412" i="1" s="1"/>
  <c r="J411" i="1" a="1"/>
  <c r="J411" i="1" s="1"/>
  <c r="I411" i="1"/>
  <c r="M411" i="1" s="1"/>
  <c r="J410" i="1" a="1"/>
  <c r="J410" i="1" s="1"/>
  <c r="I410" i="1"/>
  <c r="M410" i="1" s="1"/>
  <c r="J409" i="1" a="1"/>
  <c r="J409" i="1" s="1"/>
  <c r="I409" i="1"/>
  <c r="M409" i="1" s="1"/>
  <c r="M408" i="1"/>
  <c r="J408" i="1" a="1"/>
  <c r="J408" i="1" s="1"/>
  <c r="I408" i="1"/>
  <c r="M407" i="1"/>
  <c r="J407" i="1" a="1"/>
  <c r="J407" i="1" s="1"/>
  <c r="I407" i="1"/>
  <c r="M406" i="1"/>
  <c r="J406" i="1" a="1"/>
  <c r="J406" i="1" s="1"/>
  <c r="I406" i="1"/>
  <c r="J405" i="1" a="1"/>
  <c r="J405" i="1" s="1"/>
  <c r="I405" i="1"/>
  <c r="M405" i="1" s="1"/>
  <c r="J404" i="1" a="1"/>
  <c r="J404" i="1" s="1"/>
  <c r="I404" i="1"/>
  <c r="M404" i="1" s="1"/>
  <c r="J403" i="1" a="1"/>
  <c r="J403" i="1" s="1"/>
  <c r="I403" i="1"/>
  <c r="M403" i="1" s="1"/>
  <c r="J402" i="1" a="1"/>
  <c r="J402" i="1" s="1"/>
  <c r="I402" i="1"/>
  <c r="M402" i="1" s="1"/>
  <c r="J401" i="1" a="1"/>
  <c r="J401" i="1" s="1"/>
  <c r="I401" i="1"/>
  <c r="M401" i="1" s="1"/>
  <c r="J400" i="1" a="1"/>
  <c r="J400" i="1" s="1"/>
  <c r="I400" i="1"/>
  <c r="M400" i="1" s="1"/>
  <c r="M399" i="1"/>
  <c r="J399" i="1" a="1"/>
  <c r="J399" i="1" s="1"/>
  <c r="I399" i="1"/>
  <c r="J398" i="1" a="1"/>
  <c r="J398" i="1" s="1"/>
  <c r="I398" i="1"/>
  <c r="M398" i="1" s="1"/>
  <c r="J397" i="1" a="1"/>
  <c r="J397" i="1" s="1"/>
  <c r="I397" i="1"/>
  <c r="M397" i="1" s="1"/>
  <c r="J396" i="1" a="1"/>
  <c r="J396" i="1" s="1"/>
  <c r="I396" i="1"/>
  <c r="M396" i="1" s="1"/>
  <c r="J395" i="1" a="1"/>
  <c r="J395" i="1" s="1"/>
  <c r="I395" i="1"/>
  <c r="M395" i="1" s="1"/>
  <c r="J394" i="1" a="1"/>
  <c r="J394" i="1" s="1"/>
  <c r="I394" i="1"/>
  <c r="M394" i="1" s="1"/>
  <c r="J393" i="1" a="1"/>
  <c r="J393" i="1" s="1"/>
  <c r="I393" i="1"/>
  <c r="M393" i="1" s="1"/>
  <c r="J392" i="1" a="1"/>
  <c r="J392" i="1" s="1"/>
  <c r="I392" i="1"/>
  <c r="M392" i="1" s="1"/>
  <c r="M391" i="1"/>
  <c r="J391" i="1" a="1"/>
  <c r="J391" i="1" s="1"/>
  <c r="I391" i="1"/>
  <c r="J390" i="1" a="1"/>
  <c r="J390" i="1" s="1"/>
  <c r="I390" i="1"/>
  <c r="M390" i="1" s="1"/>
  <c r="J389" i="1" a="1"/>
  <c r="J389" i="1" s="1"/>
  <c r="I389" i="1"/>
  <c r="M389" i="1" s="1"/>
  <c r="J388" i="1" a="1"/>
  <c r="J388" i="1" s="1"/>
  <c r="I388" i="1"/>
  <c r="M388" i="1" s="1"/>
  <c r="M387" i="1"/>
  <c r="J387" i="1" a="1"/>
  <c r="J387" i="1" s="1"/>
  <c r="I387" i="1"/>
  <c r="J386" i="1" a="1"/>
  <c r="J386" i="1" s="1"/>
  <c r="I386" i="1"/>
  <c r="M386" i="1" s="1"/>
  <c r="J385" i="1" a="1"/>
  <c r="J385" i="1" s="1"/>
  <c r="I385" i="1"/>
  <c r="M385" i="1" s="1"/>
  <c r="J384" i="1"/>
  <c r="J384" i="1" a="1"/>
  <c r="I384" i="1"/>
  <c r="M384" i="1" s="1"/>
  <c r="J383" i="1" a="1"/>
  <c r="J383" i="1" s="1"/>
  <c r="I383" i="1"/>
  <c r="M383" i="1" s="1"/>
  <c r="J382" i="1" a="1"/>
  <c r="J382" i="1" s="1"/>
  <c r="I382" i="1"/>
  <c r="M382" i="1" s="1"/>
  <c r="J381" i="1" a="1"/>
  <c r="J381" i="1" s="1"/>
  <c r="I381" i="1"/>
  <c r="M381" i="1" s="1"/>
  <c r="J380" i="1"/>
  <c r="J380" i="1" a="1"/>
  <c r="I380" i="1"/>
  <c r="M380" i="1" s="1"/>
  <c r="J379" i="1" a="1"/>
  <c r="J379" i="1" s="1"/>
  <c r="I379" i="1"/>
  <c r="M379" i="1" s="1"/>
  <c r="J378" i="1" a="1"/>
  <c r="J378" i="1" s="1"/>
  <c r="I378" i="1"/>
  <c r="M378" i="1" s="1"/>
  <c r="J377" i="1" a="1"/>
  <c r="J377" i="1" s="1"/>
  <c r="I377" i="1"/>
  <c r="M377" i="1" s="1"/>
  <c r="J376" i="1" a="1"/>
  <c r="J376" i="1" s="1"/>
  <c r="I376" i="1"/>
  <c r="M376" i="1" s="1"/>
  <c r="J375" i="1" a="1"/>
  <c r="J375" i="1" s="1"/>
  <c r="I375" i="1"/>
  <c r="M375" i="1" s="1"/>
  <c r="J374" i="1" a="1"/>
  <c r="J374" i="1" s="1"/>
  <c r="I374" i="1"/>
  <c r="M374" i="1" s="1"/>
  <c r="M373" i="1"/>
  <c r="J373" i="1" a="1"/>
  <c r="J373" i="1" s="1"/>
  <c r="I373" i="1"/>
  <c r="J372" i="1" a="1"/>
  <c r="J372" i="1" s="1"/>
  <c r="I372" i="1"/>
  <c r="M372" i="1" s="1"/>
  <c r="J371" i="1" a="1"/>
  <c r="J371" i="1" s="1"/>
  <c r="I371" i="1"/>
  <c r="M371" i="1" s="1"/>
  <c r="J370" i="1" a="1"/>
  <c r="J370" i="1" s="1"/>
  <c r="I370" i="1"/>
  <c r="M370" i="1" s="1"/>
  <c r="J369" i="1" a="1"/>
  <c r="J369" i="1" s="1"/>
  <c r="I369" i="1"/>
  <c r="M369" i="1" s="1"/>
  <c r="J368" i="1" a="1"/>
  <c r="J368" i="1" s="1"/>
  <c r="I368" i="1"/>
  <c r="M368" i="1" s="1"/>
  <c r="J367" i="1" a="1"/>
  <c r="J367" i="1" s="1"/>
  <c r="I367" i="1"/>
  <c r="M367" i="1" s="1"/>
  <c r="J366" i="1" a="1"/>
  <c r="J366" i="1" s="1"/>
  <c r="I366" i="1"/>
  <c r="M366" i="1" s="1"/>
  <c r="J365" i="1" a="1"/>
  <c r="J365" i="1" s="1"/>
  <c r="I365" i="1"/>
  <c r="M365" i="1" s="1"/>
  <c r="J364" i="1" a="1"/>
  <c r="J364" i="1" s="1"/>
  <c r="I364" i="1"/>
  <c r="M364" i="1" s="1"/>
  <c r="M363" i="1"/>
  <c r="J363" i="1"/>
  <c r="J363" i="1" a="1"/>
  <c r="I363" i="1"/>
  <c r="J362" i="1" a="1"/>
  <c r="J362" i="1" s="1"/>
  <c r="I362" i="1"/>
  <c r="M362" i="1" s="1"/>
  <c r="J361" i="1" a="1"/>
  <c r="J361" i="1" s="1"/>
  <c r="I361" i="1"/>
  <c r="M361" i="1" s="1"/>
  <c r="J360" i="1" a="1"/>
  <c r="J360" i="1" s="1"/>
  <c r="I360" i="1"/>
  <c r="M360" i="1" s="1"/>
  <c r="J359" i="1" a="1"/>
  <c r="J359" i="1" s="1"/>
  <c r="I359" i="1"/>
  <c r="M359" i="1" s="1"/>
  <c r="J358" i="1" a="1"/>
  <c r="J358" i="1" s="1"/>
  <c r="I358" i="1"/>
  <c r="M358" i="1" s="1"/>
  <c r="J357" i="1" a="1"/>
  <c r="J357" i="1" s="1"/>
  <c r="I357" i="1"/>
  <c r="M357" i="1" s="1"/>
  <c r="J356" i="1" a="1"/>
  <c r="J356" i="1" s="1"/>
  <c r="I356" i="1"/>
  <c r="M356" i="1" s="1"/>
  <c r="M355" i="1"/>
  <c r="J355" i="1" a="1"/>
  <c r="J355" i="1" s="1"/>
  <c r="I355" i="1"/>
  <c r="M354" i="1"/>
  <c r="J354" i="1" a="1"/>
  <c r="J354" i="1" s="1"/>
  <c r="I354" i="1"/>
  <c r="M353" i="1"/>
  <c r="J353" i="1" a="1"/>
  <c r="J353" i="1" s="1"/>
  <c r="I353" i="1"/>
  <c r="J352" i="1" a="1"/>
  <c r="J352" i="1" s="1"/>
  <c r="I352" i="1"/>
  <c r="M352" i="1" s="1"/>
  <c r="J351" i="1" a="1"/>
  <c r="J351" i="1" s="1"/>
  <c r="I351" i="1"/>
  <c r="M351" i="1" s="1"/>
  <c r="M350" i="1"/>
  <c r="J350" i="1" a="1"/>
  <c r="J350" i="1" s="1"/>
  <c r="I350" i="1"/>
  <c r="J349" i="1" a="1"/>
  <c r="J349" i="1" s="1"/>
  <c r="I349" i="1"/>
  <c r="M349" i="1" s="1"/>
  <c r="J348" i="1" a="1"/>
  <c r="J348" i="1" s="1"/>
  <c r="I348" i="1"/>
  <c r="M348" i="1" s="1"/>
  <c r="J347" i="1" a="1"/>
  <c r="J347" i="1" s="1"/>
  <c r="I347" i="1"/>
  <c r="M347" i="1" s="1"/>
  <c r="J346" i="1"/>
  <c r="J346" i="1" a="1"/>
  <c r="I346" i="1"/>
  <c r="M346" i="1" s="1"/>
  <c r="J345" i="1" a="1"/>
  <c r="J345" i="1" s="1"/>
  <c r="I345" i="1"/>
  <c r="M345" i="1" s="1"/>
  <c r="J344" i="1" a="1"/>
  <c r="J344" i="1" s="1"/>
  <c r="I344" i="1"/>
  <c r="M344" i="1" s="1"/>
  <c r="J343" i="1" a="1"/>
  <c r="J343" i="1" s="1"/>
  <c r="I343" i="1"/>
  <c r="M343" i="1" s="1"/>
  <c r="J342" i="1"/>
  <c r="J342" i="1" a="1"/>
  <c r="I342" i="1"/>
  <c r="M342" i="1" s="1"/>
  <c r="J341" i="1" a="1"/>
  <c r="J341" i="1" s="1"/>
  <c r="I341" i="1"/>
  <c r="M341" i="1" s="1"/>
  <c r="J340" i="1" a="1"/>
  <c r="J340" i="1" s="1"/>
  <c r="I340" i="1"/>
  <c r="M340" i="1" s="1"/>
  <c r="J339" i="1" a="1"/>
  <c r="J339" i="1" s="1"/>
  <c r="I339" i="1"/>
  <c r="M339" i="1" s="1"/>
  <c r="J338" i="1" a="1"/>
  <c r="J338" i="1" s="1"/>
  <c r="I338" i="1"/>
  <c r="M338" i="1" s="1"/>
  <c r="J337" i="1" a="1"/>
  <c r="J337" i="1" s="1"/>
  <c r="I337" i="1"/>
  <c r="M337" i="1" s="1"/>
  <c r="J336" i="1" a="1"/>
  <c r="J336" i="1" s="1"/>
  <c r="I336" i="1"/>
  <c r="M336" i="1" s="1"/>
  <c r="M335" i="1"/>
  <c r="J335" i="1" a="1"/>
  <c r="J335" i="1" s="1"/>
  <c r="I335" i="1"/>
  <c r="J334" i="1" a="1"/>
  <c r="J334" i="1" s="1"/>
  <c r="I334" i="1"/>
  <c r="M334" i="1" s="1"/>
  <c r="J333" i="1" a="1"/>
  <c r="J333" i="1" s="1"/>
  <c r="I333" i="1"/>
  <c r="M333" i="1" s="1"/>
  <c r="J332" i="1" a="1"/>
  <c r="J332" i="1" s="1"/>
  <c r="I332" i="1"/>
  <c r="M332" i="1" s="1"/>
  <c r="J331" i="1"/>
  <c r="J331" i="1" a="1"/>
  <c r="I331" i="1"/>
  <c r="M331" i="1" s="1"/>
  <c r="J330" i="1" a="1"/>
  <c r="J330" i="1" s="1"/>
  <c r="I330" i="1"/>
  <c r="M330" i="1" s="1"/>
  <c r="J329" i="1" a="1"/>
  <c r="J329" i="1" s="1"/>
  <c r="I329" i="1"/>
  <c r="M329" i="1" s="1"/>
  <c r="J328" i="1" a="1"/>
  <c r="J328" i="1" s="1"/>
  <c r="I328" i="1"/>
  <c r="M328" i="1" s="1"/>
  <c r="J327" i="1" a="1"/>
  <c r="J327" i="1" s="1"/>
  <c r="I327" i="1"/>
  <c r="M327" i="1" s="1"/>
  <c r="J326" i="1" a="1"/>
  <c r="J326" i="1" s="1"/>
  <c r="I326" i="1"/>
  <c r="M326" i="1" s="1"/>
  <c r="J325" i="1" a="1"/>
  <c r="J325" i="1" s="1"/>
  <c r="I325" i="1"/>
  <c r="M325" i="1" s="1"/>
  <c r="J324" i="1"/>
  <c r="J324" i="1" a="1"/>
  <c r="I324" i="1"/>
  <c r="M324" i="1" s="1"/>
  <c r="J323" i="1" a="1"/>
  <c r="J323" i="1" s="1"/>
  <c r="I323" i="1"/>
  <c r="M323" i="1" s="1"/>
  <c r="J322" i="1" a="1"/>
  <c r="J322" i="1" s="1"/>
  <c r="I322" i="1"/>
  <c r="M322" i="1" s="1"/>
  <c r="J321" i="1" a="1"/>
  <c r="J321" i="1" s="1"/>
  <c r="I321" i="1"/>
  <c r="M321" i="1" s="1"/>
  <c r="J320" i="1" a="1"/>
  <c r="J320" i="1" s="1"/>
  <c r="I320" i="1"/>
  <c r="M320" i="1" s="1"/>
  <c r="J319" i="1" a="1"/>
  <c r="J319" i="1" s="1"/>
  <c r="I319" i="1"/>
  <c r="M319" i="1" s="1"/>
  <c r="J318" i="1" a="1"/>
  <c r="J318" i="1" s="1"/>
  <c r="I318" i="1"/>
  <c r="M318" i="1" s="1"/>
  <c r="J317" i="1" a="1"/>
  <c r="J317" i="1" s="1"/>
  <c r="I317" i="1"/>
  <c r="M317" i="1" s="1"/>
  <c r="J316" i="1" a="1"/>
  <c r="J316" i="1" s="1"/>
  <c r="I316" i="1"/>
  <c r="M316" i="1" s="1"/>
  <c r="J315" i="1" a="1"/>
  <c r="J315" i="1" s="1"/>
  <c r="I315" i="1"/>
  <c r="M315" i="1" s="1"/>
  <c r="M314" i="1"/>
  <c r="J314" i="1" a="1"/>
  <c r="J314" i="1" s="1"/>
  <c r="I314" i="1"/>
  <c r="J313" i="1" a="1"/>
  <c r="J313" i="1" s="1"/>
  <c r="I313" i="1"/>
  <c r="M313" i="1" s="1"/>
  <c r="J312" i="1" a="1"/>
  <c r="J312" i="1" s="1"/>
  <c r="I312" i="1"/>
  <c r="M312" i="1" s="1"/>
  <c r="J311" i="1"/>
  <c r="J311" i="1" a="1"/>
  <c r="I311" i="1"/>
  <c r="M311" i="1" s="1"/>
  <c r="J310" i="1" a="1"/>
  <c r="J310" i="1" s="1"/>
  <c r="I310" i="1"/>
  <c r="M310" i="1" s="1"/>
  <c r="J309" i="1" a="1"/>
  <c r="J309" i="1" s="1"/>
  <c r="I309" i="1"/>
  <c r="M309" i="1" s="1"/>
  <c r="J308" i="1" a="1"/>
  <c r="J308" i="1" s="1"/>
  <c r="I308" i="1"/>
  <c r="M308" i="1" s="1"/>
  <c r="J307" i="1" a="1"/>
  <c r="J307" i="1" s="1"/>
  <c r="I307" i="1"/>
  <c r="M307" i="1" s="1"/>
  <c r="J306" i="1"/>
  <c r="J306" i="1" a="1"/>
  <c r="I306" i="1"/>
  <c r="M306" i="1" s="1"/>
  <c r="J305" i="1" a="1"/>
  <c r="J305" i="1" s="1"/>
  <c r="I305" i="1"/>
  <c r="M305" i="1" s="1"/>
  <c r="J304" i="1" a="1"/>
  <c r="J304" i="1" s="1"/>
  <c r="I304" i="1"/>
  <c r="M304" i="1" s="1"/>
  <c r="J303" i="1" a="1"/>
  <c r="J303" i="1" s="1"/>
  <c r="I303" i="1"/>
  <c r="M303" i="1" s="1"/>
  <c r="J302" i="1" a="1"/>
  <c r="J302" i="1" s="1"/>
  <c r="I302" i="1"/>
  <c r="M302" i="1" s="1"/>
  <c r="J301" i="1" a="1"/>
  <c r="J301" i="1" s="1"/>
  <c r="I301" i="1"/>
  <c r="M301" i="1" s="1"/>
  <c r="J300" i="1" a="1"/>
  <c r="J300" i="1" s="1"/>
  <c r="I300" i="1"/>
  <c r="M300" i="1" s="1"/>
  <c r="J299" i="1" a="1"/>
  <c r="J299" i="1" s="1"/>
  <c r="I299" i="1"/>
  <c r="M299" i="1" s="1"/>
  <c r="J298" i="1" a="1"/>
  <c r="J298" i="1" s="1"/>
  <c r="I298" i="1"/>
  <c r="M298" i="1" s="1"/>
  <c r="J297" i="1" a="1"/>
  <c r="J297" i="1" s="1"/>
  <c r="I297" i="1"/>
  <c r="M297" i="1" s="1"/>
  <c r="J296" i="1" a="1"/>
  <c r="J296" i="1" s="1"/>
  <c r="I296" i="1"/>
  <c r="M296" i="1" s="1"/>
  <c r="J295" i="1" a="1"/>
  <c r="J295" i="1" s="1"/>
  <c r="I295" i="1"/>
  <c r="M295" i="1" s="1"/>
  <c r="J294" i="1" a="1"/>
  <c r="J294" i="1" s="1"/>
  <c r="I294" i="1"/>
  <c r="M294" i="1" s="1"/>
  <c r="J293" i="1" a="1"/>
  <c r="J293" i="1" s="1"/>
  <c r="I293" i="1"/>
  <c r="M293" i="1" s="1"/>
  <c r="J292" i="1" a="1"/>
  <c r="J292" i="1" s="1"/>
  <c r="I292" i="1"/>
  <c r="M292" i="1" s="1"/>
  <c r="M291" i="1"/>
  <c r="J291" i="1" a="1"/>
  <c r="J291" i="1" s="1"/>
  <c r="I291" i="1"/>
  <c r="J290" i="1" a="1"/>
  <c r="J290" i="1" s="1"/>
  <c r="I290" i="1"/>
  <c r="M290" i="1" s="1"/>
  <c r="J289" i="1" a="1"/>
  <c r="J289" i="1" s="1"/>
  <c r="I289" i="1"/>
  <c r="M289" i="1" s="1"/>
  <c r="J288" i="1" a="1"/>
  <c r="J288" i="1" s="1"/>
  <c r="I288" i="1"/>
  <c r="M288" i="1" s="1"/>
  <c r="J287" i="1"/>
  <c r="J287" i="1" a="1"/>
  <c r="I287" i="1"/>
  <c r="M287" i="1" s="1"/>
  <c r="J286" i="1" a="1"/>
  <c r="J286" i="1" s="1"/>
  <c r="I286" i="1"/>
  <c r="M286" i="1" s="1"/>
  <c r="J285" i="1" a="1"/>
  <c r="J285" i="1" s="1"/>
  <c r="I285" i="1"/>
  <c r="M285" i="1" s="1"/>
  <c r="J284" i="1" a="1"/>
  <c r="J284" i="1" s="1"/>
  <c r="I284" i="1"/>
  <c r="M284" i="1" s="1"/>
  <c r="J283" i="1" a="1"/>
  <c r="J283" i="1" s="1"/>
  <c r="I283" i="1"/>
  <c r="M283" i="1" s="1"/>
  <c r="M282" i="1"/>
  <c r="J282" i="1" a="1"/>
  <c r="J282" i="1" s="1"/>
  <c r="I282" i="1"/>
  <c r="J281" i="1" a="1"/>
  <c r="J281" i="1" s="1"/>
  <c r="I281" i="1"/>
  <c r="M281" i="1" s="1"/>
  <c r="J280" i="1" a="1"/>
  <c r="J280" i="1" s="1"/>
  <c r="I280" i="1"/>
  <c r="M280" i="1" s="1"/>
  <c r="J279" i="1" a="1"/>
  <c r="J279" i="1" s="1"/>
  <c r="I279" i="1"/>
  <c r="M279" i="1" s="1"/>
  <c r="J278" i="1" a="1"/>
  <c r="J278" i="1" s="1"/>
  <c r="I278" i="1"/>
  <c r="M278" i="1" s="1"/>
  <c r="J277" i="1" a="1"/>
  <c r="J277" i="1" s="1"/>
  <c r="I277" i="1"/>
  <c r="M277" i="1" s="1"/>
  <c r="J276" i="1"/>
  <c r="J276" i="1" a="1"/>
  <c r="I276" i="1"/>
  <c r="M276" i="1" s="1"/>
  <c r="J275" i="1" a="1"/>
  <c r="J275" i="1" s="1"/>
  <c r="I275" i="1"/>
  <c r="M275" i="1" s="1"/>
  <c r="J274" i="1" a="1"/>
  <c r="J274" i="1" s="1"/>
  <c r="I274" i="1"/>
  <c r="M274" i="1" s="1"/>
  <c r="J273" i="1" a="1"/>
  <c r="J273" i="1" s="1"/>
  <c r="I273" i="1"/>
  <c r="M273" i="1" s="1"/>
  <c r="J272" i="1" a="1"/>
  <c r="J272" i="1" s="1"/>
  <c r="I272" i="1"/>
  <c r="M272" i="1" s="1"/>
  <c r="J271" i="1" a="1"/>
  <c r="J271" i="1" s="1"/>
  <c r="I271" i="1"/>
  <c r="M271" i="1" s="1"/>
  <c r="J270" i="1" a="1"/>
  <c r="J270" i="1" s="1"/>
  <c r="I270" i="1"/>
  <c r="M270" i="1" s="1"/>
  <c r="J269" i="1" a="1"/>
  <c r="J269" i="1" s="1"/>
  <c r="I269" i="1"/>
  <c r="M269" i="1" s="1"/>
  <c r="J268" i="1" a="1"/>
  <c r="J268" i="1" s="1"/>
  <c r="I268" i="1"/>
  <c r="M268" i="1" s="1"/>
  <c r="J267" i="1" a="1"/>
  <c r="J267" i="1" s="1"/>
  <c r="I267" i="1"/>
  <c r="M267" i="1" s="1"/>
  <c r="J266" i="1" a="1"/>
  <c r="J266" i="1" s="1"/>
  <c r="I266" i="1"/>
  <c r="M266" i="1" s="1"/>
  <c r="J265" i="1" a="1"/>
  <c r="J265" i="1" s="1"/>
  <c r="I265" i="1"/>
  <c r="M265" i="1" s="1"/>
  <c r="J264" i="1" a="1"/>
  <c r="J264" i="1" s="1"/>
  <c r="I264" i="1"/>
  <c r="M264" i="1" s="1"/>
  <c r="J263" i="1" a="1"/>
  <c r="J263" i="1" s="1"/>
  <c r="I263" i="1"/>
  <c r="M263" i="1" s="1"/>
  <c r="J262" i="1" a="1"/>
  <c r="J262" i="1" s="1"/>
  <c r="I262" i="1"/>
  <c r="M262" i="1" s="1"/>
  <c r="J261" i="1" a="1"/>
  <c r="J261" i="1" s="1"/>
  <c r="I261" i="1"/>
  <c r="M261" i="1" s="1"/>
  <c r="J260" i="1" a="1"/>
  <c r="J260" i="1" s="1"/>
  <c r="I260" i="1"/>
  <c r="M260" i="1" s="1"/>
  <c r="J259" i="1" a="1"/>
  <c r="J259" i="1" s="1"/>
  <c r="I259" i="1"/>
  <c r="M259" i="1" s="1"/>
  <c r="J258" i="1" a="1"/>
  <c r="J258" i="1" s="1"/>
  <c r="I258" i="1"/>
  <c r="M258" i="1" s="1"/>
  <c r="J257" i="1" a="1"/>
  <c r="J257" i="1" s="1"/>
  <c r="I257" i="1"/>
  <c r="M257" i="1" s="1"/>
  <c r="J256" i="1" a="1"/>
  <c r="J256" i="1" s="1"/>
  <c r="I256" i="1"/>
  <c r="M256" i="1" s="1"/>
  <c r="J255" i="1" a="1"/>
  <c r="J255" i="1" s="1"/>
  <c r="I255" i="1"/>
  <c r="M255" i="1" s="1"/>
  <c r="J254" i="1" a="1"/>
  <c r="J254" i="1" s="1"/>
  <c r="I254" i="1"/>
  <c r="M254" i="1" s="1"/>
  <c r="J253" i="1" a="1"/>
  <c r="J253" i="1" s="1"/>
  <c r="I253" i="1"/>
  <c r="M253" i="1" s="1"/>
  <c r="J252" i="1" a="1"/>
  <c r="J252" i="1" s="1"/>
  <c r="I252" i="1"/>
  <c r="M252" i="1" s="1"/>
  <c r="J251" i="1" a="1"/>
  <c r="J251" i="1" s="1"/>
  <c r="I251" i="1"/>
  <c r="M251" i="1" s="1"/>
  <c r="J250" i="1" a="1"/>
  <c r="J250" i="1" s="1"/>
  <c r="I250" i="1"/>
  <c r="M250" i="1" s="1"/>
  <c r="M249" i="1"/>
  <c r="J249" i="1" a="1"/>
  <c r="J249" i="1" s="1"/>
  <c r="I249" i="1"/>
  <c r="J248" i="1" a="1"/>
  <c r="J248" i="1" s="1"/>
  <c r="I248" i="1"/>
  <c r="M248" i="1" s="1"/>
  <c r="J247" i="1" a="1"/>
  <c r="J247" i="1" s="1"/>
  <c r="I247" i="1"/>
  <c r="M247" i="1" s="1"/>
  <c r="J246" i="1" a="1"/>
  <c r="J246" i="1" s="1"/>
  <c r="I246" i="1"/>
  <c r="M246" i="1" s="1"/>
  <c r="M245" i="1"/>
  <c r="J245" i="1"/>
  <c r="J245" i="1" a="1"/>
  <c r="I245" i="1"/>
  <c r="M244" i="1"/>
  <c r="J244" i="1" a="1"/>
  <c r="J244" i="1" s="1"/>
  <c r="I244" i="1"/>
  <c r="J243" i="1" a="1"/>
  <c r="J243" i="1" s="1"/>
  <c r="I243" i="1"/>
  <c r="M243" i="1" s="1"/>
  <c r="J242" i="1" a="1"/>
  <c r="J242" i="1" s="1"/>
  <c r="I242" i="1"/>
  <c r="M242" i="1" s="1"/>
  <c r="J241" i="1"/>
  <c r="J241" i="1" a="1"/>
  <c r="I241" i="1"/>
  <c r="M241" i="1" s="1"/>
  <c r="J240" i="1"/>
  <c r="J240" i="1" a="1"/>
  <c r="I240" i="1"/>
  <c r="M240" i="1" s="1"/>
  <c r="J239" i="1" a="1"/>
  <c r="J239" i="1" s="1"/>
  <c r="I239" i="1"/>
  <c r="M239" i="1" s="1"/>
  <c r="J238" i="1" a="1"/>
  <c r="J238" i="1" s="1"/>
  <c r="I238" i="1"/>
  <c r="M238" i="1" s="1"/>
  <c r="J237" i="1"/>
  <c r="J237" i="1" a="1"/>
  <c r="I237" i="1"/>
  <c r="M237" i="1" s="1"/>
  <c r="J236" i="1" a="1"/>
  <c r="J236" i="1" s="1"/>
  <c r="I236" i="1"/>
  <c r="M236" i="1" s="1"/>
  <c r="J235" i="1" a="1"/>
  <c r="J235" i="1" s="1"/>
  <c r="I235" i="1"/>
  <c r="M235" i="1" s="1"/>
  <c r="J234" i="1" a="1"/>
  <c r="J234" i="1" s="1"/>
  <c r="I234" i="1"/>
  <c r="M234" i="1" s="1"/>
  <c r="J233" i="1"/>
  <c r="J233" i="1" a="1"/>
  <c r="I233" i="1"/>
  <c r="M233" i="1" s="1"/>
  <c r="J232" i="1" a="1"/>
  <c r="J232" i="1" s="1"/>
  <c r="I232" i="1"/>
  <c r="M232" i="1" s="1"/>
  <c r="J231" i="1" a="1"/>
  <c r="J231" i="1" s="1"/>
  <c r="I231" i="1"/>
  <c r="M231" i="1" s="1"/>
  <c r="J230" i="1" a="1"/>
  <c r="J230" i="1" s="1"/>
  <c r="I230" i="1"/>
  <c r="M230" i="1" s="1"/>
  <c r="J229" i="1" a="1"/>
  <c r="J229" i="1" s="1"/>
  <c r="I229" i="1"/>
  <c r="M229" i="1" s="1"/>
  <c r="J228" i="1" a="1"/>
  <c r="J228" i="1" s="1"/>
  <c r="I228" i="1"/>
  <c r="M228" i="1" s="1"/>
  <c r="J227" i="1" a="1"/>
  <c r="J227" i="1" s="1"/>
  <c r="I227" i="1"/>
  <c r="M227" i="1" s="1"/>
  <c r="J226" i="1" a="1"/>
  <c r="J226" i="1" s="1"/>
  <c r="I226" i="1"/>
  <c r="M226" i="1" s="1"/>
  <c r="J225" i="1" a="1"/>
  <c r="J225" i="1" s="1"/>
  <c r="I225" i="1"/>
  <c r="M225" i="1" s="1"/>
  <c r="J224" i="1" a="1"/>
  <c r="J224" i="1" s="1"/>
  <c r="I224" i="1"/>
  <c r="M224" i="1" s="1"/>
  <c r="J223" i="1" a="1"/>
  <c r="J223" i="1" s="1"/>
  <c r="I223" i="1"/>
  <c r="M223" i="1" s="1"/>
  <c r="J222" i="1" a="1"/>
  <c r="J222" i="1" s="1"/>
  <c r="I222" i="1"/>
  <c r="M222" i="1" s="1"/>
  <c r="J221" i="1" a="1"/>
  <c r="J221" i="1" s="1"/>
  <c r="I221" i="1"/>
  <c r="M221" i="1" s="1"/>
  <c r="J220" i="1" a="1"/>
  <c r="J220" i="1" s="1"/>
  <c r="I220" i="1"/>
  <c r="M220" i="1" s="1"/>
  <c r="J219" i="1" a="1"/>
  <c r="J219" i="1" s="1"/>
  <c r="I219" i="1"/>
  <c r="M219" i="1" s="1"/>
  <c r="J218" i="1"/>
  <c r="J218" i="1" a="1"/>
  <c r="I218" i="1"/>
  <c r="M218" i="1" s="1"/>
  <c r="J217" i="1" a="1"/>
  <c r="J217" i="1" s="1"/>
  <c r="I217" i="1"/>
  <c r="M217" i="1" s="1"/>
  <c r="J216" i="1" a="1"/>
  <c r="J216" i="1" s="1"/>
  <c r="I216" i="1"/>
  <c r="M216" i="1" s="1"/>
  <c r="J215" i="1" a="1"/>
  <c r="J215" i="1" s="1"/>
  <c r="I215" i="1"/>
  <c r="M215" i="1" s="1"/>
  <c r="J214" i="1" a="1"/>
  <c r="J214" i="1" s="1"/>
  <c r="I214" i="1"/>
  <c r="M214" i="1" s="1"/>
  <c r="M213" i="1"/>
  <c r="J213" i="1" a="1"/>
  <c r="J213" i="1" s="1"/>
  <c r="I213" i="1"/>
  <c r="J212" i="1" a="1"/>
  <c r="J212" i="1" s="1"/>
  <c r="I212" i="1"/>
  <c r="M212" i="1" s="1"/>
  <c r="J211" i="1" a="1"/>
  <c r="J211" i="1" s="1"/>
  <c r="I211" i="1"/>
  <c r="M211" i="1" s="1"/>
  <c r="J210" i="1" a="1"/>
  <c r="J210" i="1" s="1"/>
  <c r="I210" i="1"/>
  <c r="M210" i="1" s="1"/>
  <c r="J209" i="1" a="1"/>
  <c r="J209" i="1" s="1"/>
  <c r="I209" i="1"/>
  <c r="M209" i="1" s="1"/>
  <c r="J208" i="1" a="1"/>
  <c r="J208" i="1" s="1"/>
  <c r="I208" i="1"/>
  <c r="M208" i="1" s="1"/>
  <c r="J207" i="1" a="1"/>
  <c r="J207" i="1" s="1"/>
  <c r="I207" i="1"/>
  <c r="M207" i="1" s="1"/>
  <c r="J206" i="1" a="1"/>
  <c r="J206" i="1" s="1"/>
  <c r="I206" i="1"/>
  <c r="M206" i="1" s="1"/>
  <c r="J205" i="1"/>
  <c r="J205" i="1" a="1"/>
  <c r="I205" i="1"/>
  <c r="M205" i="1" s="1"/>
  <c r="J204" i="1" a="1"/>
  <c r="J204" i="1" s="1"/>
  <c r="I204" i="1"/>
  <c r="M204" i="1" s="1"/>
  <c r="J203" i="1" a="1"/>
  <c r="J203" i="1" s="1"/>
  <c r="I203" i="1"/>
  <c r="M203" i="1" s="1"/>
  <c r="J202" i="1" a="1"/>
  <c r="J202" i="1" s="1"/>
  <c r="I202" i="1"/>
  <c r="M202" i="1" s="1"/>
  <c r="M201" i="1"/>
  <c r="J201" i="1" a="1"/>
  <c r="J201" i="1" s="1"/>
  <c r="I201" i="1"/>
  <c r="J200" i="1" a="1"/>
  <c r="J200" i="1" s="1"/>
  <c r="I200" i="1"/>
  <c r="M200" i="1" s="1"/>
  <c r="J199" i="1" a="1"/>
  <c r="J199" i="1" s="1"/>
  <c r="I199" i="1"/>
  <c r="M199" i="1" s="1"/>
  <c r="J198" i="1" a="1"/>
  <c r="J198" i="1" s="1"/>
  <c r="I198" i="1"/>
  <c r="M198" i="1" s="1"/>
  <c r="J197" i="1" a="1"/>
  <c r="J197" i="1" s="1"/>
  <c r="I197" i="1"/>
  <c r="M197" i="1" s="1"/>
  <c r="J196" i="1" a="1"/>
  <c r="J196" i="1" s="1"/>
  <c r="I196" i="1"/>
  <c r="M196" i="1" s="1"/>
  <c r="J195" i="1" a="1"/>
  <c r="J195" i="1" s="1"/>
  <c r="I195" i="1"/>
  <c r="M195" i="1" s="1"/>
  <c r="M194" i="1"/>
  <c r="J194" i="1" a="1"/>
  <c r="J194" i="1" s="1"/>
  <c r="I194" i="1"/>
  <c r="J193" i="1" a="1"/>
  <c r="J193" i="1" s="1"/>
  <c r="I193" i="1"/>
  <c r="M193" i="1" s="1"/>
  <c r="J192" i="1" a="1"/>
  <c r="J192" i="1" s="1"/>
  <c r="I192" i="1"/>
  <c r="M192" i="1" s="1"/>
  <c r="J191" i="1" a="1"/>
  <c r="J191" i="1" s="1"/>
  <c r="I191" i="1"/>
  <c r="M191" i="1" s="1"/>
  <c r="M190" i="1"/>
  <c r="J190" i="1" a="1"/>
  <c r="J190" i="1" s="1"/>
  <c r="I190" i="1"/>
  <c r="M189" i="1"/>
  <c r="J189" i="1" a="1"/>
  <c r="J189" i="1" s="1"/>
  <c r="I189" i="1"/>
  <c r="J188" i="1" a="1"/>
  <c r="J188" i="1" s="1"/>
  <c r="I188" i="1"/>
  <c r="M188" i="1" s="1"/>
  <c r="J187" i="1"/>
  <c r="J187" i="1" a="1"/>
  <c r="I187" i="1"/>
  <c r="M187" i="1" s="1"/>
  <c r="J186" i="1" a="1"/>
  <c r="J186" i="1" s="1"/>
  <c r="I186" i="1"/>
  <c r="M186" i="1" s="1"/>
  <c r="J185" i="1"/>
  <c r="J185" i="1" a="1"/>
  <c r="I185" i="1"/>
  <c r="M185" i="1" s="1"/>
  <c r="J184" i="1" a="1"/>
  <c r="J184" i="1" s="1"/>
  <c r="I184" i="1"/>
  <c r="M184" i="1" s="1"/>
  <c r="J183" i="1" a="1"/>
  <c r="J183" i="1" s="1"/>
  <c r="I183" i="1"/>
  <c r="M183" i="1" s="1"/>
  <c r="J182" i="1" a="1"/>
  <c r="J182" i="1" s="1"/>
  <c r="I182" i="1"/>
  <c r="M182" i="1" s="1"/>
  <c r="J181" i="1" a="1"/>
  <c r="J181" i="1" s="1"/>
  <c r="I181" i="1"/>
  <c r="M181" i="1" s="1"/>
  <c r="M180" i="1"/>
  <c r="J180" i="1" a="1"/>
  <c r="J180" i="1" s="1"/>
  <c r="I180" i="1"/>
  <c r="J179" i="1" a="1"/>
  <c r="J179" i="1" s="1"/>
  <c r="I179" i="1"/>
  <c r="M179" i="1" s="1"/>
  <c r="J178" i="1" a="1"/>
  <c r="J178" i="1" s="1"/>
  <c r="I178" i="1"/>
  <c r="M178" i="1" s="1"/>
  <c r="M177" i="1"/>
  <c r="J177" i="1" a="1"/>
  <c r="J177" i="1" s="1"/>
  <c r="I177" i="1"/>
  <c r="J176" i="1" a="1"/>
  <c r="J176" i="1" s="1"/>
  <c r="I176" i="1"/>
  <c r="M176" i="1" s="1"/>
  <c r="J175" i="1" a="1"/>
  <c r="J175" i="1" s="1"/>
  <c r="I175" i="1"/>
  <c r="M175" i="1" s="1"/>
  <c r="J174" i="1" a="1"/>
  <c r="J174" i="1" s="1"/>
  <c r="I174" i="1"/>
  <c r="M174" i="1" s="1"/>
  <c r="J173" i="1" a="1"/>
  <c r="J173" i="1" s="1"/>
  <c r="I173" i="1"/>
  <c r="M173" i="1" s="1"/>
  <c r="M172" i="1"/>
  <c r="J172" i="1" a="1"/>
  <c r="J172" i="1" s="1"/>
  <c r="I172" i="1"/>
  <c r="J171" i="1" a="1"/>
  <c r="J171" i="1" s="1"/>
  <c r="I171" i="1"/>
  <c r="M171" i="1" s="1"/>
  <c r="J170" i="1" a="1"/>
  <c r="J170" i="1" s="1"/>
  <c r="I170" i="1"/>
  <c r="M170" i="1" s="1"/>
  <c r="J169" i="1" a="1"/>
  <c r="J169" i="1" s="1"/>
  <c r="I169" i="1"/>
  <c r="M169" i="1" s="1"/>
  <c r="J168" i="1" a="1"/>
  <c r="J168" i="1" s="1"/>
  <c r="I168" i="1"/>
  <c r="M168" i="1" s="1"/>
  <c r="J167" i="1" a="1"/>
  <c r="J167" i="1" s="1"/>
  <c r="I167" i="1"/>
  <c r="M167" i="1" s="1"/>
  <c r="J166" i="1" a="1"/>
  <c r="J166" i="1" s="1"/>
  <c r="I166" i="1"/>
  <c r="M166" i="1" s="1"/>
  <c r="J165" i="1" a="1"/>
  <c r="J165" i="1" s="1"/>
  <c r="I165" i="1"/>
  <c r="M165" i="1" s="1"/>
  <c r="J164" i="1" a="1"/>
  <c r="J164" i="1" s="1"/>
  <c r="I164" i="1"/>
  <c r="M164" i="1" s="1"/>
  <c r="J163" i="1" a="1"/>
  <c r="J163" i="1" s="1"/>
  <c r="I163" i="1"/>
  <c r="M163" i="1" s="1"/>
  <c r="J162" i="1" a="1"/>
  <c r="J162" i="1" s="1"/>
  <c r="I162" i="1"/>
  <c r="M162" i="1" s="1"/>
  <c r="J161" i="1" a="1"/>
  <c r="J161" i="1" s="1"/>
  <c r="I161" i="1"/>
  <c r="M161" i="1" s="1"/>
  <c r="J160" i="1" a="1"/>
  <c r="J160" i="1" s="1"/>
  <c r="I160" i="1"/>
  <c r="M160" i="1" s="1"/>
  <c r="M159" i="1"/>
  <c r="J159" i="1" a="1"/>
  <c r="J159" i="1" s="1"/>
  <c r="I159" i="1"/>
  <c r="J158" i="1" a="1"/>
  <c r="J158" i="1" s="1"/>
  <c r="I158" i="1"/>
  <c r="M158" i="1" s="1"/>
  <c r="M157" i="1"/>
  <c r="J157" i="1" a="1"/>
  <c r="J157" i="1" s="1"/>
  <c r="I157" i="1"/>
  <c r="M156" i="1"/>
  <c r="J156" i="1" a="1"/>
  <c r="J156" i="1" s="1"/>
  <c r="I156" i="1"/>
  <c r="M155" i="1"/>
  <c r="J155" i="1" a="1"/>
  <c r="J155" i="1" s="1"/>
  <c r="I155" i="1"/>
  <c r="J154" i="1" a="1"/>
  <c r="J154" i="1" s="1"/>
  <c r="I154" i="1"/>
  <c r="M154" i="1" s="1"/>
  <c r="J153" i="1" a="1"/>
  <c r="J153" i="1" s="1"/>
  <c r="I153" i="1"/>
  <c r="M153" i="1" s="1"/>
  <c r="M152" i="1"/>
  <c r="J152" i="1" a="1"/>
  <c r="J152" i="1" s="1"/>
  <c r="I152" i="1"/>
  <c r="J151" i="1" a="1"/>
  <c r="J151" i="1" s="1"/>
  <c r="I151" i="1"/>
  <c r="M151" i="1" s="1"/>
  <c r="J150" i="1" a="1"/>
  <c r="J150" i="1" s="1"/>
  <c r="I150" i="1"/>
  <c r="M150" i="1" s="1"/>
  <c r="J149" i="1" a="1"/>
  <c r="J149" i="1" s="1"/>
  <c r="I149" i="1"/>
  <c r="M149" i="1" s="1"/>
  <c r="J148" i="1" a="1"/>
  <c r="J148" i="1" s="1"/>
  <c r="I148" i="1"/>
  <c r="M148" i="1" s="1"/>
  <c r="M147" i="1"/>
  <c r="J147" i="1" a="1"/>
  <c r="J147" i="1" s="1"/>
  <c r="I147" i="1"/>
  <c r="J146" i="1" a="1"/>
  <c r="J146" i="1" s="1"/>
  <c r="I146" i="1"/>
  <c r="M146" i="1" s="1"/>
  <c r="J145" i="1" a="1"/>
  <c r="J145" i="1" s="1"/>
  <c r="I145" i="1"/>
  <c r="M145" i="1" s="1"/>
  <c r="J144" i="1" a="1"/>
  <c r="J144" i="1" s="1"/>
  <c r="I144" i="1"/>
  <c r="M144" i="1" s="1"/>
  <c r="J143" i="1" a="1"/>
  <c r="J143" i="1" s="1"/>
  <c r="I143" i="1"/>
  <c r="M143" i="1" s="1"/>
  <c r="J142" i="1" a="1"/>
  <c r="J142" i="1" s="1"/>
  <c r="I142" i="1"/>
  <c r="M142" i="1" s="1"/>
  <c r="J141" i="1" a="1"/>
  <c r="J141" i="1" s="1"/>
  <c r="I141" i="1"/>
  <c r="M141" i="1" s="1"/>
  <c r="J140" i="1" a="1"/>
  <c r="J140" i="1" s="1"/>
  <c r="I140" i="1"/>
  <c r="M140" i="1" s="1"/>
  <c r="M139" i="1"/>
  <c r="J139" i="1" a="1"/>
  <c r="J139" i="1" s="1"/>
  <c r="I139" i="1"/>
  <c r="J138" i="1" a="1"/>
  <c r="J138" i="1" s="1"/>
  <c r="I138" i="1"/>
  <c r="M138" i="1" s="1"/>
  <c r="J137" i="1" a="1"/>
  <c r="J137" i="1" s="1"/>
  <c r="I137" i="1"/>
  <c r="M137" i="1" s="1"/>
  <c r="J136" i="1" a="1"/>
  <c r="J136" i="1" s="1"/>
  <c r="I136" i="1"/>
  <c r="M136" i="1" s="1"/>
  <c r="J135" i="1" a="1"/>
  <c r="J135" i="1" s="1"/>
  <c r="I135" i="1"/>
  <c r="M135" i="1" s="1"/>
  <c r="J134" i="1" a="1"/>
  <c r="J134" i="1" s="1"/>
  <c r="I134" i="1"/>
  <c r="M134" i="1" s="1"/>
  <c r="J133" i="1" a="1"/>
  <c r="J133" i="1" s="1"/>
  <c r="I133" i="1"/>
  <c r="M133" i="1" s="1"/>
  <c r="J132" i="1"/>
  <c r="J132" i="1" a="1"/>
  <c r="I132" i="1"/>
  <c r="M132" i="1" s="1"/>
  <c r="J131" i="1" a="1"/>
  <c r="J131" i="1" s="1"/>
  <c r="I131" i="1"/>
  <c r="M131" i="1" s="1"/>
  <c r="J130" i="1" a="1"/>
  <c r="J130" i="1" s="1"/>
  <c r="I130" i="1"/>
  <c r="M130" i="1" s="1"/>
  <c r="J129" i="1" a="1"/>
  <c r="J129" i="1" s="1"/>
  <c r="I129" i="1"/>
  <c r="M129" i="1" s="1"/>
  <c r="J128" i="1" a="1"/>
  <c r="J128" i="1" s="1"/>
  <c r="I128" i="1"/>
  <c r="M128" i="1" s="1"/>
  <c r="J127" i="1" a="1"/>
  <c r="J127" i="1" s="1"/>
  <c r="I127" i="1"/>
  <c r="M127" i="1" s="1"/>
  <c r="J126" i="1" a="1"/>
  <c r="J126" i="1" s="1"/>
  <c r="I126" i="1"/>
  <c r="M126" i="1" s="1"/>
  <c r="M125" i="1"/>
  <c r="J125" i="1" a="1"/>
  <c r="J125" i="1" s="1"/>
  <c r="I125" i="1"/>
  <c r="J124" i="1" a="1"/>
  <c r="J124" i="1" s="1"/>
  <c r="I124" i="1"/>
  <c r="M124" i="1" s="1"/>
  <c r="J123" i="1" a="1"/>
  <c r="J123" i="1" s="1"/>
  <c r="I123" i="1"/>
  <c r="M123" i="1" s="1"/>
  <c r="J122" i="1" a="1"/>
  <c r="J122" i="1" s="1"/>
  <c r="I122" i="1"/>
  <c r="M122" i="1" s="1"/>
  <c r="J121" i="1" a="1"/>
  <c r="J121" i="1" s="1"/>
  <c r="I121" i="1"/>
  <c r="M121" i="1" s="1"/>
  <c r="M120" i="1"/>
  <c r="J120" i="1" a="1"/>
  <c r="J120" i="1" s="1"/>
  <c r="I120" i="1"/>
  <c r="J119" i="1" a="1"/>
  <c r="J119" i="1" s="1"/>
  <c r="I119" i="1"/>
  <c r="M119" i="1" s="1"/>
  <c r="J118" i="1" a="1"/>
  <c r="J118" i="1" s="1"/>
  <c r="I118" i="1"/>
  <c r="M118" i="1" s="1"/>
  <c r="J117" i="1" a="1"/>
  <c r="J117" i="1" s="1"/>
  <c r="I117" i="1"/>
  <c r="M117" i="1" s="1"/>
  <c r="J116" i="1" a="1"/>
  <c r="J116" i="1" s="1"/>
  <c r="I116" i="1"/>
  <c r="M116" i="1" s="1"/>
  <c r="J115" i="1" a="1"/>
  <c r="J115" i="1" s="1"/>
  <c r="I115" i="1"/>
  <c r="M115" i="1" s="1"/>
  <c r="J114" i="1" a="1"/>
  <c r="J114" i="1" s="1"/>
  <c r="I114" i="1"/>
  <c r="M114" i="1" s="1"/>
  <c r="J113" i="1" a="1"/>
  <c r="J113" i="1" s="1"/>
  <c r="I113" i="1"/>
  <c r="M113" i="1" s="1"/>
  <c r="J112" i="1"/>
  <c r="J112" i="1" a="1"/>
  <c r="I112" i="1"/>
  <c r="M112" i="1" s="1"/>
  <c r="M111" i="1"/>
  <c r="J111" i="1"/>
  <c r="J111" i="1" a="1"/>
  <c r="I111" i="1"/>
  <c r="J110" i="1" a="1"/>
  <c r="J110" i="1" s="1"/>
  <c r="I110" i="1"/>
  <c r="M110" i="1" s="1"/>
  <c r="J109" i="1" a="1"/>
  <c r="J109" i="1" s="1"/>
  <c r="I109" i="1"/>
  <c r="M109" i="1" s="1"/>
  <c r="J108" i="1"/>
  <c r="J108" i="1" a="1"/>
  <c r="I108" i="1"/>
  <c r="M108" i="1" s="1"/>
  <c r="J107" i="1" a="1"/>
  <c r="J107" i="1" s="1"/>
  <c r="I107" i="1"/>
  <c r="M107" i="1" s="1"/>
  <c r="J106" i="1" a="1"/>
  <c r="J106" i="1" s="1"/>
  <c r="I106" i="1"/>
  <c r="M106" i="1" s="1"/>
  <c r="J105" i="1" a="1"/>
  <c r="J105" i="1" s="1"/>
  <c r="I105" i="1"/>
  <c r="M105" i="1" s="1"/>
  <c r="J104" i="1" a="1"/>
  <c r="J104" i="1" s="1"/>
  <c r="I104" i="1"/>
  <c r="M104" i="1" s="1"/>
  <c r="J103" i="1" a="1"/>
  <c r="J103" i="1" s="1"/>
  <c r="I103" i="1"/>
  <c r="M103" i="1" s="1"/>
  <c r="J102" i="1" a="1"/>
  <c r="J102" i="1" s="1"/>
  <c r="I102" i="1"/>
  <c r="M102" i="1" s="1"/>
  <c r="J101" i="1" a="1"/>
  <c r="J101" i="1" s="1"/>
  <c r="I101" i="1"/>
  <c r="M101" i="1" s="1"/>
  <c r="J100" i="1" a="1"/>
  <c r="J100" i="1" s="1"/>
  <c r="I100" i="1"/>
  <c r="M100" i="1" s="1"/>
  <c r="J99" i="1" a="1"/>
  <c r="J99" i="1" s="1"/>
  <c r="I99" i="1"/>
  <c r="M99" i="1" s="1"/>
  <c r="J98" i="1" a="1"/>
  <c r="J98" i="1" s="1"/>
  <c r="I98" i="1"/>
  <c r="M98" i="1" s="1"/>
  <c r="J97" i="1" a="1"/>
  <c r="J97" i="1" s="1"/>
  <c r="I97" i="1"/>
  <c r="M97" i="1" s="1"/>
  <c r="J96" i="1"/>
  <c r="J96" i="1" a="1"/>
  <c r="I96" i="1"/>
  <c r="M96" i="1" s="1"/>
  <c r="J95" i="1"/>
  <c r="J95" i="1" a="1"/>
  <c r="I95" i="1"/>
  <c r="M95" i="1" s="1"/>
  <c r="J94" i="1" a="1"/>
  <c r="J94" i="1" s="1"/>
  <c r="I94" i="1"/>
  <c r="M94" i="1" s="1"/>
  <c r="J93" i="1" a="1"/>
  <c r="J93" i="1" s="1"/>
  <c r="I93" i="1"/>
  <c r="M93" i="1" s="1"/>
  <c r="J92" i="1" a="1"/>
  <c r="J92" i="1" s="1"/>
  <c r="I92" i="1"/>
  <c r="M92" i="1" s="1"/>
  <c r="J91" i="1" a="1"/>
  <c r="J91" i="1" s="1"/>
  <c r="I91" i="1"/>
  <c r="M91" i="1" s="1"/>
  <c r="J90" i="1" a="1"/>
  <c r="J90" i="1" s="1"/>
  <c r="I90" i="1"/>
  <c r="M90" i="1" s="1"/>
  <c r="J89" i="1" a="1"/>
  <c r="J89" i="1" s="1"/>
  <c r="I89" i="1"/>
  <c r="M89" i="1" s="1"/>
  <c r="J88" i="1" a="1"/>
  <c r="J88" i="1" s="1"/>
  <c r="I88" i="1"/>
  <c r="M88" i="1" s="1"/>
  <c r="J87" i="1" a="1"/>
  <c r="J87" i="1" s="1"/>
  <c r="I87" i="1"/>
  <c r="M87" i="1" s="1"/>
  <c r="J86" i="1" a="1"/>
  <c r="J86" i="1" s="1"/>
  <c r="I86" i="1"/>
  <c r="M86" i="1" s="1"/>
  <c r="J85" i="1" a="1"/>
  <c r="J85" i="1" s="1"/>
  <c r="I85" i="1"/>
  <c r="M85" i="1" s="1"/>
  <c r="M84" i="1"/>
  <c r="J84" i="1" a="1"/>
  <c r="J84" i="1" s="1"/>
  <c r="I84" i="1"/>
  <c r="J83" i="1" a="1"/>
  <c r="J83" i="1" s="1"/>
  <c r="I83" i="1"/>
  <c r="M83" i="1" s="1"/>
  <c r="J82" i="1" a="1"/>
  <c r="J82" i="1" s="1"/>
  <c r="I82" i="1"/>
  <c r="M82" i="1" s="1"/>
  <c r="J81" i="1" a="1"/>
  <c r="J81" i="1" s="1"/>
  <c r="I81" i="1"/>
  <c r="M81" i="1" s="1"/>
  <c r="J80" i="1" a="1"/>
  <c r="J80" i="1" s="1"/>
  <c r="I80" i="1"/>
  <c r="M80" i="1" s="1"/>
  <c r="J79" i="1" a="1"/>
  <c r="J79" i="1" s="1"/>
  <c r="I79" i="1"/>
  <c r="M79" i="1" s="1"/>
  <c r="J78" i="1" a="1"/>
  <c r="J78" i="1" s="1"/>
  <c r="I78" i="1"/>
  <c r="M78" i="1" s="1"/>
  <c r="J77" i="1" a="1"/>
  <c r="J77" i="1" s="1"/>
  <c r="I77" i="1"/>
  <c r="M77" i="1" s="1"/>
  <c r="J76" i="1" a="1"/>
  <c r="J76" i="1" s="1"/>
  <c r="I76" i="1"/>
  <c r="M76" i="1" s="1"/>
  <c r="M75" i="1"/>
  <c r="J75" i="1" a="1"/>
  <c r="J75" i="1" s="1"/>
  <c r="I75" i="1"/>
  <c r="J74" i="1" a="1"/>
  <c r="J74" i="1" s="1"/>
  <c r="I74" i="1"/>
  <c r="M74" i="1" s="1"/>
  <c r="J73" i="1" a="1"/>
  <c r="J73" i="1" s="1"/>
  <c r="I73" i="1"/>
  <c r="M73" i="1" s="1"/>
  <c r="J72" i="1" a="1"/>
  <c r="J72" i="1" s="1"/>
  <c r="I72" i="1"/>
  <c r="M72" i="1" s="1"/>
  <c r="J71" i="1" a="1"/>
  <c r="J71" i="1" s="1"/>
  <c r="I71" i="1"/>
  <c r="M71" i="1" s="1"/>
  <c r="J70" i="1" a="1"/>
  <c r="J70" i="1" s="1"/>
  <c r="I70" i="1"/>
  <c r="M70" i="1" s="1"/>
  <c r="J69" i="1" a="1"/>
  <c r="J69" i="1" s="1"/>
  <c r="I69" i="1"/>
  <c r="M69" i="1" s="1"/>
  <c r="J68" i="1" a="1"/>
  <c r="J68" i="1" s="1"/>
  <c r="I68" i="1"/>
  <c r="M68" i="1" s="1"/>
  <c r="M67" i="1"/>
  <c r="J67" i="1" a="1"/>
  <c r="J67" i="1" s="1"/>
  <c r="I67" i="1"/>
  <c r="J66" i="1" a="1"/>
  <c r="J66" i="1" s="1"/>
  <c r="I66" i="1"/>
  <c r="M66" i="1" s="1"/>
  <c r="J65" i="1" a="1"/>
  <c r="J65" i="1" s="1"/>
  <c r="I65" i="1"/>
  <c r="M65" i="1" s="1"/>
  <c r="J64" i="1" a="1"/>
  <c r="J64" i="1" s="1"/>
  <c r="I64" i="1"/>
  <c r="M64" i="1" s="1"/>
  <c r="J63" i="1" a="1"/>
  <c r="J63" i="1" s="1"/>
  <c r="I63" i="1"/>
  <c r="M63" i="1" s="1"/>
  <c r="J62" i="1" a="1"/>
  <c r="J62" i="1" s="1"/>
  <c r="I62" i="1"/>
  <c r="M62" i="1" s="1"/>
  <c r="J61" i="1" a="1"/>
  <c r="J61" i="1" s="1"/>
  <c r="I61" i="1"/>
  <c r="M61" i="1" s="1"/>
  <c r="J60" i="1" a="1"/>
  <c r="J60" i="1" s="1"/>
  <c r="I60" i="1"/>
  <c r="M60" i="1" s="1"/>
  <c r="J59" i="1" a="1"/>
  <c r="J59" i="1" s="1"/>
  <c r="I59" i="1"/>
  <c r="M59" i="1" s="1"/>
  <c r="J58" i="1" a="1"/>
  <c r="J58" i="1" s="1"/>
  <c r="I58" i="1"/>
  <c r="M58" i="1" s="1"/>
  <c r="J57" i="1" a="1"/>
  <c r="J57" i="1" s="1"/>
  <c r="I57" i="1"/>
  <c r="M57" i="1" s="1"/>
  <c r="J56" i="1" a="1"/>
  <c r="J56" i="1" s="1"/>
  <c r="I56" i="1"/>
  <c r="M56" i="1" s="1"/>
  <c r="J55" i="1" a="1"/>
  <c r="J55" i="1" s="1"/>
  <c r="I55" i="1"/>
  <c r="M55" i="1" s="1"/>
  <c r="J54" i="1" a="1"/>
  <c r="J54" i="1" s="1"/>
  <c r="I54" i="1"/>
  <c r="M54" i="1" s="1"/>
  <c r="J53" i="1" a="1"/>
  <c r="J53" i="1" s="1"/>
  <c r="I53" i="1"/>
  <c r="M53" i="1" s="1"/>
  <c r="J52" i="1" a="1"/>
  <c r="J52" i="1" s="1"/>
  <c r="I52" i="1"/>
  <c r="M52" i="1" s="1"/>
  <c r="J51" i="1" a="1"/>
  <c r="J51" i="1" s="1"/>
  <c r="I51" i="1"/>
  <c r="M51" i="1" s="1"/>
  <c r="J50" i="1" a="1"/>
  <c r="J50" i="1" s="1"/>
  <c r="I50" i="1"/>
  <c r="M50" i="1" s="1"/>
  <c r="J49" i="1" a="1"/>
  <c r="J49" i="1" s="1"/>
  <c r="I49" i="1"/>
  <c r="M49" i="1" s="1"/>
  <c r="J48" i="1" a="1"/>
  <c r="J48" i="1" s="1"/>
  <c r="I48" i="1"/>
  <c r="M48" i="1" s="1"/>
  <c r="J47" i="1" a="1"/>
  <c r="J47" i="1" s="1"/>
  <c r="I47" i="1"/>
  <c r="M47" i="1" s="1"/>
  <c r="J46" i="1" a="1"/>
  <c r="J46" i="1" s="1"/>
  <c r="I46" i="1"/>
  <c r="M46" i="1" s="1"/>
  <c r="J45" i="1" a="1"/>
  <c r="J45" i="1" s="1"/>
  <c r="I45" i="1"/>
  <c r="M45" i="1" s="1"/>
  <c r="J44" i="1" a="1"/>
  <c r="J44" i="1" s="1"/>
  <c r="I44" i="1"/>
  <c r="M44" i="1" s="1"/>
  <c r="J43" i="1"/>
  <c r="J43" i="1" a="1"/>
  <c r="I43" i="1"/>
  <c r="M43" i="1" s="1"/>
  <c r="J42" i="1" a="1"/>
  <c r="J42" i="1" s="1"/>
  <c r="I42" i="1"/>
  <c r="M42" i="1" s="1"/>
  <c r="J41" i="1" a="1"/>
  <c r="J41" i="1" s="1"/>
  <c r="I41" i="1"/>
  <c r="M41" i="1" s="1"/>
  <c r="J40" i="1" a="1"/>
  <c r="J40" i="1" s="1"/>
  <c r="I40" i="1"/>
  <c r="M40" i="1" s="1"/>
  <c r="J39" i="1" a="1"/>
  <c r="J39" i="1" s="1"/>
  <c r="I39" i="1"/>
  <c r="M39" i="1" s="1"/>
  <c r="J38" i="1" a="1"/>
  <c r="J38" i="1" s="1"/>
  <c r="I38" i="1"/>
  <c r="M38" i="1" s="1"/>
  <c r="J37" i="1" a="1"/>
  <c r="J37" i="1" s="1"/>
  <c r="I37" i="1"/>
  <c r="M37" i="1" s="1"/>
  <c r="J36" i="1" a="1"/>
  <c r="J36" i="1" s="1"/>
  <c r="I36" i="1"/>
  <c r="M36" i="1" s="1"/>
  <c r="J35" i="1" a="1"/>
  <c r="J35" i="1" s="1"/>
  <c r="I35" i="1"/>
  <c r="M35" i="1" s="1"/>
  <c r="J34" i="1" a="1"/>
  <c r="J34" i="1" s="1"/>
  <c r="I34" i="1"/>
  <c r="M34" i="1" s="1"/>
  <c r="J33" i="1" a="1"/>
  <c r="J33" i="1" s="1"/>
  <c r="I33" i="1"/>
  <c r="M33" i="1" s="1"/>
  <c r="J32" i="1" a="1"/>
  <c r="J32" i="1" s="1"/>
  <c r="I32" i="1"/>
  <c r="M32" i="1" s="1"/>
  <c r="M31" i="1"/>
  <c r="J31" i="1" a="1"/>
  <c r="J31" i="1" s="1"/>
  <c r="I31" i="1"/>
  <c r="J30" i="1" a="1"/>
  <c r="J30" i="1" s="1"/>
  <c r="I30" i="1"/>
  <c r="M30" i="1" s="1"/>
  <c r="J29" i="1" a="1"/>
  <c r="J29" i="1" s="1"/>
  <c r="I29" i="1"/>
  <c r="M29" i="1" s="1"/>
  <c r="J28" i="1" a="1"/>
  <c r="J28" i="1" s="1"/>
  <c r="I28" i="1"/>
  <c r="M28" i="1" s="1"/>
  <c r="J27" i="1" a="1"/>
  <c r="J27" i="1" s="1"/>
  <c r="I27" i="1"/>
  <c r="M27" i="1" s="1"/>
  <c r="M26" i="1"/>
  <c r="J26" i="1" a="1"/>
  <c r="J26" i="1" s="1"/>
  <c r="I26" i="1"/>
  <c r="J25" i="1" a="1"/>
  <c r="J25" i="1" s="1"/>
  <c r="I25" i="1"/>
  <c r="M25" i="1" s="1"/>
  <c r="J24" i="1" a="1"/>
  <c r="J24" i="1" s="1"/>
  <c r="I24" i="1"/>
  <c r="M24" i="1" s="1"/>
  <c r="J23" i="1" a="1"/>
  <c r="J23" i="1" s="1"/>
  <c r="I23" i="1"/>
  <c r="M23" i="1" s="1"/>
  <c r="J22" i="1" a="1"/>
  <c r="J22" i="1" s="1"/>
  <c r="I22" i="1"/>
  <c r="M22" i="1" s="1"/>
  <c r="J21" i="1"/>
  <c r="J21" i="1" a="1"/>
  <c r="I21" i="1"/>
  <c r="M21" i="1" s="1"/>
  <c r="J20" i="1"/>
  <c r="J20" i="1" a="1"/>
  <c r="I20" i="1"/>
  <c r="M20" i="1" s="1"/>
  <c r="M19" i="1"/>
  <c r="J19" i="1"/>
  <c r="J19" i="1" a="1"/>
  <c r="I19" i="1"/>
  <c r="J18" i="1" a="1"/>
  <c r="J18" i="1" s="1"/>
  <c r="I18" i="1"/>
  <c r="M18" i="1" s="1"/>
  <c r="J17" i="1" a="1"/>
  <c r="J17" i="1" s="1"/>
  <c r="I17" i="1"/>
  <c r="M17" i="1" s="1"/>
  <c r="J16" i="1" a="1"/>
  <c r="J16" i="1" s="1"/>
  <c r="I16" i="1"/>
  <c r="M16" i="1" s="1"/>
  <c r="J15" i="1" a="1"/>
  <c r="J15" i="1" s="1"/>
  <c r="I15" i="1"/>
  <c r="M15" i="1" s="1"/>
  <c r="J14" i="1" a="1"/>
  <c r="J14" i="1" s="1"/>
  <c r="I14" i="1"/>
  <c r="M14" i="1" s="1"/>
  <c r="J13" i="1" a="1"/>
  <c r="J13" i="1" s="1"/>
  <c r="I13" i="1"/>
  <c r="M13" i="1" s="1"/>
  <c r="M12" i="1"/>
  <c r="J12" i="1" a="1"/>
  <c r="J12" i="1" s="1"/>
  <c r="I12" i="1"/>
  <c r="M11" i="1"/>
  <c r="J11" i="1" a="1"/>
  <c r="J11" i="1" s="1"/>
  <c r="I11" i="1"/>
  <c r="J10" i="1" a="1"/>
  <c r="J10" i="1" s="1"/>
  <c r="I10" i="1"/>
  <c r="M10" i="1" s="1"/>
  <c r="J9" i="1" a="1"/>
  <c r="J9" i="1" s="1"/>
  <c r="I9" i="1"/>
  <c r="M9" i="1" s="1"/>
  <c r="J8" i="1" a="1"/>
  <c r="J8" i="1" s="1"/>
  <c r="I8" i="1"/>
  <c r="M8" i="1" s="1"/>
  <c r="J7" i="1" a="1"/>
  <c r="J7" i="1" s="1"/>
  <c r="I7" i="1"/>
  <c r="M7" i="1" s="1"/>
  <c r="J6" i="1" a="1"/>
  <c r="J6" i="1" s="1"/>
  <c r="I6" i="1"/>
  <c r="M6" i="1" s="1"/>
  <c r="J5" i="1" a="1"/>
  <c r="J5" i="1" s="1"/>
  <c r="I5" i="1"/>
  <c r="M5" i="1" s="1"/>
  <c r="J4" i="1"/>
  <c r="J4" i="1" a="1"/>
  <c r="I4" i="1"/>
  <c r="M4" i="1" s="1"/>
  <c r="J3" i="1" a="1"/>
  <c r="J3" i="1" s="1"/>
  <c r="I3" i="1"/>
  <c r="M3" i="1" s="1"/>
  <c r="J2" i="1" a="1"/>
  <c r="J2" i="1" s="1"/>
  <c r="I2" i="1"/>
  <c r="M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<sst xmlns="http://schemas.openxmlformats.org/spreadsheetml/2006/main" count="31625" uniqueCount="9838">
  <si>
    <t>years</t>
  </si>
  <si>
    <t>year_count</t>
  </si>
  <si>
    <t>all_years</t>
  </si>
  <si>
    <t>table</t>
  </si>
  <si>
    <t>group</t>
  </si>
  <si>
    <t>variable</t>
  </si>
  <si>
    <t>alias</t>
  </si>
  <si>
    <t>oid</t>
  </si>
  <si>
    <t>used</t>
  </si>
  <si>
    <t>level</t>
  </si>
  <si>
    <t>section</t>
  </si>
  <si>
    <t>section_name</t>
  </si>
  <si>
    <t>markdown</t>
  </si>
  <si>
    <t>note</t>
  </si>
  <si>
    <t>label</t>
  </si>
  <si>
    <t>concept</t>
  </si>
  <si>
    <t>type</t>
  </si>
  <si>
    <t>attributes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</si>
  <si>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</si>
  <si>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</si>
  <si>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</si>
  <si>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</si>
  <si>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</si>
  <si>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</si>
  <si>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</si>
  <si>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</si>
  <si>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</si>
  <si>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</si>
  <si>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</si>
  <si>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</si>
  <si>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</si>
  <si>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</si>
  <si>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</si>
  <si>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2010, 2011, 2012, 2013, 2014, 2015, 2016, 2017, 2018, 2019, 2020, 2021, 2022, 2023, 2024</t>
  </si>
  <si>
    <t>B01</t>
  </si>
  <si>
    <t>B01003</t>
  </si>
  <si>
    <t>B01003_001E</t>
  </si>
  <si>
    <t>Total Population</t>
  </si>
  <si>
    <t>D01</t>
  </si>
  <si>
    <t>Estimate: Total</t>
  </si>
  <si>
    <t>TOTAL POPULATION</t>
  </si>
  <si>
    <t>int</t>
  </si>
  <si>
    <t>B01003_001EA,B01003_001M,B01003_001MA</t>
  </si>
  <si>
    <t>B01001</t>
  </si>
  <si>
    <t>B01001_001E</t>
  </si>
  <si>
    <t>Total Population (Sex and Age)</t>
  </si>
  <si>
    <t>D02</t>
  </si>
  <si>
    <t>Sex and Age</t>
  </si>
  <si>
    <t>SEX BY AGE</t>
  </si>
  <si>
    <t>B01001_001EA,B01001_001M,B01001_001MA</t>
  </si>
  <si>
    <t>B01001_002E</t>
  </si>
  <si>
    <t>Male</t>
  </si>
  <si>
    <t>Estimate: Total: Male</t>
  </si>
  <si>
    <t>B01001_002EA,B01001_002M,B01001_002MA</t>
  </si>
  <si>
    <t>B01001_026E</t>
  </si>
  <si>
    <t>Female</t>
  </si>
  <si>
    <t>Estimate: Total: Female</t>
  </si>
  <si>
    <t>B01001_026EA,B01001_026M,B01001_026MA</t>
  </si>
  <si>
    <t>B01001_003E</t>
  </si>
  <si>
    <t>Male: Under 5 years</t>
  </si>
  <si>
    <t>Estimate: Total: Male: Under 5 years</t>
  </si>
  <si>
    <t>B01001_003EA,B01001_003M,B01001_003MA</t>
  </si>
  <si>
    <t>B01001_004E</t>
  </si>
  <si>
    <t>Male: 5 to 9 years</t>
  </si>
  <si>
    <t>Estimate: Total: Male: 5 to 9 years</t>
  </si>
  <si>
    <t>B01001_004EA,B01001_004M,B01001_004MA</t>
  </si>
  <si>
    <t>B01001_005E</t>
  </si>
  <si>
    <t>Male: 10 to 14 years</t>
  </si>
  <si>
    <t>Estimate: Total: Male: 10 to 14 years</t>
  </si>
  <si>
    <t>B01001_005EA,B01001_005M,B01001_005MA</t>
  </si>
  <si>
    <t>B01001_006E</t>
  </si>
  <si>
    <t>Male: 15 to 17 years</t>
  </si>
  <si>
    <t>Estimate: Total: Male: 15 to 17 years</t>
  </si>
  <si>
    <t>B01001_006EA,B01001_006M,B01001_006MA</t>
  </si>
  <si>
    <t>B01001_007E</t>
  </si>
  <si>
    <t>Male: 18 and 19 years</t>
  </si>
  <si>
    <t>Estimate: Total: Male: 18 and 19 years</t>
  </si>
  <si>
    <t>B01001_007EA,B01001_007M,B01001_007MA</t>
  </si>
  <si>
    <t>B01001_008E</t>
  </si>
  <si>
    <t>Male: 20 years</t>
  </si>
  <si>
    <t>Estimate: Total: Male: 20 years</t>
  </si>
  <si>
    <t>B01001_008EA,B01001_008M,B01001_008MA</t>
  </si>
  <si>
    <t>B01001_009E</t>
  </si>
  <si>
    <t>Male: 21 years</t>
  </si>
  <si>
    <t>Estimate: Total: Male: 21 years</t>
  </si>
  <si>
    <t>B01001_009EA,B01001_009M,B01001_009MA</t>
  </si>
  <si>
    <t>B01001_010E</t>
  </si>
  <si>
    <t>Male: 22 to 24 years</t>
  </si>
  <si>
    <t>Estimate: Total: Male: 22 to 24 years</t>
  </si>
  <si>
    <t>B01001_010EA,B01001_010M,B01001_010MA</t>
  </si>
  <si>
    <t>B01001_011E</t>
  </si>
  <si>
    <t>Male: 25 to 29 years</t>
  </si>
  <si>
    <t>Estimate: Total: Male: 25 to 29 years</t>
  </si>
  <si>
    <t>B01001_011EA,B01001_011M,B01001_011MA</t>
  </si>
  <si>
    <t>B01001_012E</t>
  </si>
  <si>
    <t>Male: 30 to 34 years</t>
  </si>
  <si>
    <t>Estimate: Total: Male: 30 to 34 years</t>
  </si>
  <si>
    <t>B01001_012EA,B01001_012M,B01001_012MA</t>
  </si>
  <si>
    <t>B01001_013E</t>
  </si>
  <si>
    <t>Male: 35 to 39 years</t>
  </si>
  <si>
    <t>Estimate: Total: Male: 35 to 39 years</t>
  </si>
  <si>
    <t>B01001_013EA,B01001_013M,B01001_013MA</t>
  </si>
  <si>
    <t>B01001_014E</t>
  </si>
  <si>
    <t>Male: 40 to 44 years</t>
  </si>
  <si>
    <t>Estimate: Total: Male: 40 to 44 years</t>
  </si>
  <si>
    <t>B01001_014EA,B01001_014M,B01001_014MA</t>
  </si>
  <si>
    <t>B01001_015E</t>
  </si>
  <si>
    <t>Male: 45 to 49 years</t>
  </si>
  <si>
    <t>Estimate: Total: Male: 45 to 49 years</t>
  </si>
  <si>
    <t>B01001_015EA,B01001_015M,B01001_015MA</t>
  </si>
  <si>
    <t>B01001_016E</t>
  </si>
  <si>
    <t>Male: 50 to 54 years</t>
  </si>
  <si>
    <t>Estimate: Total: Male: 50 to 54 years</t>
  </si>
  <si>
    <t>B01001_016EA,B01001_016M,B01001_016MA</t>
  </si>
  <si>
    <t>B01001_017E</t>
  </si>
  <si>
    <t>Male: 55 to 59 years</t>
  </si>
  <si>
    <t>Estimate: Total: Male: 55 to 59 years</t>
  </si>
  <si>
    <t>B01001_017EA,B01001_017M,B01001_017MA</t>
  </si>
  <si>
    <t>B01001_018E</t>
  </si>
  <si>
    <t>Male: 60 and 61 years</t>
  </si>
  <si>
    <t>Estimate: Total: Male: 60 and 61 years</t>
  </si>
  <si>
    <t>B01001_018EA,B01001_018M,B01001_018MA</t>
  </si>
  <si>
    <t>B01001_019E</t>
  </si>
  <si>
    <t>Male: 62 to 64 years</t>
  </si>
  <si>
    <t>Estimate: Total: Male: 62 to 64 years</t>
  </si>
  <si>
    <t>B01001_019EA,B01001_019M,B01001_019MA</t>
  </si>
  <si>
    <t>B01001_020E</t>
  </si>
  <si>
    <t>Male: 65 and 66 years</t>
  </si>
  <si>
    <t>Estimate: Total: Male: 65 and 66 years</t>
  </si>
  <si>
    <t>B01001_020EA,B01001_020M,B01001_020MA</t>
  </si>
  <si>
    <t>B01001_021E</t>
  </si>
  <si>
    <t>Male: 67 to 69 years</t>
  </si>
  <si>
    <t>Estimate: Total: Male: 67 to 69 years</t>
  </si>
  <si>
    <t>B01001_021EA,B01001_021M,B01001_021MA</t>
  </si>
  <si>
    <t>B01001_022E</t>
  </si>
  <si>
    <t>Male: 70 to 74 years</t>
  </si>
  <si>
    <t>Estimate: Total: Male: 70 to 74 years</t>
  </si>
  <si>
    <t>B01001_022EA,B01001_022M,B01001_022MA</t>
  </si>
  <si>
    <t>B01001_023E</t>
  </si>
  <si>
    <t>Male: 75 to 79 years</t>
  </si>
  <si>
    <t>Estimate: Total: Male: 75 to 79 years</t>
  </si>
  <si>
    <t>B01001_023EA,B01001_023M,B01001_023MA</t>
  </si>
  <si>
    <t>B01001_024E</t>
  </si>
  <si>
    <t>Male: 80 to 84 years</t>
  </si>
  <si>
    <t>Estimate: Total: Male: 80 to 84 years</t>
  </si>
  <si>
    <t>B01001_024EA,B01001_024M,B01001_024MA</t>
  </si>
  <si>
    <t>B01001_025E</t>
  </si>
  <si>
    <t>Male: 85 years and over</t>
  </si>
  <si>
    <t>Estimate: Total: Male: 85 years and over</t>
  </si>
  <si>
    <t>B01001_025EA,B01001_025M,B01001_025MA</t>
  </si>
  <si>
    <t>B01001_027E</t>
  </si>
  <si>
    <t>Female: Under 5 years</t>
  </si>
  <si>
    <t>Estimate: Total: Female: Under 5 years</t>
  </si>
  <si>
    <t>B01001_027EA,B01001_027M,B01001_027MA</t>
  </si>
  <si>
    <t>B01001_028E</t>
  </si>
  <si>
    <t>Female: 5 to 9 years</t>
  </si>
  <si>
    <t>Estimate: Total: Female: 5 to 9 years</t>
  </si>
  <si>
    <t>B01001_028EA,B01001_028M,B01001_028MA</t>
  </si>
  <si>
    <t>B01001_029E</t>
  </si>
  <si>
    <t>Female: 10 to 14 years</t>
  </si>
  <si>
    <t>Estimate: Total: Female: 10 to 14 years</t>
  </si>
  <si>
    <t>B01001_029EA,B01001_029M,B01001_029MA</t>
  </si>
  <si>
    <t>B01001_030E</t>
  </si>
  <si>
    <t>Female: 15 to 17 years</t>
  </si>
  <si>
    <t>Estimate: Total: Female: 15 to 17 years</t>
  </si>
  <si>
    <t>B01001_030EA,B01001_030M,B01001_030MA</t>
  </si>
  <si>
    <t>B01001_031E</t>
  </si>
  <si>
    <t>Female: 18 and 19 years</t>
  </si>
  <si>
    <t>Estimate: Total: Female: 18 and 19 years</t>
  </si>
  <si>
    <t>B01001_031EA,B01001_031M,B01001_031MA</t>
  </si>
  <si>
    <t>B01001_032E</t>
  </si>
  <si>
    <t>Female: 20 years</t>
  </si>
  <si>
    <t>Estimate: Total: Female: 20 years</t>
  </si>
  <si>
    <t>B01001_032EA,B01001_032M,B01001_032MA</t>
  </si>
  <si>
    <t>B01001_033E</t>
  </si>
  <si>
    <t>Female: 21 years</t>
  </si>
  <si>
    <t>Estimate: Total: Female: 21 years</t>
  </si>
  <si>
    <t>B01001_033EA,B01001_033M,B01001_033MA</t>
  </si>
  <si>
    <t>B01001_034E</t>
  </si>
  <si>
    <t>Female: 22 to 24 years</t>
  </si>
  <si>
    <t>Estimate: Total: Female: 22 to 24 years</t>
  </si>
  <si>
    <t>B01001_034EA,B01001_034M,B01001_034MA</t>
  </si>
  <si>
    <t>B01001_035E</t>
  </si>
  <si>
    <t>Female: 25 to 29 years</t>
  </si>
  <si>
    <t>Estimate: Total: Female: 25 to 29 years</t>
  </si>
  <si>
    <t>B01001_035EA,B01001_035M,B01001_035MA</t>
  </si>
  <si>
    <t>B01001_036E</t>
  </si>
  <si>
    <t>Female: 30 to 34 years</t>
  </si>
  <si>
    <t>Estimate: Total: Female: 30 to 34 years</t>
  </si>
  <si>
    <t>B01001_036EA,B01001_036M,B01001_036MA</t>
  </si>
  <si>
    <t>B01001_037E</t>
  </si>
  <si>
    <t>Female: 35 to 39 years</t>
  </si>
  <si>
    <t>Estimate: Total: Female: 35 to 39 years</t>
  </si>
  <si>
    <t>B01001_037EA,B01001_037M,B01001_037MA</t>
  </si>
  <si>
    <t>B01001_038E</t>
  </si>
  <si>
    <t>Female: 40 to 44 years</t>
  </si>
  <si>
    <t>Estimate: Total: Female: 40 to 44 years</t>
  </si>
  <si>
    <t>B01001_038EA,B01001_038M,B01001_038MA</t>
  </si>
  <si>
    <t>B01001_039E</t>
  </si>
  <si>
    <t>Female: 45 to 49 years</t>
  </si>
  <si>
    <t>Estimate: Total: Female: 45 to 49 years</t>
  </si>
  <si>
    <t>B01001_039EA,B01001_039M,B01001_039MA</t>
  </si>
  <si>
    <t>B01001_040E</t>
  </si>
  <si>
    <t>Female: 50 to 54 years</t>
  </si>
  <si>
    <t>Estimate: Total: Female: 50 to 54 years</t>
  </si>
  <si>
    <t>B01001_040EA,B01001_040M,B01001_040MA</t>
  </si>
  <si>
    <t>B01001_041E</t>
  </si>
  <si>
    <t>Female: 55 to 59 years</t>
  </si>
  <si>
    <t>Estimate: Total: Female: 55 to 59 years</t>
  </si>
  <si>
    <t>B01001_041EA,B01001_041M,B01001_041MA</t>
  </si>
  <si>
    <t>B01001_042E</t>
  </si>
  <si>
    <t>Female: 60 and 61 years</t>
  </si>
  <si>
    <t>Estimate: Total: Female: 60 and 61 years</t>
  </si>
  <si>
    <t>B01001_042EA,B01001_042M,B01001_042MA</t>
  </si>
  <si>
    <t>B01001_043E</t>
  </si>
  <si>
    <t>Female: 62 to 64 years</t>
  </si>
  <si>
    <t>Estimate: Total: Female: 62 to 64 years</t>
  </si>
  <si>
    <t>B01001_043EA,B01001_043M,B01001_043MA</t>
  </si>
  <si>
    <t>B01001_044E</t>
  </si>
  <si>
    <t>Female: 65 and 66 years</t>
  </si>
  <si>
    <t>Estimate: Total: Female: 65 and 66 years</t>
  </si>
  <si>
    <t>B01001_044EA,B01001_044M,B01001_044MA</t>
  </si>
  <si>
    <t>B01001_045E</t>
  </si>
  <si>
    <t>Female: 67 to 69 years</t>
  </si>
  <si>
    <t>Estimate: Total: Female: 67 to 69 years</t>
  </si>
  <si>
    <t>B01001_045EA,B01001_045M,B01001_045MA</t>
  </si>
  <si>
    <t>B01001_046E</t>
  </si>
  <si>
    <t>Female: 70 to 74 years</t>
  </si>
  <si>
    <t>Estimate: Total: Female: 70 to 74 years</t>
  </si>
  <si>
    <t>B01001_046EA,B01001_046M,B01001_046MA</t>
  </si>
  <si>
    <t>B01001_047E</t>
  </si>
  <si>
    <t>Female: 75 to 79 years</t>
  </si>
  <si>
    <t>Estimate: Total: Female: 75 to 79 years</t>
  </si>
  <si>
    <t>B01001_047EA,B01001_047M,B01001_047MA</t>
  </si>
  <si>
    <t>B01001_048E</t>
  </si>
  <si>
    <t>Female: 80 to 84 years</t>
  </si>
  <si>
    <t>Estimate: Total: Female: 80 to 84 years</t>
  </si>
  <si>
    <t>B01001_048EA,B01001_048M,B01001_048MA</t>
  </si>
  <si>
    <t>B01001_049E</t>
  </si>
  <si>
    <t>Female: 85 years and over</t>
  </si>
  <si>
    <t>Estimate: Total: Female: 85 years and over</t>
  </si>
  <si>
    <t>B01001_049EA,B01001_049M,B01001_049MA</t>
  </si>
  <si>
    <t>B01002</t>
  </si>
  <si>
    <t>B01002_001E</t>
  </si>
  <si>
    <t>Total Population (Median Age)</t>
  </si>
  <si>
    <t>D03</t>
  </si>
  <si>
    <t>Median Age by Sex and Race</t>
  </si>
  <si>
    <t>Estimate: Median age: Total</t>
  </si>
  <si>
    <t>MEDIAN AGE BY SEX</t>
  </si>
  <si>
    <t>float</t>
  </si>
  <si>
    <t>B01002_001EA,B01002_001M,B01002_001MA</t>
  </si>
  <si>
    <t>B01002_002E</t>
  </si>
  <si>
    <t>Median age: Male</t>
  </si>
  <si>
    <t>Estimate: Median age: Male</t>
  </si>
  <si>
    <t>B01002_002EA,B01002_002M,B01002_002MA</t>
  </si>
  <si>
    <t>B01002_003E</t>
  </si>
  <si>
    <t>Median age: Female</t>
  </si>
  <si>
    <t>Estimate: Median age: Female</t>
  </si>
  <si>
    <t>B01002_003EA,B01002_003M,B01002_003MA</t>
  </si>
  <si>
    <t>B01002A</t>
  </si>
  <si>
    <t>B01002A_001E</t>
  </si>
  <si>
    <t>Median age: White alone</t>
  </si>
  <si>
    <t>MEDIAN AGE BY SEX (WHITE ALONE)</t>
  </si>
  <si>
    <t>B01002A_001EA,B01002A_001M,B01002A_001MA</t>
  </si>
  <si>
    <t>B01002B</t>
  </si>
  <si>
    <t>B01002B_001E</t>
  </si>
  <si>
    <t>Median age: Black or African American alone</t>
  </si>
  <si>
    <t>MEDIAN AGE BY SEX (BLACK OR AFRICAN AMERICAN ALONE)</t>
  </si>
  <si>
    <t>B01002B_001EA,B01002B_001M,B01002B_001MA</t>
  </si>
  <si>
    <t>B01002C</t>
  </si>
  <si>
    <t>B01002C_001E</t>
  </si>
  <si>
    <t>Median age: American Indian and Alaska Native alone</t>
  </si>
  <si>
    <t>MEDIAN AGE BY SEX (AMERICAN INDIAN AND ALASKA NATIVE)</t>
  </si>
  <si>
    <t>B01002C_001EA,B01002C_001M,B01002C_001MA</t>
  </si>
  <si>
    <t>B01002D</t>
  </si>
  <si>
    <t>B01002D_001E</t>
  </si>
  <si>
    <t>Median age: Asian alone</t>
  </si>
  <si>
    <t>MEDIAN AGE BY SEX (ASIAN ALONE)</t>
  </si>
  <si>
    <t>B01002D_001EA,B01002D_001M,B01002D_001MA</t>
  </si>
  <si>
    <t>B01002E</t>
  </si>
  <si>
    <t>B01002E_001E</t>
  </si>
  <si>
    <t>Median age: Native Hawaiian and Other Pacific Islander alone</t>
  </si>
  <si>
    <t>MEDIAN AGE BY SEX (NATIVE HAWAIIAN AND OTHER PACIFIC ISLANDER ALONE)</t>
  </si>
  <si>
    <t>B01002E_001EA,B01002E_001M,B01002E_001MA</t>
  </si>
  <si>
    <t>B01002F</t>
  </si>
  <si>
    <t>B01002F_001E</t>
  </si>
  <si>
    <t>Median age: Some Other Race alone</t>
  </si>
  <si>
    <t>MEDIAN AGE BY SEX (SOME OTHER RACE ALONE)</t>
  </si>
  <si>
    <t>B01002F_001EA,B01002F_001M,B01002F_001MA</t>
  </si>
  <si>
    <t>B01002G</t>
  </si>
  <si>
    <t>B01002G_001E</t>
  </si>
  <si>
    <t>Median age: Two or More Races</t>
  </si>
  <si>
    <t>MEDIAN AGE BY SEX (TWO OR MORE RACES)</t>
  </si>
  <si>
    <t>B01002G_001EA,B01002G_001M,B01002G_001MA</t>
  </si>
  <si>
    <t>B01002H</t>
  </si>
  <si>
    <t>B01002H_001E</t>
  </si>
  <si>
    <t>Median age: White alone, not Hispanic or Latino</t>
  </si>
  <si>
    <t>MEDIAN AGE BY SEX (WHITE ALONE, NOT HISPANIC OR LATINO)</t>
  </si>
  <si>
    <t>B01002H_001EA,B01002H_001M,B01002H_001MA</t>
  </si>
  <si>
    <t>B01002I</t>
  </si>
  <si>
    <t>B01002I_001E</t>
  </si>
  <si>
    <t>Median age: Hispanic or Latino</t>
  </si>
  <si>
    <t>MEDIAN AGE BY SEX (HISPANIC OR LATINO)</t>
  </si>
  <si>
    <t>B01002I_001EA,B01002I_001M,B01002I_001MA</t>
  </si>
  <si>
    <t>B02</t>
  </si>
  <si>
    <t>B02001</t>
  </si>
  <si>
    <t>B02001_001E</t>
  </si>
  <si>
    <t>Total Population (Race)</t>
  </si>
  <si>
    <t>D04</t>
  </si>
  <si>
    <t>Race</t>
  </si>
  <si>
    <t>RACE</t>
  </si>
  <si>
    <t>B02001_001EA,B02001_001M,B02001_001MA</t>
  </si>
  <si>
    <t>B02001_002E</t>
  </si>
  <si>
    <t>White alone</t>
  </si>
  <si>
    <t>Estimate: Total: White alone</t>
  </si>
  <si>
    <t>B02001_002EA,B02001_002M,B02001_002MA</t>
  </si>
  <si>
    <t>B02001_003E</t>
  </si>
  <si>
    <t>Black or African American alone</t>
  </si>
  <si>
    <t>Estimate: Total: Black or African American alone</t>
  </si>
  <si>
    <t>B02001_003EA,B02001_003M,B02001_003MA</t>
  </si>
  <si>
    <t>B02001_004E</t>
  </si>
  <si>
    <t>American Indian and Alaska Native alone</t>
  </si>
  <si>
    <t>Estimate: Total: American Indian and Alaska Native alone</t>
  </si>
  <si>
    <t>B02001_004EA,B02001_004M,B02001_004MA</t>
  </si>
  <si>
    <t>B02001_005E</t>
  </si>
  <si>
    <t>Asian alone</t>
  </si>
  <si>
    <t>Estimate: Total: Asian alone</t>
  </si>
  <si>
    <t>B02001_005EA,B02001_005M,B02001_005MA</t>
  </si>
  <si>
    <t>B02001_006E</t>
  </si>
  <si>
    <t>Native Hawaiian and Other Pacific Islander alone</t>
  </si>
  <si>
    <t>Estimate: Total: Native Hawaiian and Other Pacific Islander alone</t>
  </si>
  <si>
    <t>B02001_006EA,B02001_006M,B02001_006MA</t>
  </si>
  <si>
    <t>B02001_007E</t>
  </si>
  <si>
    <t>Some other race alone</t>
  </si>
  <si>
    <t>Estimate: Total: Some other race alone</t>
  </si>
  <si>
    <t>B02001_007EA,B02001_007M,B02001_007MA</t>
  </si>
  <si>
    <t>B02001_008E</t>
  </si>
  <si>
    <t>Two or more races</t>
  </si>
  <si>
    <t>Estimate: Total: Two or more races</t>
  </si>
  <si>
    <t>B02001_008EA,B02001_008M,B02001_008MA</t>
  </si>
  <si>
    <t>B02001_009E</t>
  </si>
  <si>
    <t>Two or more races: Two races including Some other race</t>
  </si>
  <si>
    <t>Estimate: Total: Two or more races: Two races including Some other race</t>
  </si>
  <si>
    <t>B02001_009EA,B02001_009M,B02001_009MA</t>
  </si>
  <si>
    <t>B02001_010E</t>
  </si>
  <si>
    <t>Two or more races: Two races excluding Some other race and three or more races</t>
  </si>
  <si>
    <t>Estimate: Total: Two or more races: Two races excluding Some other race and three or more races</t>
  </si>
  <si>
    <t>B02001_010EA,B02001_010M,B02001_010MA</t>
  </si>
  <si>
    <t>B02008</t>
  </si>
  <si>
    <t>B02008_001E</t>
  </si>
  <si>
    <t>White</t>
  </si>
  <si>
    <t>D05</t>
  </si>
  <si>
    <t>Race Alone or in Combination with Other Races</t>
  </si>
  <si>
    <t>WHITE ALONE OR IN COMBINATION WITH ONE OR MORE OTHER RACES</t>
  </si>
  <si>
    <t>B02008_001EA,B02008_001M,B02008_001MA</t>
  </si>
  <si>
    <t>B02009</t>
  </si>
  <si>
    <t>B02009_001E</t>
  </si>
  <si>
    <t>Black or African American</t>
  </si>
  <si>
    <t>BLACK OR AFRICAN AMERICAN ALONE OR IN COMBINATION WITH ONE OR MORE OTHER RACES</t>
  </si>
  <si>
    <t>B02009_001EA,B02009_001M,B02009_001MA</t>
  </si>
  <si>
    <t>B02010</t>
  </si>
  <si>
    <t>B02010_001E</t>
  </si>
  <si>
    <t>American Indian and Alaska Native</t>
  </si>
  <si>
    <t>AMERICAN INDIAN AND ALASKA NATIVE ALONE OR IN COMBINATION WITH ONE OR MORE OTHER RACES</t>
  </si>
  <si>
    <t>B02010_001EA,B02010_001M,B02010_001MA</t>
  </si>
  <si>
    <t>B02011</t>
  </si>
  <si>
    <t>B02011_001E</t>
  </si>
  <si>
    <t>Asian</t>
  </si>
  <si>
    <t>ASIAN ALONE OR IN COMBINATION WITH ONE OR MORE OTHER RACES</t>
  </si>
  <si>
    <t>B02011_001EA,B02011_001M,B02011_001MA</t>
  </si>
  <si>
    <t>B02012</t>
  </si>
  <si>
    <t>B02012_001E</t>
  </si>
  <si>
    <t>Native Hawaiian and Other Pacific Islander</t>
  </si>
  <si>
    <t>NATIVE HAWAIIAN AND OTHER PACIFIC ISLANDER ALONE OR IN COMBINATION WITH ONE OR MORE OTHER RACES</t>
  </si>
  <si>
    <t>B02012_001EA,B02012_001M,B02012_001MA</t>
  </si>
  <si>
    <t>B02013</t>
  </si>
  <si>
    <t>B02013_001E</t>
  </si>
  <si>
    <t>Some Other Race</t>
  </si>
  <si>
    <t>SOME OTHER RACE ALONE OR IN COMBINATION WITH ONE OR MORE OTHER RACES</t>
  </si>
  <si>
    <t>B02013_001EA,B02013_001M,B02013_001MA</t>
  </si>
  <si>
    <t>B03</t>
  </si>
  <si>
    <t>B03003</t>
  </si>
  <si>
    <t>B03003_001E</t>
  </si>
  <si>
    <t>Total Population (Hispanic or Latino)</t>
  </si>
  <si>
    <t>D06</t>
  </si>
  <si>
    <t>Hispanic or Latino</t>
  </si>
  <si>
    <t>HISPANIC OR LATINO ORIGIN</t>
  </si>
  <si>
    <t>B03003_001EA,B03003_001M,B03003_001MA</t>
  </si>
  <si>
    <t>B03003_002E</t>
  </si>
  <si>
    <t>Not Hispanic or Latino</t>
  </si>
  <si>
    <t>Estimate: Total: Not Hispanic or Latino</t>
  </si>
  <si>
    <t>B03003_002EA,B03003_002M,B03003_002MA</t>
  </si>
  <si>
    <t>B03003_003E</t>
  </si>
  <si>
    <t>Estimate: Total: Hispanic or Latino</t>
  </si>
  <si>
    <t>B03003_003EA,B03003_003M,B03003_003MA</t>
  </si>
  <si>
    <t>B03002</t>
  </si>
  <si>
    <t>B03002_003E</t>
  </si>
  <si>
    <t>Not Hispanic or Latino: White alone</t>
  </si>
  <si>
    <t>Estimate: Total: Not Hispanic or Latino: White alone</t>
  </si>
  <si>
    <t>HISPANIC OR LATINO ORIGIN BY RACE</t>
  </si>
  <si>
    <t>B03002_003EA,B03002_003M,B03002_003MA</t>
  </si>
  <si>
    <t>B03002_004E</t>
  </si>
  <si>
    <t>Not Hispanic or Latino: Black or African American alone</t>
  </si>
  <si>
    <t>Estimate: Total: Not Hispanic or Latino: Black or African American alone</t>
  </si>
  <si>
    <t>B03002_004EA,B03002_004M,B03002_004MA</t>
  </si>
  <si>
    <t>B03002_005E</t>
  </si>
  <si>
    <t>Not Hispanic or Latino: American Indian and Alaska Native alone</t>
  </si>
  <si>
    <t>Estimate: Total: Not Hispanic or Latino: American Indian and Alaska Native alone</t>
  </si>
  <si>
    <t>B03002_005EA,B03002_005M,B03002_005MA</t>
  </si>
  <si>
    <t>B03002_006E</t>
  </si>
  <si>
    <t>Not Hispanic or Latino: Asian alone</t>
  </si>
  <si>
    <t>Estimate: Total: Not Hispanic or Latino: Asian alone</t>
  </si>
  <si>
    <t>B03002_006EA,B03002_006M,B03002_006MA</t>
  </si>
  <si>
    <t>B03002_007E</t>
  </si>
  <si>
    <t>Not Hispanic or Latino: Native Hawaiian and Other Pacific Islander alone</t>
  </si>
  <si>
    <t>Estimate: Total: Not Hispanic or Latino: Native Hawaiian and Other Pacific Islander alone</t>
  </si>
  <si>
    <t>B03002_007EA,B03002_007M,B03002_007MA</t>
  </si>
  <si>
    <t>B03002_008E</t>
  </si>
  <si>
    <t>Not Hispanic or Latino: Some other race alone</t>
  </si>
  <si>
    <t>Estimate: Total: Not Hispanic or Latino: Some other race alone</t>
  </si>
  <si>
    <t>B03002_008EA,B03002_008M,B03002_008MA</t>
  </si>
  <si>
    <t>B03002_009E</t>
  </si>
  <si>
    <t>Not Hispanic or Latino: Two or more races</t>
  </si>
  <si>
    <t>Estimate: Total: Not Hispanic or Latino: Two or more races</t>
  </si>
  <si>
    <t>B03002_009EA,B03002_009M,B03002_009MA</t>
  </si>
  <si>
    <t>B03002_010E</t>
  </si>
  <si>
    <t>Not Hispanic or Latino: Two or more races: Two races including Some other race</t>
  </si>
  <si>
    <t>Estimate: Total: Not Hispanic or Latino: Two or more races: Two races including Some other race</t>
  </si>
  <si>
    <t>B03002_010EA,B03002_010M,B03002_010MA</t>
  </si>
  <si>
    <t>B03002_011E</t>
  </si>
  <si>
    <t>Not Hispanic or Latino: Two or more races: Two races excluding Some other race and three or more races</t>
  </si>
  <si>
    <t>Estimate: Total: Not Hispanic or Latino: Two or more races: Two races excluding Some other race and three or more races</t>
  </si>
  <si>
    <t>B03002_011EA,B03002_011M,B03002_011MA</t>
  </si>
  <si>
    <t>B03002_013E</t>
  </si>
  <si>
    <t>Hispanic or Latino: White alone</t>
  </si>
  <si>
    <t>Estimate: Total: Hispanic or Latino: White alone</t>
  </si>
  <si>
    <t>B03002_013EA,B03002_013M,B03002_013MA</t>
  </si>
  <si>
    <t>B03002_014E</t>
  </si>
  <si>
    <t>Hispanic or Latino: Black or African American alone</t>
  </si>
  <si>
    <t>Estimate: Total: Hispanic or Latino: Black or African American alone</t>
  </si>
  <si>
    <t>B03002_014EA,B03002_014M,B03002_014MA</t>
  </si>
  <si>
    <t>B03002_015E</t>
  </si>
  <si>
    <t>Hispanic or Latino: American Indian and Alaska Native alone</t>
  </si>
  <si>
    <t>Estimate: Total: Hispanic or Latino: American Indian and Alaska Native alone</t>
  </si>
  <si>
    <t>B03002_015EA,B03002_015M,B03002_015MA</t>
  </si>
  <si>
    <t>B03002_016E</t>
  </si>
  <si>
    <t>Hispanic or Latino: Asian alone</t>
  </si>
  <si>
    <t>Estimate: Total: Hispanic or Latino: Asian alone</t>
  </si>
  <si>
    <t>B03002_016EA,B03002_016M,B03002_016MA</t>
  </si>
  <si>
    <t>B03002_017E</t>
  </si>
  <si>
    <t>Hispanic or Latino: Native Hawaiian and Other Pacific Islander alone</t>
  </si>
  <si>
    <t>Estimate: Total: Hispanic or Latino: Native Hawaiian and Other Pacific Islander alone</t>
  </si>
  <si>
    <t>B03002_017EA,B03002_017M,B03002_017MA</t>
  </si>
  <si>
    <t>B03002_018E</t>
  </si>
  <si>
    <t>Hispanic or Latino: Some other race alone</t>
  </si>
  <si>
    <t>Estimate: Total: Hispanic or Latino: Some other race alone</t>
  </si>
  <si>
    <t>B03002_018EA,B03002_018M,B03002_018MA</t>
  </si>
  <si>
    <t>B03002_019E</t>
  </si>
  <si>
    <t>Hispanic or Latino: Two or more races</t>
  </si>
  <si>
    <t>Estimate: Total: Hispanic or Latino: Two or more races</t>
  </si>
  <si>
    <t>B03002_019EA,B03002_019M,B03002_019MA</t>
  </si>
  <si>
    <t>B03002_020E</t>
  </si>
  <si>
    <t>Hispanic or Latino: Two or more races: Two races including Some other race</t>
  </si>
  <si>
    <t>Estimate: Total: Hispanic or Latino: Two or more races: Two races including Some other race</t>
  </si>
  <si>
    <t>B03002_020EA,B03002_020M,B03002_020MA</t>
  </si>
  <si>
    <t>B03002_021E</t>
  </si>
  <si>
    <t>Hispanic or Latino: Two or more races: Two races excluding Some other race and three or more races</t>
  </si>
  <si>
    <t>Estimate: Total: Hispanic or Latino: Two or more races: Two races excluding Some other race and three or more races</t>
  </si>
  <si>
    <t>B03002_021EA,B03002_021M,B03002_021MA</t>
  </si>
  <si>
    <t>B03001</t>
  </si>
  <si>
    <t>B03001_001E</t>
  </si>
  <si>
    <t>Total Population (Hispanic or Latino by Origin)</t>
  </si>
  <si>
    <t>D07</t>
  </si>
  <si>
    <t>Hispanic or Latino by Origin</t>
  </si>
  <si>
    <t>HISPANIC OR LATINO ORIGIN BY SPECIFIC ORIGIN</t>
  </si>
  <si>
    <t>B03001_001EA,B03001_001M,B03001_001MA</t>
  </si>
  <si>
    <t>B03001_002E</t>
  </si>
  <si>
    <t>B03001_002EA,B03001_002M,B03001_002MA</t>
  </si>
  <si>
    <t>B03001_003E</t>
  </si>
  <si>
    <t>B03001_003EA,B03001_003M,B03001_003MA</t>
  </si>
  <si>
    <t>B03001_004E</t>
  </si>
  <si>
    <t>Hispanic or Latino: Mexican</t>
  </si>
  <si>
    <t>Estimate: Total: Hispanic or Latino: Mexican</t>
  </si>
  <si>
    <t>B03001_004EA,B03001_004M,B03001_004MA</t>
  </si>
  <si>
    <t>B03001_005E</t>
  </si>
  <si>
    <t>Hispanic or Latino: Puerto Rican</t>
  </si>
  <si>
    <t>Estimate: Total: Hispanic or Latino: Puerto Rican</t>
  </si>
  <si>
    <t>B03001_005EA,B03001_005M,B03001_005MA</t>
  </si>
  <si>
    <t>B03001_006E</t>
  </si>
  <si>
    <t>Hispanic or Latino: Cuban</t>
  </si>
  <si>
    <t>Estimate: Total: Hispanic or Latino: Cuban</t>
  </si>
  <si>
    <t>B03001_006EA,B03001_006M,B03001_006MA</t>
  </si>
  <si>
    <t>B03001_007E</t>
  </si>
  <si>
    <t>Hispanic or Latino: Dominican Dominican Republic</t>
  </si>
  <si>
    <t>Estimate: Total: Hispanic or Latino: Dominican Dominican Republic</t>
  </si>
  <si>
    <t>B03001_007EA,B03001_007M,B03001_007MA</t>
  </si>
  <si>
    <t>B03001_008E</t>
  </si>
  <si>
    <t>Hispanic or Latino: Central American</t>
  </si>
  <si>
    <t>Estimate: Total: Hispanic or Latino: Central American</t>
  </si>
  <si>
    <t>B03001_008EA,B03001_008M,B03001_008MA</t>
  </si>
  <si>
    <t>B03001_009E</t>
  </si>
  <si>
    <t>Hispanic or Latino: Central American: Costa Rican</t>
  </si>
  <si>
    <t>Estimate: Total: Hispanic or Latino: Central American: Costa Rican</t>
  </si>
  <si>
    <t>B03001_009EA,B03001_009M,B03001_009MA</t>
  </si>
  <si>
    <t>B03001_010E</t>
  </si>
  <si>
    <t>Hispanic or Latino: Central American: Guatemalan</t>
  </si>
  <si>
    <t>Estimate: Total: Hispanic or Latino: Central American: Guatemalan</t>
  </si>
  <si>
    <t>B03001_010EA,B03001_010M,B03001_010MA</t>
  </si>
  <si>
    <t>B03001_011E</t>
  </si>
  <si>
    <t>Hispanic or Latino: Central American: Honduran</t>
  </si>
  <si>
    <t>Estimate: Total: Hispanic or Latino: Central American: Honduran</t>
  </si>
  <si>
    <t>B03001_011EA,B03001_011M,B03001_011MA</t>
  </si>
  <si>
    <t>B03001_012E</t>
  </si>
  <si>
    <t>Hispanic or Latino: Central American: Nicaraguan</t>
  </si>
  <si>
    <t>Estimate: Total: Hispanic or Latino: Central American: Nicaraguan</t>
  </si>
  <si>
    <t>B03001_012EA,B03001_012M,B03001_012MA</t>
  </si>
  <si>
    <t>B03001_013E</t>
  </si>
  <si>
    <t>Hispanic or Latino: Central American: Panamanian</t>
  </si>
  <si>
    <t>Estimate: Total: Hispanic or Latino: Central American: Panamanian</t>
  </si>
  <si>
    <t>B03001_013EA,B03001_013M,B03001_013MA</t>
  </si>
  <si>
    <t>B03001_014E</t>
  </si>
  <si>
    <t>Hispanic or Latino: Central American: Salvadoran</t>
  </si>
  <si>
    <t>Estimate: Total: Hispanic or Latino: Central American: Salvadoran</t>
  </si>
  <si>
    <t>B03001_014EA,B03001_014M,B03001_014MA</t>
  </si>
  <si>
    <t>B03001_015E</t>
  </si>
  <si>
    <t>Hispanic or Latino: Central American: Other Central American</t>
  </si>
  <si>
    <t>Estimate: Total: Hispanic or Latino: Central American: Other Central American</t>
  </si>
  <si>
    <t>B03001_015EA,B03001_015M,B03001_015MA</t>
  </si>
  <si>
    <t>B03001_016E</t>
  </si>
  <si>
    <t>Hispanic or Latino: South American</t>
  </si>
  <si>
    <t>Estimate: Total: Hispanic or Latino: South American</t>
  </si>
  <si>
    <t>B03001_016EA,B03001_016M,B03001_016MA</t>
  </si>
  <si>
    <t>B03001_017E</t>
  </si>
  <si>
    <t>Hispanic or Latino: South American: Argentinean</t>
  </si>
  <si>
    <t>Estimate: Total: Hispanic or Latino: South American: Argentinean</t>
  </si>
  <si>
    <t>B03001_017EA,B03001_017M,B03001_017MA</t>
  </si>
  <si>
    <t>B03001_018E</t>
  </si>
  <si>
    <t>Hispanic or Latino: South American: Bolivian</t>
  </si>
  <si>
    <t>Estimate: Total: Hispanic or Latino: South American: Bolivian</t>
  </si>
  <si>
    <t>B03001_018EA,B03001_018M,B03001_018MA</t>
  </si>
  <si>
    <t>B03001_019E</t>
  </si>
  <si>
    <t>Hispanic or Latino: South American: Chilean</t>
  </si>
  <si>
    <t>Estimate: Total: Hispanic or Latino: South American: Chilean</t>
  </si>
  <si>
    <t>B03001_019EA,B03001_019M,B03001_019MA</t>
  </si>
  <si>
    <t>B03001_020E</t>
  </si>
  <si>
    <t>Hispanic or Latino: South American: Colombian</t>
  </si>
  <si>
    <t>Estimate: Total: Hispanic or Latino: South American: Colombian</t>
  </si>
  <si>
    <t>B03001_020EA,B03001_020M,B03001_020MA</t>
  </si>
  <si>
    <t>B03001_021E</t>
  </si>
  <si>
    <t>Hispanic or Latino: South American: Ecuadorian</t>
  </si>
  <si>
    <t>Estimate: Total: Hispanic or Latino: South American: Ecuadorian</t>
  </si>
  <si>
    <t>B03001_021EA,B03001_021M,B03001_021MA</t>
  </si>
  <si>
    <t>B03001_022E</t>
  </si>
  <si>
    <t>Hispanic or Latino: South American: Paraguayan</t>
  </si>
  <si>
    <t>Estimate: Total: Hispanic or Latino: South American: Paraguayan</t>
  </si>
  <si>
    <t>B03001_022EA,B03001_022M,B03001_022MA</t>
  </si>
  <si>
    <t>B03001_023E</t>
  </si>
  <si>
    <t>Hispanic or Latino: South American: Peruvian</t>
  </si>
  <si>
    <t>Estimate: Total: Hispanic or Latino: South American: Peruvian</t>
  </si>
  <si>
    <t>B03001_023EA,B03001_023M,B03001_023MA</t>
  </si>
  <si>
    <t>B03001_024E</t>
  </si>
  <si>
    <t>Hispanic or Latino: South American: Uruguayan</t>
  </si>
  <si>
    <t>Estimate: Total: Hispanic or Latino: South American: Uruguayan</t>
  </si>
  <si>
    <t>B03001_024EA,B03001_024M,B03001_024MA</t>
  </si>
  <si>
    <t>B03001_025E</t>
  </si>
  <si>
    <t>Hispanic or Latino: South American: Venezuelan</t>
  </si>
  <si>
    <t>Estimate: Total: Hispanic or Latino: South American: Venezuelan</t>
  </si>
  <si>
    <t>B03001_025EA,B03001_025M,B03001_025MA</t>
  </si>
  <si>
    <t>B03001_026E</t>
  </si>
  <si>
    <t>Hispanic or Latino: South American: Other South American</t>
  </si>
  <si>
    <t>Estimate: Total: Hispanic or Latino: South American: Other South American</t>
  </si>
  <si>
    <t>B03001_026EA,B03001_026M,B03001_026MA</t>
  </si>
  <si>
    <t>B03001_027E</t>
  </si>
  <si>
    <t>Hispanic or Latino: Other Hispanic or Latino</t>
  </si>
  <si>
    <t>Estimate: Total: Hispanic or Latino: Other Hispanic or Latino</t>
  </si>
  <si>
    <t>B03001_027EA,B03001_027M,B03001_027MA</t>
  </si>
  <si>
    <t>B03001_028E</t>
  </si>
  <si>
    <t>Hispanic or Latino: Other Hispanic or Latino: Spaniard</t>
  </si>
  <si>
    <t>Estimate: Total: Hispanic or Latino: Other Hispanic or Latino: Spaniard</t>
  </si>
  <si>
    <t>B03001_028EA,B03001_028M,B03001_028MA</t>
  </si>
  <si>
    <t>B03001_029E</t>
  </si>
  <si>
    <t>Hispanic or Latino: Other Hispanic or Latino: Spanish</t>
  </si>
  <si>
    <t>Estimate: Total: Hispanic or Latino: Other Hispanic or Latino: Spanish</t>
  </si>
  <si>
    <t>B03001_029EA,B03001_029M,B03001_029MA</t>
  </si>
  <si>
    <t>B03001_030E</t>
  </si>
  <si>
    <t>Hispanic or Latino: Other Hispanic or Latino: Spanish American</t>
  </si>
  <si>
    <t>Estimate: Total: Hispanic or Latino: Other Hispanic or Latino: Spanish American</t>
  </si>
  <si>
    <t>B03001_030EA,B03001_030M,B03001_030MA</t>
  </si>
  <si>
    <t>B03001_031E</t>
  </si>
  <si>
    <t>Hispanic or Latino: Other Hispanic or Latino: All other Hispanic or Latino</t>
  </si>
  <si>
    <t>Estimate: Total: Hispanic or Latino: Other Hispanic or Latino: All other Hispanic or Latino</t>
  </si>
  <si>
    <t>B03001_031EA,B03001_031M,B03001_031MA</t>
  </si>
  <si>
    <t>B05</t>
  </si>
  <si>
    <t>B05003</t>
  </si>
  <si>
    <t>B05003_008E</t>
  </si>
  <si>
    <t>Male: 18 years and over</t>
  </si>
  <si>
    <t>D08</t>
  </si>
  <si>
    <t>Citizen Voting Age Population</t>
  </si>
  <si>
    <t>Estimate: Total: Male: 18 years and over</t>
  </si>
  <si>
    <t>SEX BY AGE BY CITIZENSHIP STATUS</t>
  </si>
  <si>
    <t>B05003_008EA,B05003_008M,B05003_008MA</t>
  </si>
  <si>
    <t>B05003_009E</t>
  </si>
  <si>
    <t>Male: 18 years and over: Native</t>
  </si>
  <si>
    <t>Estimate: Total: Male: 18 years and over: Native</t>
  </si>
  <si>
    <t>B05003_009EA,B05003_009M,B05003_009MA</t>
  </si>
  <si>
    <t>2010, 2011, 2012, 2013, 2014, 2015, 2016, 2017, 2018, 2019, 2020, 2021, 2022</t>
  </si>
  <si>
    <t>B05003_010E</t>
  </si>
  <si>
    <t>Male: 18 years and over: Foreign born</t>
  </si>
  <si>
    <t>Estimate: Total: Male: 18 years and over: Foreign born</t>
  </si>
  <si>
    <t>B05003_010EA,B05003_010M,B05003_010MA</t>
  </si>
  <si>
    <t>2023, 2024</t>
  </si>
  <si>
    <t>Male: 18 years and over: Foreign-born</t>
  </si>
  <si>
    <t>Estimate: Total: Male: 18 years and over: Foreign-born</t>
  </si>
  <si>
    <t>Sex by Age by Nativity and Citizenship Status</t>
  </si>
  <si>
    <t>B05003_011E</t>
  </si>
  <si>
    <t>Male: 18 years and over: Foreign born: Naturalized US citizen</t>
  </si>
  <si>
    <t>Estimate: Total: Male: 18 years and over: Foreign born: Naturalized US citizen</t>
  </si>
  <si>
    <t>B05003_011EA,B05003_011M,B05003_011MA</t>
  </si>
  <si>
    <t>Male: 18 years and over: Foreign-born: Naturalized US citizen</t>
  </si>
  <si>
    <t>Estimate: Total: Male: 18 years and over: Foreign-born: Naturalized US citizen</t>
  </si>
  <si>
    <t>B05003_012E</t>
  </si>
  <si>
    <t>Male: 18 years and over: Foreign born: Not a US citizen</t>
  </si>
  <si>
    <t>Estimate: Total: Male: 18 years and over: Foreign born: Not a US citizen</t>
  </si>
  <si>
    <t>B05003_012EA,B05003_012M,B05003_012MA</t>
  </si>
  <si>
    <t>Male: 18 years and over: Foreign-born: Not a US citizen</t>
  </si>
  <si>
    <t>Estimate: Total: Male: 18 years and over: Foreign-born: Not a US citizen</t>
  </si>
  <si>
    <t>B05003_019E</t>
  </si>
  <si>
    <t>Female: 18 years and over</t>
  </si>
  <si>
    <t>Estimate: Total: Female: 18 years and over</t>
  </si>
  <si>
    <t>B05003_019EA,B05003_019M,B05003_019MA</t>
  </si>
  <si>
    <t>B05003_020E</t>
  </si>
  <si>
    <t>Female: 18 years and over: Native</t>
  </si>
  <si>
    <t>Estimate: Total: Female: 18 years and over: Native</t>
  </si>
  <si>
    <t>B05003_020EA,B05003_020M,B05003_020MA</t>
  </si>
  <si>
    <t>B05003_021E</t>
  </si>
  <si>
    <t>Female: 18 years and over: Foreign born</t>
  </si>
  <si>
    <t>Estimate: Total: Female: 18 years and over: Foreign born</t>
  </si>
  <si>
    <t>B05003_021EA,B05003_021M,B05003_021MA</t>
  </si>
  <si>
    <t>Female: 18 years and over: Foreign-born</t>
  </si>
  <si>
    <t>Estimate: Total: Female: 18 years and over: Foreign-born</t>
  </si>
  <si>
    <t>B05003_022E</t>
  </si>
  <si>
    <t>Female: 18 years and over: Foreign born: Naturalized US citizen</t>
  </si>
  <si>
    <t>Estimate: Total: Female: 18 years and over: Foreign born: Naturalized US citizen</t>
  </si>
  <si>
    <t>B05003_022EA,B05003_022M,B05003_022MA</t>
  </si>
  <si>
    <t>Female: 18 years and over: Foreign-born: Naturalized US citizen</t>
  </si>
  <si>
    <t>Estimate: Total: Female: 18 years and over: Foreign-born: Naturalized US citizen</t>
  </si>
  <si>
    <t>B05003_023E</t>
  </si>
  <si>
    <t>Female: 18 years and over: Foreign born: Not a US citizen</t>
  </si>
  <si>
    <t>Estimate: Total: Female: 18 years and over: Foreign born: Not a US citizen</t>
  </si>
  <si>
    <t>B05003_023EA,B05003_023M,B05003_023MA</t>
  </si>
  <si>
    <t>Female: 18 years and over: Foreign-born: Not a US citizen</t>
  </si>
  <si>
    <t>Estimate: Total: Female: 18 years and over: Foreign-born: Not a US citizen</t>
  </si>
  <si>
    <t>B11</t>
  </si>
  <si>
    <t>B11001</t>
  </si>
  <si>
    <t>B11001_001E</t>
  </si>
  <si>
    <t>Total Households</t>
  </si>
  <si>
    <t>S01</t>
  </si>
  <si>
    <t>Households by Type</t>
  </si>
  <si>
    <t>HOUSEHOLD TYPE (INCLUDING LIVING ALONE)</t>
  </si>
  <si>
    <t>B11001_001EA,B11001_001M,B11001_001MA</t>
  </si>
  <si>
    <t>B11001_002E</t>
  </si>
  <si>
    <t>Family households</t>
  </si>
  <si>
    <t>Estimate: Total: Family households</t>
  </si>
  <si>
    <t>B11001_002EA,B11001_002M,B11001_002MA</t>
  </si>
  <si>
    <t>B11001_007E</t>
  </si>
  <si>
    <t>Non-family households</t>
  </si>
  <si>
    <t>Estimate: Total: Nonfamily households</t>
  </si>
  <si>
    <t>B11001_007EA,B11001_007M,B11001_007MA</t>
  </si>
  <si>
    <t>B11001_003E</t>
  </si>
  <si>
    <t>Family households: Married-couple family</t>
  </si>
  <si>
    <t>Estimate: Total: Family households: Married-couple family</t>
  </si>
  <si>
    <t>B11001_003EA,B11001_003M,B11001_003MA</t>
  </si>
  <si>
    <t>B11001_004E</t>
  </si>
  <si>
    <t>Family households: Other family</t>
  </si>
  <si>
    <t>Estimate: Total: Family households: Other family</t>
  </si>
  <si>
    <t>B11001_004EA,B11001_004M,B11001_004MA</t>
  </si>
  <si>
    <t>2010, 2011, 2012, 2013, 2014, 2015, 2016, 2017, 2018</t>
  </si>
  <si>
    <t>B11001_005E</t>
  </si>
  <si>
    <t>Family households: Other family: Male householder no wife present</t>
  </si>
  <si>
    <t>Estimate: Total: Family households: Other family: Male householder no wife present</t>
  </si>
  <si>
    <t>B11001_005EA,B11001_005M,B11001_005MA</t>
  </si>
  <si>
    <t>2019, 2020, 2021, 2022, 2023, 2024</t>
  </si>
  <si>
    <t>Family households: Other family: Male householder no spouse present</t>
  </si>
  <si>
    <t>Estimate: Total: Family households: Other family: Male householder no spouse present</t>
  </si>
  <si>
    <t>B11001_006E</t>
  </si>
  <si>
    <t>Family households: Other family: Female householder no husband present</t>
  </si>
  <si>
    <t>Estimate: Total: Family households: Other family: Female householder no husband present</t>
  </si>
  <si>
    <t>B11001_006EA,B11001_006M,B11001_006MA</t>
  </si>
  <si>
    <t>Family households: Other family: Female householder no spouse present</t>
  </si>
  <si>
    <t>Estimate: Total: Family households: Other family: Female householder no spouse present</t>
  </si>
  <si>
    <t>B11001_008E</t>
  </si>
  <si>
    <t>Non-family households: Householder living alone</t>
  </si>
  <si>
    <t>Estimate: Total: Nonfamily households: Householder living alone</t>
  </si>
  <si>
    <t>B11001_008EA,B11001_008M,B11001_008MA</t>
  </si>
  <si>
    <t>B11001_009E</t>
  </si>
  <si>
    <t>Non-family households: Householder not living alone</t>
  </si>
  <si>
    <t>Estimate: Total: Nonfamily households: Householder not living alone</t>
  </si>
  <si>
    <t>B11001_009EA,B11001_009M,B11001_009MA</t>
  </si>
  <si>
    <t>B11003</t>
  </si>
  <si>
    <t>B11003_001E</t>
  </si>
  <si>
    <t>Total Families</t>
  </si>
  <si>
    <t>S02</t>
  </si>
  <si>
    <t>Families by Type</t>
  </si>
  <si>
    <t>FAMILY TYPE BY PRESENCE AND AGE OF OWN CHILDREN UNDER 18 YEARS</t>
  </si>
  <si>
    <t>B11003_001EA,B11003_001M,B11003_001MA</t>
  </si>
  <si>
    <t>B11003_002E</t>
  </si>
  <si>
    <t>Married-couple family</t>
  </si>
  <si>
    <t>Estimate: Total: Married-couple family</t>
  </si>
  <si>
    <t>B11003_002EA,B11003_002M,B11003_002MA</t>
  </si>
  <si>
    <t>2010, 2011, 2012, 2013, 2014</t>
  </si>
  <si>
    <t>B11003_003E</t>
  </si>
  <si>
    <t>Married-couple family: With own children under 18 years</t>
  </si>
  <si>
    <t>Estimate: Total: Married-couple family: With own children under 18 years</t>
  </si>
  <si>
    <t>B11003_003EA,B11003_003M,B11003_003MA</t>
  </si>
  <si>
    <t>2015, 2016, 2017, 2018, 2019, 2020, 2021, 2022, 2023, 2024</t>
  </si>
  <si>
    <t>Married-couple family: With own children of the householder under 18 years</t>
  </si>
  <si>
    <t>Estimate: Total: Married-couple family: With own children of the householder under 18 years</t>
  </si>
  <si>
    <t>B11003_008E</t>
  </si>
  <si>
    <t>Other family</t>
  </si>
  <si>
    <t>Estimate: Total: Other family</t>
  </si>
  <si>
    <t>B11003_008EA,B11003_008M,B11003_008MA</t>
  </si>
  <si>
    <t>B11003_004E</t>
  </si>
  <si>
    <t>Married-couple family: With own children under 18 years: Under 6 years only</t>
  </si>
  <si>
    <t>Estimate: Total: Married-couple family: With own children under 18 years: Under 6 years only</t>
  </si>
  <si>
    <t>B11003_004EA,B11003_004M,B11003_004MA</t>
  </si>
  <si>
    <t>Married-couple family: With own children of the householder under 18 years: Under 6 years only</t>
  </si>
  <si>
    <t>Estimate: Total: Married-couple family: With own children of the householder under 18 years: Under 6 years only</t>
  </si>
  <si>
    <t>B11003_005E</t>
  </si>
  <si>
    <t>Married-couple family: With own children under 18 years: Under 6 years and 6 to 17 years</t>
  </si>
  <si>
    <t>Estimate: Total: Married-couple family: With own children under 18 years: Under 6 years and 6 to 17 years</t>
  </si>
  <si>
    <t>B11003_005EA,B11003_005M,B11003_005MA</t>
  </si>
  <si>
    <t>Married-couple family: With own children of the householder under 18 years: Under 6 years and 6 to 17 years</t>
  </si>
  <si>
    <t>Estimate: Total: Married-couple family: With own children of the householder under 18 years: Under 6 years and 6 to 17 years</t>
  </si>
  <si>
    <t>B11003_006E</t>
  </si>
  <si>
    <t>Married-couple family: With own children under 18 years: 6 to 17 years only</t>
  </si>
  <si>
    <t>Estimate: Total: Married-couple family: With own children under 18 years: 6 to 17 years only</t>
  </si>
  <si>
    <t>B11003_006EA,B11003_006M,B11003_006MA</t>
  </si>
  <si>
    <t>Married-couple family: With own children of the householder under 18 years: 6 to 17 years only</t>
  </si>
  <si>
    <t>Estimate: Total: Married-couple family: With own children of the householder under 18 years: 6 to 17 years only</t>
  </si>
  <si>
    <t>B11003_007E</t>
  </si>
  <si>
    <t>Married-couple family: No own children under 18 years</t>
  </si>
  <si>
    <t>Estimate: Total: Married-couple family: No own children under 18 years</t>
  </si>
  <si>
    <t>B11003_007EA,B11003_007M,B11003_007MA</t>
  </si>
  <si>
    <t>Married-couple family: No own children of the householder under 18 years</t>
  </si>
  <si>
    <t>Estimate: Total: Married-couple family: No own children of the householder under 18 years</t>
  </si>
  <si>
    <t>B11003_009E</t>
  </si>
  <si>
    <t>Other family: Male householder no wife present</t>
  </si>
  <si>
    <t>Estimate: Total: Other family: Male householder no wife present</t>
  </si>
  <si>
    <t>B11003_009EA,B11003_009M,B11003_009MA</t>
  </si>
  <si>
    <t>Other family: Male householder no spouse present</t>
  </si>
  <si>
    <t>Estimate: Total: Other family: Male householder no spouse present</t>
  </si>
  <si>
    <t>B11003_010E</t>
  </si>
  <si>
    <t>Other family: Male householder no wife present: With own children under 18 years</t>
  </si>
  <si>
    <t>Estimate: Total: Other family: Male householder no wife present: With own children under 18 years</t>
  </si>
  <si>
    <t>B11003_010EA,B11003_010M,B11003_010MA</t>
  </si>
  <si>
    <t>2015, 2016, 2017, 2018</t>
  </si>
  <si>
    <t>Other family: Male householder no wife present: With own children of the householder under 18 years</t>
  </si>
  <si>
    <t>Estimate: Total: Other family: Male householder no wife present: With own children of the householder under 18 years</t>
  </si>
  <si>
    <t>Other family: Male householder no spouse present: With own children of the householder under 18 years</t>
  </si>
  <si>
    <t>Estimate: Total: Other family: Male householder no spouse present: With own children of the householder under 18 years</t>
  </si>
  <si>
    <t>B11003_011E</t>
  </si>
  <si>
    <t>Other family: Male householder no wife present: With own children under 18 years: Under 6 years only</t>
  </si>
  <si>
    <t>Estimate: Total: Other family: Male householder no wife present: With own children under 18 years: Under 6 years only</t>
  </si>
  <si>
    <t>B11003_011EA,B11003_011M,B11003_011MA</t>
  </si>
  <si>
    <t>Other family: Male householder no wife present: With own children of the householder under 18 years: Under 6 years only</t>
  </si>
  <si>
    <t>Estimate: Total: Other family: Male householder no wife present: With own children of the householder under 18 years: Under 6 years only</t>
  </si>
  <si>
    <t>Other family: Male householder no spouse present: With own children of the householder under 18 years: Under 6 years only</t>
  </si>
  <si>
    <t>Estimate: Total: Other family: Male householder no spouse present: With own children of the householder under 18 years: Under 6 years only</t>
  </si>
  <si>
    <t>B11003_012E</t>
  </si>
  <si>
    <t>Other family: Male householder no wife present: With own children under 18 years: Under 6 years and 6 to 17 years</t>
  </si>
  <si>
    <t>Estimate: Total: Other family: Male householder no wife present: With own children under 18 years: Under 6 years and 6 to 17 years</t>
  </si>
  <si>
    <t>B11003_012EA,B11003_012M,B11003_012MA</t>
  </si>
  <si>
    <t>Other family: Male householder no wife present: With own children of the householder under 18 years: Under 6 years and 6 to 17 years</t>
  </si>
  <si>
    <t>Estimate: Total: Other family: Male householder no wife present: With own children of the householder under 18 years: Under 6 years and 6 to 17 years</t>
  </si>
  <si>
    <t>Other family: Male householder no spouse present: With own children of the householder under 18 years: Under 6 years and 6 to 17 years</t>
  </si>
  <si>
    <t>Estimate: Total: Other family: Male householder no spouse present: With own children of the householder under 18 years: Under 6 years and 6 to 17 years</t>
  </si>
  <si>
    <t>B11003_013E</t>
  </si>
  <si>
    <t>Other family: Male householder no wife present: With own children under 18 years: 6 to 17 years only</t>
  </si>
  <si>
    <t>Estimate: Total: Other family: Male householder no wife present: With own children under 18 years: 6 to 17 years only</t>
  </si>
  <si>
    <t>B11003_013EA,B11003_013M,B11003_013MA</t>
  </si>
  <si>
    <t>Other family: Male householder no wife present: With own children of the householder under 18 years: 6 to 17 years only</t>
  </si>
  <si>
    <t>Estimate: Total: Other family: Male householder no wife present: With own children of the householder under 18 years: 6 to 17 years only</t>
  </si>
  <si>
    <t>Other family: Male householder no spouse present: With own children of the householder under 18 years: 6 to 17 years only</t>
  </si>
  <si>
    <t>Estimate: Total: Other family: Male householder no spouse present: With own children of the householder under 18 years: 6 to 17 years only</t>
  </si>
  <si>
    <t>B11003_014E</t>
  </si>
  <si>
    <t>Other family: Male householder no wife present: No own children under 18 years</t>
  </si>
  <si>
    <t>Estimate: Total: Other family: Male householder no wife present: No own children under 18 years</t>
  </si>
  <si>
    <t>B11003_014EA,B11003_014M,B11003_014MA</t>
  </si>
  <si>
    <t>Other family: Male householder no wife present: No own children of the householder under 18 years</t>
  </si>
  <si>
    <t>Estimate: Total: Other family: Male householder no wife present: No own children of the householder under 18 years</t>
  </si>
  <si>
    <t>Other family: Male householder no spouse present: No own children of the householder under 18 years</t>
  </si>
  <si>
    <t>Estimate: Total: Other family: Male householder no spouse present: No own children of the householder under 18 years</t>
  </si>
  <si>
    <t>B11003_015E</t>
  </si>
  <si>
    <t>Other family: Female householder no husband present</t>
  </si>
  <si>
    <t>Estimate: Total: Other family: Female householder no husband present</t>
  </si>
  <si>
    <t>B11003_015EA,B11003_015M,B11003_015MA</t>
  </si>
  <si>
    <t>Other family: Female householder no spouse present</t>
  </si>
  <si>
    <t>Estimate: Total: Other family: Female householder no spouse present</t>
  </si>
  <si>
    <t>B11003_016E</t>
  </si>
  <si>
    <t>Other family: Female householder no husband present: With own children under 18 years</t>
  </si>
  <si>
    <t>Estimate: Total: Other family: Female householder no husband present: With own children under 18 years</t>
  </si>
  <si>
    <t>B11003_016EA,B11003_016M,B11003_016MA</t>
  </si>
  <si>
    <t>Other family: Female householder no husband present: With own children of the householder under 18 years</t>
  </si>
  <si>
    <t>Estimate: Total: Other family: Female householder no husband present: With own children of the householder under 18 years</t>
  </si>
  <si>
    <t>Other family: Female householder no spouse present: With own children of the householder under 18 years</t>
  </si>
  <si>
    <t>Estimate: Total: Other family: Female householder no spouse present: With own children of the householder under 18 years</t>
  </si>
  <si>
    <t>B11003_017E</t>
  </si>
  <si>
    <t>Other family: Female householder no husband present: With own children under 18 years: Under 6 years only</t>
  </si>
  <si>
    <t>Estimate: Total: Other family: Female householder no husband present: With own children under 18 years: Under 6 years only</t>
  </si>
  <si>
    <t>B11003_017EA,B11003_017M,B11003_017MA</t>
  </si>
  <si>
    <t>Other family: Female householder no husband present: With own children of the householder under 18 years: Under 6 years only</t>
  </si>
  <si>
    <t>Estimate: Total: Other family: Female householder no husband present: With own children of the householder under 18 years: Under 6 years only</t>
  </si>
  <si>
    <t>Other family: Female householder no spouse present: With own children of the householder under 18 years: Under 6 years only</t>
  </si>
  <si>
    <t>Estimate: Total: Other family: Female householder no spouse present: With own children of the householder under 18 years: Under 6 years only</t>
  </si>
  <si>
    <t>B11003_018E</t>
  </si>
  <si>
    <t>Other family: Female householder no husband present: With own children under 18 years: Under 6 years and 6 to 17 years</t>
  </si>
  <si>
    <t>Estimate: Total: Other family: Female householder no husband present: With own children under 18 years: Under 6 years and 6 to 17 years</t>
  </si>
  <si>
    <t>B11003_018EA,B11003_018M,B11003_018MA</t>
  </si>
  <si>
    <t>Other family: Female householder no husband present: With own children of the householder under 18 years: Under 6 years and 6 to 17 years</t>
  </si>
  <si>
    <t>Estimate: Total: Other family: Female householder no husband present: With own children of the householder under 18 years: Under 6 years and 6 to 17 years</t>
  </si>
  <si>
    <t>Other family: Female householder no spouse present: With own children of the householder under 18 years: Under 6 years and 6 to 17 years</t>
  </si>
  <si>
    <t>Estimate: Total: Other family: Female householder no spouse present: With own children of the householder under 18 years: Under 6 years and 6 to 17 years</t>
  </si>
  <si>
    <t>B11003_019E</t>
  </si>
  <si>
    <t>Other family: Female householder no husband present: With own children under 18 years: 6 to 17 years only</t>
  </si>
  <si>
    <t>Estimate: Total: Other family: Female householder no husband present: With own children under 18 years: 6 to 17 years only</t>
  </si>
  <si>
    <t>B11003_019EA,B11003_019M,B11003_019MA</t>
  </si>
  <si>
    <t>Other family: Female householder no husband present: With own children of the householder under 18 years: 6 to 17 years only</t>
  </si>
  <si>
    <t>Estimate: Total: Other family: Female householder no husband present: With own children of the householder under 18 years: 6 to 17 years only</t>
  </si>
  <si>
    <t>Other family: Female householder no spouse present: With own children of the householder under 18 years: 6 to 17 years only</t>
  </si>
  <si>
    <t>Estimate: Total: Other family: Female householder no spouse present: With own children of the householder under 18 years: 6 to 17 years only</t>
  </si>
  <si>
    <t>B11003_020E</t>
  </si>
  <si>
    <t>Other family: Female householder no husband present: No own children under 18 years</t>
  </si>
  <si>
    <t>Estimate: Total: Other family: Female householder no husband present: No own children under 18 years</t>
  </si>
  <si>
    <t>B11003_020EA,B11003_020M,B11003_020MA</t>
  </si>
  <si>
    <t>Other family: Female householder no husband present: No own children of the householder under 18 years</t>
  </si>
  <si>
    <t>Estimate: Total: Other family: Female householder no husband present: No own children of the householder under 18 years</t>
  </si>
  <si>
    <t>Other family: Female householder no spouse present: No own children of the householder under 18 years</t>
  </si>
  <si>
    <t>Estimate: Total: Other family: Female householder no spouse present: No own children of the householder under 18 years</t>
  </si>
  <si>
    <t>2010, 2011</t>
  </si>
  <si>
    <t>B09</t>
  </si>
  <si>
    <t>B09016</t>
  </si>
  <si>
    <t>B09016_002E</t>
  </si>
  <si>
    <t>Population in Households</t>
  </si>
  <si>
    <t>S03</t>
  </si>
  <si>
    <t>Household Relationships</t>
  </si>
  <si>
    <t>Estimate: Total: In households</t>
  </si>
  <si>
    <t>HOUSEHOLD TYPE (INCLUDING LIVING ALONE) BY RELATIONSHIP</t>
  </si>
  <si>
    <t>B09016_002EA,B09016_002M,B09016_002MA</t>
  </si>
  <si>
    <t>B09016_003E</t>
  </si>
  <si>
    <t>In households: In family households</t>
  </si>
  <si>
    <t>Estimate: Total: In households: In family households</t>
  </si>
  <si>
    <t>B09016_003EA,B09016_003M,B09016_003MA</t>
  </si>
  <si>
    <t>B09016_004E</t>
  </si>
  <si>
    <t>In households: In family households: Householder</t>
  </si>
  <si>
    <t>Estimate: Total: In households: In family households: Householder</t>
  </si>
  <si>
    <t>B09016_004EA,B09016_004M,B09016_004MA</t>
  </si>
  <si>
    <t>B09016_005E</t>
  </si>
  <si>
    <t>In households: In family households: Householder: Male</t>
  </si>
  <si>
    <t>Estimate: Total: In households: In family households: Householder: Male</t>
  </si>
  <si>
    <t>B09016_005EA,B09016_005M,B09016_005MA</t>
  </si>
  <si>
    <t>B09016_006E</t>
  </si>
  <si>
    <t>In households: In family households: Householder: Female</t>
  </si>
  <si>
    <t>Estimate: Total: In households: In family households: Householder: Female</t>
  </si>
  <si>
    <t>B09016_006EA,B09016_006M,B09016_006MA</t>
  </si>
  <si>
    <t>B09016_007E</t>
  </si>
  <si>
    <t>In households: In family households: Spouse</t>
  </si>
  <si>
    <t>Estimate: Total: In households: In family households: Spouse</t>
  </si>
  <si>
    <t>B09016_007EA,B09016_007M,B09016_007MA</t>
  </si>
  <si>
    <t>B09016_008E</t>
  </si>
  <si>
    <t>In households: In family households: Child</t>
  </si>
  <si>
    <t>Estimate: Total: In households: In family households: Child</t>
  </si>
  <si>
    <t>B09016_008EA,B09016_008M,B09016_008MA</t>
  </si>
  <si>
    <t>B09016_009E</t>
  </si>
  <si>
    <t>In households: In family households: Grandchild</t>
  </si>
  <si>
    <t>Estimate: Total: In households: In family households: Grandchild</t>
  </si>
  <si>
    <t>B09016_009EA,B09016_009M,B09016_009MA</t>
  </si>
  <si>
    <t>B09016_010E</t>
  </si>
  <si>
    <t>In households: In family households: Brother or sister</t>
  </si>
  <si>
    <t>Estimate: Total: In households: In family households: Brother or sister</t>
  </si>
  <si>
    <t>B09016_010EA,B09016_010M,B09016_010MA</t>
  </si>
  <si>
    <t>B09016_011E</t>
  </si>
  <si>
    <t>In households: In family households: Parent</t>
  </si>
  <si>
    <t>Estimate: Total: In households: In family households: Parent</t>
  </si>
  <si>
    <t>B09016_011EA,B09016_011M,B09016_011MA</t>
  </si>
  <si>
    <t>B09016_012E</t>
  </si>
  <si>
    <t>In households: In family households: Other relatives</t>
  </si>
  <si>
    <t>Estimate: Total: In households: In family households: Other relatives</t>
  </si>
  <si>
    <t>B09016_012EA,B09016_012M,B09016_012MA</t>
  </si>
  <si>
    <t>B09016_013E</t>
  </si>
  <si>
    <t>In households: In family households: Non-relatives</t>
  </si>
  <si>
    <t>Estimate: Total: In households: In family households: Nonrelatives</t>
  </si>
  <si>
    <t>B09016_013EA,B09016_013M,B09016_013MA</t>
  </si>
  <si>
    <t>B09016_014E</t>
  </si>
  <si>
    <t>In households: In family households: Non-relatives: Roomer or boarder</t>
  </si>
  <si>
    <t>Estimate: Total: In households: In family households: Nonrelatives: Roomer or boarder</t>
  </si>
  <si>
    <t>B09016_014EA,B09016_014M,B09016_014MA</t>
  </si>
  <si>
    <t>B09016_015E</t>
  </si>
  <si>
    <t>In households: In family households: Non-relatives: Housemate or roommate</t>
  </si>
  <si>
    <t>Estimate: Total: In households: In family households: Nonrelatives: Housemate or roommate</t>
  </si>
  <si>
    <t>B09016_015EA,B09016_015M,B09016_015MA</t>
  </si>
  <si>
    <t>B09016_016E</t>
  </si>
  <si>
    <t>In households: In family households: Non-relatives: Unmarried partner</t>
  </si>
  <si>
    <t>Estimate: Total: In households: In family households: Nonrelatives: Unmarried partner</t>
  </si>
  <si>
    <t>B09016_016EA,B09016_016M,B09016_016MA</t>
  </si>
  <si>
    <t>B09016_017E</t>
  </si>
  <si>
    <t>In households: In family households: Non-relatives: Foster child</t>
  </si>
  <si>
    <t>Estimate: Total: In households: In family households: Nonrelatives: Foster child</t>
  </si>
  <si>
    <t>B09016_017EA,B09016_017M,B09016_017MA</t>
  </si>
  <si>
    <t>B09016_018E</t>
  </si>
  <si>
    <t>In households: In family households: Non-relatives: Other Non-relatives</t>
  </si>
  <si>
    <t>Estimate: Total: In households: In family households: Nonrelatives: Other nonrelatives</t>
  </si>
  <si>
    <t>B09016_018EA,B09016_018M,B09016_018MA</t>
  </si>
  <si>
    <t>B09016_019E</t>
  </si>
  <si>
    <t>In households: In Non-family households</t>
  </si>
  <si>
    <t>Estimate: Total: In households: In nonfamily households</t>
  </si>
  <si>
    <t>B09016_019EA,B09016_019M,B09016_019MA</t>
  </si>
  <si>
    <t>B09016_020E</t>
  </si>
  <si>
    <t>In households: In Non-family households: Householder</t>
  </si>
  <si>
    <t>Estimate: Total: In households: In nonfamily households: Householder</t>
  </si>
  <si>
    <t>B09016_020EA,B09016_020M,B09016_020MA</t>
  </si>
  <si>
    <t>B09016_021E</t>
  </si>
  <si>
    <t>In households: In Non-family households: Householder: Male</t>
  </si>
  <si>
    <t>Estimate: Total: In households: In nonfamily households: Householder: Male</t>
  </si>
  <si>
    <t>B09016_021EA,B09016_021M,B09016_021MA</t>
  </si>
  <si>
    <t>B09016_022E</t>
  </si>
  <si>
    <t>In households: In Non-family households: Householder: Male: Living alone</t>
  </si>
  <si>
    <t>Estimate: Total: In households: In nonfamily households: Householder: Male: Living alone</t>
  </si>
  <si>
    <t>B09016_022EA,B09016_022M,B09016_022MA</t>
  </si>
  <si>
    <t>B09016_023E</t>
  </si>
  <si>
    <t>In households: In Non-family households: Householder: Male: Not living alone</t>
  </si>
  <si>
    <t>Estimate: Total: In households: In nonfamily households: Householder: Male: Not living alone</t>
  </si>
  <si>
    <t>B09016_023EA,B09016_023M,B09016_023MA</t>
  </si>
  <si>
    <t>B09016_024E</t>
  </si>
  <si>
    <t>In households: In Non-family households: Householder: Female</t>
  </si>
  <si>
    <t>Estimate: Total: In households: In nonfamily households: Householder: Female</t>
  </si>
  <si>
    <t>B09016_024EA,B09016_024M,B09016_024MA</t>
  </si>
  <si>
    <t>B09016_025E</t>
  </si>
  <si>
    <t>In households: In Non-family households: Householder: Female: Living alone</t>
  </si>
  <si>
    <t>Estimate: Total: In households: In nonfamily households: Householder: Female: Living alone</t>
  </si>
  <si>
    <t>B09016_025EA,B09016_025M,B09016_025MA</t>
  </si>
  <si>
    <t>B09016_026E</t>
  </si>
  <si>
    <t>In households: In Non-family households: Householder: Female: Not living alone</t>
  </si>
  <si>
    <t>Estimate: Total: In households: In nonfamily households: Householder: Female: Not living alone</t>
  </si>
  <si>
    <t>B09016_026EA,B09016_026M,B09016_026MA</t>
  </si>
  <si>
    <t>B09016_027E</t>
  </si>
  <si>
    <t>In households: In Non-family households: Non-relatives</t>
  </si>
  <si>
    <t>Estimate: Total: In households: In nonfamily households: Nonrelatives</t>
  </si>
  <si>
    <t>B09016_027EA,B09016_027M,B09016_027MA</t>
  </si>
  <si>
    <t>B09016_028E</t>
  </si>
  <si>
    <t>In households: In Non-family households: Non-relatives: Roomer or boarder</t>
  </si>
  <si>
    <t>Estimate: Total: In households: In nonfamily households: Nonrelatives: Roomer or boarder</t>
  </si>
  <si>
    <t>B09016_028EA,B09016_028M,B09016_028MA</t>
  </si>
  <si>
    <t>B09016_029E</t>
  </si>
  <si>
    <t>In households: In Non-family households: Non-relatives: Housemate or roommate</t>
  </si>
  <si>
    <t>Estimate: Total: In households: In nonfamily households: Nonrelatives: Housemate or roommate</t>
  </si>
  <si>
    <t>B09016_029EA,B09016_029M,B09016_029MA</t>
  </si>
  <si>
    <t>B09016_030E</t>
  </si>
  <si>
    <t>In households: In Non-family households: Non-relatives: Unmarried partner</t>
  </si>
  <si>
    <t>Estimate: Total: In households: In nonfamily households: Nonrelatives: Unmarried partner</t>
  </si>
  <si>
    <t>B09016_030EA,B09016_030M,B09016_030MA</t>
  </si>
  <si>
    <t>B09016_031E</t>
  </si>
  <si>
    <t>In households: In Non-family households: Non-relatives: Foster child</t>
  </si>
  <si>
    <t>Estimate: Total: In households: In nonfamily households: Nonrelatives: Foster child</t>
  </si>
  <si>
    <t>B09016_031EA,B09016_031M,B09016_031MA</t>
  </si>
  <si>
    <t>B09016_032E</t>
  </si>
  <si>
    <t>In households: In Non-family households: Non-relatives: Other Non-relatives</t>
  </si>
  <si>
    <t>Estimate: Total: In households: In nonfamily households: Nonrelatives: Other nonrelatives</t>
  </si>
  <si>
    <t>B09016_032EA,B09016_032M,B09016_032MA</t>
  </si>
  <si>
    <t>B09016_033E</t>
  </si>
  <si>
    <t>In group quarters</t>
  </si>
  <si>
    <t>Estimate: Total: In group quarters</t>
  </si>
  <si>
    <t>B09016_033EA,B09016_033M,B09016_033MA</t>
  </si>
  <si>
    <t>2012, 2013, 2014, 2015, 2016, 2017, 2018, 2019, 2020, 2021, 2022, 2023, 2024</t>
  </si>
  <si>
    <t>B09019</t>
  </si>
  <si>
    <t>B09019_002E</t>
  </si>
  <si>
    <t>B09019_002EA,B09019_002M,B09019_002MA</t>
  </si>
  <si>
    <t>2012, 2013, 2014, 2015, 2016, 2017, 2018</t>
  </si>
  <si>
    <t>B09019_003E</t>
  </si>
  <si>
    <t>B09019_003EA,B09019_003M,B09019_003MA</t>
  </si>
  <si>
    <t>B09019_004E</t>
  </si>
  <si>
    <t>B09019_004EA,B09019_004M,B09019_004MA</t>
  </si>
  <si>
    <t>B09019_005E</t>
  </si>
  <si>
    <t>B09019_005EA,B09019_005M,B09019_005MA</t>
  </si>
  <si>
    <t>B09019_006E</t>
  </si>
  <si>
    <t>B09019_006EA,B09019_006M,B09019_006MA</t>
  </si>
  <si>
    <t>B09019_007E</t>
  </si>
  <si>
    <t>B09019_007EA,B09019_007M,B09019_007MA</t>
  </si>
  <si>
    <t>B09019_008E</t>
  </si>
  <si>
    <t>B09019_008EA,B09019_008M,B09019_008MA</t>
  </si>
  <si>
    <t>B09019_009E</t>
  </si>
  <si>
    <t>In households: In family households: Child: Biological child</t>
  </si>
  <si>
    <t>Estimate: Total: In households: In family households: Child: Biological child</t>
  </si>
  <si>
    <t>B09019_009EA,B09019_009M,B09019_009MA</t>
  </si>
  <si>
    <t>B09019_010E</t>
  </si>
  <si>
    <t>In households: In family households: Child: Adopted child</t>
  </si>
  <si>
    <t>Estimate: Total: In households: In family households: Child: Adopted child</t>
  </si>
  <si>
    <t>B09019_010EA,B09019_010M,B09019_010MA</t>
  </si>
  <si>
    <t>B09019_011E</t>
  </si>
  <si>
    <t>In households: In family households: Child: Stepchild</t>
  </si>
  <si>
    <t>Estimate: Total: In households: In family households: Child: Stepchild</t>
  </si>
  <si>
    <t>B09019_011EA,B09019_011M,B09019_011MA</t>
  </si>
  <si>
    <t>B09019_012E</t>
  </si>
  <si>
    <t>B09019_012EA,B09019_012M,B09019_012MA</t>
  </si>
  <si>
    <t>B09019_013E</t>
  </si>
  <si>
    <t>B09019_013EA,B09019_013M,B09019_013MA</t>
  </si>
  <si>
    <t>B09019_014E</t>
  </si>
  <si>
    <t>B09019_014EA,B09019_014M,B09019_014MA</t>
  </si>
  <si>
    <t>B09019_015E</t>
  </si>
  <si>
    <t>In households: In family households: Parent-in-law</t>
  </si>
  <si>
    <t>Estimate: Total: In households: In family households: Parent-in-law</t>
  </si>
  <si>
    <t>B09019_015EA,B09019_015M,B09019_015MA</t>
  </si>
  <si>
    <t>B09019_016E</t>
  </si>
  <si>
    <t>In households: In family households: Son-in-law or daughter-in-law</t>
  </si>
  <si>
    <t>Estimate: Total: In households: In family households: Son-in-law or daughter-in-law</t>
  </si>
  <si>
    <t>B09019_016EA,B09019_016M,B09019_016MA</t>
  </si>
  <si>
    <t>B09019_017E</t>
  </si>
  <si>
    <t>B09019_017EA,B09019_017M,B09019_017MA</t>
  </si>
  <si>
    <t>B09019_018E</t>
  </si>
  <si>
    <t>B09019_018EA,B09019_018M,B09019_018MA</t>
  </si>
  <si>
    <t>B09019_019E</t>
  </si>
  <si>
    <t>B09019_019EA,B09019_019M,B09019_019MA</t>
  </si>
  <si>
    <t>B09019_020E</t>
  </si>
  <si>
    <t>B09019_020EA,B09019_020M,B09019_020MA</t>
  </si>
  <si>
    <t>B09019_021E</t>
  </si>
  <si>
    <t>B09019_021EA,B09019_021M,B09019_021MA</t>
  </si>
  <si>
    <t>B09019_022E</t>
  </si>
  <si>
    <t>B09019_022EA,B09019_022M,B09019_022MA</t>
  </si>
  <si>
    <t>B09019_023E</t>
  </si>
  <si>
    <t>B09019_023EA,B09019_023M,B09019_023MA</t>
  </si>
  <si>
    <t>B09019_024E</t>
  </si>
  <si>
    <t>B09019_024EA,B09019_024M,B09019_024MA</t>
  </si>
  <si>
    <t>B09019_025E</t>
  </si>
  <si>
    <t>B09019_025EA,B09019_025M,B09019_025MA</t>
  </si>
  <si>
    <t>B09019_026E</t>
  </si>
  <si>
    <t>B09019_026EA,B09019_026M,B09019_026MA</t>
  </si>
  <si>
    <t>B09019_027E</t>
  </si>
  <si>
    <t>B09019_027EA,B09019_027M,B09019_027MA</t>
  </si>
  <si>
    <t>B09019_028E</t>
  </si>
  <si>
    <t>B09019_028EA,B09019_028M,B09019_028MA</t>
  </si>
  <si>
    <t>B09019_029E</t>
  </si>
  <si>
    <t>B09019_029EA,B09019_029M,B09019_029MA</t>
  </si>
  <si>
    <t>B09019_030E</t>
  </si>
  <si>
    <t>B09019_030EA,B09019_030M,B09019_030MA</t>
  </si>
  <si>
    <t>B09019_031E</t>
  </si>
  <si>
    <t>B09019_031EA,B09019_031M,B09019_031MA</t>
  </si>
  <si>
    <t>B09019_032E</t>
  </si>
  <si>
    <t>B09019_032EA,B09019_032M,B09019_032MA</t>
  </si>
  <si>
    <t>B09019_033E</t>
  </si>
  <si>
    <t>B09019_033EA,B09019_033M,B09019_033MA</t>
  </si>
  <si>
    <t>B09019_034E</t>
  </si>
  <si>
    <t>B09019_034EA,B09019_034M,B09019_034MA</t>
  </si>
  <si>
    <t>B09019_035E</t>
  </si>
  <si>
    <t>B09019_035EA,B09019_035M,B09019_035MA</t>
  </si>
  <si>
    <t>B09019_036E</t>
  </si>
  <si>
    <t>B09019_036EA,B09019_036M,B09019_036MA</t>
  </si>
  <si>
    <t>B09019_037E</t>
  </si>
  <si>
    <t>B09019_037EA,B09019_037M,B09019_037MA</t>
  </si>
  <si>
    <t>B09019_038E</t>
  </si>
  <si>
    <t>B09019_038EA,B09019_038M,B09019_038MA</t>
  </si>
  <si>
    <t>In households: Householder</t>
  </si>
  <si>
    <t>Estimate: Total: In households: Householder</t>
  </si>
  <si>
    <t>In households: Householder: Male</t>
  </si>
  <si>
    <t>Estimate: Total: In households: Householder: Male</t>
  </si>
  <si>
    <t>In households: Householder: Male: Living alone</t>
  </si>
  <si>
    <t>Estimate: Total: In households: Householder: Male: Living alone</t>
  </si>
  <si>
    <t>In households: Householder: Male: Not living alone</t>
  </si>
  <si>
    <t>Estimate: Total: In households: Householder: Male: Not living alone</t>
  </si>
  <si>
    <t>In households: Householder: Female</t>
  </si>
  <si>
    <t>Estimate: Total: In households: Householder: Female</t>
  </si>
  <si>
    <t>In households: Householder: Female: Living alone</t>
  </si>
  <si>
    <t>Estimate: Total: In households: Householder: Female: Living alone</t>
  </si>
  <si>
    <t>In households: Householder: Female: Not living alone</t>
  </si>
  <si>
    <t>Estimate: Total: In households: Householder: Female: Not living alone</t>
  </si>
  <si>
    <t>In households: Opposite-sex spouse</t>
  </si>
  <si>
    <t>Estimate: Total: In households: Opposite-sex spouse</t>
  </si>
  <si>
    <t>In households: Same-sex spouse</t>
  </si>
  <si>
    <t>Estimate: Total: In households: Same-sex spouse</t>
  </si>
  <si>
    <t>In households: Opposite-sex unmarried partner</t>
  </si>
  <si>
    <t>Estimate: Total: In households: Opposite-sex unmarried partner</t>
  </si>
  <si>
    <t>In households: Same-sex unmarried partner</t>
  </si>
  <si>
    <t>Estimate: Total: In households: Same-sex unmarried partner</t>
  </si>
  <si>
    <t>In households: Child</t>
  </si>
  <si>
    <t>Estimate: Total: In households: Child</t>
  </si>
  <si>
    <t>In households: Child: Biological child</t>
  </si>
  <si>
    <t>Estimate: Total: In households: Child: Biological child</t>
  </si>
  <si>
    <t>In households: Child: Adopted child</t>
  </si>
  <si>
    <t>Estimate: Total: In households: Child: Adopted child</t>
  </si>
  <si>
    <t>In households: Child: Stepchild</t>
  </si>
  <si>
    <t>Estimate: Total: In households: Child: Stepchild</t>
  </si>
  <si>
    <t>In households: Grandchild</t>
  </si>
  <si>
    <t>Estimate: Total: In households: Grandchild</t>
  </si>
  <si>
    <t>In households: Brother or sister</t>
  </si>
  <si>
    <t>Estimate: Total: In households: Brother or sister</t>
  </si>
  <si>
    <t>In households: Parent</t>
  </si>
  <si>
    <t>Estimate: Total: In households: Parent</t>
  </si>
  <si>
    <t>In households: Parent-in-law</t>
  </si>
  <si>
    <t>Estimate: Total: In households: Parent-in-law</t>
  </si>
  <si>
    <t>In households: Son-in-law or daughter-in-law</t>
  </si>
  <si>
    <t>Estimate: Total: In households: Son-in-law or daughter-in-law</t>
  </si>
  <si>
    <t>In households: Other relatives</t>
  </si>
  <si>
    <t>Estimate: Total: In households: Other relatives</t>
  </si>
  <si>
    <t>In households: Foster child</t>
  </si>
  <si>
    <t>Estimate: Total: In households: Foster child</t>
  </si>
  <si>
    <t>In households: Other Non-relatives</t>
  </si>
  <si>
    <t>Estimate: Total: In households: Other nonrelatives</t>
  </si>
  <si>
    <t>B12</t>
  </si>
  <si>
    <t>B12001</t>
  </si>
  <si>
    <t>B12001_001E</t>
  </si>
  <si>
    <t>Population, 15+ years</t>
  </si>
  <si>
    <t>S04</t>
  </si>
  <si>
    <t>Marital Status</t>
  </si>
  <si>
    <t>SEX BY MARITAL STATUS FOR THE POPULATION 15 YEARS AND OVER</t>
  </si>
  <si>
    <t>B12001_001EA,B12001_001M,B12001_001MA</t>
  </si>
  <si>
    <t>B12001_002E</t>
  </si>
  <si>
    <t>Male, 15+ years</t>
  </si>
  <si>
    <t>B12001_002EA,B12001_002M,B12001_002MA</t>
  </si>
  <si>
    <t>B12001_003E</t>
  </si>
  <si>
    <t>Male, 15+ years: Never married</t>
  </si>
  <si>
    <t>Estimate: Total: Male: Never married</t>
  </si>
  <si>
    <t>B12001_003EA,B12001_003M,B12001_003MA</t>
  </si>
  <si>
    <t>B12001_004E</t>
  </si>
  <si>
    <t>Male, 15+ years: Now married</t>
  </si>
  <si>
    <t>Estimate: Total: Male: Now married</t>
  </si>
  <si>
    <t>B12001_004EA,B12001_004M,B12001_004MA</t>
  </si>
  <si>
    <t>B12001_005E</t>
  </si>
  <si>
    <t>Male, 15+ years: Now married: Married spouse present</t>
  </si>
  <si>
    <t>Estimate: Total: Male: Now married: Married spouse present</t>
  </si>
  <si>
    <t>B12001_005EA,B12001_005M,B12001_005MA</t>
  </si>
  <si>
    <t>B12001_006E</t>
  </si>
  <si>
    <t>Male, 15+ years: Now married: Married spouse absent</t>
  </si>
  <si>
    <t>Estimate: Total: Male: Now married: Married spouse absent</t>
  </si>
  <si>
    <t>B12001_006EA,B12001_006M,B12001_006MA</t>
  </si>
  <si>
    <t>B12001_007E</t>
  </si>
  <si>
    <t>Male, 15+ years: Now married: Married spouse absent: Separated</t>
  </si>
  <si>
    <t>Estimate: Total: Male: Now married: Married spouse absent: Separated</t>
  </si>
  <si>
    <t>B12001_007EA,B12001_007M,B12001_007MA</t>
  </si>
  <si>
    <t>B12001_008E</t>
  </si>
  <si>
    <t>Male, 15+ years: Now married: Married spouse absent: Other</t>
  </si>
  <si>
    <t>Estimate: Total: Male: Now married: Married spouse absent: Other</t>
  </si>
  <si>
    <t>B12001_008EA,B12001_008M,B12001_008MA</t>
  </si>
  <si>
    <t>B12001_009E</t>
  </si>
  <si>
    <t>Male, 15+ years: Widowed</t>
  </si>
  <si>
    <t>Estimate: Total: Male: Widowed</t>
  </si>
  <si>
    <t>B12001_009EA,B12001_009M,B12001_009MA</t>
  </si>
  <si>
    <t>B12001_010E</t>
  </si>
  <si>
    <t>Male, 15+ years: Divorced</t>
  </si>
  <si>
    <t>Estimate: Total: Male: Divorced</t>
  </si>
  <si>
    <t>B12001_010EA,B12001_010M,B12001_010MA</t>
  </si>
  <si>
    <t>B12001_011E</t>
  </si>
  <si>
    <t>Female, 15+ years</t>
  </si>
  <si>
    <t>B12001_011EA,B12001_011M,B12001_011MA</t>
  </si>
  <si>
    <t>B12001_012E</t>
  </si>
  <si>
    <t>Female, 15+ years: Never married</t>
  </si>
  <si>
    <t>Estimate: Total: Female: Never married</t>
  </si>
  <si>
    <t>B12001_012EA,B12001_012M,B12001_012MA</t>
  </si>
  <si>
    <t>B12001_013E</t>
  </si>
  <si>
    <t>Female, 15+ years: Now married</t>
  </si>
  <si>
    <t>Estimate: Total: Female: Now married</t>
  </si>
  <si>
    <t>B12001_013EA,B12001_013M,B12001_013MA</t>
  </si>
  <si>
    <t>B12001_014E</t>
  </si>
  <si>
    <t>Female, 15+ years: Now married: Married spouse present</t>
  </si>
  <si>
    <t>Estimate: Total: Female: Now married: Married spouse present</t>
  </si>
  <si>
    <t>B12001_014EA,B12001_014M,B12001_014MA</t>
  </si>
  <si>
    <t>B12001_015E</t>
  </si>
  <si>
    <t>Female, 15+ years: Now married: Married spouse absent</t>
  </si>
  <si>
    <t>Estimate: Total: Female: Now married: Married spouse absent</t>
  </si>
  <si>
    <t>B12001_015EA,B12001_015M,B12001_015MA</t>
  </si>
  <si>
    <t>B12001_016E</t>
  </si>
  <si>
    <t>Female, 15+ years: Now married: Married spouse absent: Separated</t>
  </si>
  <si>
    <t>Estimate: Total: Female: Now married: Married spouse absent: Separated</t>
  </si>
  <si>
    <t>B12001_016EA,B12001_016M,B12001_016MA</t>
  </si>
  <si>
    <t>B12001_017E</t>
  </si>
  <si>
    <t>Female, 15+ years: Now married: Married spouse absent: Other</t>
  </si>
  <si>
    <t>Estimate: Total: Female: Now married: Married spouse absent: Other</t>
  </si>
  <si>
    <t>B12001_017EA,B12001_017M,B12001_017MA</t>
  </si>
  <si>
    <t>B12001_018E</t>
  </si>
  <si>
    <t>Female, 15+ years: Widowed</t>
  </si>
  <si>
    <t>Estimate: Total: Female: Widowed</t>
  </si>
  <si>
    <t>B12001_018EA,B12001_018M,B12001_018MA</t>
  </si>
  <si>
    <t>B12001_019E</t>
  </si>
  <si>
    <t>Female, 15+ years: Divorced</t>
  </si>
  <si>
    <t>Estimate: Total: Female: Divorced</t>
  </si>
  <si>
    <t>B12001_019EA,B12001_019M,B12001_019MA</t>
  </si>
  <si>
    <t>B13</t>
  </si>
  <si>
    <t>B13002</t>
  </si>
  <si>
    <t>B13002_001E</t>
  </si>
  <si>
    <t>Women 15 to 50 years</t>
  </si>
  <si>
    <t>S05</t>
  </si>
  <si>
    <t>Fertility Characteristics</t>
  </si>
  <si>
    <t>WOMEN 15 TO 50 YEARS WHO HAD A BIRTH IN THE PAST 12 MONTHS BY MARITAL STATUS AND AGE</t>
  </si>
  <si>
    <t>B13002_001EA,B13002_001M,B13002_001MA</t>
  </si>
  <si>
    <t>B13002_002E</t>
  </si>
  <si>
    <t>Women who had a birth in the past 12 months</t>
  </si>
  <si>
    <t>Estimate: Total: Women who had a birth in the past 12 months</t>
  </si>
  <si>
    <t>B13002_002EA,B13002_002M,B13002_002MA</t>
  </si>
  <si>
    <t>B13002_003E</t>
  </si>
  <si>
    <t>Women who had a birth in the past 12 months: Now married including separated and spouse absent</t>
  </si>
  <si>
    <t>Estimate: Total: Women who had a birth in the past 12 months: Now married including separated and spouse absent</t>
  </si>
  <si>
    <t>B13002_003EA,B13002_003M,B13002_003MA</t>
  </si>
  <si>
    <t>B13002_004E</t>
  </si>
  <si>
    <t>Women who had a birth in the past 12 months: Now married including separated and spouse absent: 15 to 19 years old</t>
  </si>
  <si>
    <t>Estimate: Total: Women who had a birth in the past 12 months: Now married including separated and spouse absent: 15 to 19 years old</t>
  </si>
  <si>
    <t>B13002_004EA,B13002_004M,B13002_004MA</t>
  </si>
  <si>
    <t>B13002_005E</t>
  </si>
  <si>
    <t>Women who had a birth in the past 12 months: Now married including separated and spouse absent: 20 to 34 years old</t>
  </si>
  <si>
    <t>Estimate: Total: Women who had a birth in the past 12 months: Now married including separated and spouse absent: 20 to 34 years old</t>
  </si>
  <si>
    <t>B13002_005EA,B13002_005M,B13002_005MA</t>
  </si>
  <si>
    <t>B13002_006E</t>
  </si>
  <si>
    <t>Women who had a birth in the past 12 months: Now married including separated and spouse absent: 35 to 50 years old</t>
  </si>
  <si>
    <t>Estimate: Total: Women who had a birth in the past 12 months: Now married including separated and spouse absent: 35 to 50 years old</t>
  </si>
  <si>
    <t>B13002_006EA,B13002_006M,B13002_006MA</t>
  </si>
  <si>
    <t>B13002_007E</t>
  </si>
  <si>
    <t>Women who had a birth in the past 12 months: Unmarried never married widowed and divorced</t>
  </si>
  <si>
    <t>Estimate: Total: Women who had a birth in the past 12 months: Unmarried never married widowed and divorced</t>
  </si>
  <si>
    <t>B13002_007EA,B13002_007M,B13002_007MA</t>
  </si>
  <si>
    <t>B13002_008E</t>
  </si>
  <si>
    <t>Women who had a birth in the past 12 months: Unmarried never married widowed and divorced: 15 to 19 years old</t>
  </si>
  <si>
    <t>Estimate: Total: Women who had a birth in the past 12 months: Unmarried never married widowed and divorced: 15 to 19 years old</t>
  </si>
  <si>
    <t>B13002_008EA,B13002_008M,B13002_008MA</t>
  </si>
  <si>
    <t>B13002_009E</t>
  </si>
  <si>
    <t>Women who had a birth in the past 12 months: Unmarried never married widowed and divorced: 20 to 34 years old</t>
  </si>
  <si>
    <t>Estimate: Total: Women who had a birth in the past 12 months: Unmarried never married widowed and divorced: 20 to 34 years old</t>
  </si>
  <si>
    <t>B13002_009EA,B13002_009M,B13002_009MA</t>
  </si>
  <si>
    <t>B13002_010E</t>
  </si>
  <si>
    <t>Women who had a birth in the past 12 months: Unmarried never married widowed and divorced: 35 to 50 years old</t>
  </si>
  <si>
    <t>Estimate: Total: Women who had a birth in the past 12 months: Unmarried never married widowed and divorced: 35 to 50 years old</t>
  </si>
  <si>
    <t>B13002_010EA,B13002_010M,B13002_010MA</t>
  </si>
  <si>
    <t>B13002_011E</t>
  </si>
  <si>
    <t>Women who did not have a birth in the past 12 months</t>
  </si>
  <si>
    <t>Estimate: Total: Women who did not have a birth in the past 12 months</t>
  </si>
  <si>
    <t>B13002_011EA,B13002_011M,B13002_011MA</t>
  </si>
  <si>
    <t>B13002_012E</t>
  </si>
  <si>
    <t>Women who did not have a birth in the past 12 months: Now married including separated and spouse absent</t>
  </si>
  <si>
    <t>Estimate: Total: Women who did not have a birth in the past 12 months: Now married including separated and spouse absent</t>
  </si>
  <si>
    <t>B13002_012EA,B13002_012M,B13002_012MA</t>
  </si>
  <si>
    <t>B13002_013E</t>
  </si>
  <si>
    <t>Women who did not have a birth in the past 12 months: Now married including separated and spouse absent: 15 to 19 years old</t>
  </si>
  <si>
    <t>Estimate: Total: Women who did not have a birth in the past 12 months: Now married including separated and spouse absent: 15 to 19 years old</t>
  </si>
  <si>
    <t>B13002_013EA,B13002_013M,B13002_013MA</t>
  </si>
  <si>
    <t>B13002_014E</t>
  </si>
  <si>
    <t>Women who did not have a birth in the past 12 months: Now married including separated and spouse absent: 20 to 34 years old</t>
  </si>
  <si>
    <t>Estimate: Total: Women who did not have a birth in the past 12 months: Now married including separated and spouse absent: 20 to 34 years old</t>
  </si>
  <si>
    <t>B13002_014EA,B13002_014M,B13002_014MA</t>
  </si>
  <si>
    <t>B13002_015E</t>
  </si>
  <si>
    <t>Women who did not have a birth in the past 12 months: Now married including separated and spouse absent: 35 to 50 years old</t>
  </si>
  <si>
    <t>Estimate: Total: Women who did not have a birth in the past 12 months: Now married including separated and spouse absent: 35 to 50 years old</t>
  </si>
  <si>
    <t>B13002_015EA,B13002_015M,B13002_015MA</t>
  </si>
  <si>
    <t>B13002_016E</t>
  </si>
  <si>
    <t>Women who did not have a birth in the past 12 months: Unmarried never married widowed and divorced</t>
  </si>
  <si>
    <t>Estimate: Total: Women who did not have a birth in the past 12 months: Unmarried never married widowed and divorced</t>
  </si>
  <si>
    <t>B13002_016EA,B13002_016M,B13002_016MA</t>
  </si>
  <si>
    <t>B13002_017E</t>
  </si>
  <si>
    <t>Women who did not have a birth in the past 12 months: Unmarried never married widowed and divorced: 15 to 19 years old</t>
  </si>
  <si>
    <t>Estimate: Total: Women who did not have a birth in the past 12 months: Unmarried never married widowed and divorced: 15 to 19 years old</t>
  </si>
  <si>
    <t>B13002_017EA,B13002_017M,B13002_017MA</t>
  </si>
  <si>
    <t>B13002_018E</t>
  </si>
  <si>
    <t>Women who did not have a birth in the past 12 months: Unmarried never married widowed and divorced: 20 to 34 years old</t>
  </si>
  <si>
    <t>Estimate: Total: Women who did not have a birth in the past 12 months: Unmarried never married widowed and divorced: 20 to 34 years old</t>
  </si>
  <si>
    <t>B13002_018EA,B13002_018M,B13002_018MA</t>
  </si>
  <si>
    <t>B13002_019E</t>
  </si>
  <si>
    <t>Women who did not have a birth in the past 12 months: Unmarried never married widowed and divorced: 35 to 50 years old</t>
  </si>
  <si>
    <t>Estimate: Total: Women who did not have a birth in the past 12 months: Unmarried never married widowed and divorced: 35 to 50 years old</t>
  </si>
  <si>
    <t>B13002_019EA,B13002_019M,B13002_019MA</t>
  </si>
  <si>
    <t>B10</t>
  </si>
  <si>
    <t>B10002</t>
  </si>
  <si>
    <t>B10002_001E</t>
  </si>
  <si>
    <t>Grandchildren, under 18 years living with grandparent</t>
  </si>
  <si>
    <t>S06</t>
  </si>
  <si>
    <t>Grandparent Relationships</t>
  </si>
  <si>
    <t>GRANDCHILDREN UNDER 18 YEARS LIVING WITH A GRANDPARENT HOUSEHOLDER BY GRANDPARENT RESPONSIBILITY AND PRESENCE OF PARENT</t>
  </si>
  <si>
    <t>B10002_001EA,B10002_001M,B10002_001MA</t>
  </si>
  <si>
    <t>B10002_002E</t>
  </si>
  <si>
    <t>Grandparent householder responsible for own grandchildren under 18 years</t>
  </si>
  <si>
    <t>Estimate: Total: Grandparent householder responsible for own grandchildren under 18 years</t>
  </si>
  <si>
    <t>B10002_002EA,B10002_002M,B10002_002MA</t>
  </si>
  <si>
    <t>B10002_003E</t>
  </si>
  <si>
    <t>Grandparent householder responsible for own grandchildren under 18 years: Parent present</t>
  </si>
  <si>
    <t>Estimate: Total: Grandparent householder responsible for own grandchildren under 18 years: Parent present</t>
  </si>
  <si>
    <t>B10002_003EA,B10002_003M,B10002_003MA</t>
  </si>
  <si>
    <t>B10002_004E</t>
  </si>
  <si>
    <t>Grandparent householder responsible for own grandchildren under 18 years: No parent present</t>
  </si>
  <si>
    <t>Estimate: Total: Grandparent householder responsible for own grandchildren under 18 years: No parent present</t>
  </si>
  <si>
    <t>B10002_004EA,B10002_004M,B10002_004MA</t>
  </si>
  <si>
    <t>B10002_005E</t>
  </si>
  <si>
    <t>Grandparent householder not responsible for own grandchildren under 18 years</t>
  </si>
  <si>
    <t>Estimate: Total: Grandparent householder not responsible for own grandchildren under 18 years</t>
  </si>
  <si>
    <t>B10002_005EA,B10002_005M,B10002_005MA</t>
  </si>
  <si>
    <t>B10050</t>
  </si>
  <si>
    <t>B10050_001E</t>
  </si>
  <si>
    <t>Grandparents, 30+ years</t>
  </si>
  <si>
    <t>GRANDPARENTS LIVING WITH OWN GRANDCHILDREN UNDER 18 YEARS BY RESPONSIBILITY FOR OWN GRANDCHILDREN BY LENGTH OF TIME RESPONSIBLE FOR OWN GRANDCHILDREN FOR THE POPULATION 30 YEARS AND OVER</t>
  </si>
  <si>
    <t>B10050_001EA,B10050_001M,B10050_001MA</t>
  </si>
  <si>
    <t>B10050_002E</t>
  </si>
  <si>
    <t>Living with own grandchildren under 18 years</t>
  </si>
  <si>
    <t>Estimate: Total: Living with own grandchildren under 18 years</t>
  </si>
  <si>
    <t>B10050_002EA,B10050_002M,B10050_002MA</t>
  </si>
  <si>
    <t>B10050_003E</t>
  </si>
  <si>
    <t>Living with own grandchildren under 18 years: Grandparent responsible for own grandchildren under 18 years</t>
  </si>
  <si>
    <t>Estimate: Total: Living with own grandchildren under 18 years: Grandparent responsible for own grandchildren under 18 years</t>
  </si>
  <si>
    <t>B10050_003EA,B10050_003M,B10050_003MA</t>
  </si>
  <si>
    <t>B10050_004E</t>
  </si>
  <si>
    <t>Living with own grandchildren under 18 years: Grandparent responsible for own grandchildren under 18 years: Grandparent responsible less than 6 months</t>
  </si>
  <si>
    <t>Estimate: Total: Living with own grandchildren under 18 years: Grandparent responsible for own grandchildren under 18 years: Grandparent responsible less than 6 months</t>
  </si>
  <si>
    <t>B10050_004EA,B10050_004M,B10050_004MA</t>
  </si>
  <si>
    <t>B10050_005E</t>
  </si>
  <si>
    <t>Living with own grandchildren under 18 years: Grandparent responsible for own grandchildren under 18 years: Grandparent responsible 6 to 11 months</t>
  </si>
  <si>
    <t>Estimate: Total: Living with own grandchildren under 18 years: Grandparent responsible for own grandchildren under 18 years: Grandparent responsible 6 to 11 months</t>
  </si>
  <si>
    <t>B10050_005EA,B10050_005M,B10050_005MA</t>
  </si>
  <si>
    <t>B10050_006E</t>
  </si>
  <si>
    <t>Living with own grandchildren under 18 years: Grandparent responsible for own grandchildren under 18 years: Grandparent responsible 1 or 2 years</t>
  </si>
  <si>
    <t>Estimate: Total: Living with own grandchildren under 18 years: Grandparent responsible for own grandchildren under 18 years: Grandparent responsible 1 or 2 years</t>
  </si>
  <si>
    <t>B10050_006EA,B10050_006M,B10050_006MA</t>
  </si>
  <si>
    <t>B10050_007E</t>
  </si>
  <si>
    <t>Living with own grandchildren under 18 years: Grandparent responsible for own grandchildren under 18 years: Grandparent responsible 3 or 4 years</t>
  </si>
  <si>
    <t>Estimate: Total: Living with own grandchildren under 18 years: Grandparent responsible for own grandchildren under 18 years: Grandparent responsible 3 or 4 years</t>
  </si>
  <si>
    <t>B10050_007EA,B10050_007M,B10050_007MA</t>
  </si>
  <si>
    <t>B10050_008E</t>
  </si>
  <si>
    <t>Living with own grandchildren under 18 years: Grandparent responsible for own grandchildren under 18 years: Grandparent responsible 5 years or more</t>
  </si>
  <si>
    <t>Estimate: Total: Living with own grandchildren under 18 years: Grandparent responsible for own grandchildren under 18 years: Grandparent responsible 5 years or more</t>
  </si>
  <si>
    <t>B10050_008EA,B10050_008M,B10050_008MA</t>
  </si>
  <si>
    <t>B10050_009E</t>
  </si>
  <si>
    <t>Living with own grandchildren under 18 years: Grandparent not responsible for own grandchildren under 18 years</t>
  </si>
  <si>
    <t>Estimate: Total: Living with own grandchildren under 18 years: Grandparent not responsible for own grandchildren under 18 years</t>
  </si>
  <si>
    <t>B10050_009EA,B10050_009M,B10050_009MA</t>
  </si>
  <si>
    <t>B10050_010E</t>
  </si>
  <si>
    <t>Not living with own grandchildren under 18 years</t>
  </si>
  <si>
    <t>Estimate: Total: Not living with own grandchildren under 18 years</t>
  </si>
  <si>
    <t>B10050_010EA,B10050_010M,B10050_010MA</t>
  </si>
  <si>
    <t>B10056</t>
  </si>
  <si>
    <t>B10056_002E</t>
  </si>
  <si>
    <t>Male Grandparents Living With Own Grandchildren Under 18 Years</t>
  </si>
  <si>
    <t>SEX OF GRANDPARENTS LIVING WITH OWN GRANDCHILDREN UNDER 18 YEARS BY RESPONSIBILITY FOR OWN GRANDCHILDREN AND AGE OF GRANDPARENT</t>
  </si>
  <si>
    <t>B10056_002EA,B10056_002M,B10056_002MA</t>
  </si>
  <si>
    <t>B10056_003E</t>
  </si>
  <si>
    <t>Male: Grandparent responsible for own grandchildren under 18 years</t>
  </si>
  <si>
    <t>Estimate: Total: Male: Grandparent responsible for own grandchildren under 18 years</t>
  </si>
  <si>
    <t>B10056_003EA,B10056_003M,B10056_003MA</t>
  </si>
  <si>
    <t>B10056_006E</t>
  </si>
  <si>
    <t>Male: Grandparent not responsible for own grandchildren under 18 years</t>
  </si>
  <si>
    <t>Estimate: Total: Male: Grandparent not responsible for own grandchildren under 18 years</t>
  </si>
  <si>
    <t>B10056_006EA,B10056_006M,B10056_006MA</t>
  </si>
  <si>
    <t>B10056_007E</t>
  </si>
  <si>
    <t>Female Grandparents Living With Own Grandchildren Under 18 Years</t>
  </si>
  <si>
    <t>B10056_007EA,B10056_007M,B10056_007MA</t>
  </si>
  <si>
    <t>B10056_008E</t>
  </si>
  <si>
    <t>Female: Grandparent responsible for own grandchildren under 18 years</t>
  </si>
  <si>
    <t>Estimate: Total: Female: Grandparent responsible for own grandchildren under 18 years</t>
  </si>
  <si>
    <t>B10056_008EA,B10056_008M,B10056_008MA</t>
  </si>
  <si>
    <t>B10056_011E</t>
  </si>
  <si>
    <t>Female: Grandparent not responsible for own grandchildren under 18 years</t>
  </si>
  <si>
    <t>Estimate: Total: Female: Grandparent not responsible for own grandchildren under 18 years</t>
  </si>
  <si>
    <t>B10056_011EA,B10056_011M,B10056_011MA</t>
  </si>
  <si>
    <t>B10057</t>
  </si>
  <si>
    <t>B10057_008E</t>
  </si>
  <si>
    <t>Unmarried never married widowed and divorced: Grandparent responsible for own grandchildren under 18 years</t>
  </si>
  <si>
    <t>Estimate: Total: Unmarried never married widowed and divorced: Grandparent responsible for own grandchildren under 18 years</t>
  </si>
  <si>
    <t>MARITAL STATUS BY GRANDPARENTS LIVING WITH OWN GRANDCHILDREN UNDER 18 YEARS BY RESPONSIBILITY FOR OWN GRANDCHILDREN AND AGE OF GRANDPARENT</t>
  </si>
  <si>
    <t>B10057_008EA,B10057_008M,B10057_008MA</t>
  </si>
  <si>
    <t>B14</t>
  </si>
  <si>
    <t>B14001</t>
  </si>
  <si>
    <t>B14001_001E</t>
  </si>
  <si>
    <t>Population 3+ years</t>
  </si>
  <si>
    <t>S07</t>
  </si>
  <si>
    <t>School Enrollment</t>
  </si>
  <si>
    <t>SCHOOL ENROLLMENT BY LEVEL OF SCHOOL FOR THE POPULATION 3 YEARS AND OVER</t>
  </si>
  <si>
    <t>B14001_001EA,B14001_001M,B14001_001MA</t>
  </si>
  <si>
    <t>B14001_002E</t>
  </si>
  <si>
    <t>Enrolled in school</t>
  </si>
  <si>
    <t>Estimate: Total: Enrolled in school</t>
  </si>
  <si>
    <t>B14001_002EA,B14001_002M,B14001_002MA</t>
  </si>
  <si>
    <t>B14001_003E</t>
  </si>
  <si>
    <t>Enrolled in school: Enrolled in nursery school preschool</t>
  </si>
  <si>
    <t>Estimate: Total: Enrolled in school: Enrolled in nursery school preschool</t>
  </si>
  <si>
    <t>B14001_003EA,B14001_003M,B14001_003MA</t>
  </si>
  <si>
    <t>B14001_004E</t>
  </si>
  <si>
    <t>Enrolled in school: Enrolled in kindergarten</t>
  </si>
  <si>
    <t>Estimate: Total: Enrolled in school: Enrolled in kindergarten</t>
  </si>
  <si>
    <t>B14001_004EA,B14001_004M,B14001_004MA</t>
  </si>
  <si>
    <t>B14001_005E</t>
  </si>
  <si>
    <t>Enrolled in school: Enrolled in grade 1 to grade 4</t>
  </si>
  <si>
    <t>Estimate: Total: Enrolled in school: Enrolled in grade 1 to grade 4</t>
  </si>
  <si>
    <t>B14001_005EA,B14001_005M,B14001_005MA</t>
  </si>
  <si>
    <t>B14001_006E</t>
  </si>
  <si>
    <t>Enrolled in school: Enrolled in grade 5 to grade 8</t>
  </si>
  <si>
    <t>Estimate: Total: Enrolled in school: Enrolled in grade 5 to grade 8</t>
  </si>
  <si>
    <t>B14001_006EA,B14001_006M,B14001_006MA</t>
  </si>
  <si>
    <t>B14001_007E</t>
  </si>
  <si>
    <t>Enrolled in school: Enrolled in grade 9 to grade 12</t>
  </si>
  <si>
    <t>Estimate: Total: Enrolled in school: Enrolled in grade 9 to grade 12</t>
  </si>
  <si>
    <t>B14001_007EA,B14001_007M,B14001_007MA</t>
  </si>
  <si>
    <t>B14001_008E</t>
  </si>
  <si>
    <t>Enrolled in school: Enrolled in college undergraduate years</t>
  </si>
  <si>
    <t>Estimate: Total: Enrolled in school: Enrolled in college undergraduate years</t>
  </si>
  <si>
    <t>B14001_008EA,B14001_008M,B14001_008MA</t>
  </si>
  <si>
    <t>B14001_009E</t>
  </si>
  <si>
    <t>Enrolled in school: Graduate or professional school</t>
  </si>
  <si>
    <t>Estimate: Total: Enrolled in school: Graduate or professional school</t>
  </si>
  <si>
    <t>B14001_009EA,B14001_009M,B14001_009MA</t>
  </si>
  <si>
    <t>B14001_010E</t>
  </si>
  <si>
    <t>Not enrolled in school</t>
  </si>
  <si>
    <t>Estimate: Total: Not enrolled in school</t>
  </si>
  <si>
    <t>B14001_010EA,B14001_010M,B14001_010MA</t>
  </si>
  <si>
    <t>B14002</t>
  </si>
  <si>
    <t>B14002_002E</t>
  </si>
  <si>
    <t>Male, 3+ years</t>
  </si>
  <si>
    <t>SEX BY SCHOOL ENROLLMENT BY LEVEL OF SCHOOL BY TYPE OF SCHOOL FOR THE POPULATION 3 YEARS AND OVER</t>
  </si>
  <si>
    <t>B14002_002EA,B14002_002M,B14002_002MA</t>
  </si>
  <si>
    <t>B14002_003E</t>
  </si>
  <si>
    <t>Male: Enrolled in school</t>
  </si>
  <si>
    <t>Estimate: Total: Male: Enrolled in school</t>
  </si>
  <si>
    <t>B14002_003EA,B14002_003M,B14002_003MA</t>
  </si>
  <si>
    <t>B14002_004E</t>
  </si>
  <si>
    <t>Male: Enrolled in school: Enrolled in nursery school preschool</t>
  </si>
  <si>
    <t>Estimate: Total: Male: Enrolled in school: Enrolled in nursery school preschool</t>
  </si>
  <si>
    <t>B14002_004EA,B14002_004M,B14002_004MA</t>
  </si>
  <si>
    <t>B14002_005E</t>
  </si>
  <si>
    <t>Male: Enrolled in school: Enrolled in nursery school preschool: Public school</t>
  </si>
  <si>
    <t>Estimate: Total: Male: Enrolled in school: Enrolled in nursery school preschool: Public school</t>
  </si>
  <si>
    <t>B14002_005EA,B14002_005M,B14002_005MA</t>
  </si>
  <si>
    <t>B14002_006E</t>
  </si>
  <si>
    <t>Male: Enrolled in school: Enrolled in nursery school preschool: Private school</t>
  </si>
  <si>
    <t>Estimate: Total: Male: Enrolled in school: Enrolled in nursery school preschool: Private school</t>
  </si>
  <si>
    <t>B14002_006EA,B14002_006M,B14002_006MA</t>
  </si>
  <si>
    <t>B14002_007E</t>
  </si>
  <si>
    <t>Male: Enrolled in school: Enrolled in kindergarten</t>
  </si>
  <si>
    <t>Estimate: Total: Male: Enrolled in school: Enrolled in kindergarten</t>
  </si>
  <si>
    <t>B14002_007EA,B14002_007M,B14002_007MA</t>
  </si>
  <si>
    <t>B14002_008E</t>
  </si>
  <si>
    <t>Male: Enrolled in school: Enrolled in kindergarten: Public school</t>
  </si>
  <si>
    <t>Estimate: Total: Male: Enrolled in school: Enrolled in kindergarten: Public school</t>
  </si>
  <si>
    <t>B14002_008EA,B14002_008M,B14002_008MA</t>
  </si>
  <si>
    <t>B14002_009E</t>
  </si>
  <si>
    <t>Male: Enrolled in school: Enrolled in kindergarten: Private school</t>
  </si>
  <si>
    <t>Estimate: Total: Male: Enrolled in school: Enrolled in kindergarten: Private school</t>
  </si>
  <si>
    <t>B14002_009EA,B14002_009M,B14002_009MA</t>
  </si>
  <si>
    <t>B14002_010E</t>
  </si>
  <si>
    <t>Male: Enrolled in school: Enrolled in grade 1 to grade 4</t>
  </si>
  <si>
    <t>Estimate: Total: Male: Enrolled in school: Enrolled in grade 1 to grade 4</t>
  </si>
  <si>
    <t>B14002_010EA,B14002_010M,B14002_010MA</t>
  </si>
  <si>
    <t>B14002_011E</t>
  </si>
  <si>
    <t>Male: Enrolled in school: Enrolled in grade 1 to grade 4: Public school</t>
  </si>
  <si>
    <t>Estimate: Total: Male: Enrolled in school: Enrolled in grade 1 to grade 4: Public school</t>
  </si>
  <si>
    <t>B14002_011EA,B14002_011M,B14002_011MA</t>
  </si>
  <si>
    <t>B14002_012E</t>
  </si>
  <si>
    <t>Male: Enrolled in school: Enrolled in grade 1 to grade 4: Private school</t>
  </si>
  <si>
    <t>Estimate: Total: Male: Enrolled in school: Enrolled in grade 1 to grade 4: Private school</t>
  </si>
  <si>
    <t>B14002_012EA,B14002_012M,B14002_012MA</t>
  </si>
  <si>
    <t>B14002_013E</t>
  </si>
  <si>
    <t>Male: Enrolled in school: Enrolled in grade 5 to grade 8</t>
  </si>
  <si>
    <t>Estimate: Total: Male: Enrolled in school: Enrolled in grade 5 to grade 8</t>
  </si>
  <si>
    <t>B14002_013EA,B14002_013M,B14002_013MA</t>
  </si>
  <si>
    <t>B14002_014E</t>
  </si>
  <si>
    <t>Male: Enrolled in school: Enrolled in grade 5 to grade 8: Public school</t>
  </si>
  <si>
    <t>Estimate: Total: Male: Enrolled in school: Enrolled in grade 5 to grade 8: Public school</t>
  </si>
  <si>
    <t>B14002_014EA,B14002_014M,B14002_014MA</t>
  </si>
  <si>
    <t>B14002_015E</t>
  </si>
  <si>
    <t>Male: Enrolled in school: Enrolled in grade 5 to grade 8: Private school</t>
  </si>
  <si>
    <t>Estimate: Total: Male: Enrolled in school: Enrolled in grade 5 to grade 8: Private school</t>
  </si>
  <si>
    <t>B14002_015EA,B14002_015M,B14002_015MA</t>
  </si>
  <si>
    <t>B14002_016E</t>
  </si>
  <si>
    <t>Male: Enrolled in school: Enrolled in grade 9 to grade 12</t>
  </si>
  <si>
    <t>Estimate: Total: Male: Enrolled in school: Enrolled in grade 9 to grade 12</t>
  </si>
  <si>
    <t>B14002_016EA,B14002_016M,B14002_016MA</t>
  </si>
  <si>
    <t>B14002_017E</t>
  </si>
  <si>
    <t>Male: Enrolled in school: Enrolled in grade 9 to grade 12: Public school</t>
  </si>
  <si>
    <t>Estimate: Total: Male: Enrolled in school: Enrolled in grade 9 to grade 12: Public school</t>
  </si>
  <si>
    <t>B14002_017EA,B14002_017M,B14002_017MA</t>
  </si>
  <si>
    <t>B14002_018E</t>
  </si>
  <si>
    <t>Male: Enrolled in school: Enrolled in grade 9 to grade 12: Private school</t>
  </si>
  <si>
    <t>Estimate: Total: Male: Enrolled in school: Enrolled in grade 9 to grade 12: Private school</t>
  </si>
  <si>
    <t>B14002_018EA,B14002_018M,B14002_018MA</t>
  </si>
  <si>
    <t>B14002_019E</t>
  </si>
  <si>
    <t>Male: Enrolled in school: Enrolled in college undergraduate years</t>
  </si>
  <si>
    <t>Estimate: Total: Male: Enrolled in school: Enrolled in college undergraduate years</t>
  </si>
  <si>
    <t>B14002_019EA,B14002_019M,B14002_019MA</t>
  </si>
  <si>
    <t>B14002_020E</t>
  </si>
  <si>
    <t>Male: Enrolled in school: Enrolled in college undergraduate years: Public school</t>
  </si>
  <si>
    <t>Estimate: Total: Male: Enrolled in school: Enrolled in college undergraduate years: Public school</t>
  </si>
  <si>
    <t>B14002_020EA,B14002_020M,B14002_020MA</t>
  </si>
  <si>
    <t>B14002_021E</t>
  </si>
  <si>
    <t>Male: Enrolled in school: Enrolled in college undergraduate years: Private school</t>
  </si>
  <si>
    <t>Estimate: Total: Male: Enrolled in school: Enrolled in college undergraduate years: Private school</t>
  </si>
  <si>
    <t>B14002_021EA,B14002_021M,B14002_021MA</t>
  </si>
  <si>
    <t>B14002_022E</t>
  </si>
  <si>
    <t>Male: Enrolled in school: Enrolled in graduate or professional school</t>
  </si>
  <si>
    <t>Estimate: Total: Male: Enrolled in school: Enrolled in graduate or professional school</t>
  </si>
  <si>
    <t>B14002_022EA,B14002_022M,B14002_022MA</t>
  </si>
  <si>
    <t>B14002_023E</t>
  </si>
  <si>
    <t>Male: Enrolled in school: Enrolled in graduate or professional school: Public school</t>
  </si>
  <si>
    <t>Estimate: Total: Male: Enrolled in school: Enrolled in graduate or professional school: Public school</t>
  </si>
  <si>
    <t>B14002_023EA,B14002_023M,B14002_023MA</t>
  </si>
  <si>
    <t>B14002_024E</t>
  </si>
  <si>
    <t>Male: Enrolled in school: Enrolled in graduate or professional school: Private school</t>
  </si>
  <si>
    <t>Estimate: Total: Male: Enrolled in school: Enrolled in graduate or professional school: Private school</t>
  </si>
  <si>
    <t>B14002_024EA,B14002_024M,B14002_024MA</t>
  </si>
  <si>
    <t>B14002_025E</t>
  </si>
  <si>
    <t>Male: Not enrolled in school</t>
  </si>
  <si>
    <t>Estimate: Total: Male: Not enrolled in school</t>
  </si>
  <si>
    <t>B14002_025EA,B14002_025M,B14002_025MA</t>
  </si>
  <si>
    <t>B14002_026E</t>
  </si>
  <si>
    <t>Female, 3+ years</t>
  </si>
  <si>
    <t>B14002_026EA,B14002_026M,B14002_026MA</t>
  </si>
  <si>
    <t>B14002_027E</t>
  </si>
  <si>
    <t>Female: Enrolled in school</t>
  </si>
  <si>
    <t>Estimate: Total: Female: Enrolled in school</t>
  </si>
  <si>
    <t>B14002_027EA,B14002_027M,B14002_027MA</t>
  </si>
  <si>
    <t>B14002_028E</t>
  </si>
  <si>
    <t>Female: Enrolled in school: Enrolled in nursery school preschool</t>
  </si>
  <si>
    <t>Estimate: Total: Female: Enrolled in school: Enrolled in nursery school preschool</t>
  </si>
  <si>
    <t>B14002_028EA,B14002_028M,B14002_028MA</t>
  </si>
  <si>
    <t>B14002_029E</t>
  </si>
  <si>
    <t>Female: Enrolled in school: Enrolled in nursery school preschool: Public school</t>
  </si>
  <si>
    <t>Estimate: Total: Female: Enrolled in school: Enrolled in nursery school preschool: Public school</t>
  </si>
  <si>
    <t>B14002_029EA,B14002_029M,B14002_029MA</t>
  </si>
  <si>
    <t>B14002_030E</t>
  </si>
  <si>
    <t>Female: Enrolled in school: Enrolled in nursery school preschool: Private school</t>
  </si>
  <si>
    <t>Estimate: Total: Female: Enrolled in school: Enrolled in nursery school preschool: Private school</t>
  </si>
  <si>
    <t>B14002_030EA,B14002_030M,B14002_030MA</t>
  </si>
  <si>
    <t>B14002_031E</t>
  </si>
  <si>
    <t>Female: Enrolled in school: Enrolled in kindergarten</t>
  </si>
  <si>
    <t>Estimate: Total: Female: Enrolled in school: Enrolled in kindergarten</t>
  </si>
  <si>
    <t>B14002_031EA,B14002_031M,B14002_031MA</t>
  </si>
  <si>
    <t>B14002_032E</t>
  </si>
  <si>
    <t>Female: Enrolled in school: Enrolled in kindergarten: Public school</t>
  </si>
  <si>
    <t>Estimate: Total: Female: Enrolled in school: Enrolled in kindergarten: Public school</t>
  </si>
  <si>
    <t>B14002_032EA,B14002_032M,B14002_032MA</t>
  </si>
  <si>
    <t>B14002_033E</t>
  </si>
  <si>
    <t>Female: Enrolled in school: Enrolled in kindergarten: Private school</t>
  </si>
  <si>
    <t>Estimate: Total: Female: Enrolled in school: Enrolled in kindergarten: Private school</t>
  </si>
  <si>
    <t>B14002_033EA,B14002_033M,B14002_033MA</t>
  </si>
  <si>
    <t>B14002_034E</t>
  </si>
  <si>
    <t>Female: Enrolled in school: Enrolled in grade 1 to grade 4</t>
  </si>
  <si>
    <t>Estimate: Total: Female: Enrolled in school: Enrolled in grade 1 to grade 4</t>
  </si>
  <si>
    <t>B14002_034EA,B14002_034M,B14002_034MA</t>
  </si>
  <si>
    <t>B14002_035E</t>
  </si>
  <si>
    <t>Female: Enrolled in school: Enrolled in grade 1 to grade 4: Public school</t>
  </si>
  <si>
    <t>Estimate: Total: Female: Enrolled in school: Enrolled in grade 1 to grade 4: Public school</t>
  </si>
  <si>
    <t>B14002_035EA,B14002_035M,B14002_035MA</t>
  </si>
  <si>
    <t>B14002_036E</t>
  </si>
  <si>
    <t>Female: Enrolled in school: Enrolled in grade 1 to grade 4: Private school</t>
  </si>
  <si>
    <t>Estimate: Total: Female: Enrolled in school: Enrolled in grade 1 to grade 4: Private school</t>
  </si>
  <si>
    <t>B14002_036EA,B14002_036M,B14002_036MA</t>
  </si>
  <si>
    <t>B14002_037E</t>
  </si>
  <si>
    <t>Female: Enrolled in school: Enrolled in grade 5 to grade 8</t>
  </si>
  <si>
    <t>Estimate: Total: Female: Enrolled in school: Enrolled in grade 5 to grade 8</t>
  </si>
  <si>
    <t>B14002_037EA,B14002_037M,B14002_037MA</t>
  </si>
  <si>
    <t>B14002_038E</t>
  </si>
  <si>
    <t>Female: Enrolled in school: Enrolled in grade 5 to grade 8: Public school</t>
  </si>
  <si>
    <t>Estimate: Total: Female: Enrolled in school: Enrolled in grade 5 to grade 8: Public school</t>
  </si>
  <si>
    <t>B14002_038EA,B14002_038M,B14002_038MA</t>
  </si>
  <si>
    <t>B14002_039E</t>
  </si>
  <si>
    <t>Female: Enrolled in school: Enrolled in grade 5 to grade 8: Private school</t>
  </si>
  <si>
    <t>Estimate: Total: Female: Enrolled in school: Enrolled in grade 5 to grade 8: Private school</t>
  </si>
  <si>
    <t>B14002_039EA,B14002_039M,B14002_039MA</t>
  </si>
  <si>
    <t>B14002_040E</t>
  </si>
  <si>
    <t>Female: Enrolled in school: Enrolled in grade 9 to grade 12</t>
  </si>
  <si>
    <t>Estimate: Total: Female: Enrolled in school: Enrolled in grade 9 to grade 12</t>
  </si>
  <si>
    <t>B14002_040EA,B14002_040M,B14002_040MA</t>
  </si>
  <si>
    <t>B14002_041E</t>
  </si>
  <si>
    <t>Female: Enrolled in school: Enrolled in grade 9 to grade 12: Public school</t>
  </si>
  <si>
    <t>Estimate: Total: Female: Enrolled in school: Enrolled in grade 9 to grade 12: Public school</t>
  </si>
  <si>
    <t>B14002_041EA,B14002_041M,B14002_041MA</t>
  </si>
  <si>
    <t>B14002_042E</t>
  </si>
  <si>
    <t>Female: Enrolled in school: Enrolled in grade 9 to grade 12: Private school</t>
  </si>
  <si>
    <t>Estimate: Total: Female: Enrolled in school: Enrolled in grade 9 to grade 12: Private school</t>
  </si>
  <si>
    <t>B14002_042EA,B14002_042M,B14002_042MA</t>
  </si>
  <si>
    <t>B14002_043E</t>
  </si>
  <si>
    <t>Female: Enrolled in school: Enrolled in college undergraduate years</t>
  </si>
  <si>
    <t>Estimate: Total: Female: Enrolled in school: Enrolled in college undergraduate years</t>
  </si>
  <si>
    <t>B14002_043EA,B14002_043M,B14002_043MA</t>
  </si>
  <si>
    <t>B14002_044E</t>
  </si>
  <si>
    <t>Female: Enrolled in school: Enrolled in college undergraduate years: Public school</t>
  </si>
  <si>
    <t>Estimate: Total: Female: Enrolled in school: Enrolled in college undergraduate years: Public school</t>
  </si>
  <si>
    <t>B14002_044EA,B14002_044M,B14002_044MA</t>
  </si>
  <si>
    <t>B14002_045E</t>
  </si>
  <si>
    <t>Female: Enrolled in school: Enrolled in college undergraduate years: Private school</t>
  </si>
  <si>
    <t>Estimate: Total: Female: Enrolled in school: Enrolled in college undergraduate years: Private school</t>
  </si>
  <si>
    <t>B14002_045EA,B14002_045M,B14002_045MA</t>
  </si>
  <si>
    <t>B14002_046E</t>
  </si>
  <si>
    <t>Female: Enrolled in school: Enrolled in graduate or professional school</t>
  </si>
  <si>
    <t>Estimate: Total: Female: Enrolled in school: Enrolled in graduate or professional school</t>
  </si>
  <si>
    <t>B14002_046EA,B14002_046M,B14002_046MA</t>
  </si>
  <si>
    <t>B14002_047E</t>
  </si>
  <si>
    <t>Female: Enrolled in school: Enrolled in graduate or professional school: Public school</t>
  </si>
  <si>
    <t>Estimate: Total: Female: Enrolled in school: Enrolled in graduate or professional school: Public school</t>
  </si>
  <si>
    <t>B14002_047EA,B14002_047M,B14002_047MA</t>
  </si>
  <si>
    <t>B14002_048E</t>
  </si>
  <si>
    <t>Female: Enrolled in school: Enrolled in graduate or professional school: Private school</t>
  </si>
  <si>
    <t>Estimate: Total: Female: Enrolled in school: Enrolled in graduate or professional school: Private school</t>
  </si>
  <si>
    <t>B14002_048EA,B14002_048M,B14002_048MA</t>
  </si>
  <si>
    <t>B14002_049E</t>
  </si>
  <si>
    <t>Female: Not enrolled in school</t>
  </si>
  <si>
    <t>Estimate: Total: Female: Not enrolled in school</t>
  </si>
  <si>
    <t>B14002_049EA,B14002_049M,B14002_049MA</t>
  </si>
  <si>
    <t>B15</t>
  </si>
  <si>
    <t>B15002</t>
  </si>
  <si>
    <t>B15002_001E</t>
  </si>
  <si>
    <t>Population 25 Years and Over</t>
  </si>
  <si>
    <t>S08</t>
  </si>
  <si>
    <t>Educational Attainment</t>
  </si>
  <si>
    <t>SEX BY EDUCATIONAL ATTAINMENT FOR THE POPULATION 25 YEARS AND OVER</t>
  </si>
  <si>
    <t>B15002_001EA,B15002_001M,B15002_001MA</t>
  </si>
  <si>
    <t>B15002_002E</t>
  </si>
  <si>
    <t>Male, 25+ years</t>
  </si>
  <si>
    <t>B15002_002EA,B15002_002M,B15002_002MA</t>
  </si>
  <si>
    <t>B15002_003E</t>
  </si>
  <si>
    <t>Male: No schooling completed</t>
  </si>
  <si>
    <t>Estimate: Total: Male: No schooling completed</t>
  </si>
  <si>
    <t>B15002_003EA,B15002_003M,B15002_003MA</t>
  </si>
  <si>
    <t>B15002_004E</t>
  </si>
  <si>
    <t>Male: Nursery to 4th grade</t>
  </si>
  <si>
    <t>Estimate: Total: Male: Nursery to 4th grade</t>
  </si>
  <si>
    <t>B15002_004EA,B15002_004M,B15002_004MA</t>
  </si>
  <si>
    <t>B15002_005E</t>
  </si>
  <si>
    <t>Male: 5th and 6th grade</t>
  </si>
  <si>
    <t>Estimate: Total: Male: 5th and 6th grade</t>
  </si>
  <si>
    <t>B15002_005EA,B15002_005M,B15002_005MA</t>
  </si>
  <si>
    <t>B15002_006E</t>
  </si>
  <si>
    <t>Male: 7th and 8th grade</t>
  </si>
  <si>
    <t>Estimate: Total: Male: 7th and 8th grade</t>
  </si>
  <si>
    <t>B15002_006EA,B15002_006M,B15002_006MA</t>
  </si>
  <si>
    <t>B15002_007E</t>
  </si>
  <si>
    <t>Male: 9th grade</t>
  </si>
  <si>
    <t>Estimate: Total: Male: 9th grade</t>
  </si>
  <si>
    <t>B15002_007EA,B15002_007M,B15002_007MA</t>
  </si>
  <si>
    <t>B15002_008E</t>
  </si>
  <si>
    <t>Male: 10th grade</t>
  </si>
  <si>
    <t>Estimate: Total: Male: 10th grade</t>
  </si>
  <si>
    <t>B15002_008EA,B15002_008M,B15002_008MA</t>
  </si>
  <si>
    <t>B15002_009E</t>
  </si>
  <si>
    <t>Male: 11th grade</t>
  </si>
  <si>
    <t>Estimate: Total: Male: 11th grade</t>
  </si>
  <si>
    <t>B15002_009EA,B15002_009M,B15002_009MA</t>
  </si>
  <si>
    <t>B15002_010E</t>
  </si>
  <si>
    <t>Male: 12th grade no diploma</t>
  </si>
  <si>
    <t>Estimate: Total: Male: 12th grade no diploma</t>
  </si>
  <si>
    <t>B15002_010EA,B15002_010M,B15002_010MA</t>
  </si>
  <si>
    <t>2010, 2011, 2012</t>
  </si>
  <si>
    <t>B15002_011E</t>
  </si>
  <si>
    <t>Male: High school graduate GED or alternative</t>
  </si>
  <si>
    <t>Estimate: Total: Male: High school graduate GED or alternative</t>
  </si>
  <si>
    <t>B15002_011EA,B15002_011M,B15002_011MA</t>
  </si>
  <si>
    <t>2013, 2014, 2015, 2016, 2017, 2018, 2019, 2020, 2021, 2022, 2023, 2024</t>
  </si>
  <si>
    <t>Male: High school graduate includes equivalency</t>
  </si>
  <si>
    <t>Estimate: Total: Male: High school graduate includes equivalency</t>
  </si>
  <si>
    <t>B15002_012E</t>
  </si>
  <si>
    <t>Male: Some college less than 1 year</t>
  </si>
  <si>
    <t>Estimate: Total: Male: Some college less than 1 year</t>
  </si>
  <si>
    <t>B15002_012EA,B15002_012M,B15002_012MA</t>
  </si>
  <si>
    <t>B15002_013E</t>
  </si>
  <si>
    <t>Male: Some college 1 or more years no degree</t>
  </si>
  <si>
    <t>Estimate: Total: Male: Some college 1 or more years no degree</t>
  </si>
  <si>
    <t>B15002_013EA,B15002_013M,B15002_013MA</t>
  </si>
  <si>
    <t>B15002_014E</t>
  </si>
  <si>
    <t>Male: Associates degree</t>
  </si>
  <si>
    <t>Estimate: Total: Male: Associates degree</t>
  </si>
  <si>
    <t>B15002_014EA,B15002_014M,B15002_014MA</t>
  </si>
  <si>
    <t>B15002_015E</t>
  </si>
  <si>
    <t>Male: Bachelors degree</t>
  </si>
  <si>
    <t>Estimate: Total: Male: Bachelors degree</t>
  </si>
  <si>
    <t>B15002_015EA,B15002_015M,B15002_015MA</t>
  </si>
  <si>
    <t>B15002_016E</t>
  </si>
  <si>
    <t>Male: Masters degree</t>
  </si>
  <si>
    <t>Estimate: Total: Male: Masters degree</t>
  </si>
  <si>
    <t>B15002_016EA,B15002_016M,B15002_016MA</t>
  </si>
  <si>
    <t>B15002_017E</t>
  </si>
  <si>
    <t>Male: Professional school degree</t>
  </si>
  <si>
    <t>Estimate: Total: Male: Professional school degree</t>
  </si>
  <si>
    <t>B15002_017EA,B15002_017M,B15002_017MA</t>
  </si>
  <si>
    <t>B15002_018E</t>
  </si>
  <si>
    <t>Male: Doctorate degree</t>
  </si>
  <si>
    <t>Estimate: Total: Male: Doctorate degree</t>
  </si>
  <si>
    <t>B15002_018EA,B15002_018M,B15002_018MA</t>
  </si>
  <si>
    <t>B15002_019E</t>
  </si>
  <si>
    <t>Female, 25+ years</t>
  </si>
  <si>
    <t>B15002_019EA,B15002_019M,B15002_019MA</t>
  </si>
  <si>
    <t>B15002_020E</t>
  </si>
  <si>
    <t>Female: No schooling completed</t>
  </si>
  <si>
    <t>Estimate: Total: Female: No schooling completed</t>
  </si>
  <si>
    <t>B15002_020EA,B15002_020M,B15002_020MA</t>
  </si>
  <si>
    <t>B15002_021E</t>
  </si>
  <si>
    <t>Female: Nursery to 4th grade</t>
  </si>
  <si>
    <t>Estimate: Total: Female: Nursery to 4th grade</t>
  </si>
  <si>
    <t>B15002_021EA,B15002_021M,B15002_021MA</t>
  </si>
  <si>
    <t>B15002_022E</t>
  </si>
  <si>
    <t>Female: 5th and 6th grade</t>
  </si>
  <si>
    <t>Estimate: Total: Female: 5th and 6th grade</t>
  </si>
  <si>
    <t>B15002_022EA,B15002_022M,B15002_022MA</t>
  </si>
  <si>
    <t>B15002_023E</t>
  </si>
  <si>
    <t>Female: 7th and 8th grade</t>
  </si>
  <si>
    <t>Estimate: Total: Female: 7th and 8th grade</t>
  </si>
  <si>
    <t>B15002_023EA,B15002_023M,B15002_023MA</t>
  </si>
  <si>
    <t>B15002_024E</t>
  </si>
  <si>
    <t>Female: 9th grade</t>
  </si>
  <si>
    <t>Estimate: Total: Female: 9th grade</t>
  </si>
  <si>
    <t>B15002_024EA,B15002_024M,B15002_024MA</t>
  </si>
  <si>
    <t>B15002_025E</t>
  </si>
  <si>
    <t>Female: 10th grade</t>
  </si>
  <si>
    <t>Estimate: Total: Female: 10th grade</t>
  </si>
  <si>
    <t>B15002_025EA,B15002_025M,B15002_025MA</t>
  </si>
  <si>
    <t>B15002_026E</t>
  </si>
  <si>
    <t>Female: 11th grade</t>
  </si>
  <si>
    <t>Estimate: Total: Female: 11th grade</t>
  </si>
  <si>
    <t>B15002_026EA,B15002_026M,B15002_026MA</t>
  </si>
  <si>
    <t>B15002_027E</t>
  </si>
  <si>
    <t>Female: 12th grade no diploma</t>
  </si>
  <si>
    <t>Estimate: Total: Female: 12th grade no diploma</t>
  </si>
  <si>
    <t>B15002_027EA,B15002_027M,B15002_027MA</t>
  </si>
  <si>
    <t>B15002_028E</t>
  </si>
  <si>
    <t>Female: High school graduate GED or alternative</t>
  </si>
  <si>
    <t>Estimate: Total: Female: High school graduate GED or alternative</t>
  </si>
  <si>
    <t>B15002_028EA,B15002_028M,B15002_028MA</t>
  </si>
  <si>
    <t>Female: High school graduate includes equivalency</t>
  </si>
  <si>
    <t>Estimate: Total: Female: High school graduate includes equivalency</t>
  </si>
  <si>
    <t>B15002_029E</t>
  </si>
  <si>
    <t>Female: Some college less than 1 year</t>
  </si>
  <si>
    <t>Estimate: Total: Female: Some college less than 1 year</t>
  </si>
  <si>
    <t>B15002_029EA,B15002_029M,B15002_029MA</t>
  </si>
  <si>
    <t>B15002_030E</t>
  </si>
  <si>
    <t>Female: Some college 1 or more years no degree</t>
  </si>
  <si>
    <t>Estimate: Total: Female: Some college 1 or more years no degree</t>
  </si>
  <si>
    <t>B15002_030EA,B15002_030M,B15002_030MA</t>
  </si>
  <si>
    <t>B15002_031E</t>
  </si>
  <si>
    <t>Female: Associates degree</t>
  </si>
  <si>
    <t>Estimate: Total: Female: Associates degree</t>
  </si>
  <si>
    <t>B15002_031EA,B15002_031M,B15002_031MA</t>
  </si>
  <si>
    <t>B15002_032E</t>
  </si>
  <si>
    <t>Female: Bachelors degree</t>
  </si>
  <si>
    <t>Estimate: Total: Female: Bachelors degree</t>
  </si>
  <si>
    <t>B15002_032EA,B15002_032M,B15002_032MA</t>
  </si>
  <si>
    <t>B15002_033E</t>
  </si>
  <si>
    <t>Female: Masters degree</t>
  </si>
  <si>
    <t>Estimate: Total: Female: Masters degree</t>
  </si>
  <si>
    <t>B15002_033EA,B15002_033M,B15002_033MA</t>
  </si>
  <si>
    <t>B15002_034E</t>
  </si>
  <si>
    <t>Female: Professional school degree</t>
  </si>
  <si>
    <t>Estimate: Total: Female: Professional school degree</t>
  </si>
  <si>
    <t>B15002_034EA,B15002_034M,B15002_034MA</t>
  </si>
  <si>
    <t>B15002_035E</t>
  </si>
  <si>
    <t>Female: Doctorate degree</t>
  </si>
  <si>
    <t>Estimate: Total: Female: Doctorate degree</t>
  </si>
  <si>
    <t>B15002_035EA,B15002_035M,B15002_035MA</t>
  </si>
  <si>
    <t>B15003</t>
  </si>
  <si>
    <t>B15003_002E</t>
  </si>
  <si>
    <t>No schooling completed</t>
  </si>
  <si>
    <t>Estimate: Total: No schooling completed</t>
  </si>
  <si>
    <t>EDUCATIONAL ATTAINMENT FOR THE POPULATION 25 YEARS AND OVER</t>
  </si>
  <si>
    <t>B15003_002EA,B15003_002M,B15003_002MA</t>
  </si>
  <si>
    <t>B15003_003E</t>
  </si>
  <si>
    <t>Nursery school</t>
  </si>
  <si>
    <t>Estimate: Total: Nursery school</t>
  </si>
  <si>
    <t>B15003_003EA,B15003_003M,B15003_003MA</t>
  </si>
  <si>
    <t>B15003_004E</t>
  </si>
  <si>
    <t>Kindergarten</t>
  </si>
  <si>
    <t>Estimate: Total: Kindergarten</t>
  </si>
  <si>
    <t>B15003_004EA,B15003_004M,B15003_004MA</t>
  </si>
  <si>
    <t>B15003_005E</t>
  </si>
  <si>
    <t>1st grade</t>
  </si>
  <si>
    <t>Estimate: Total: 1st grade</t>
  </si>
  <si>
    <t>B15003_005EA,B15003_005M,B15003_005MA</t>
  </si>
  <si>
    <t>B15003_006E</t>
  </si>
  <si>
    <t>2nd grade</t>
  </si>
  <si>
    <t>Estimate: Total: 2nd grade</t>
  </si>
  <si>
    <t>B15003_006EA,B15003_006M,B15003_006MA</t>
  </si>
  <si>
    <t>B15003_007E</t>
  </si>
  <si>
    <t>3rd grade</t>
  </si>
  <si>
    <t>Estimate: Total: 3rd grade</t>
  </si>
  <si>
    <t>B15003_007EA,B15003_007M,B15003_007MA</t>
  </si>
  <si>
    <t>B15003_008E</t>
  </si>
  <si>
    <t>4th grade</t>
  </si>
  <si>
    <t>Estimate: Total: 4th grade</t>
  </si>
  <si>
    <t>B15003_008EA,B15003_008M,B15003_008MA</t>
  </si>
  <si>
    <t>B15003_009E</t>
  </si>
  <si>
    <t>5th grade</t>
  </si>
  <si>
    <t>Estimate: Total: 5th grade</t>
  </si>
  <si>
    <t>B15003_009EA,B15003_009M,B15003_009MA</t>
  </si>
  <si>
    <t>B15003_010E</t>
  </si>
  <si>
    <t>6th grade</t>
  </si>
  <si>
    <t>Estimate: Total: 6th grade</t>
  </si>
  <si>
    <t>B15003_010EA,B15003_010M,B15003_010MA</t>
  </si>
  <si>
    <t>B15003_011E</t>
  </si>
  <si>
    <t>7th grade</t>
  </si>
  <si>
    <t>Estimate: Total: 7th grade</t>
  </si>
  <si>
    <t>B15003_011EA,B15003_011M,B15003_011MA</t>
  </si>
  <si>
    <t>B15003_012E</t>
  </si>
  <si>
    <t>8th grade</t>
  </si>
  <si>
    <t>Estimate: Total: 8th grade</t>
  </si>
  <si>
    <t>B15003_012EA,B15003_012M,B15003_012MA</t>
  </si>
  <si>
    <t>B15003_013E</t>
  </si>
  <si>
    <t>9th grade</t>
  </si>
  <si>
    <t>Estimate: Total: 9th grade</t>
  </si>
  <si>
    <t>B15003_013EA,B15003_013M,B15003_013MA</t>
  </si>
  <si>
    <t>B15003_014E</t>
  </si>
  <si>
    <t>10th grade</t>
  </si>
  <si>
    <t>Estimate: Total: 10th grade</t>
  </si>
  <si>
    <t>B15003_014EA,B15003_014M,B15003_014MA</t>
  </si>
  <si>
    <t>B15003_015E</t>
  </si>
  <si>
    <t>11th grade</t>
  </si>
  <si>
    <t>Estimate: Total: 11th grade</t>
  </si>
  <si>
    <t>B15003_015EA,B15003_015M,B15003_015MA</t>
  </si>
  <si>
    <t>B15003_016E</t>
  </si>
  <si>
    <t>12th grade no diploma</t>
  </si>
  <si>
    <t>Estimate: Total: 12th grade no diploma</t>
  </si>
  <si>
    <t>B15003_016EA,B15003_016M,B15003_016MA</t>
  </si>
  <si>
    <t>B15003_017E</t>
  </si>
  <si>
    <t>Regular high school diploma</t>
  </si>
  <si>
    <t>Estimate: Total: Regular high school diploma</t>
  </si>
  <si>
    <t>B15003_017EA,B15003_017M,B15003_017MA</t>
  </si>
  <si>
    <t>B15003_018E</t>
  </si>
  <si>
    <t>GED or alternative credential</t>
  </si>
  <si>
    <t>Estimate: Total: GED or alternative credential</t>
  </si>
  <si>
    <t>B15003_018EA,B15003_018M,B15003_018MA</t>
  </si>
  <si>
    <t>B15003_019E</t>
  </si>
  <si>
    <t>Some college less than 1 year</t>
  </si>
  <si>
    <t>Estimate: Total: Some college less than 1 year</t>
  </si>
  <si>
    <t>B15003_019EA,B15003_019M,B15003_019MA</t>
  </si>
  <si>
    <t>B15003_020E</t>
  </si>
  <si>
    <t>Some college 1 or more years no degree</t>
  </si>
  <si>
    <t>Estimate: Total: Some college 1 or more years no degree</t>
  </si>
  <si>
    <t>B15003_020EA,B15003_020M,B15003_020MA</t>
  </si>
  <si>
    <t>B15003_021E</t>
  </si>
  <si>
    <t>Associates degree</t>
  </si>
  <si>
    <t>Estimate: Total: Associates degree</t>
  </si>
  <si>
    <t>B15003_021EA,B15003_021M,B15003_021MA</t>
  </si>
  <si>
    <t>B15003_022E</t>
  </si>
  <si>
    <t>Bachelors degree</t>
  </si>
  <si>
    <t>Estimate: Total: Bachelors degree</t>
  </si>
  <si>
    <t>B15003_022EA,B15003_022M,B15003_022MA</t>
  </si>
  <si>
    <t>B15003_023E</t>
  </si>
  <si>
    <t>Masters degree</t>
  </si>
  <si>
    <t>Estimate: Total: Masters degree</t>
  </si>
  <si>
    <t>B15003_023EA,B15003_023M,B15003_023MA</t>
  </si>
  <si>
    <t>B15003_024E</t>
  </si>
  <si>
    <t>Professional school degree</t>
  </si>
  <si>
    <t>Estimate: Total: Professional school degree</t>
  </si>
  <si>
    <t>B15003_024EA,B15003_024M,B15003_024MA</t>
  </si>
  <si>
    <t>B15003_025E</t>
  </si>
  <si>
    <t>Doctorate degree</t>
  </si>
  <si>
    <t>Estimate: Total: Doctorate degree</t>
  </si>
  <si>
    <t>B15003_025EA,B15003_025M,B15003_025MA</t>
  </si>
  <si>
    <t>B21</t>
  </si>
  <si>
    <t>B21001</t>
  </si>
  <si>
    <t>B21001_001E</t>
  </si>
  <si>
    <t>Civilian Population 18+ years</t>
  </si>
  <si>
    <t>S09</t>
  </si>
  <si>
    <t>Veteran Status</t>
  </si>
  <si>
    <t>SEX BY AGE BY VETERAN STATUS FOR THE CIVILIAN POPULATION 18 YEARS AND OVER</t>
  </si>
  <si>
    <t>B21001_001EA,B21001_001M,B21001_001MA</t>
  </si>
  <si>
    <t>B21001_002E</t>
  </si>
  <si>
    <t>Veteran</t>
  </si>
  <si>
    <t>Estimate: Total: Veteran</t>
  </si>
  <si>
    <t>B21001_002EA,B21001_002M,B21001_002MA</t>
  </si>
  <si>
    <t>B21001_003E</t>
  </si>
  <si>
    <t>Non-veteran</t>
  </si>
  <si>
    <t>Estimate: Total: Nonveteran</t>
  </si>
  <si>
    <t>B21001_003EA,B21001_003M,B21001_003MA</t>
  </si>
  <si>
    <t>B21001_005E</t>
  </si>
  <si>
    <t>Male: Veteran</t>
  </si>
  <si>
    <t>Estimate: Total: Male: Veteran</t>
  </si>
  <si>
    <t>B21001_005EA,B21001_005M,B21001_005MA</t>
  </si>
  <si>
    <t>B21001_006E</t>
  </si>
  <si>
    <t>Male: Non-veteran</t>
  </si>
  <si>
    <t>Estimate: Total: Male: Nonveteran</t>
  </si>
  <si>
    <t>B21001_006EA,B21001_006M,B21001_006MA</t>
  </si>
  <si>
    <t>B21001_023E</t>
  </si>
  <si>
    <t>Female: Veteran</t>
  </si>
  <si>
    <t>Estimate: Total: Female: Veteran</t>
  </si>
  <si>
    <t>B21001_023EA,B21001_023M,B21001_023MA</t>
  </si>
  <si>
    <t>B21001_024E</t>
  </si>
  <si>
    <t>Female: Non-veteran</t>
  </si>
  <si>
    <t>Estimate: Total: Female: Nonveteran</t>
  </si>
  <si>
    <t>B21001_024EA,B21001_024M,B21001_024MA</t>
  </si>
  <si>
    <t>B21100</t>
  </si>
  <si>
    <t>B21100_001E</t>
  </si>
  <si>
    <t>Civilian veterans 18+ years</t>
  </si>
  <si>
    <t>S10</t>
  </si>
  <si>
    <t>Veteran Disability</t>
  </si>
  <si>
    <t>SERVICE-CONNECTED DISABILITY-RATING STATUS AND RATINGS FOR CIVILIAN VETERANS 18 YEARS AND OVER</t>
  </si>
  <si>
    <t>B21100_001EA,B21100_001M,B21100_001MA</t>
  </si>
  <si>
    <t>B21100_002E</t>
  </si>
  <si>
    <t>Has no service-connected disability rating</t>
  </si>
  <si>
    <t>Estimate: Total: Has no service-connected disability rating</t>
  </si>
  <si>
    <t>B21100_002EA,B21100_002M,B21100_002MA</t>
  </si>
  <si>
    <t>B21100_003E</t>
  </si>
  <si>
    <t>Has a service-connected disability rating</t>
  </si>
  <si>
    <t>Estimate: Total: Has a service-connected disability rating</t>
  </si>
  <si>
    <t>B21100_003EA,B21100_003M,B21100_003MA</t>
  </si>
  <si>
    <t>B21100_004E</t>
  </si>
  <si>
    <t>Has a service-connected disability rating: 0 percent</t>
  </si>
  <si>
    <t>Estimate: Total: Has a service-connected disability rating: 0 percent</t>
  </si>
  <si>
    <t>B21100_004EA,B21100_004M,B21100_004MA</t>
  </si>
  <si>
    <t>B21100_005E</t>
  </si>
  <si>
    <t>Has a service-connected disability rating: 10 or 20 percent</t>
  </si>
  <si>
    <t>Estimate: Total: Has a service-connected disability rating: 10 or 20 percent</t>
  </si>
  <si>
    <t>B21100_005EA,B21100_005M,B21100_005MA</t>
  </si>
  <si>
    <t>B21100_006E</t>
  </si>
  <si>
    <t>Has a service-connected disability rating: 30 or 40 percent</t>
  </si>
  <si>
    <t>Estimate: Total: Has a service-connected disability rating: 30 or 40 percent</t>
  </si>
  <si>
    <t>B21100_006EA,B21100_006M,B21100_006MA</t>
  </si>
  <si>
    <t>B21100_007E</t>
  </si>
  <si>
    <t>Has a service-connected disability rating: 50 or 60 percent</t>
  </si>
  <si>
    <t>Estimate: Total: Has a service-connected disability rating: 50 or 60 percent</t>
  </si>
  <si>
    <t>B21100_007EA,B21100_007M,B21100_007MA</t>
  </si>
  <si>
    <t>B21100_008E</t>
  </si>
  <si>
    <t>Has a service-connected disability rating: 70 percent or higher</t>
  </si>
  <si>
    <t>Estimate: Total: Has a service-connected disability rating: 70 percent or higher</t>
  </si>
  <si>
    <t>B21100_008EA,B21100_008M,B21100_008MA</t>
  </si>
  <si>
    <t>B21100_009E</t>
  </si>
  <si>
    <t>Has a service-connected disability rating: Rating not reported</t>
  </si>
  <si>
    <t>Estimate: Total: Has a service-connected disability rating: Rating not reported</t>
  </si>
  <si>
    <t>B21100_009EA,B21100_009M,B21100_009MA</t>
  </si>
  <si>
    <t>B18</t>
  </si>
  <si>
    <t>B18140</t>
  </si>
  <si>
    <t>B18140_002E</t>
  </si>
  <si>
    <t>With a disability</t>
  </si>
  <si>
    <t>S11</t>
  </si>
  <si>
    <t>Disability Status and Type</t>
  </si>
  <si>
    <t>Estimate: Total: With a disability</t>
  </si>
  <si>
    <t>MEDIAN EARNINGS IN THE PAST 12 MONTHS (IN 2012 INFLATION-ADJUSTED DOLLARS) BY DISABILITY STATUS BY SEX FOR THE CIVILIAN NONINSTITUTIONALIZED POPULATION 16 YEARS AND OVER WITH EARNINGS</t>
  </si>
  <si>
    <t>B18140_002EA,B18140_002M,B18140_002MA</t>
  </si>
  <si>
    <t>B18140_003E</t>
  </si>
  <si>
    <t>With a disability: Male</t>
  </si>
  <si>
    <t>Estimate: Total: With a disability: Male</t>
  </si>
  <si>
    <t>B18140_003EA,B18140_003M,B18140_003MA</t>
  </si>
  <si>
    <t>B18140_004E</t>
  </si>
  <si>
    <t>With a disability: Female</t>
  </si>
  <si>
    <t>Estimate: Total: With a disability: Female</t>
  </si>
  <si>
    <t>B18140_004EA,B18140_004M,B18140_004MA</t>
  </si>
  <si>
    <t>B18140_005E</t>
  </si>
  <si>
    <t>No disability</t>
  </si>
  <si>
    <t>Estimate: Total: No disability</t>
  </si>
  <si>
    <t>B18140_005EA,B18140_005M,B18140_005MA</t>
  </si>
  <si>
    <t>B18140_006E</t>
  </si>
  <si>
    <t>No disability: Male</t>
  </si>
  <si>
    <t>Estimate: Total: No disability: Male</t>
  </si>
  <si>
    <t>B18140_006EA,B18140_006M,B18140_006MA</t>
  </si>
  <si>
    <t>B18140_007E</t>
  </si>
  <si>
    <t>No disability: Female</t>
  </si>
  <si>
    <t>Estimate: Total: No disability: Female</t>
  </si>
  <si>
    <t>B18140_007EA,B18140_007M,B18140_007MA</t>
  </si>
  <si>
    <t>B18101</t>
  </si>
  <si>
    <t>B18101_004E</t>
  </si>
  <si>
    <t>Male: Under 5 years: With a disability</t>
  </si>
  <si>
    <t>Estimate: Total: Male: Under 5 years: With a disability</t>
  </si>
  <si>
    <t>SEX BY AGE BY DISABILITY STATUS</t>
  </si>
  <si>
    <t>B18101_004EA,B18101_004M,B18101_004MA</t>
  </si>
  <si>
    <t>B18101_007E</t>
  </si>
  <si>
    <t>Male: 5 to 17 years: With a disability</t>
  </si>
  <si>
    <t>Estimate: Total: Male: 5 to 17 years: With a disability</t>
  </si>
  <si>
    <t>B18101_007EA,B18101_007M,B18101_007MA</t>
  </si>
  <si>
    <t>B18101_010E</t>
  </si>
  <si>
    <t>Male: 18 to 34 years: With a disability</t>
  </si>
  <si>
    <t>Estimate: Total: Male: 18 to 34 years: With a disability</t>
  </si>
  <si>
    <t>B18101_010EA,B18101_010M,B18101_010MA</t>
  </si>
  <si>
    <t>B18101_013E</t>
  </si>
  <si>
    <t>Male: 35 to 64 years: With a disability</t>
  </si>
  <si>
    <t>Estimate: Total: Male: 35 to 64 years: With a disability</t>
  </si>
  <si>
    <t>B18101_013EA,B18101_013M,B18101_013MA</t>
  </si>
  <si>
    <t>B18101_016E</t>
  </si>
  <si>
    <t>Male: 65 to 74 years: With a disability</t>
  </si>
  <si>
    <t>Estimate: Total: Male: 65 to 74 years: With a disability</t>
  </si>
  <si>
    <t>B18101_016EA,B18101_016M,B18101_016MA</t>
  </si>
  <si>
    <t>B18101_019E</t>
  </si>
  <si>
    <t>Male: 75 years and over: With a disability</t>
  </si>
  <si>
    <t>Estimate: Total: Male: 75 years and over: With a disability</t>
  </si>
  <si>
    <t>B18101_019EA,B18101_019M,B18101_019MA</t>
  </si>
  <si>
    <t>B18101_023E</t>
  </si>
  <si>
    <t>Female: Under 5 years: With a disability</t>
  </si>
  <si>
    <t>Estimate: Total: Female: Under 5 years: With a disability</t>
  </si>
  <si>
    <t>B18101_023EA,B18101_023M,B18101_023MA</t>
  </si>
  <si>
    <t>B18101_026E</t>
  </si>
  <si>
    <t>Female: 5 to 17 years: With a disability</t>
  </si>
  <si>
    <t>Estimate: Total: Female: 5 to 17 years: With a disability</t>
  </si>
  <si>
    <t>B18101_026EA,B18101_026M,B18101_026MA</t>
  </si>
  <si>
    <t>B18101_029E</t>
  </si>
  <si>
    <t>Female: 18 to 34 years: With a disability</t>
  </si>
  <si>
    <t>Estimate: Total: Female: 18 to 34 years: With a disability</t>
  </si>
  <si>
    <t>B18101_029EA,B18101_029M,B18101_029MA</t>
  </si>
  <si>
    <t>B18101_032E</t>
  </si>
  <si>
    <t>Female: 35 to 64 years: With a disability</t>
  </si>
  <si>
    <t>Estimate: Total: Female: 35 to 64 years: With a disability</t>
  </si>
  <si>
    <t>B18101_032EA,B18101_032M,B18101_032MA</t>
  </si>
  <si>
    <t>B18101_035E</t>
  </si>
  <si>
    <t>Female: 65 to 74 years: With a disability</t>
  </si>
  <si>
    <t>Estimate: Total: Female: 65 to 74 years: With a disability</t>
  </si>
  <si>
    <t>B18101_035EA,B18101_035M,B18101_035MA</t>
  </si>
  <si>
    <t>B18101_038E</t>
  </si>
  <si>
    <t>Female: 75 years and over: With a disability</t>
  </si>
  <si>
    <t>Estimate: Total: Female: 75 years and over: With a disability</t>
  </si>
  <si>
    <t>B18101_038EA,B18101_038M,B18101_038MA</t>
  </si>
  <si>
    <t>B18102</t>
  </si>
  <si>
    <t>B18102_004E</t>
  </si>
  <si>
    <t>Male: Under 5 years: With a hearing difficulty</t>
  </si>
  <si>
    <t>Estimate: Total: Male: Under 5 years: With a hearing difficulty</t>
  </si>
  <si>
    <t>SEX BY AGE BY HEARING DIFFICULTY</t>
  </si>
  <si>
    <t>B18102_004EA,B18102_004M,B18102_004MA</t>
  </si>
  <si>
    <t>B18102_007E</t>
  </si>
  <si>
    <t>Male: 5 to 17 years: With a hearing difficulty</t>
  </si>
  <si>
    <t>Estimate: Total: Male: 5 to 17 years: With a hearing difficulty</t>
  </si>
  <si>
    <t>B18102_007EA,B18102_007M,B18102_007MA</t>
  </si>
  <si>
    <t>B18102_010E</t>
  </si>
  <si>
    <t>Male: 18 to 34 years: With a hearing difficulty</t>
  </si>
  <si>
    <t>Estimate: Total: Male: 18 to 34 years: With a hearing difficulty</t>
  </si>
  <si>
    <t>B18102_010EA,B18102_010M,B18102_010MA</t>
  </si>
  <si>
    <t>B18102_013E</t>
  </si>
  <si>
    <t>Male: 35 to 64 years: With a hearing difficulty</t>
  </si>
  <si>
    <t>Estimate: Total: Male: 35 to 64 years: With a hearing difficulty</t>
  </si>
  <si>
    <t>B18102_013EA,B18102_013M,B18102_013MA</t>
  </si>
  <si>
    <t>B18102_016E</t>
  </si>
  <si>
    <t>Male: 65 to 74 years: With a hearing difficulty</t>
  </si>
  <si>
    <t>Estimate: Total: Male: 65 to 74 years: With a hearing difficulty</t>
  </si>
  <si>
    <t>B18102_016EA,B18102_016M,B18102_016MA</t>
  </si>
  <si>
    <t>B18102_019E</t>
  </si>
  <si>
    <t>Male: 75 years and over: With a hearing difficulty</t>
  </si>
  <si>
    <t>Estimate: Total: Male: 75 years and over: With a hearing difficulty</t>
  </si>
  <si>
    <t>B18102_019EA,B18102_019M,B18102_019MA</t>
  </si>
  <si>
    <t>B18102_023E</t>
  </si>
  <si>
    <t>Female: Under 5 years: With a hearing difficulty</t>
  </si>
  <si>
    <t>Estimate: Total: Female: Under 5 years: With a hearing difficulty</t>
  </si>
  <si>
    <t>B18102_023EA,B18102_023M,B18102_023MA</t>
  </si>
  <si>
    <t>B18102_026E</t>
  </si>
  <si>
    <t>Female: 5 to 17 years: With a hearing difficulty</t>
  </si>
  <si>
    <t>Estimate: Total: Female: 5 to 17 years: With a hearing difficulty</t>
  </si>
  <si>
    <t>B18102_026EA,B18102_026M,B18102_026MA</t>
  </si>
  <si>
    <t>B18102_029E</t>
  </si>
  <si>
    <t>Female: 18 to 34 years: With a hearing difficulty</t>
  </si>
  <si>
    <t>Estimate: Total: Female: 18 to 34 years: With a hearing difficulty</t>
  </si>
  <si>
    <t>B18102_029EA,B18102_029M,B18102_029MA</t>
  </si>
  <si>
    <t>B18102_032E</t>
  </si>
  <si>
    <t>Female: 35 to 64 years: With a hearing difficulty</t>
  </si>
  <si>
    <t>Estimate: Total: Female: 35 to 64 years: With a hearing difficulty</t>
  </si>
  <si>
    <t>B18102_032EA,B18102_032M,B18102_032MA</t>
  </si>
  <si>
    <t>B18102_035E</t>
  </si>
  <si>
    <t>Female: 65 to 74 years: With a hearing difficulty</t>
  </si>
  <si>
    <t>Estimate: Total: Female: 65 to 74 years: With a hearing difficulty</t>
  </si>
  <si>
    <t>B18102_035EA,B18102_035M,B18102_035MA</t>
  </si>
  <si>
    <t>B18102_038E</t>
  </si>
  <si>
    <t>Female: 75 years and over: With a hearing difficulty</t>
  </si>
  <si>
    <t>Estimate: Total: Female: 75 years and over: With a hearing difficulty</t>
  </si>
  <si>
    <t>B18102_038EA,B18102_038M,B18102_038MA</t>
  </si>
  <si>
    <t>B18103</t>
  </si>
  <si>
    <t>B18103_004E</t>
  </si>
  <si>
    <t>Male: Under 5 years: With a vision difficulty</t>
  </si>
  <si>
    <t>Estimate: Total: Male: Under 5 years: With a vision difficulty</t>
  </si>
  <si>
    <t>SEX BY AGE BY VISION DIFFICULTY</t>
  </si>
  <si>
    <t>B18103_004EA,B18103_004M,B18103_004MA</t>
  </si>
  <si>
    <t>B18103_007E</t>
  </si>
  <si>
    <t>Male: 5 to 17 years: With a vision difficulty</t>
  </si>
  <si>
    <t>Estimate: Total: Male: 5 to 17 years: With a vision difficulty</t>
  </si>
  <si>
    <t>B18103_007EA,B18103_007M,B18103_007MA</t>
  </si>
  <si>
    <t>B18103_010E</t>
  </si>
  <si>
    <t>Male: 18 to 34 years: With a vision difficulty</t>
  </si>
  <si>
    <t>Estimate: Total: Male: 18 to 34 years: With a vision difficulty</t>
  </si>
  <si>
    <t>B18103_010EA,B18103_010M,B18103_010MA</t>
  </si>
  <si>
    <t>B18103_013E</t>
  </si>
  <si>
    <t>Male: 35 to 64 years: With a vision difficulty</t>
  </si>
  <si>
    <t>Estimate: Total: Male: 35 to 64 years: With a vision difficulty</t>
  </si>
  <si>
    <t>B18103_013EA,B18103_013M,B18103_013MA</t>
  </si>
  <si>
    <t>B18103_016E</t>
  </si>
  <si>
    <t>Male: 65 to 74 years: With a vision difficulty</t>
  </si>
  <si>
    <t>Estimate: Total: Male: 65 to 74 years: With a vision difficulty</t>
  </si>
  <si>
    <t>B18103_016EA,B18103_016M,B18103_016MA</t>
  </si>
  <si>
    <t>B18103_019E</t>
  </si>
  <si>
    <t>Male: 75 years and over: With a vision difficulty</t>
  </si>
  <si>
    <t>Estimate: Total: Male: 75 years and over: With a vision difficulty</t>
  </si>
  <si>
    <t>B18103_019EA,B18103_019M,B18103_019MA</t>
  </si>
  <si>
    <t>B18103_023E</t>
  </si>
  <si>
    <t>Female: Under 5 years: With a vision difficulty</t>
  </si>
  <si>
    <t>Estimate: Total: Female: Under 5 years: With a vision difficulty</t>
  </si>
  <si>
    <t>B18103_023EA,B18103_023M,B18103_023MA</t>
  </si>
  <si>
    <t>B18103_026E</t>
  </si>
  <si>
    <t>Female: 5 to 17 years: With a vision difficulty</t>
  </si>
  <si>
    <t>Estimate: Total: Female: 5 to 17 years: With a vision difficulty</t>
  </si>
  <si>
    <t>B18103_026EA,B18103_026M,B18103_026MA</t>
  </si>
  <si>
    <t>B18103_029E</t>
  </si>
  <si>
    <t>Female: 18 to 34 years: With a vision difficulty</t>
  </si>
  <si>
    <t>Estimate: Total: Female: 18 to 34 years: With a vision difficulty</t>
  </si>
  <si>
    <t>B18103_029EA,B18103_029M,B18103_029MA</t>
  </si>
  <si>
    <t>B18103_032E</t>
  </si>
  <si>
    <t>Female: 35 to 64 years: With a vision difficulty</t>
  </si>
  <si>
    <t>Estimate: Total: Female: 35 to 64 years: With a vision difficulty</t>
  </si>
  <si>
    <t>B18103_032EA,B18103_032M,B18103_032MA</t>
  </si>
  <si>
    <t>B18103_035E</t>
  </si>
  <si>
    <t>Female: 65 to 74 years: With a vision difficulty</t>
  </si>
  <si>
    <t>Estimate: Total: Female: 65 to 74 years: With a vision difficulty</t>
  </si>
  <si>
    <t>B18103_035EA,B18103_035M,B18103_035MA</t>
  </si>
  <si>
    <t>B18103_038E</t>
  </si>
  <si>
    <t>Female: 75 years and over: With a vision difficulty</t>
  </si>
  <si>
    <t>Estimate: Total: Female: 75 years and over: With a vision difficulty</t>
  </si>
  <si>
    <t>B18103_038EA,B18103_038M,B18103_038MA</t>
  </si>
  <si>
    <t>B18104</t>
  </si>
  <si>
    <t>B18104_004E</t>
  </si>
  <si>
    <t>Male: 5 to 17 years: With a cognitive difficulty</t>
  </si>
  <si>
    <t>Estimate: Total: Male: 5 to 17 years: With a cognitive difficulty</t>
  </si>
  <si>
    <t>SEX BY AGE BY COGNITIVE DIFFICULTY</t>
  </si>
  <si>
    <t>B18104_004EA,B18104_004M,B18104_004MA</t>
  </si>
  <si>
    <t>B18104_007E</t>
  </si>
  <si>
    <t>Male: 18 to 34 years: With a cognitive difficulty</t>
  </si>
  <si>
    <t>Estimate: Total: Male: 18 to 34 years: With a cognitive difficulty</t>
  </si>
  <si>
    <t>B18104_007EA,B18104_007M,B18104_007MA</t>
  </si>
  <si>
    <t>B18104_010E</t>
  </si>
  <si>
    <t>Male: 35 to 64 years: With a cognitive difficulty</t>
  </si>
  <si>
    <t>Estimate: Total: Male: 35 to 64 years: With a cognitive difficulty</t>
  </si>
  <si>
    <t>B18104_010EA,B18104_010M,B18104_010MA</t>
  </si>
  <si>
    <t>B18104_013E</t>
  </si>
  <si>
    <t>Male: 65 to 74 years: With a cognitive difficulty</t>
  </si>
  <si>
    <t>Estimate: Total: Male: 65 to 74 years: With a cognitive difficulty</t>
  </si>
  <si>
    <t>B18104_013EA,B18104_013M,B18104_013MA</t>
  </si>
  <si>
    <t>B18104_016E</t>
  </si>
  <si>
    <t>Male: 75 years and over: With a cognitive difficulty</t>
  </si>
  <si>
    <t>Estimate: Total: Male: 75 years and over: With a cognitive difficulty</t>
  </si>
  <si>
    <t>B18104_016EA,B18104_016M,B18104_016MA</t>
  </si>
  <si>
    <t>B18104_020E</t>
  </si>
  <si>
    <t>Female: 5 to 17 years: With a cognitive difficulty</t>
  </si>
  <si>
    <t>Estimate: Total: Female: 5 to 17 years: With a cognitive difficulty</t>
  </si>
  <si>
    <t>B18104_020EA,B18104_020M,B18104_020MA</t>
  </si>
  <si>
    <t>B18104_023E</t>
  </si>
  <si>
    <t>Female: 18 to 34 years: With a cognitive difficulty</t>
  </si>
  <si>
    <t>Estimate: Total: Female: 18 to 34 years: With a cognitive difficulty</t>
  </si>
  <si>
    <t>B18104_023EA,B18104_023M,B18104_023MA</t>
  </si>
  <si>
    <t>B18104_026E</t>
  </si>
  <si>
    <t>Female: 35 to 64 years: With a cognitive difficulty</t>
  </si>
  <si>
    <t>Estimate: Total: Female: 35 to 64 years: With a cognitive difficulty</t>
  </si>
  <si>
    <t>B18104_026EA,B18104_026M,B18104_026MA</t>
  </si>
  <si>
    <t>B18104_029E</t>
  </si>
  <si>
    <t>Female: 65 to 74 years: With a cognitive difficulty</t>
  </si>
  <si>
    <t>Estimate: Total: Female: 65 to 74 years: With a cognitive difficulty</t>
  </si>
  <si>
    <t>B18104_029EA,B18104_029M,B18104_029MA</t>
  </si>
  <si>
    <t>B18104_032E</t>
  </si>
  <si>
    <t>Female: 75 years and over: With a cognitive difficulty</t>
  </si>
  <si>
    <t>Estimate: Total: Female: 75 years and over: With a cognitive difficulty</t>
  </si>
  <si>
    <t>B18104_032EA,B18104_032M,B18104_032MA</t>
  </si>
  <si>
    <t>B18105</t>
  </si>
  <si>
    <t>B18105_004E</t>
  </si>
  <si>
    <t>Male: 5 to 17 years: With an ambulatory difficulty</t>
  </si>
  <si>
    <t>Estimate: Total: Male: 5 to 17 years: With an ambulatory difficulty</t>
  </si>
  <si>
    <t>SEX BY AGE BY AMBULATORY DIFFICULTY</t>
  </si>
  <si>
    <t>B18105_004EA,B18105_004M,B18105_004MA</t>
  </si>
  <si>
    <t>B18105_007E</t>
  </si>
  <si>
    <t>Male: 18 to 34 years: With an ambulatory difficulty</t>
  </si>
  <si>
    <t>Estimate: Total: Male: 18 to 34 years: With an ambulatory difficulty</t>
  </si>
  <si>
    <t>B18105_007EA,B18105_007M,B18105_007MA</t>
  </si>
  <si>
    <t>B18105_010E</t>
  </si>
  <si>
    <t>Male: 35 to 64 years: With an ambulatory difficulty</t>
  </si>
  <si>
    <t>Estimate: Total: Male: 35 to 64 years: With an ambulatory difficulty</t>
  </si>
  <si>
    <t>B18105_010EA,B18105_010M,B18105_010MA</t>
  </si>
  <si>
    <t>B18105_013E</t>
  </si>
  <si>
    <t>Male: 65 to 74 years: With an ambulatory difficulty</t>
  </si>
  <si>
    <t>Estimate: Total: Male: 65 to 74 years: With an ambulatory difficulty</t>
  </si>
  <si>
    <t>B18105_013EA,B18105_013M,B18105_013MA</t>
  </si>
  <si>
    <t>B18105_016E</t>
  </si>
  <si>
    <t>Male: 75 years and over: With an ambulatory difficulty</t>
  </si>
  <si>
    <t>Estimate: Total: Male: 75 years and over: With an ambulatory difficulty</t>
  </si>
  <si>
    <t>B18105_016EA,B18105_016M,B18105_016MA</t>
  </si>
  <si>
    <t>B18105_020E</t>
  </si>
  <si>
    <t>Female: 5 to 17 years: With an ambulatory difficulty</t>
  </si>
  <si>
    <t>Estimate: Total: Female: 5 to 17 years: With an ambulatory difficulty</t>
  </si>
  <si>
    <t>B18105_020EA,B18105_020M,B18105_020MA</t>
  </si>
  <si>
    <t>B18105_023E</t>
  </si>
  <si>
    <t>Female: 18 to 34 years: With an ambulatory difficulty</t>
  </si>
  <si>
    <t>Estimate: Total: Female: 18 to 34 years: With an ambulatory difficulty</t>
  </si>
  <si>
    <t>B18105_023EA,B18105_023M,B18105_023MA</t>
  </si>
  <si>
    <t>B18105_026E</t>
  </si>
  <si>
    <t>Female: 35 to 64 years: With an ambulatory difficulty</t>
  </si>
  <si>
    <t>Estimate: Total: Female: 35 to 64 years: With an ambulatory difficulty</t>
  </si>
  <si>
    <t>B18105_026EA,B18105_026M,B18105_026MA</t>
  </si>
  <si>
    <t>B18105_029E</t>
  </si>
  <si>
    <t>Female: 65 to 74 years: With an ambulatory difficulty</t>
  </si>
  <si>
    <t>Estimate: Total: Female: 65 to 74 years: With an ambulatory difficulty</t>
  </si>
  <si>
    <t>B18105_029EA,B18105_029M,B18105_029MA</t>
  </si>
  <si>
    <t>B18105_032E</t>
  </si>
  <si>
    <t>Female: 75 years and over: With an ambulatory difficulty</t>
  </si>
  <si>
    <t>Estimate: Total: Female: 75 years and over: With an ambulatory difficulty</t>
  </si>
  <si>
    <t>B18105_032EA,B18105_032M,B18105_032MA</t>
  </si>
  <si>
    <t>B18106</t>
  </si>
  <si>
    <t>B18106_004E</t>
  </si>
  <si>
    <t>Male: 5 to 17 years: With a self-care difficulty</t>
  </si>
  <si>
    <t>Estimate: Total: Male: 5 to 17 years: With a self-care difficulty</t>
  </si>
  <si>
    <t>SEX BY AGE BY SELF-CARE DIFFICULTY</t>
  </si>
  <si>
    <t>B18106_004EA,B18106_004M,B18106_004MA</t>
  </si>
  <si>
    <t>B18106_007E</t>
  </si>
  <si>
    <t>Male: 18 to 34 years: With a self-care difficulty</t>
  </si>
  <si>
    <t>Estimate: Total: Male: 18 to 34 years: With a self-care difficulty</t>
  </si>
  <si>
    <t>B18106_007EA,B18106_007M,B18106_007MA</t>
  </si>
  <si>
    <t>B18106_010E</t>
  </si>
  <si>
    <t>Male: 35 to 64 years: With a self-care difficulty</t>
  </si>
  <si>
    <t>Estimate: Total: Male: 35 to 64 years: With a self-care difficulty</t>
  </si>
  <si>
    <t>B18106_010EA,B18106_010M,B18106_010MA</t>
  </si>
  <si>
    <t>B18106_013E</t>
  </si>
  <si>
    <t>Male: 65 to 74 years: With a self-care difficulty</t>
  </si>
  <si>
    <t>Estimate: Total: Male: 65 to 74 years: With a self-care difficulty</t>
  </si>
  <si>
    <t>B18106_013EA,B18106_013M,B18106_013MA</t>
  </si>
  <si>
    <t>B18106_016E</t>
  </si>
  <si>
    <t>Male: 75 years and over: With a self-care difficulty</t>
  </si>
  <si>
    <t>Estimate: Total: Male: 75 years and over: With a self-care difficulty</t>
  </si>
  <si>
    <t>B18106_016EA,B18106_016M,B18106_016MA</t>
  </si>
  <si>
    <t>B18106_020E</t>
  </si>
  <si>
    <t>Female: 5 to 17 years: With a self-care difficulty</t>
  </si>
  <si>
    <t>Estimate: Total: Female: 5 to 17 years: With a self-care difficulty</t>
  </si>
  <si>
    <t>B18106_020EA,B18106_020M,B18106_020MA</t>
  </si>
  <si>
    <t>B18106_023E</t>
  </si>
  <si>
    <t>Female: 18 to 34 years: With a self-care difficulty</t>
  </si>
  <si>
    <t>Estimate: Total: Female: 18 to 34 years: With a self-care difficulty</t>
  </si>
  <si>
    <t>B18106_023EA,B18106_023M,B18106_023MA</t>
  </si>
  <si>
    <t>B18106_026E</t>
  </si>
  <si>
    <t>Female: 35 to 64 years: With a self-care difficulty</t>
  </si>
  <si>
    <t>Estimate: Total: Female: 35 to 64 years: With a self-care difficulty</t>
  </si>
  <si>
    <t>B18106_026EA,B18106_026M,B18106_026MA</t>
  </si>
  <si>
    <t>B18106_029E</t>
  </si>
  <si>
    <t>Female: 65 to 74 years: With a self-care difficulty</t>
  </si>
  <si>
    <t>Estimate: Total: Female: 65 to 74 years: With a self-care difficulty</t>
  </si>
  <si>
    <t>B18106_029EA,B18106_029M,B18106_029MA</t>
  </si>
  <si>
    <t>B18106_032E</t>
  </si>
  <si>
    <t>Female: 75 years and over: With a self-care difficulty</t>
  </si>
  <si>
    <t>Estimate: Total: Female: 75 years and over: With a self-care difficulty</t>
  </si>
  <si>
    <t>B18106_032EA,B18106_032M,B18106_032MA</t>
  </si>
  <si>
    <t>B18107</t>
  </si>
  <si>
    <t>B18107_004E</t>
  </si>
  <si>
    <t>Male: 18 to 34 years: With an independent living difficulty</t>
  </si>
  <si>
    <t>Estimate: Total: Male: 18 to 34 years: With an independent living difficulty</t>
  </si>
  <si>
    <t>SEX BY AGE BY INDEPENDENT LIVING DIFFICULTY</t>
  </si>
  <si>
    <t>B18107_004EA,B18107_004M,B18107_004MA</t>
  </si>
  <si>
    <t>B18107_007E</t>
  </si>
  <si>
    <t>Male: 35 to 64 years: With an independent living difficulty</t>
  </si>
  <si>
    <t>Estimate: Total: Male: 35 to 64 years: With an independent living difficulty</t>
  </si>
  <si>
    <t>B18107_007EA,B18107_007M,B18107_007MA</t>
  </si>
  <si>
    <t>B18107_010E</t>
  </si>
  <si>
    <t>Male: 65 to 74 years: With an independent living difficulty</t>
  </si>
  <si>
    <t>Estimate: Total: Male: 65 to 74 years: With an independent living difficulty</t>
  </si>
  <si>
    <t>B18107_010EA,B18107_010M,B18107_010MA</t>
  </si>
  <si>
    <t>B18107_013E</t>
  </si>
  <si>
    <t>Male: 75 years and over: With an independent living difficulty</t>
  </si>
  <si>
    <t>Estimate: Total: Male: 75 years and over: With an independent living difficulty</t>
  </si>
  <si>
    <t>B18107_013EA,B18107_013M,B18107_013MA</t>
  </si>
  <si>
    <t>B18107_017E</t>
  </si>
  <si>
    <t>Female: 18 to 34 years: With an independent living difficulty</t>
  </si>
  <si>
    <t>Estimate: Total: Female: 18 to 34 years: With an independent living difficulty</t>
  </si>
  <si>
    <t>B18107_017EA,B18107_017M,B18107_017MA</t>
  </si>
  <si>
    <t>B18107_020E</t>
  </si>
  <si>
    <t>Female: 35 to 64 years: With an independent living difficulty</t>
  </si>
  <si>
    <t>Estimate: Total: Female: 35 to 64 years: With an independent living difficulty</t>
  </si>
  <si>
    <t>B18107_020EA,B18107_020M,B18107_020MA</t>
  </si>
  <si>
    <t>B18107_023E</t>
  </si>
  <si>
    <t>Female: 65 to 74 years: With an independent living difficulty</t>
  </si>
  <si>
    <t>Estimate: Total: Female: 65 to 74 years: With an independent living difficulty</t>
  </si>
  <si>
    <t>B18107_023EA,B18107_023M,B18107_023MA</t>
  </si>
  <si>
    <t>B18107_026E</t>
  </si>
  <si>
    <t>Female: 75 years and over: With an independent living difficulty</t>
  </si>
  <si>
    <t>Estimate: Total: Female: 75 years and over: With an independent living difficulty</t>
  </si>
  <si>
    <t>B18107_026EA,B18107_026M,B18107_026MA</t>
  </si>
  <si>
    <t>2012, 2013, 2014, 2015, 2016</t>
  </si>
  <si>
    <t>B18135</t>
  </si>
  <si>
    <t>B18135_003E</t>
  </si>
  <si>
    <t>Under 18 years: With a disability</t>
  </si>
  <si>
    <t>S12</t>
  </si>
  <si>
    <t>Disability Status and Health Insurance Coverage</t>
  </si>
  <si>
    <t>Estimate: Total: Under 18 years: With a disability</t>
  </si>
  <si>
    <t>AGE BY DISABILITY STATUS BY HEALTH INSURANCE COVERAGE STATUS</t>
  </si>
  <si>
    <t>B18135_003EA,B18135_003M,B18135_003MA</t>
  </si>
  <si>
    <t>2017, 2018, 2019, 2020, 2021, 2022, 2023, 2024</t>
  </si>
  <si>
    <t>Under 19 years: With a disability</t>
  </si>
  <si>
    <t>Estimate: Total: Under 19 years: With a disability</t>
  </si>
  <si>
    <t>B18135_004E</t>
  </si>
  <si>
    <t>Under 18 years: With a disability: With health insurance coverage</t>
  </si>
  <si>
    <t>Estimate: Total: Under 18 years: With a disability: With health insurance coverage</t>
  </si>
  <si>
    <t>B18135_004EA,B18135_004M,B18135_004MA</t>
  </si>
  <si>
    <t>Under 19 years: With a disability: With health insurance coverage</t>
  </si>
  <si>
    <t>Estimate: Total: Under 19 years: With a disability: With health insurance coverage</t>
  </si>
  <si>
    <t>B18135_005E</t>
  </si>
  <si>
    <t>Under 18 years: With a disability: With health insurance coverage: With private health insurance coverage</t>
  </si>
  <si>
    <t>Estimate: Total: Under 18 years: With a disability: With health insurance coverage: With private health insurance coverage</t>
  </si>
  <si>
    <t>B18135_005EA,B18135_005M,B18135_005MA</t>
  </si>
  <si>
    <t>Under 19 years: With a disability: With health insurance coverage: With private health insurance coverage</t>
  </si>
  <si>
    <t>Estimate: Total: Under 19 years: With a disability: With health insurance coverage: With private health insurance coverage</t>
  </si>
  <si>
    <t>B18135_006E</t>
  </si>
  <si>
    <t>Under 18 years: With a disability: With health insurance coverage: With public health coverage</t>
  </si>
  <si>
    <t>Estimate: Total: Under 18 years: With a disability: With health insurance coverage: With public health coverage</t>
  </si>
  <si>
    <t>B18135_006EA,B18135_006M,B18135_006MA</t>
  </si>
  <si>
    <t>Under 19 years: With a disability: With health insurance coverage: With public health coverage</t>
  </si>
  <si>
    <t>Estimate: Total: Under 19 years: With a disability: With health insurance coverage: With public health coverage</t>
  </si>
  <si>
    <t>B18135_007E</t>
  </si>
  <si>
    <t>Under 18 years: With a disability: No health insurance coverage</t>
  </si>
  <si>
    <t>Estimate: Total: Under 18 years: With a disability: No health insurance coverage</t>
  </si>
  <si>
    <t>B18135_007EA,B18135_007M,B18135_007MA</t>
  </si>
  <si>
    <t>Under 19 years: With a disability: No health insurance coverage</t>
  </si>
  <si>
    <t>Estimate: Total: Under 19 years: With a disability: No health insurance coverage</t>
  </si>
  <si>
    <t>B18135_008E</t>
  </si>
  <si>
    <t>Under 18 years: No disability</t>
  </si>
  <si>
    <t>Estimate: Total: Under 18 years: No disability</t>
  </si>
  <si>
    <t>B18135_008EA,B18135_008M,B18135_008MA</t>
  </si>
  <si>
    <t>Under 19 years: No disability</t>
  </si>
  <si>
    <t>Estimate: Total: Under 19 years: No disability</t>
  </si>
  <si>
    <t>B18135_009E</t>
  </si>
  <si>
    <t>Under 18 years: No disability: With health insurance coverage</t>
  </si>
  <si>
    <t>Estimate: Total: Under 18 years: No disability: With health insurance coverage</t>
  </si>
  <si>
    <t>B18135_009EA,B18135_009M,B18135_009MA</t>
  </si>
  <si>
    <t>Under 19 years: No disability: With health insurance coverage</t>
  </si>
  <si>
    <t>Estimate: Total: Under 19 years: No disability: With health insurance coverage</t>
  </si>
  <si>
    <t>B18135_010E</t>
  </si>
  <si>
    <t>Under 18 years: No disability: With health insurance coverage: With private health insurance coverage</t>
  </si>
  <si>
    <t>Estimate: Total: Under 18 years: No disability: With health insurance coverage: With private health insurance coverage</t>
  </si>
  <si>
    <t>B18135_010EA,B18135_010M,B18135_010MA</t>
  </si>
  <si>
    <t>Under 19 years: No disability: With health insurance coverage: With private health insurance coverage</t>
  </si>
  <si>
    <t>Estimate: Total: Under 19 years: No disability: With health insurance coverage: With private health insurance coverage</t>
  </si>
  <si>
    <t>B18135_011E</t>
  </si>
  <si>
    <t>Under 18 years: No disability: With health insurance coverage: With public health coverage</t>
  </si>
  <si>
    <t>Estimate: Total: Under 18 years: No disability: With health insurance coverage: With public health coverage</t>
  </si>
  <si>
    <t>B18135_011EA,B18135_011M,B18135_011MA</t>
  </si>
  <si>
    <t>Under 19 years: No disability: With health insurance coverage: With public health coverage</t>
  </si>
  <si>
    <t>Estimate: Total: Under 19 years: No disability: With health insurance coverage: With public health coverage</t>
  </si>
  <si>
    <t>B18135_012E</t>
  </si>
  <si>
    <t>Under 18 years: No disability: No health insurance coverage</t>
  </si>
  <si>
    <t>Estimate: Total: Under 18 years: No disability: No health insurance coverage</t>
  </si>
  <si>
    <t>B18135_012EA,B18135_012M,B18135_012MA</t>
  </si>
  <si>
    <t>Under 19 years: No disability: No health insurance coverage</t>
  </si>
  <si>
    <t>Estimate: Total: Under 19 years: No disability: No health insurance coverage</t>
  </si>
  <si>
    <t>B18135_014E</t>
  </si>
  <si>
    <t>18 to 64 years: With a disability</t>
  </si>
  <si>
    <t>Estimate: Total: 18 to 64 years: With a disability</t>
  </si>
  <si>
    <t>B18135_014EA,B18135_014M,B18135_014MA</t>
  </si>
  <si>
    <t>19 to 64 years: With a disability</t>
  </si>
  <si>
    <t>Estimate: Total: 19 to 64 years: With a disability</t>
  </si>
  <si>
    <t>B18135_015E</t>
  </si>
  <si>
    <t>18 to 64 years: With a disability: With health insurance coverage</t>
  </si>
  <si>
    <t>Estimate: Total: 18 to 64 years: With a disability: With health insurance coverage</t>
  </si>
  <si>
    <t>B18135_015EA,B18135_015M,B18135_015MA</t>
  </si>
  <si>
    <t>19 to 64 years: With a disability: With health insurance coverage</t>
  </si>
  <si>
    <t>Estimate: Total: 19 to 64 years: With a disability: With health insurance coverage</t>
  </si>
  <si>
    <t>B18135_016E</t>
  </si>
  <si>
    <t>18 to 64 years: With a disability: With health insurance coverage: With private health insurance coverage</t>
  </si>
  <si>
    <t>Estimate: Total: 18 to 64 years: With a disability: With health insurance coverage: With private health insurance coverage</t>
  </si>
  <si>
    <t>B18135_016EA,B18135_016M,B18135_016MA</t>
  </si>
  <si>
    <t>19 to 64 years: With a disability: With health insurance coverage: With private health insurance coverage</t>
  </si>
  <si>
    <t>Estimate: Total: 19 to 64 years: With a disability: With health insurance coverage: With private health insurance coverage</t>
  </si>
  <si>
    <t>B18135_017E</t>
  </si>
  <si>
    <t>18 to 64 years: With a disability: With health insurance coverage: With public health coverage</t>
  </si>
  <si>
    <t>Estimate: Total: 18 to 64 years: With a disability: With health insurance coverage: With public health coverage</t>
  </si>
  <si>
    <t>B18135_017EA,B18135_017M,B18135_017MA</t>
  </si>
  <si>
    <t>19 to 64 years: With a disability: With health insurance coverage: With public health coverage</t>
  </si>
  <si>
    <t>Estimate: Total: 19 to 64 years: With a disability: With health insurance coverage: With public health coverage</t>
  </si>
  <si>
    <t>B18135_018E</t>
  </si>
  <si>
    <t>18 to 64 years: With a disability: No health insurance coverage</t>
  </si>
  <si>
    <t>Estimate: Total: 18 to 64 years: With a disability: No health insurance coverage</t>
  </si>
  <si>
    <t>B18135_018EA,B18135_018M,B18135_018MA</t>
  </si>
  <si>
    <t>19 to 64 years: With a disability: No health insurance coverage</t>
  </si>
  <si>
    <t>Estimate: Total: 19 to 64 years: With a disability: No health insurance coverage</t>
  </si>
  <si>
    <t>B18135_019E</t>
  </si>
  <si>
    <t>18 to 64 years: No disability</t>
  </si>
  <si>
    <t>Estimate: Total: 18 to 64 years: No disability</t>
  </si>
  <si>
    <t>B18135_019EA,B18135_019M,B18135_019MA</t>
  </si>
  <si>
    <t>19 to 64 years: No disability</t>
  </si>
  <si>
    <t>Estimate: Total: 19 to 64 years: No disability</t>
  </si>
  <si>
    <t>B18135_020E</t>
  </si>
  <si>
    <t>18 to 64 years: No disability: With health insurance coverage</t>
  </si>
  <si>
    <t>Estimate: Total: 18 to 64 years: No disability: With health insurance coverage</t>
  </si>
  <si>
    <t>B18135_020EA,B18135_020M,B18135_020MA</t>
  </si>
  <si>
    <t>19 to 64 years: No disability: With health insurance coverage</t>
  </si>
  <si>
    <t>Estimate: Total: 19 to 64 years: No disability: With health insurance coverage</t>
  </si>
  <si>
    <t>B18135_021E</t>
  </si>
  <si>
    <t>18 to 64 years: No disability: With health insurance coverage: With private health insurance coverage</t>
  </si>
  <si>
    <t>Estimate: Total: 18 to 64 years: No disability: With health insurance coverage: With private health insurance coverage</t>
  </si>
  <si>
    <t>B18135_021EA,B18135_021M,B18135_021MA</t>
  </si>
  <si>
    <t>19 to 64 years: No disability: With health insurance coverage: With private health insurance coverage</t>
  </si>
  <si>
    <t>Estimate: Total: 19 to 64 years: No disability: With health insurance coverage: With private health insurance coverage</t>
  </si>
  <si>
    <t>B18135_022E</t>
  </si>
  <si>
    <t>18 to 64 years: No disability: With health insurance coverage: With public health coverage</t>
  </si>
  <si>
    <t>Estimate: Total: 18 to 64 years: No disability: With health insurance coverage: With public health coverage</t>
  </si>
  <si>
    <t>B18135_022EA,B18135_022M,B18135_022MA</t>
  </si>
  <si>
    <t>19 to 64 years: No disability: With health insurance coverage: With public health coverage</t>
  </si>
  <si>
    <t>Estimate: Total: 19 to 64 years: No disability: With health insurance coverage: With public health coverage</t>
  </si>
  <si>
    <t>B18135_023E</t>
  </si>
  <si>
    <t>18 to 64 years: No disability: No health insurance coverage</t>
  </si>
  <si>
    <t>Estimate: Total: 18 to 64 years: No disability: No health insurance coverage</t>
  </si>
  <si>
    <t>B18135_023EA,B18135_023M,B18135_023MA</t>
  </si>
  <si>
    <t>19 to 64 years: No disability: No health insurance coverage</t>
  </si>
  <si>
    <t>Estimate: Total: 19 to 64 years: No disability: No health insurance coverage</t>
  </si>
  <si>
    <t>B18135_025E</t>
  </si>
  <si>
    <t>65 years and over: With a disability</t>
  </si>
  <si>
    <t>Estimate: Total: 65 years and over: With a disability</t>
  </si>
  <si>
    <t>B18135_025EA,B18135_025M,B18135_025MA</t>
  </si>
  <si>
    <t>B18135_026E</t>
  </si>
  <si>
    <t>65 years and over: With a disability: With health insurance coverage</t>
  </si>
  <si>
    <t>Estimate: Total: 65 years and over: With a disability: With health insurance coverage</t>
  </si>
  <si>
    <t>B18135_026EA,B18135_026M,B18135_026MA</t>
  </si>
  <si>
    <t>B18135_027E</t>
  </si>
  <si>
    <t>65 years and over: With a disability: With health insurance coverage: With private health insurance coverage</t>
  </si>
  <si>
    <t>Estimate: Total: 65 years and over: With a disability: With health insurance coverage: With private health insurance coverage</t>
  </si>
  <si>
    <t>B18135_027EA,B18135_027M,B18135_027MA</t>
  </si>
  <si>
    <t>B18135_028E</t>
  </si>
  <si>
    <t>65 years and over: With a disability: With health insurance coverage: With public health coverage</t>
  </si>
  <si>
    <t>Estimate: Total: 65 years and over: With a disability: With health insurance coverage: With public health coverage</t>
  </si>
  <si>
    <t>B18135_028EA,B18135_028M,B18135_028MA</t>
  </si>
  <si>
    <t>B18135_029E</t>
  </si>
  <si>
    <t>65 years and over: With a disability: No health insurance coverage</t>
  </si>
  <si>
    <t>Estimate: Total: 65 years and over: With a disability: No health insurance coverage</t>
  </si>
  <si>
    <t>B18135_029EA,B18135_029M,B18135_029MA</t>
  </si>
  <si>
    <t>B18135_030E</t>
  </si>
  <si>
    <t>65 years and over: No disability</t>
  </si>
  <si>
    <t>Estimate: Total: 65 years and over: No disability</t>
  </si>
  <si>
    <t>B18135_030EA,B18135_030M,B18135_030MA</t>
  </si>
  <si>
    <t>B18135_031E</t>
  </si>
  <si>
    <t>65 years and over: No disability: With health insurance coverage</t>
  </si>
  <si>
    <t>Estimate: Total: 65 years and over: No disability: With health insurance coverage</t>
  </si>
  <si>
    <t>B18135_031EA,B18135_031M,B18135_031MA</t>
  </si>
  <si>
    <t>B18135_032E</t>
  </si>
  <si>
    <t>65 years and over: No disability: With health insurance coverage: With private health insurance coverage</t>
  </si>
  <si>
    <t>Estimate: Total: 65 years and over: No disability: With health insurance coverage: With private health insurance coverage</t>
  </si>
  <si>
    <t>B18135_032EA,B18135_032M,B18135_032MA</t>
  </si>
  <si>
    <t>B18135_033E</t>
  </si>
  <si>
    <t>65 years and over: No disability: With health insurance coverage: With public health coverage</t>
  </si>
  <si>
    <t>Estimate: Total: 65 years and over: No disability: With health insurance coverage: With public health coverage</t>
  </si>
  <si>
    <t>B18135_033EA,B18135_033M,B18135_033MA</t>
  </si>
  <si>
    <t>B18135_034E</t>
  </si>
  <si>
    <t>65 years and over: No disability: No health insurance coverage</t>
  </si>
  <si>
    <t>Estimate: Total: 65 years and over: No disability: No health insurance coverage</t>
  </si>
  <si>
    <t>B18135_034EA,B18135_034M,B18135_034MA</t>
  </si>
  <si>
    <t>B22</t>
  </si>
  <si>
    <t>B22001</t>
  </si>
  <si>
    <t>B22001_002E</t>
  </si>
  <si>
    <t>S13</t>
  </si>
  <si>
    <t>Food Stamps Households</t>
  </si>
  <si>
    <t>Estimate: Total: Household received Food StampsSNAP in the past 12 months</t>
  </si>
  <si>
    <t>RECEIPT OF FOOD STAMPS/SNAP IN THE PAST 12 MONTHS BY PRESENCE OF PEOPLE 60 YEARS AND OVER FOR HOUSEHOLDS</t>
  </si>
  <si>
    <t>B22001_002EA,B22001_002M,B22001_002MA</t>
  </si>
  <si>
    <t>B22001_003E</t>
  </si>
  <si>
    <t>Estimate: Total: Household received Food StampsSNAP in the past 12 months: At least one person in household 60 years or over</t>
  </si>
  <si>
    <t>B22001_003EA,B22001_003M,B22001_003MA</t>
  </si>
  <si>
    <t>B22001_004E</t>
  </si>
  <si>
    <t>Estimate: Total: Household received Food StampsSNAP in the past 12 months: No people in household 60 years or over</t>
  </si>
  <si>
    <t>B22001_004EA,B22001_004M,B22001_004MA</t>
  </si>
  <si>
    <t>B22001_005E</t>
  </si>
  <si>
    <t>Estimate: Total: Household did not receive Food StampsSNAP in the past 12 months</t>
  </si>
  <si>
    <t>B22001_005EA,B22001_005M,B22001_005MA</t>
  </si>
  <si>
    <t>B22001_006E</t>
  </si>
  <si>
    <t>Estimate: Total: Household did not receive Food StampsSNAP in the past 12 months: At least one person in household 60 years or over</t>
  </si>
  <si>
    <t>B22001_006EA,B22001_006M,B22001_006MA</t>
  </si>
  <si>
    <t>B22001_007E</t>
  </si>
  <si>
    <t>Estimate: Total: Household did not receive Food StampsSNAP in the past 12 months: No people in household 60 years or over</t>
  </si>
  <si>
    <t>B22001_007EA,B22001_007M,B22001_007MA</t>
  </si>
  <si>
    <t>B22002</t>
  </si>
  <si>
    <t>B22002_003E</t>
  </si>
  <si>
    <t>Estimate: Total: Household received Food StampsSNAP in the past 12 months: With children under 18 years</t>
  </si>
  <si>
    <t>RECEIPT OF FOOD STAMPS/SNAP IN THE PAST 12 MONTHS BY PRESENCE OF CHILDREN UNDER 18 YEARS BY HOUSEHOLD TYPE FOR HOUSEHOLDS</t>
  </si>
  <si>
    <t>B22002_003EA,B22002_003M,B22002_003MA</t>
  </si>
  <si>
    <t>B22002_009E</t>
  </si>
  <si>
    <t>Estimate: Total: Household received Food StampsSNAP in the past 12 months: No children under 18 years</t>
  </si>
  <si>
    <t>B22002_009EA,B22002_009M,B22002_009MA</t>
  </si>
  <si>
    <t>B22003</t>
  </si>
  <si>
    <t>B22003_003E</t>
  </si>
  <si>
    <t>Estimate: Total: Household received Food StampsSNAP in the past 12 months: Income in the past 12 months below poverty level</t>
  </si>
  <si>
    <t>RECEIPT OF FOOD STAMPS/SNAP IN THE PAST 12 MONTHS BY POVERTY STATUS IN THE PAST 12 MONTHS FOR HOUSEHOLDS</t>
  </si>
  <si>
    <t>B22003_003EA,B22003_003M,B22003_003MA</t>
  </si>
  <si>
    <t>B22003_004E</t>
  </si>
  <si>
    <t>Estimate: Total: Household received Food StampsSNAP in the past 12 months: Income in the past 12 months at or above poverty level</t>
  </si>
  <si>
    <t>B22003_004EA,B22003_004M,B22003_004MA</t>
  </si>
  <si>
    <t>B07</t>
  </si>
  <si>
    <t>B07001</t>
  </si>
  <si>
    <t>B07001_017E</t>
  </si>
  <si>
    <t>Residence: Same house 1 year ago</t>
  </si>
  <si>
    <t>S14</t>
  </si>
  <si>
    <t>Residence 1 year ago</t>
  </si>
  <si>
    <t>Estimate: Total: Same house 1 year ago</t>
  </si>
  <si>
    <t>GEOGRAPHICAL MOBILITY IN THE PAST YEAR BY AGE FOR CURRENT RESIDENCE IN THE UNITED STATES</t>
  </si>
  <si>
    <t>B07001_017EA,B07001_017M,B07001_017MA</t>
  </si>
  <si>
    <t>B07001_033E</t>
  </si>
  <si>
    <t>Residence: Moved within same county</t>
  </si>
  <si>
    <t>Estimate: Total: Moved within same county</t>
  </si>
  <si>
    <t>B07001_033EA,B07001_033M,B07001_033MA</t>
  </si>
  <si>
    <t>B07001_049E</t>
  </si>
  <si>
    <t>Residence: Moved from different county within same state</t>
  </si>
  <si>
    <t>Estimate: Total: Moved from different county within same state</t>
  </si>
  <si>
    <t>B07001_049EA,B07001_049M,B07001_049MA</t>
  </si>
  <si>
    <t>B07001_065E</t>
  </si>
  <si>
    <t>Residence: Moved from different state</t>
  </si>
  <si>
    <t>Estimate: Total: Moved from different state</t>
  </si>
  <si>
    <t>B07001_065EA,B07001_065M,B07001_065MA</t>
  </si>
  <si>
    <t>B07001_081E</t>
  </si>
  <si>
    <t>Residence: Moved from abroad</t>
  </si>
  <si>
    <t>Estimate: Total: Moved from abroad</t>
  </si>
  <si>
    <t>B07001_081EA,B07001_081M,B07001_081MA</t>
  </si>
  <si>
    <t>B05002</t>
  </si>
  <si>
    <t>B05002_001E</t>
  </si>
  <si>
    <t>Population (Place of Birth)</t>
  </si>
  <si>
    <t>S15</t>
  </si>
  <si>
    <t>Place of Birth</t>
  </si>
  <si>
    <t>PLACE OF BIRTH BY CITIZENSHIP STATUS</t>
  </si>
  <si>
    <t>B05002_001EA,B05002_001M,B05002_001MA</t>
  </si>
  <si>
    <t>B05002_002E</t>
  </si>
  <si>
    <t>Native</t>
  </si>
  <si>
    <t>Estimate: Total: Native</t>
  </si>
  <si>
    <t>B05002_002EA,B05002_002M,B05002_002MA</t>
  </si>
  <si>
    <t>B05002_003E</t>
  </si>
  <si>
    <t>Native: Born in state of residence</t>
  </si>
  <si>
    <t>Estimate: Total: Native: Born in state of residence</t>
  </si>
  <si>
    <t>B05002_003EA,B05002_003M,B05002_003MA</t>
  </si>
  <si>
    <t>B05002_004E</t>
  </si>
  <si>
    <t>Native: Born in other state in the United States</t>
  </si>
  <si>
    <t>Estimate: Total: Native: Born in other state in the United States</t>
  </si>
  <si>
    <t>B05002_004EA,B05002_004M,B05002_004MA</t>
  </si>
  <si>
    <t>B05002_005E</t>
  </si>
  <si>
    <t>Native: Born in other state in the United States: Northeast</t>
  </si>
  <si>
    <t>Estimate: Total: Native: Born in other state in the United States: Northeast</t>
  </si>
  <si>
    <t>B05002_005EA,B05002_005M,B05002_005MA</t>
  </si>
  <si>
    <t>B05002_006E</t>
  </si>
  <si>
    <t>Native: Born in other state in the United States: Midwest</t>
  </si>
  <si>
    <t>Estimate: Total: Native: Born in other state in the United States: Midwest</t>
  </si>
  <si>
    <t>B05002_006EA,B05002_006M,B05002_006MA</t>
  </si>
  <si>
    <t>B05002_007E</t>
  </si>
  <si>
    <t>Native: Born in other state in the United States: South</t>
  </si>
  <si>
    <t>Estimate: Total: Native: Born in other state in the United States: South</t>
  </si>
  <si>
    <t>B05002_007EA,B05002_007M,B05002_007MA</t>
  </si>
  <si>
    <t>B05002_008E</t>
  </si>
  <si>
    <t>Native: Born in other state in the United States: West</t>
  </si>
  <si>
    <t>Estimate: Total: Native: Born in other state in the United States: West</t>
  </si>
  <si>
    <t>B05002_008EA,B05002_008M,B05002_008MA</t>
  </si>
  <si>
    <t>B05002_009E</t>
  </si>
  <si>
    <t>Native: Born outside the United States</t>
  </si>
  <si>
    <t>Estimate: Total: Native: Born outside the United States</t>
  </si>
  <si>
    <t>B05002_009EA,B05002_009M,B05002_009MA</t>
  </si>
  <si>
    <t>B05002_010E</t>
  </si>
  <si>
    <t>Native: Born outside the United States: Puerto Rico</t>
  </si>
  <si>
    <t>Estimate: Total: Native: Born outside the United States: Puerto Rico</t>
  </si>
  <si>
    <t>B05002_010EA,B05002_010M,B05002_010MA</t>
  </si>
  <si>
    <t>B05002_011E</t>
  </si>
  <si>
    <t>Native: Born outside the United States: US Island Areas</t>
  </si>
  <si>
    <t>Estimate: Total: Native: Born outside the United States: US Island Areas</t>
  </si>
  <si>
    <t>B05002_011EA,B05002_011M,B05002_011MA</t>
  </si>
  <si>
    <t>B05002_012E</t>
  </si>
  <si>
    <t>Native: Born outside the United States: Born abroad of American parents</t>
  </si>
  <si>
    <t>Estimate: Total: Native: Born outside the United States: Born abroad of American parents</t>
  </si>
  <si>
    <t>B05002_012EA,B05002_012M,B05002_012MA</t>
  </si>
  <si>
    <t>B05002_013E</t>
  </si>
  <si>
    <t>Foreign born</t>
  </si>
  <si>
    <t>Estimate: Total: Foreign born</t>
  </si>
  <si>
    <t>B05002_013EA,B05002_013M,B05002_013MA</t>
  </si>
  <si>
    <t>Foreign-born</t>
  </si>
  <si>
    <t>Estimate: Total: Foreign-born</t>
  </si>
  <si>
    <t>Place of Birth by Nativity and Citizenship Status</t>
  </si>
  <si>
    <t>B05002_014E</t>
  </si>
  <si>
    <t>Foreign born: Naturalized US citizen</t>
  </si>
  <si>
    <t>Estimate: Total: Foreign born: Naturalized US citizen</t>
  </si>
  <si>
    <t>B05002_014EA,B05002_014M,B05002_014MA</t>
  </si>
  <si>
    <t>Foreign-born: Naturalized US citizen</t>
  </si>
  <si>
    <t>Estimate: Total: Foreign-born: Naturalized US citizen</t>
  </si>
  <si>
    <t>B05002_015E</t>
  </si>
  <si>
    <t>Foreign born: Not a US citizen</t>
  </si>
  <si>
    <t>Estimate: Total: Foreign born: Not a US citizen</t>
  </si>
  <si>
    <t>B05002_015EA,B05002_015M,B05002_015MA</t>
  </si>
  <si>
    <t>2015, 2016, 2017, 2018, 2019, 2020, 2021, 2022</t>
  </si>
  <si>
    <t>Foreign born: Naturalized US citizen: Europe</t>
  </si>
  <si>
    <t>Estimate: Total: Foreign born: Naturalized US citizen: Europe</t>
  </si>
  <si>
    <t>PLACE OF BIRTH BY NATIVITY AND CITIZENSHIP STATUS</t>
  </si>
  <si>
    <t>Foreign-born: Naturalized US citizen: Europe</t>
  </si>
  <si>
    <t>Estimate: Total: Foreign-born: Naturalized US citizen: Europe</t>
  </si>
  <si>
    <t>B05002_016E</t>
  </si>
  <si>
    <t>Foreign born: Naturalized US citizen: Asia</t>
  </si>
  <si>
    <t>Estimate: Total: Foreign born: Naturalized US citizen: Asia</t>
  </si>
  <si>
    <t>B05002_016EA,B05002_016M,B05002_016MA</t>
  </si>
  <si>
    <t>Foreign-born: Naturalized US citizen: Asia</t>
  </si>
  <si>
    <t>Estimate: Total: Foreign-born: Naturalized US citizen: Asia</t>
  </si>
  <si>
    <t>B05002_017E</t>
  </si>
  <si>
    <t>Foreign born: Naturalized US citizen: Africa</t>
  </si>
  <si>
    <t>Estimate: Total: Foreign born: Naturalized US citizen: Africa</t>
  </si>
  <si>
    <t>B05002_017EA,B05002_017M,B05002_017MA</t>
  </si>
  <si>
    <t>Foreign-born: Naturalized US citizen: Africa</t>
  </si>
  <si>
    <t>Estimate: Total: Foreign-born: Naturalized US citizen: Africa</t>
  </si>
  <si>
    <t>B05002_018E</t>
  </si>
  <si>
    <t>Foreign born: Naturalized US citizen: Oceania</t>
  </si>
  <si>
    <t>Estimate: Total: Foreign born: Naturalized US citizen: Oceania</t>
  </si>
  <si>
    <t>B05002_018EA,B05002_018M,B05002_018MA</t>
  </si>
  <si>
    <t>Foreign-born: Naturalized US citizen: Oceania</t>
  </si>
  <si>
    <t>Estimate: Total: Foreign-born: Naturalized US citizen: Oceania</t>
  </si>
  <si>
    <t>B05002_019E</t>
  </si>
  <si>
    <t>Foreign born: Naturalized US citizen: Latin America</t>
  </si>
  <si>
    <t>Estimate: Total: Foreign born: Naturalized US citizen: Latin America</t>
  </si>
  <si>
    <t>B05002_019EA,B05002_019M,B05002_019MA</t>
  </si>
  <si>
    <t>Foreign-born: Naturalized US citizen: Latin America</t>
  </si>
  <si>
    <t>Estimate: Total: Foreign-born: Naturalized US citizen: Latin America</t>
  </si>
  <si>
    <t>B05002_020E</t>
  </si>
  <si>
    <t>Foreign born: Naturalized US citizen: Northern America</t>
  </si>
  <si>
    <t>Estimate: Total: Foreign born: Naturalized US citizen: Northern America</t>
  </si>
  <si>
    <t>B05002_020EA,B05002_020M,B05002_020MA</t>
  </si>
  <si>
    <t>Foreign-born: Naturalized US citizen: Northern America</t>
  </si>
  <si>
    <t>Estimate: Total: Foreign-born: Naturalized US citizen: Northern America</t>
  </si>
  <si>
    <t>B05002_021E</t>
  </si>
  <si>
    <t>B05002_021EA,B05002_021M,B05002_021MA</t>
  </si>
  <si>
    <t>Foreign-born: Not a US citizen</t>
  </si>
  <si>
    <t>Estimate: Total: Foreign-born: Not a US citizen</t>
  </si>
  <si>
    <t>B05002_022E</t>
  </si>
  <si>
    <t>Foreign born: Not a US citizen: Europe</t>
  </si>
  <si>
    <t>Estimate: Total: Foreign born: Not a US citizen: Europe</t>
  </si>
  <si>
    <t>B05002_022EA,B05002_022M,B05002_022MA</t>
  </si>
  <si>
    <t>Foreign-born: Not a US citizen: Europe</t>
  </si>
  <si>
    <t>Estimate: Total: Foreign-born: Not a US citizen: Europe</t>
  </si>
  <si>
    <t>B05002_023E</t>
  </si>
  <si>
    <t>Foreign born: Not a US citizen: Asia</t>
  </si>
  <si>
    <t>Estimate: Total: Foreign born: Not a US citizen: Asia</t>
  </si>
  <si>
    <t>B05002_023EA,B05002_023M,B05002_023MA</t>
  </si>
  <si>
    <t>Foreign-born: Not a US citizen: Asia</t>
  </si>
  <si>
    <t>Estimate: Total: Foreign-born: Not a US citizen: Asia</t>
  </si>
  <si>
    <t>B05002_024E</t>
  </si>
  <si>
    <t>Foreign born: Not a US citizen: Africa</t>
  </si>
  <si>
    <t>Estimate: Total: Foreign born: Not a US citizen: Africa</t>
  </si>
  <si>
    <t>B05002_024EA,B05002_024M,B05002_024MA</t>
  </si>
  <si>
    <t>Foreign-born: Not a US citizen: Africa</t>
  </si>
  <si>
    <t>Estimate: Total: Foreign-born: Not a US citizen: Africa</t>
  </si>
  <si>
    <t>B05002_025E</t>
  </si>
  <si>
    <t>Foreign born: Not a US citizen: Oceania</t>
  </si>
  <si>
    <t>Estimate: Total: Foreign born: Not a US citizen: Oceania</t>
  </si>
  <si>
    <t>B05002_025EA,B05002_025M,B05002_025MA</t>
  </si>
  <si>
    <t>Foreign-born: Not a US citizen: Oceania</t>
  </si>
  <si>
    <t>Estimate: Total: Foreign-born: Not a US citizen: Oceania</t>
  </si>
  <si>
    <t>B05002_026E</t>
  </si>
  <si>
    <t>Foreign born: Not a US citizen: Latin America</t>
  </si>
  <si>
    <t>Estimate: Total: Foreign born: Not a US citizen: Latin America</t>
  </si>
  <si>
    <t>B05002_026EA,B05002_026M,B05002_026MA</t>
  </si>
  <si>
    <t>Foreign-born: Not a US citizen: Latin America</t>
  </si>
  <si>
    <t>Estimate: Total: Foreign-born: Not a US citizen: Latin America</t>
  </si>
  <si>
    <t>B05002_027E</t>
  </si>
  <si>
    <t>Foreign born: Not a US citizen: Northern America</t>
  </si>
  <si>
    <t>Estimate: Total: Foreign born: Not a US citizen: Northern America</t>
  </si>
  <si>
    <t>B05002_027EA,B05002_027M,B05002_027MA</t>
  </si>
  <si>
    <t>Foreign-born: Not a US citizen: Northern America</t>
  </si>
  <si>
    <t>Estimate: Total: Foreign-born: Not a US citizen: Northern America</t>
  </si>
  <si>
    <t>B05001</t>
  </si>
  <si>
    <t>B05001_002E</t>
  </si>
  <si>
    <t>US citizen born in the United States</t>
  </si>
  <si>
    <t>S16</t>
  </si>
  <si>
    <t>Citizenship Status</t>
  </si>
  <si>
    <t>Estimate: Total: US citizen born in the United States</t>
  </si>
  <si>
    <t>CITIZENSHIP STATUS IN THE UNITED STATES</t>
  </si>
  <si>
    <t>B05001_002EA,B05001_002M,B05001_002MA</t>
  </si>
  <si>
    <t>B05001_003E</t>
  </si>
  <si>
    <t>US citizen born in Puerto Rico or US Island Areas</t>
  </si>
  <si>
    <t>Estimate: Total: US citizen born in Puerto Rico or US Island Areas</t>
  </si>
  <si>
    <t>B05001_003EA,B05001_003M,B05001_003MA</t>
  </si>
  <si>
    <t>B05001_004E</t>
  </si>
  <si>
    <t>US citizen born abroad of American parents</t>
  </si>
  <si>
    <t>Estimate: Total: US citizen born abroad of American parents</t>
  </si>
  <si>
    <t>B05001_004EA,B05001_004M,B05001_004MA</t>
  </si>
  <si>
    <t>B05001_005E</t>
  </si>
  <si>
    <t>US citizen by naturalization</t>
  </si>
  <si>
    <t>Estimate: Total: US citizen by naturalization</t>
  </si>
  <si>
    <t>B05001_005EA,B05001_005M,B05001_005MA</t>
  </si>
  <si>
    <t>B05001_006E</t>
  </si>
  <si>
    <t>Not a US citizen</t>
  </si>
  <si>
    <t>Estimate: Total: Not a US citizen</t>
  </si>
  <si>
    <t>B05001_006EA,B05001_006M,B05001_006MA</t>
  </si>
  <si>
    <t>B05005</t>
  </si>
  <si>
    <t>B05005_001E</t>
  </si>
  <si>
    <t>Population born outside the US</t>
  </si>
  <si>
    <t>S17</t>
  </si>
  <si>
    <t>Citizenship Status by Year of Entry</t>
  </si>
  <si>
    <t>YEAR OF ENTRY BY CITIZENSHIP STATUS IN THE UNITED STATES</t>
  </si>
  <si>
    <t>B05005_001EA,B05005_001M,B05005_001MA</t>
  </si>
  <si>
    <t>B05005_002E</t>
  </si>
  <si>
    <t>Entered 2000 or later</t>
  </si>
  <si>
    <t>Estimate: Total: Entered 2000 or later</t>
  </si>
  <si>
    <t>B05005_002EA,B05005_002M,B05005_002MA</t>
  </si>
  <si>
    <t>Entered 2010 or later</t>
  </si>
  <si>
    <t>Estimate: Total: Entered 2010 or later</t>
  </si>
  <si>
    <t>YEAR OF ENTRY BY NATIVITY AND CITIZENSHIP STATUS IN THE UNITED STATES</t>
  </si>
  <si>
    <t>B05005_003E</t>
  </si>
  <si>
    <t>Entered 2000 or later: Native</t>
  </si>
  <si>
    <t>Estimate: Total: Entered 2000 or later: Native</t>
  </si>
  <si>
    <t>B05005_003EA,B05005_003M,B05005_003MA</t>
  </si>
  <si>
    <t>Entered 2010 or later: Native</t>
  </si>
  <si>
    <t>Estimate: Total: Entered 2010 or later: Native</t>
  </si>
  <si>
    <t>B05005_004E</t>
  </si>
  <si>
    <t>Entered 2000 or later: Foreign born</t>
  </si>
  <si>
    <t>Estimate: Total: Entered 2000 or later: Foreign born</t>
  </si>
  <si>
    <t>B05005_004EA,B05005_004M,B05005_004MA</t>
  </si>
  <si>
    <t>2012, 2013, 2014, 2015, 2016, 2017, 2018, 2019, 2020, 2021, 2022</t>
  </si>
  <si>
    <t>Entered 2010 or later: Foreign born</t>
  </si>
  <si>
    <t>Estimate: Total: Entered 2010 or later: Foreign born</t>
  </si>
  <si>
    <t>Entered 2010 or later: Foreign-born</t>
  </si>
  <si>
    <t>Estimate: Total: Entered 2010 or later: Foreign-born</t>
  </si>
  <si>
    <t>Period of Entry by Nativity and Citizenship Status in the United States</t>
  </si>
  <si>
    <t>B05005_005E</t>
  </si>
  <si>
    <t>Entered 2000 or later: Foreign born: Naturalized US citizen</t>
  </si>
  <si>
    <t>Estimate: Total: Entered 2000 or later: Foreign born: Naturalized US citizen</t>
  </si>
  <si>
    <t>B05005_005EA,B05005_005M,B05005_005MA</t>
  </si>
  <si>
    <t>Entered 2010 or later: Foreign born: Naturalized US citizen</t>
  </si>
  <si>
    <t>Estimate: Total: Entered 2010 or later: Foreign born: Naturalized US citizen</t>
  </si>
  <si>
    <t>Entered 2010 or later: Foreign-born: Naturalized US citizen</t>
  </si>
  <si>
    <t>Estimate: Total: Entered 2010 or later: Foreign-born: Naturalized US citizen</t>
  </si>
  <si>
    <t>B05005_006E</t>
  </si>
  <si>
    <t>Entered 2000 or later: Foreign born: Not a US citizen</t>
  </si>
  <si>
    <t>Estimate: Total: Entered 2000 or later: Foreign born: Not a US citizen</t>
  </si>
  <si>
    <t>B05005_006EA,B05005_006M,B05005_006MA</t>
  </si>
  <si>
    <t>Entered 2010 or later: Foreign born: Not a US citizen</t>
  </si>
  <si>
    <t>Estimate: Total: Entered 2010 or later: Foreign born: Not a US citizen</t>
  </si>
  <si>
    <t>Entered 2010 or later: Foreign-born: Not a US citizen</t>
  </si>
  <si>
    <t>Estimate: Total: Entered 2010 or later: Foreign-born: Not a US citizen</t>
  </si>
  <si>
    <t>B05005_007E</t>
  </si>
  <si>
    <t>Entered 1990 to 1999</t>
  </si>
  <si>
    <t>Estimate: Total: Entered 1990 to 1999</t>
  </si>
  <si>
    <t>B05005_007EA,B05005_007M,B05005_007MA</t>
  </si>
  <si>
    <t>Entered 2000 to 2009</t>
  </si>
  <si>
    <t>Estimate: Total: Entered 2000 to 2009</t>
  </si>
  <si>
    <t>B05005_008E</t>
  </si>
  <si>
    <t>Entered 1990 to 1999: Native</t>
  </si>
  <si>
    <t>Estimate: Total: Entered 1990 to 1999: Native</t>
  </si>
  <si>
    <t>B05005_008EA,B05005_008M,B05005_008MA</t>
  </si>
  <si>
    <t>Entered 2000 to 2009: Native</t>
  </si>
  <si>
    <t>Estimate: Total: Entered 2000 to 2009: Native</t>
  </si>
  <si>
    <t>B05005_009E</t>
  </si>
  <si>
    <t>Entered 1990 to 1999: Foreign born</t>
  </si>
  <si>
    <t>Estimate: Total: Entered 1990 to 1999: Foreign born</t>
  </si>
  <si>
    <t>B05005_009EA,B05005_009M,B05005_009MA</t>
  </si>
  <si>
    <t>Entered 2000 to 2009: Foreign born</t>
  </si>
  <si>
    <t>Estimate: Total: Entered 2000 to 2009: Foreign born</t>
  </si>
  <si>
    <t>Entered 2000 to 2009: Foreign-born</t>
  </si>
  <si>
    <t>Estimate: Total: Entered 2000 to 2009: Foreign-born</t>
  </si>
  <si>
    <t>B05005_010E</t>
  </si>
  <si>
    <t>Entered 1990 to 1999: Foreign born: Naturalized US citizen</t>
  </si>
  <si>
    <t>Estimate: Total: Entered 1990 to 1999: Foreign born: Naturalized US citizen</t>
  </si>
  <si>
    <t>B05005_010EA,B05005_010M,B05005_010MA</t>
  </si>
  <si>
    <t>Entered 2000 to 2009: Foreign born: Naturalized US citizen</t>
  </si>
  <si>
    <t>Estimate: Total: Entered 2000 to 2009: Foreign born: Naturalized US citizen</t>
  </si>
  <si>
    <t>Entered 2000 to 2009: Foreign-born: Naturalized US citizen</t>
  </si>
  <si>
    <t>Estimate: Total: Entered 2000 to 2009: Foreign-born: Naturalized US citizen</t>
  </si>
  <si>
    <t>B05005_011E</t>
  </si>
  <si>
    <t>Entered 1990 to 1999: Foreign born: Not a US citizen</t>
  </si>
  <si>
    <t>Estimate: Total: Entered 1990 to 1999: Foreign born: Not a US citizen</t>
  </si>
  <si>
    <t>B05005_011EA,B05005_011M,B05005_011MA</t>
  </si>
  <si>
    <t>Entered 2000 to 2009: Foreign born: Not a US citizen</t>
  </si>
  <si>
    <t>Estimate: Total: Entered 2000 to 2009: Foreign born: Not a US citizen</t>
  </si>
  <si>
    <t>Entered 2000 to 2009: Foreign-born: Not a US citizen</t>
  </si>
  <si>
    <t>Estimate: Total: Entered 2000 to 2009: Foreign-born: Not a US citizen</t>
  </si>
  <si>
    <t>B05005_012E</t>
  </si>
  <si>
    <t>Entered 1980 to 1989</t>
  </si>
  <si>
    <t>Estimate: Total: Entered 1980 to 1989</t>
  </si>
  <si>
    <t>B05005_012EA,B05005_012M,B05005_012MA</t>
  </si>
  <si>
    <t>B05005_013E</t>
  </si>
  <si>
    <t>Entered 1980 to 1989: Native</t>
  </si>
  <si>
    <t>Estimate: Total: Entered 1980 to 1989: Native</t>
  </si>
  <si>
    <t>B05005_013EA,B05005_013M,B05005_013MA</t>
  </si>
  <si>
    <t>B05005_014E</t>
  </si>
  <si>
    <t>Entered 1980 to 1989: Foreign born</t>
  </si>
  <si>
    <t>Estimate: Total: Entered 1980 to 1989: Foreign born</t>
  </si>
  <si>
    <t>B05005_014EA,B05005_014M,B05005_014MA</t>
  </si>
  <si>
    <t>Entered 1990 to 1999: Foreign-born</t>
  </si>
  <si>
    <t>Estimate: Total: Entered 1990 to 1999: Foreign-born</t>
  </si>
  <si>
    <t>B05005_015E</t>
  </si>
  <si>
    <t>Entered 1980 to 1989: Foreign born: Naturalized US citizen</t>
  </si>
  <si>
    <t>Estimate: Total: Entered 1980 to 1989: Foreign born: Naturalized US citizen</t>
  </si>
  <si>
    <t>B05005_015EA,B05005_015M,B05005_015MA</t>
  </si>
  <si>
    <t>Entered 1990 to 1999: Foreign-born: Naturalized US citizen</t>
  </si>
  <si>
    <t>Estimate: Total: Entered 1990 to 1999: Foreign-born: Naturalized US citizen</t>
  </si>
  <si>
    <t>B05005_016E</t>
  </si>
  <si>
    <t>Entered 1980 to 1989: Foreign born: Not a US citizen</t>
  </si>
  <si>
    <t>Estimate: Total: Entered 1980 to 1989: Foreign born: Not a US citizen</t>
  </si>
  <si>
    <t>B05005_016EA,B05005_016M,B05005_016MA</t>
  </si>
  <si>
    <t>Entered 1990 to 1999: Foreign-born: Not a US citizen</t>
  </si>
  <si>
    <t>Estimate: Total: Entered 1990 to 1999: Foreign-born: Not a US citizen</t>
  </si>
  <si>
    <t>B05005_017E</t>
  </si>
  <si>
    <t>Entered before 1980</t>
  </si>
  <si>
    <t>Estimate: Total: Entered before 1980</t>
  </si>
  <si>
    <t>B05005_017EA,B05005_017M,B05005_017MA</t>
  </si>
  <si>
    <t>Entered before 1990</t>
  </si>
  <si>
    <t>Estimate: Total: Entered before 1990</t>
  </si>
  <si>
    <t>B05005_018E</t>
  </si>
  <si>
    <t>Entered before 1980: Native</t>
  </si>
  <si>
    <t>Estimate: Total: Entered before 1980: Native</t>
  </si>
  <si>
    <t>B05005_018EA,B05005_018M,B05005_018MA</t>
  </si>
  <si>
    <t>Entered before 1990: Native</t>
  </si>
  <si>
    <t>Estimate: Total: Entered before 1990: Native</t>
  </si>
  <si>
    <t>B05005_019E</t>
  </si>
  <si>
    <t>Entered before 1980: Foreign born</t>
  </si>
  <si>
    <t>Estimate: Total: Entered before 1980: Foreign born</t>
  </si>
  <si>
    <t>B05005_019EA,B05005_019M,B05005_019MA</t>
  </si>
  <si>
    <t>Entered before 1990: Foreign born</t>
  </si>
  <si>
    <t>Estimate: Total: Entered before 1990: Foreign born</t>
  </si>
  <si>
    <t>Entered before 1990: Foreign-born</t>
  </si>
  <si>
    <t>Estimate: Total: Entered before 1990: Foreign-born</t>
  </si>
  <si>
    <t>B05005_020E</t>
  </si>
  <si>
    <t>Entered before 1980: Foreign born: Naturalized US citizen</t>
  </si>
  <si>
    <t>Estimate: Total: Entered before 1980: Foreign born: Naturalized US citizen</t>
  </si>
  <si>
    <t>B05005_020EA,B05005_020M,B05005_020MA</t>
  </si>
  <si>
    <t>Entered before 1990: Foreign born: Naturalized US citizen</t>
  </si>
  <si>
    <t>Estimate: Total: Entered before 1990: Foreign born: Naturalized US citizen</t>
  </si>
  <si>
    <t>Entered before 1990: Foreign-born: Naturalized US citizen</t>
  </si>
  <si>
    <t>Estimate: Total: Entered before 1990: Foreign-born: Naturalized US citizen</t>
  </si>
  <si>
    <t>B05005_021E</t>
  </si>
  <si>
    <t>Entered before 1980: Foreign born: Not a US citizen</t>
  </si>
  <si>
    <t>Estimate: Total: Entered before 1980: Foreign born: Not a US citizen</t>
  </si>
  <si>
    <t>B05005_021EA,B05005_021M,B05005_021MA</t>
  </si>
  <si>
    <t>Entered before 1990: Foreign born: Not a US citizen</t>
  </si>
  <si>
    <t>Estimate: Total: Entered before 1990: Foreign born: Not a US citizen</t>
  </si>
  <si>
    <t>Entered before 1990: Foreign-born: Not a US citizen</t>
  </si>
  <si>
    <t>Estimate: Total: Entered before 1990: Foreign-born: Not a US citizen</t>
  </si>
  <si>
    <t>B05006</t>
  </si>
  <si>
    <t>B05006_001E</t>
  </si>
  <si>
    <t>Foreign-born population, excluding population born at sea</t>
  </si>
  <si>
    <t>S18</t>
  </si>
  <si>
    <t>World Region of Birth of Foreign Born Population</t>
  </si>
  <si>
    <t>PLACE OF BIRTH FOR THE FOREIGN-BORN POPULATION IN THE UNITED STATES</t>
  </si>
  <si>
    <t>B05006_001EA,B05006_001M,B05006_001MA</t>
  </si>
  <si>
    <t>B05006_002E</t>
  </si>
  <si>
    <t>Europe</t>
  </si>
  <si>
    <t>Estimate: Total: Europe</t>
  </si>
  <si>
    <t>B05006_002EA,B05006_002M,B05006_002MA</t>
  </si>
  <si>
    <t>B05006_003E</t>
  </si>
  <si>
    <t>Europe: Northern Europe</t>
  </si>
  <si>
    <t>Estimate: Total: Europe: Northern Europe</t>
  </si>
  <si>
    <t>B05006_003EA,B05006_003M,B05006_003MA</t>
  </si>
  <si>
    <t>B05006_013E</t>
  </si>
  <si>
    <t>Europe: Western Europe</t>
  </si>
  <si>
    <t>Estimate: Total: Europe: Western Europe</t>
  </si>
  <si>
    <t>B05006_013EA,B05006_013M,B05006_013MA</t>
  </si>
  <si>
    <t>B05006_021E</t>
  </si>
  <si>
    <t>Europe: Southern Europe</t>
  </si>
  <si>
    <t>Estimate: Total: Europe: Southern Europe</t>
  </si>
  <si>
    <t>B05006_021EA,B05006_021M,B05006_021MA</t>
  </si>
  <si>
    <t>B05006_027E</t>
  </si>
  <si>
    <t>Europe: Eastern Europe</t>
  </si>
  <si>
    <t>Estimate: Total: Europe: Eastern Europe</t>
  </si>
  <si>
    <t>B05006_027EA,B05006_027M,B05006_027MA</t>
  </si>
  <si>
    <t>B05006_028E</t>
  </si>
  <si>
    <t>B05006_028EA,B05006_028M,B05006_028MA</t>
  </si>
  <si>
    <t>B05006_046E</t>
  </si>
  <si>
    <t>Asia</t>
  </si>
  <si>
    <t>Estimate: Total: Asia</t>
  </si>
  <si>
    <t>B05006_046EA,B05006_046M,B05006_046MA</t>
  </si>
  <si>
    <t>2010, 2011, 2013, 2014, 2015, 2016, 2017, 2018, 2019, 2020, 2021, 2022, 2023, 2024</t>
  </si>
  <si>
    <t>B05006_047E</t>
  </si>
  <si>
    <t>B05006_047EA,B05006_047M,B05006_047MA</t>
  </si>
  <si>
    <t>Asia: Eastern Asia</t>
  </si>
  <si>
    <t>Estimate: Total: Asia: Eastern Asia</t>
  </si>
  <si>
    <t>B05006_048E</t>
  </si>
  <si>
    <t>B05006_048EA,B05006_048M,B05006_048MA</t>
  </si>
  <si>
    <t>B05006_055E</t>
  </si>
  <si>
    <t>Asia: South Central Asia</t>
  </si>
  <si>
    <t>Estimate: Total: Asia: South Central Asia</t>
  </si>
  <si>
    <t>B05006_055EA,B05006_055M,B05006_055MA</t>
  </si>
  <si>
    <t>B05006_056E</t>
  </si>
  <si>
    <t>B05006_056EA,B05006_056M,B05006_056MA</t>
  </si>
  <si>
    <t>B05006_066E</t>
  </si>
  <si>
    <t>Asia: South Eastern Asia</t>
  </si>
  <si>
    <t>Estimate: Total: Asia: South Eastern Asia</t>
  </si>
  <si>
    <t>B05006_066EA,B05006_066M,B05006_066MA</t>
  </si>
  <si>
    <t>2010, 2011, 2013, 2014, 2015, 2016, 2017, 2018, 2019, 2020, 2021</t>
  </si>
  <si>
    <t>B05006_067E</t>
  </si>
  <si>
    <t>B05006_067EA,B05006_067M,B05006_067MA</t>
  </si>
  <si>
    <t>2022, 2023, 2024</t>
  </si>
  <si>
    <t>B05006_068E</t>
  </si>
  <si>
    <t>Place of Birth for the Foreign-Born Population in the United States</t>
  </si>
  <si>
    <t>B05006_068EA,B05006_068M,B05006_068MA</t>
  </si>
  <si>
    <t>B05006_077E</t>
  </si>
  <si>
    <t>Asia: Western Asia</t>
  </si>
  <si>
    <t>Estimate: Total: Asia: Western Asia</t>
  </si>
  <si>
    <t>B05006_077EA,B05006_077M,B05006_077MA</t>
  </si>
  <si>
    <t>B05006_078E</t>
  </si>
  <si>
    <t>B05006_078EA,B05006_078M,B05006_078MA</t>
  </si>
  <si>
    <t>B05006_079E</t>
  </si>
  <si>
    <t>B05006_079EA,B05006_079M,B05006_079MA</t>
  </si>
  <si>
    <t>B05006_090E</t>
  </si>
  <si>
    <t>Africa</t>
  </si>
  <si>
    <t>Estimate: Total: Africa</t>
  </si>
  <si>
    <t>B05006_090EA,B05006_090M,B05006_090MA</t>
  </si>
  <si>
    <t>B05006_091E</t>
  </si>
  <si>
    <t>B05006_091EA,B05006_091M,B05006_091MA</t>
  </si>
  <si>
    <t>B05006_095E</t>
  </si>
  <si>
    <t>B05006_095EA,B05006_095M,B05006_095MA</t>
  </si>
  <si>
    <t>Africa: Eastern Africa</t>
  </si>
  <si>
    <t>Estimate: Total: Africa: Eastern Africa</t>
  </si>
  <si>
    <t>B05006_092E</t>
  </si>
  <si>
    <t>B05006_092EA,B05006_092M,B05006_092MA</t>
  </si>
  <si>
    <t>B05006_096E</t>
  </si>
  <si>
    <t>B05006_096EA,B05006_096M,B05006_096MA</t>
  </si>
  <si>
    <t>2010, 2011, 2013, 2014</t>
  </si>
  <si>
    <t>B05006_097E</t>
  </si>
  <si>
    <t>Africa: Middle Africa</t>
  </si>
  <si>
    <t>Estimate: Total: Africa: Middle Africa</t>
  </si>
  <si>
    <t>B05006_097EA,B05006_097M,B05006_097MA</t>
  </si>
  <si>
    <t>B05006_098E</t>
  </si>
  <si>
    <t>B05006_098EA,B05006_098M,B05006_098MA</t>
  </si>
  <si>
    <t>2019, 2020, 2021</t>
  </si>
  <si>
    <t>B05006_100E</t>
  </si>
  <si>
    <t>B05006_100EA,B05006_100M,B05006_100MA</t>
  </si>
  <si>
    <t>B05006_105E</t>
  </si>
  <si>
    <t>B05006_105EA,B05006_105M,B05006_105MA</t>
  </si>
  <si>
    <t>Africa: Northern Africa</t>
  </si>
  <si>
    <t>Estimate: Total: Africa: Northern Africa</t>
  </si>
  <si>
    <t>B05006_099E</t>
  </si>
  <si>
    <t>B05006_099EA,B05006_099M,B05006_099MA</t>
  </si>
  <si>
    <t>B05006_101E</t>
  </si>
  <si>
    <t>B05006_101EA,B05006_101M,B05006_101MA</t>
  </si>
  <si>
    <t>B05006_110E</t>
  </si>
  <si>
    <t>B05006_110EA,B05006_110M,B05006_110MA</t>
  </si>
  <si>
    <t>B05006_104E</t>
  </si>
  <si>
    <t>Africa: Southern Africa</t>
  </si>
  <si>
    <t>Estimate: Total: Africa: Southern Africa</t>
  </si>
  <si>
    <t>B05006_104EA,B05006_104M,B05006_104MA</t>
  </si>
  <si>
    <t>B05006_106E</t>
  </si>
  <si>
    <t>B05006_106EA,B05006_106M,B05006_106MA</t>
  </si>
  <si>
    <t>B05006_116E</t>
  </si>
  <si>
    <t>B05006_116EA,B05006_116M,B05006_116MA</t>
  </si>
  <si>
    <t>B05006_107E</t>
  </si>
  <si>
    <t>Africa: Western Africa</t>
  </si>
  <si>
    <t>Estimate: Total: Africa: Western Africa</t>
  </si>
  <si>
    <t>B05006_107EA,B05006_107M,B05006_107MA</t>
  </si>
  <si>
    <t>B05006_108E</t>
  </si>
  <si>
    <t>B05006_108EA,B05006_108M,B05006_108MA</t>
  </si>
  <si>
    <t>B05006_109E</t>
  </si>
  <si>
    <t>B05006_109EA,B05006_109M,B05006_109MA</t>
  </si>
  <si>
    <t>B05006_113E</t>
  </si>
  <si>
    <t>B05006_113EA,B05006_113M,B05006_113MA</t>
  </si>
  <si>
    <t>B05006_119E</t>
  </si>
  <si>
    <t>B05006_119EA,B05006_119M,B05006_119MA</t>
  </si>
  <si>
    <t>B05006_115E</t>
  </si>
  <si>
    <t>Oceania</t>
  </si>
  <si>
    <t>Estimate: Total: Oceania</t>
  </si>
  <si>
    <t>B05006_115EA,B05006_115M,B05006_115MA</t>
  </si>
  <si>
    <t>B05006_117E</t>
  </si>
  <si>
    <t>B05006_117EA,B05006_117M,B05006_117MA</t>
  </si>
  <si>
    <t>B05006_122E</t>
  </si>
  <si>
    <t>B05006_122EA,B05006_122M,B05006_122MA</t>
  </si>
  <si>
    <t>B05006_130E</t>
  </si>
  <si>
    <t>B05006_130EA,B05006_130M,B05006_130MA</t>
  </si>
  <si>
    <t>Oceania: Australia and New Zealand Subregion</t>
  </si>
  <si>
    <t>Estimate: Total: Oceania: Australia and New Zealand Subregion</t>
  </si>
  <si>
    <t>B05006_118E</t>
  </si>
  <si>
    <t>B05006_118EA,B05006_118M,B05006_118MA</t>
  </si>
  <si>
    <t>B05006_123E</t>
  </si>
  <si>
    <t>B05006_123EA,B05006_123M,B05006_123MA</t>
  </si>
  <si>
    <t>B05006_131E</t>
  </si>
  <si>
    <t>B05006_131EA,B05006_131M,B05006_131MA</t>
  </si>
  <si>
    <t>B05006_121E</t>
  </si>
  <si>
    <t>Americas</t>
  </si>
  <si>
    <t>Estimate: Total: Americas</t>
  </si>
  <si>
    <t>B05006_121EA,B05006_121M,B05006_121MA</t>
  </si>
  <si>
    <t>B05006_129E</t>
  </si>
  <si>
    <t>B05006_129EA,B05006_129M,B05006_129MA</t>
  </si>
  <si>
    <t>B05006_138E</t>
  </si>
  <si>
    <t>B05006_138EA,B05006_138M,B05006_138MA</t>
  </si>
  <si>
    <t>Americas: Latin America</t>
  </si>
  <si>
    <t>Estimate: Total: Americas: Latin America</t>
  </si>
  <si>
    <t>B05006_124E</t>
  </si>
  <si>
    <t>B05006_124EA,B05006_124M,B05006_124MA</t>
  </si>
  <si>
    <t>B05006_139E</t>
  </si>
  <si>
    <t>B05006_139EA,B05006_139M,B05006_139MA</t>
  </si>
  <si>
    <t>Americas: Latin America: Caribbean</t>
  </si>
  <si>
    <t>Estimate: Total: Americas: Latin America: Caribbean</t>
  </si>
  <si>
    <t>B05006_125E</t>
  </si>
  <si>
    <t>B05006_125EA,B05006_125M,B05006_125MA</t>
  </si>
  <si>
    <t>B05006_140E</t>
  </si>
  <si>
    <t>B05006_140EA,B05006_140M,B05006_140MA</t>
  </si>
  <si>
    <t>B05006_136E</t>
  </si>
  <si>
    <t>Americas: Latin America: Central America</t>
  </si>
  <si>
    <t>Estimate: Total: Americas: Latin America: Central America</t>
  </si>
  <si>
    <t>B05006_136EA,B05006_136M,B05006_136MA</t>
  </si>
  <si>
    <t>B05006_137E</t>
  </si>
  <si>
    <t>B05006_137EA,B05006_137M,B05006_137MA</t>
  </si>
  <si>
    <t>B05006_144E</t>
  </si>
  <si>
    <t>B05006_144EA,B05006_144M,B05006_144MA</t>
  </si>
  <si>
    <t>B05006_154E</t>
  </si>
  <si>
    <t>B05006_154EA,B05006_154M,B05006_154MA</t>
  </si>
  <si>
    <t>B05006_146E</t>
  </si>
  <si>
    <t>Americas: Latin America: South America</t>
  </si>
  <si>
    <t>Estimate: Total: Americas: Latin America: South America</t>
  </si>
  <si>
    <t>B05006_146EA,B05006_146M,B05006_146MA</t>
  </si>
  <si>
    <t>B05006_147E</t>
  </si>
  <si>
    <t>B05006_147EA,B05006_147M,B05006_147MA</t>
  </si>
  <si>
    <t>B05006_148E</t>
  </si>
  <si>
    <t>B05006_148EA,B05006_148M,B05006_148MA</t>
  </si>
  <si>
    <t>B05006_164E</t>
  </si>
  <si>
    <t>B05006_164EA,B05006_164M,B05006_164MA</t>
  </si>
  <si>
    <t>B05006_158E</t>
  </si>
  <si>
    <t>Americas: Northern America</t>
  </si>
  <si>
    <t>Estimate: Total: Americas: Northern America</t>
  </si>
  <si>
    <t>B05006_158EA,B05006_158M,B05006_158MA</t>
  </si>
  <si>
    <t>B05006_159E</t>
  </si>
  <si>
    <t>B05006_159EA,B05006_159M,B05006_159MA</t>
  </si>
  <si>
    <t>B05006_160E</t>
  </si>
  <si>
    <t>B05006_160EA,B05006_160M,B05006_160MA</t>
  </si>
  <si>
    <t>B05006_166E</t>
  </si>
  <si>
    <t>B05006_166EA,B05006_166M,B05006_166MA</t>
  </si>
  <si>
    <t>B05006_176E</t>
  </si>
  <si>
    <t>B05006_176EA,B05006_176M,B05006_176MA</t>
  </si>
  <si>
    <t>2016, 2017, 2018, 2019, 2020, 2021, 2022, 2023, 2024</t>
  </si>
  <si>
    <t>C16</t>
  </si>
  <si>
    <t>C16002</t>
  </si>
  <si>
    <t>C16002_002E</t>
  </si>
  <si>
    <t>English only households</t>
  </si>
  <si>
    <t>S19</t>
  </si>
  <si>
    <t>Language Spoken in Households</t>
  </si>
  <si>
    <t>Estimate: Total: English only</t>
  </si>
  <si>
    <t>HOUSEHOLD LANGUAGE BY HOUSEHOLD LIMITED ENGLISH SPEAKING STATUS</t>
  </si>
  <si>
    <t>C16002_002EA,C16002_002M,C16002_002MA</t>
  </si>
  <si>
    <t>C16002_003E</t>
  </si>
  <si>
    <t>Spanish households</t>
  </si>
  <si>
    <t>Estimate: Total: Spanish</t>
  </si>
  <si>
    <t>C16002_003EA,C16002_003M,C16002_003MA</t>
  </si>
  <si>
    <t>C16002_004E</t>
  </si>
  <si>
    <t>Spanish: Limited English speaking household</t>
  </si>
  <si>
    <t>Estimate: Total: Spanish: Limited English speaking household</t>
  </si>
  <si>
    <t>C16002_004EA,C16002_004M,C16002_004MA</t>
  </si>
  <si>
    <t>C16002_005E</t>
  </si>
  <si>
    <t>Spanish: Not a limited English speaking household</t>
  </si>
  <si>
    <t>Estimate: Total: Spanish: Not a limited English speaking household</t>
  </si>
  <si>
    <t>C16002_005EA,C16002_005M,C16002_005MA</t>
  </si>
  <si>
    <t>C16002_006E</t>
  </si>
  <si>
    <t>Other Indo-European languages</t>
  </si>
  <si>
    <t>Estimate: Total: Other Indo-European languages</t>
  </si>
  <si>
    <t>C16002_006EA,C16002_006M,C16002_006MA</t>
  </si>
  <si>
    <t>C16002_007E</t>
  </si>
  <si>
    <t>Other Indo-European languages: Limited English speaking household</t>
  </si>
  <si>
    <t>Estimate: Total: Other Indo-European languages: Limited English speaking household</t>
  </si>
  <si>
    <t>C16002_007EA,C16002_007M,C16002_007MA</t>
  </si>
  <si>
    <t>C16002_008E</t>
  </si>
  <si>
    <t>Other Indo-European languages: Not a limited English speaking household</t>
  </si>
  <si>
    <t>Estimate: Total: Other Indo-European languages: Not a limited English speaking household</t>
  </si>
  <si>
    <t>C16002_008EA,C16002_008M,C16002_008MA</t>
  </si>
  <si>
    <t>C16002_009E</t>
  </si>
  <si>
    <t>Asian and Pacific Island languages</t>
  </si>
  <si>
    <t>Estimate: Total: Asian and Pacific Island languages</t>
  </si>
  <si>
    <t>C16002_009EA,C16002_009M,C16002_009MA</t>
  </si>
  <si>
    <t>C16002_010E</t>
  </si>
  <si>
    <t>Asian and Pacific Island languages: Limited English speaking household</t>
  </si>
  <si>
    <t>Estimate: Total: Asian and Pacific Island languages: Limited English speaking household</t>
  </si>
  <si>
    <t>C16002_010EA,C16002_010M,C16002_010MA</t>
  </si>
  <si>
    <t>C16002_011E</t>
  </si>
  <si>
    <t>Asian and Pacific Island languages: Not a limited English speaking household</t>
  </si>
  <si>
    <t>Estimate: Total: Asian and Pacific Island languages: Not a limited English speaking household</t>
  </si>
  <si>
    <t>C16002_011EA,C16002_011M,C16002_011MA</t>
  </si>
  <si>
    <t>C16002_012E</t>
  </si>
  <si>
    <t>Other languages</t>
  </si>
  <si>
    <t>Estimate: Total: Other languages</t>
  </si>
  <si>
    <t>C16002_012EA,C16002_012M,C16002_012MA</t>
  </si>
  <si>
    <t>C16002_013E</t>
  </si>
  <si>
    <t>Other languages: Limited English speaking household</t>
  </si>
  <si>
    <t>Estimate: Total: Other languages: Limited English speaking household</t>
  </si>
  <si>
    <t>C16002_013EA,C16002_013M,C16002_013MA</t>
  </si>
  <si>
    <t>C16002_014E</t>
  </si>
  <si>
    <t>Other languages: Not a limited English speaking household</t>
  </si>
  <si>
    <t>Estimate: Total: Other languages: Not a limited English speaking household</t>
  </si>
  <si>
    <t>C16002_014EA,C16002_014M,C16002_014MA</t>
  </si>
  <si>
    <t>B16</t>
  </si>
  <si>
    <t>B16004</t>
  </si>
  <si>
    <t>B16004_001E</t>
  </si>
  <si>
    <t>Population 5 years and over</t>
  </si>
  <si>
    <t>S20</t>
  </si>
  <si>
    <t>Language Spoken at Home</t>
  </si>
  <si>
    <t>AGE BY LANGUAGE SPOKEN AT HOME BY ABILITY TO SPEAK ENGLISH FOR THE POPULATION 5 YEARS AND OVER</t>
  </si>
  <si>
    <t>B16004_001EA,B16004_001M,B16004_001MA</t>
  </si>
  <si>
    <t>B16004_041E</t>
  </si>
  <si>
    <t>18 to 64 years: Speak other languages</t>
  </si>
  <si>
    <t>Estimate: Total: 18 to 64 years: Speak other languages</t>
  </si>
  <si>
    <t>B16004_041EA,B16004_041M,B16004_041MA</t>
  </si>
  <si>
    <t>B16004_002E</t>
  </si>
  <si>
    <t>5 to 17 years</t>
  </si>
  <si>
    <t>Estimate: Total: 5 to 17 years</t>
  </si>
  <si>
    <t>B16004_002EA,B16004_002M,B16004_002MA</t>
  </si>
  <si>
    <t>B16004_042E</t>
  </si>
  <si>
    <t>18 to 64 years: Speak other languages: Speak English very well</t>
  </si>
  <si>
    <t>Estimate: Total: 18 to 64 years: Speak other languages: Speak English very well</t>
  </si>
  <si>
    <t>B16004_042EA,B16004_042M,B16004_042MA</t>
  </si>
  <si>
    <t>B16004_003E</t>
  </si>
  <si>
    <t>5 to 17 years: Speak only English</t>
  </si>
  <si>
    <t>Estimate: Total: 5 to 17 years: Speak only English</t>
  </si>
  <si>
    <t>B16004_003EA,B16004_003M,B16004_003MA</t>
  </si>
  <si>
    <t>B16004_043E</t>
  </si>
  <si>
    <t>18 to 64 years: Speak other languages: Speak English well</t>
  </si>
  <si>
    <t>Estimate: Total: 18 to 64 years: Speak other languages: Speak English well</t>
  </si>
  <si>
    <t>B16004_043EA,B16004_043M,B16004_043MA</t>
  </si>
  <si>
    <t>B16004_004E</t>
  </si>
  <si>
    <t>5 to 17 years: Speak Spanish</t>
  </si>
  <si>
    <t>Estimate: Total: 5 to 17 years: Speak Spanish</t>
  </si>
  <si>
    <t>B16004_004EA,B16004_004M,B16004_004MA</t>
  </si>
  <si>
    <t>B16004_044E</t>
  </si>
  <si>
    <t>18 to 64 years: Speak other languages: Speak English not well</t>
  </si>
  <si>
    <t>Estimate: Total: 18 to 64 years: Speak other languages: Speak English not well</t>
  </si>
  <si>
    <t>B16004_044EA,B16004_044M,B16004_044MA</t>
  </si>
  <si>
    <t>B16004_005E</t>
  </si>
  <si>
    <t>5 to 17 years: Speak Spanish: Speak English very well</t>
  </si>
  <si>
    <t>Estimate: Total: 5 to 17 years: Speak Spanish: Speak English very well</t>
  </si>
  <si>
    <t>B16004_005EA,B16004_005M,B16004_005MA</t>
  </si>
  <si>
    <t>B16004_045E</t>
  </si>
  <si>
    <t>18 to 64 years: Speak other languages: Speak English not at all</t>
  </si>
  <si>
    <t>Estimate: Total: 18 to 64 years: Speak other languages: Speak English not at all</t>
  </si>
  <si>
    <t>B16004_045EA,B16004_045M,B16004_045MA</t>
  </si>
  <si>
    <t>B16004_006E</t>
  </si>
  <si>
    <t>5 to 17 years: Speak Spanish: Speak English well</t>
  </si>
  <si>
    <t>Estimate: Total: 5 to 17 years: Speak Spanish: Speak English well</t>
  </si>
  <si>
    <t>B16004_006EA,B16004_006M,B16004_006MA</t>
  </si>
  <si>
    <t>B16004_046E</t>
  </si>
  <si>
    <t>65 years and over</t>
  </si>
  <si>
    <t>Estimate: Total: 65 years and over</t>
  </si>
  <si>
    <t>B16004_046EA,B16004_046M,B16004_046MA</t>
  </si>
  <si>
    <t>B16004_007E</t>
  </si>
  <si>
    <t>5 to 17 years: Speak Spanish: Speak English not well</t>
  </si>
  <si>
    <t>Estimate: Total: 5 to 17 years: Speak Spanish: Speak English not well</t>
  </si>
  <si>
    <t>B16004_007EA,B16004_007M,B16004_007MA</t>
  </si>
  <si>
    <t>B16004_047E</t>
  </si>
  <si>
    <t>65 years and over: Speak only English</t>
  </si>
  <si>
    <t>Estimate: Total: 65 years and over: Speak only English</t>
  </si>
  <si>
    <t>B16004_047EA,B16004_047M,B16004_047MA</t>
  </si>
  <si>
    <t>B16004_008E</t>
  </si>
  <si>
    <t>5 to 17 years: Speak Spanish: Speak English not at all</t>
  </si>
  <si>
    <t>Estimate: Total: 5 to 17 years: Speak Spanish: Speak English not at all</t>
  </si>
  <si>
    <t>B16004_008EA,B16004_008M,B16004_008MA</t>
  </si>
  <si>
    <t>B16004_048E</t>
  </si>
  <si>
    <t>65 years and over: Speak Spanish</t>
  </si>
  <si>
    <t>Estimate: Total: 65 years and over: Speak Spanish</t>
  </si>
  <si>
    <t>B16004_048EA,B16004_048M,B16004_048MA</t>
  </si>
  <si>
    <t>B16004_009E</t>
  </si>
  <si>
    <t>5 to 17 years: Speak other Indo-European languages</t>
  </si>
  <si>
    <t>Estimate: Total: 5 to 17 years: Speak other Indo-European languages</t>
  </si>
  <si>
    <t>B16004_009EA,B16004_009M,B16004_009MA</t>
  </si>
  <si>
    <t>B16004_049E</t>
  </si>
  <si>
    <t>65 years and over: Speak Spanish: Speak English very well</t>
  </si>
  <si>
    <t>Estimate: Total: 65 years and over: Speak Spanish: Speak English very well</t>
  </si>
  <si>
    <t>B16004_049EA,B16004_049M,B16004_049MA</t>
  </si>
  <si>
    <t>B16004_010E</t>
  </si>
  <si>
    <t>5 to 17 years: Speak other Indo-European languages: Speak English very well</t>
  </si>
  <si>
    <t>Estimate: Total: 5 to 17 years: Speak other Indo-European languages: Speak English very well</t>
  </si>
  <si>
    <t>B16004_010EA,B16004_010M,B16004_010MA</t>
  </si>
  <si>
    <t>B16004_050E</t>
  </si>
  <si>
    <t>65 years and over: Speak Spanish: Speak English well</t>
  </si>
  <si>
    <t>Estimate: Total: 65 years and over: Speak Spanish: Speak English well</t>
  </si>
  <si>
    <t>B16004_050EA,B16004_050M,B16004_050MA</t>
  </si>
  <si>
    <t>B16004_011E</t>
  </si>
  <si>
    <t>5 to 17 years: Speak other Indo-European languages: Speak English well</t>
  </si>
  <si>
    <t>Estimate: Total: 5 to 17 years: Speak other Indo-European languages: Speak English well</t>
  </si>
  <si>
    <t>B16004_011EA,B16004_011M,B16004_011MA</t>
  </si>
  <si>
    <t>B16004_051E</t>
  </si>
  <si>
    <t>65 years and over: Speak Spanish: Speak English not well</t>
  </si>
  <si>
    <t>Estimate: Total: 65 years and over: Speak Spanish: Speak English not well</t>
  </si>
  <si>
    <t>B16004_051EA,B16004_051M,B16004_051MA</t>
  </si>
  <si>
    <t>B16004_012E</t>
  </si>
  <si>
    <t>5 to 17 years: Speak other Indo-European languages: Speak English not well</t>
  </si>
  <si>
    <t>Estimate: Total: 5 to 17 years: Speak other Indo-European languages: Speak English not well</t>
  </si>
  <si>
    <t>B16004_012EA,B16004_012M,B16004_012MA</t>
  </si>
  <si>
    <t>B16004_052E</t>
  </si>
  <si>
    <t>65 years and over: Speak Spanish: Speak English not at all</t>
  </si>
  <si>
    <t>Estimate: Total: 65 years and over: Speak Spanish: Speak English not at all</t>
  </si>
  <si>
    <t>B16004_052EA,B16004_052M,B16004_052MA</t>
  </si>
  <si>
    <t>B16004_013E</t>
  </si>
  <si>
    <t>5 to 17 years: Speak other Indo-European languages: Speak English not at all</t>
  </si>
  <si>
    <t>Estimate: Total: 5 to 17 years: Speak other Indo-European languages: Speak English not at all</t>
  </si>
  <si>
    <t>B16004_013EA,B16004_013M,B16004_013MA</t>
  </si>
  <si>
    <t>B16004_053E</t>
  </si>
  <si>
    <t>65 years and over: Speak other Indo-European languages</t>
  </si>
  <si>
    <t>Estimate: Total: 65 years and over: Speak other Indo-European languages</t>
  </si>
  <si>
    <t>B16004_053EA,B16004_053M,B16004_053MA</t>
  </si>
  <si>
    <t>B16004_014E</t>
  </si>
  <si>
    <t>5 to 17 years: Speak Asian and Pacific Island languages</t>
  </si>
  <si>
    <t>Estimate: Total: 5 to 17 years: Speak Asian and Pacific Island languages</t>
  </si>
  <si>
    <t>B16004_014EA,B16004_014M,B16004_014MA</t>
  </si>
  <si>
    <t>B16004_054E</t>
  </si>
  <si>
    <t>65 years and over: Speak other Indo-European languages: Speak English very well</t>
  </si>
  <si>
    <t>Estimate: Total: 65 years and over: Speak other Indo-European languages: Speak English very well</t>
  </si>
  <si>
    <t>B16004_054EA,B16004_054M,B16004_054MA</t>
  </si>
  <si>
    <t>B16004_015E</t>
  </si>
  <si>
    <t>5 to 17 years: Speak Asian and Pacific Island languages: Speak English very well</t>
  </si>
  <si>
    <t>Estimate: Total: 5 to 17 years: Speak Asian and Pacific Island languages: Speak English very well</t>
  </si>
  <si>
    <t>B16004_015EA,B16004_015M,B16004_015MA</t>
  </si>
  <si>
    <t>B16004_055E</t>
  </si>
  <si>
    <t>65 years and over: Speak other Indo-European languages: Speak English well</t>
  </si>
  <si>
    <t>Estimate: Total: 65 years and over: Speak other Indo-European languages: Speak English well</t>
  </si>
  <si>
    <t>B16004_055EA,B16004_055M,B16004_055MA</t>
  </si>
  <si>
    <t>B16004_016E</t>
  </si>
  <si>
    <t>5 to 17 years: Speak Asian and Pacific Island languages: Speak English well</t>
  </si>
  <si>
    <t>Estimate: Total: 5 to 17 years: Speak Asian and Pacific Island languages: Speak English well</t>
  </si>
  <si>
    <t>B16004_016EA,B16004_016M,B16004_016MA</t>
  </si>
  <si>
    <t>B16004_056E</t>
  </si>
  <si>
    <t>65 years and over: Speak other Indo-European languages: Speak English not well</t>
  </si>
  <si>
    <t>Estimate: Total: 65 years and over: Speak other Indo-European languages: Speak English not well</t>
  </si>
  <si>
    <t>B16004_056EA,B16004_056M,B16004_056MA</t>
  </si>
  <si>
    <t>B16004_017E</t>
  </si>
  <si>
    <t>5 to 17 years: Speak Asian and Pacific Island languages: Speak English not well</t>
  </si>
  <si>
    <t>Estimate: Total: 5 to 17 years: Speak Asian and Pacific Island languages: Speak English not well</t>
  </si>
  <si>
    <t>B16004_017EA,B16004_017M,B16004_017MA</t>
  </si>
  <si>
    <t>B16004_057E</t>
  </si>
  <si>
    <t>65 years and over: Speak other Indo-European languages: Speak English not at all</t>
  </si>
  <si>
    <t>Estimate: Total: 65 years and over: Speak other Indo-European languages: Speak English not at all</t>
  </si>
  <si>
    <t>B16004_057EA,B16004_057M,B16004_057MA</t>
  </si>
  <si>
    <t>B16004_018E</t>
  </si>
  <si>
    <t>5 to 17 years: Speak Asian and Pacific Island languages: Speak English not at all</t>
  </si>
  <si>
    <t>Estimate: Total: 5 to 17 years: Speak Asian and Pacific Island languages: Speak English not at all</t>
  </si>
  <si>
    <t>B16004_018EA,B16004_018M,B16004_018MA</t>
  </si>
  <si>
    <t>B16004_058E</t>
  </si>
  <si>
    <t>65 years and over: Speak Asian and Pacific Island languages</t>
  </si>
  <si>
    <t>Estimate: Total: 65 years and over: Speak Asian and Pacific Island languages</t>
  </si>
  <si>
    <t>B16004_058EA,B16004_058M,B16004_058MA</t>
  </si>
  <si>
    <t>B16004_019E</t>
  </si>
  <si>
    <t>5 to 17 years: Speak other languages</t>
  </si>
  <si>
    <t>Estimate: Total: 5 to 17 years: Speak other languages</t>
  </si>
  <si>
    <t>B16004_019EA,B16004_019M,B16004_019MA</t>
  </si>
  <si>
    <t>B16004_059E</t>
  </si>
  <si>
    <t>65 years and over: Speak Asian and Pacific Island languages: Speak English very well</t>
  </si>
  <si>
    <t>Estimate: Total: 65 years and over: Speak Asian and Pacific Island languages: Speak English very well</t>
  </si>
  <si>
    <t>B16004_059EA,B16004_059M,B16004_059MA</t>
  </si>
  <si>
    <t>B16004_020E</t>
  </si>
  <si>
    <t>5 to 17 years: Speak other languages: Speak English very well</t>
  </si>
  <si>
    <t>Estimate: Total: 5 to 17 years: Speak other languages: Speak English very well</t>
  </si>
  <si>
    <t>B16004_020EA,B16004_020M,B16004_020MA</t>
  </si>
  <si>
    <t>B16004_060E</t>
  </si>
  <si>
    <t>65 years and over: Speak Asian and Pacific Island languages: Speak English well</t>
  </si>
  <si>
    <t>Estimate: Total: 65 years and over: Speak Asian and Pacific Island languages: Speak English well</t>
  </si>
  <si>
    <t>B16004_060EA,B16004_060M,B16004_060MA</t>
  </si>
  <si>
    <t>B16004_021E</t>
  </si>
  <si>
    <t>5 to 17 years: Speak other languages: Speak English well</t>
  </si>
  <si>
    <t>Estimate: Total: 5 to 17 years: Speak other languages: Speak English well</t>
  </si>
  <si>
    <t>B16004_021EA,B16004_021M,B16004_021MA</t>
  </si>
  <si>
    <t>B16004_061E</t>
  </si>
  <si>
    <t>65 years and over: Speak Asian and Pacific Island languages: Speak English not well</t>
  </si>
  <si>
    <t>Estimate: Total: 65 years and over: Speak Asian and Pacific Island languages: Speak English not well</t>
  </si>
  <si>
    <t>B16004_061EA,B16004_061M,B16004_061MA</t>
  </si>
  <si>
    <t>B16004_022E</t>
  </si>
  <si>
    <t>5 to 17 years: Speak other languages: Speak English not well</t>
  </si>
  <si>
    <t>Estimate: Total: 5 to 17 years: Speak other languages: Speak English not well</t>
  </si>
  <si>
    <t>B16004_022EA,B16004_022M,B16004_022MA</t>
  </si>
  <si>
    <t>B16004_062E</t>
  </si>
  <si>
    <t>65 years and over: Speak Asian and Pacific Island languages: Speak English not at all</t>
  </si>
  <si>
    <t>Estimate: Total: 65 years and over: Speak Asian and Pacific Island languages: Speak English not at all</t>
  </si>
  <si>
    <t>B16004_062EA,B16004_062M,B16004_062MA</t>
  </si>
  <si>
    <t>B16004_023E</t>
  </si>
  <si>
    <t>5 to 17 years: Speak other languages: Speak English not at all</t>
  </si>
  <si>
    <t>Estimate: Total: 5 to 17 years: Speak other languages: Speak English not at all</t>
  </si>
  <si>
    <t>B16004_023EA,B16004_023M,B16004_023MA</t>
  </si>
  <si>
    <t>B16004_063E</t>
  </si>
  <si>
    <t>65 years and over: Speak other languages</t>
  </si>
  <si>
    <t>Estimate: Total: 65 years and over: Speak other languages</t>
  </si>
  <si>
    <t>B16004_063EA,B16004_063M,B16004_063MA</t>
  </si>
  <si>
    <t>B16004_024E</t>
  </si>
  <si>
    <t>18 to 64 years</t>
  </si>
  <si>
    <t>Estimate: Total: 18 to 64 years</t>
  </si>
  <si>
    <t>B16004_024EA,B16004_024M,B16004_024MA</t>
  </si>
  <si>
    <t>B16004_064E</t>
  </si>
  <si>
    <t>65 years and over: Speak other languages: Speak English very well</t>
  </si>
  <si>
    <t>Estimate: Total: 65 years and over: Speak other languages: Speak English very well</t>
  </si>
  <si>
    <t>B16004_064EA,B16004_064M,B16004_064MA</t>
  </si>
  <si>
    <t>B16004_025E</t>
  </si>
  <si>
    <t>18 to 64 years: Speak only English</t>
  </si>
  <si>
    <t>Estimate: Total: 18 to 64 years: Speak only English</t>
  </si>
  <si>
    <t>B16004_025EA,B16004_025M,B16004_025MA</t>
  </si>
  <si>
    <t>B16004_065E</t>
  </si>
  <si>
    <t>65 years and over: Speak other languages: Speak English well</t>
  </si>
  <si>
    <t>Estimate: Total: 65 years and over: Speak other languages: Speak English well</t>
  </si>
  <si>
    <t>B16004_065EA,B16004_065M,B16004_065MA</t>
  </si>
  <si>
    <t>B16004_026E</t>
  </si>
  <si>
    <t>18 to 64 years: Speak Spanish</t>
  </si>
  <si>
    <t>Estimate: Total: 18 to 64 years: Speak Spanish</t>
  </si>
  <si>
    <t>B16004_026EA,B16004_026M,B16004_026MA</t>
  </si>
  <si>
    <t>B16004_066E</t>
  </si>
  <si>
    <t>65 years and over: Speak other languages: Speak English not well</t>
  </si>
  <si>
    <t>Estimate: Total: 65 years and over: Speak other languages: Speak English not well</t>
  </si>
  <si>
    <t>B16004_066EA,B16004_066M,B16004_066MA</t>
  </si>
  <si>
    <t>B16004_027E</t>
  </si>
  <si>
    <t>18 to 64 years: Speak Spanish: Speak English very well</t>
  </si>
  <si>
    <t>Estimate: Total: 18 to 64 years: Speak Spanish: Speak English very well</t>
  </si>
  <si>
    <t>B16004_027EA,B16004_027M,B16004_027MA</t>
  </si>
  <si>
    <t>B16004_067E</t>
  </si>
  <si>
    <t>65 years and over: Speak other languages: Speak English not at all</t>
  </si>
  <si>
    <t>Estimate: Total: 65 years and over: Speak other languages: Speak English not at all</t>
  </si>
  <si>
    <t>B16004_067EA,B16004_067M,B16004_067MA</t>
  </si>
  <si>
    <t>B16004_028E</t>
  </si>
  <si>
    <t>18 to 64 years: Speak Spanish: Speak English well</t>
  </si>
  <si>
    <t>Estimate: Total: 18 to 64 years: Speak Spanish: Speak English well</t>
  </si>
  <si>
    <t>B16004_028EA,B16004_028M,B16004_028MA</t>
  </si>
  <si>
    <t>B16004_029E</t>
  </si>
  <si>
    <t>18 to 64 years: Speak Spanish: Speak English not well</t>
  </si>
  <si>
    <t>Estimate: Total: 18 to 64 years: Speak Spanish: Speak English not well</t>
  </si>
  <si>
    <t>B16004_029EA,B16004_029M,B16004_029MA</t>
  </si>
  <si>
    <t>B16004_030E</t>
  </si>
  <si>
    <t>18 to 64 years: Speak Spanish: Speak English not at all</t>
  </si>
  <si>
    <t>Estimate: Total: 18 to 64 years: Speak Spanish: Speak English not at all</t>
  </si>
  <si>
    <t>B16004_030EA,B16004_030M,B16004_030MA</t>
  </si>
  <si>
    <t>B16004_031E</t>
  </si>
  <si>
    <t>18 to 64 years: Speak other Indo-European languages</t>
  </si>
  <si>
    <t>Estimate: Total: 18 to 64 years: Speak other Indo-European languages</t>
  </si>
  <si>
    <t>B16004_031EA,B16004_031M,B16004_031MA</t>
  </si>
  <si>
    <t>B16004_032E</t>
  </si>
  <si>
    <t>18 to 64 years: Speak other Indo-European languages: Speak English very well</t>
  </si>
  <si>
    <t>Estimate: Total: 18 to 64 years: Speak other Indo-European languages: Speak English very well</t>
  </si>
  <si>
    <t>B16004_032EA,B16004_032M,B16004_032MA</t>
  </si>
  <si>
    <t>B16004_033E</t>
  </si>
  <si>
    <t>18 to 64 years: Speak other Indo-European languages: Speak English well</t>
  </si>
  <si>
    <t>Estimate: Total: 18 to 64 years: Speak other Indo-European languages: Speak English well</t>
  </si>
  <si>
    <t>B16004_033EA,B16004_033M,B16004_033MA</t>
  </si>
  <si>
    <t>B16004_034E</t>
  </si>
  <si>
    <t>18 to 64 years: Speak other Indo-European languages: Speak English not well</t>
  </si>
  <si>
    <t>Estimate: Total: 18 to 64 years: Speak other Indo-European languages: Speak English not well</t>
  </si>
  <si>
    <t>B16004_034EA,B16004_034M,B16004_034MA</t>
  </si>
  <si>
    <t>B16004_035E</t>
  </si>
  <si>
    <t>18 to 64 years: Speak other Indo-European languages: Speak English not at all</t>
  </si>
  <si>
    <t>Estimate: Total: 18 to 64 years: Speak other Indo-European languages: Speak English not at all</t>
  </si>
  <si>
    <t>B16004_035EA,B16004_035M,B16004_035MA</t>
  </si>
  <si>
    <t>B16004_036E</t>
  </si>
  <si>
    <t>18 to 64 years: Speak Asian and Pacific Island languages</t>
  </si>
  <si>
    <t>Estimate: Total: 18 to 64 years: Speak Asian and Pacific Island languages</t>
  </si>
  <si>
    <t>B16004_036EA,B16004_036M,B16004_036MA</t>
  </si>
  <si>
    <t>B16004_037E</t>
  </si>
  <si>
    <t>18 to 64 years: Speak Asian and Pacific Island languages: Speak English very well</t>
  </si>
  <si>
    <t>Estimate: Total: 18 to 64 years: Speak Asian and Pacific Island languages: Speak English very well</t>
  </si>
  <si>
    <t>B16004_037EA,B16004_037M,B16004_037MA</t>
  </si>
  <si>
    <t>B16004_038E</t>
  </si>
  <si>
    <t>18 to 64 years: Speak Asian and Pacific Island languages: Speak English well</t>
  </si>
  <si>
    <t>Estimate: Total: 18 to 64 years: Speak Asian and Pacific Island languages: Speak English well</t>
  </si>
  <si>
    <t>B16004_038EA,B16004_038M,B16004_038MA</t>
  </si>
  <si>
    <t>B16004_039E</t>
  </si>
  <si>
    <t>18 to 64 years: Speak Asian and Pacific Island languages: Speak English not well</t>
  </si>
  <si>
    <t>Estimate: Total: 18 to 64 years: Speak Asian and Pacific Island languages: Speak English not well</t>
  </si>
  <si>
    <t>B16004_039EA,B16004_039M,B16004_039MA</t>
  </si>
  <si>
    <t>B16004_040E</t>
  </si>
  <si>
    <t>18 to 64 years: Speak Asian and Pacific Island languages: Speak English not at all</t>
  </si>
  <si>
    <t>Estimate: Total: 18 to 64 years: Speak Asian and Pacific Island languages: Speak English not at all</t>
  </si>
  <si>
    <t>B16004_040EA,B16004_040M,B16004_040MA</t>
  </si>
  <si>
    <t>B04</t>
  </si>
  <si>
    <t>B04007</t>
  </si>
  <si>
    <t>B04007_002E</t>
  </si>
  <si>
    <t>Ancestry specified</t>
  </si>
  <si>
    <t>S21</t>
  </si>
  <si>
    <t>Ancestry</t>
  </si>
  <si>
    <t>Estimate: Total: Ancestry specified</t>
  </si>
  <si>
    <t>ANCESTRY</t>
  </si>
  <si>
    <t>B04007_002EA,B04007_002M,B04007_002MA</t>
  </si>
  <si>
    <t>B04007_003E</t>
  </si>
  <si>
    <t>Ancestry specified: Single ancestry</t>
  </si>
  <si>
    <t>Estimate: Total: Ancestry specified: Single ancestry</t>
  </si>
  <si>
    <t>B04007_003EA,B04007_003M,B04007_003MA</t>
  </si>
  <si>
    <t>B04007_004E</t>
  </si>
  <si>
    <t>Ancestry specified: Multiple ancestry</t>
  </si>
  <si>
    <t>Estimate: Total: Ancestry specified: Multiple ancestry</t>
  </si>
  <si>
    <t>B04007_004EA,B04007_004M,B04007_004MA</t>
  </si>
  <si>
    <t>B04007_005E</t>
  </si>
  <si>
    <t>Ancestry not specified</t>
  </si>
  <si>
    <t>Estimate: Total: Ancestry not specified</t>
  </si>
  <si>
    <t>B04007_005EA,B04007_005M,B04007_005MA</t>
  </si>
  <si>
    <t>B04007_006E</t>
  </si>
  <si>
    <t>Ancestry not specified: Ancestry unclassified</t>
  </si>
  <si>
    <t>Estimate: Total: Ancestry not specified: Ancestry unclassified</t>
  </si>
  <si>
    <t>B04007_006EA,B04007_006M,B04007_006MA</t>
  </si>
  <si>
    <t>B04007_007E</t>
  </si>
  <si>
    <t>Ancestry not specified: Ancestry not reported</t>
  </si>
  <si>
    <t>Estimate: Total: Ancestry not specified: Ancestry not reported</t>
  </si>
  <si>
    <t>B04007_007EA,B04007_007M,B04007_007MA</t>
  </si>
  <si>
    <t>B04006</t>
  </si>
  <si>
    <t>B04006_001E</t>
  </si>
  <si>
    <t>Total people reporting ancestry</t>
  </si>
  <si>
    <t>S22</t>
  </si>
  <si>
    <t>People Reporting Ancestry</t>
  </si>
  <si>
    <t>PEOPLE REPORTING ANCESTRY</t>
  </si>
  <si>
    <t>B04006_001EA,B04006_001M,B04006_001MA</t>
  </si>
  <si>
    <t>B04006_002E</t>
  </si>
  <si>
    <t>Afghan</t>
  </si>
  <si>
    <t>Estimate: Total: Afghan</t>
  </si>
  <si>
    <t>B04006_002EA,B04006_002M,B04006_002MA</t>
  </si>
  <si>
    <t>B04006_003E</t>
  </si>
  <si>
    <t>Albanian</t>
  </si>
  <si>
    <t>Estimate: Total: Albanian</t>
  </si>
  <si>
    <t>B04006_003EA,B04006_003M,B04006_003MA</t>
  </si>
  <si>
    <t>B04006_004E</t>
  </si>
  <si>
    <t>Alsatian</t>
  </si>
  <si>
    <t>Estimate: Total: Alsatian</t>
  </si>
  <si>
    <t>B04006_004EA,B04006_004M,B04006_004MA</t>
  </si>
  <si>
    <t>B04006_005E</t>
  </si>
  <si>
    <t>American</t>
  </si>
  <si>
    <t>Estimate: Total: American</t>
  </si>
  <si>
    <t>B04006_005EA,B04006_005M,B04006_005MA</t>
  </si>
  <si>
    <t>B04006_006E</t>
  </si>
  <si>
    <t>Arab</t>
  </si>
  <si>
    <t>Estimate: Total: Arab</t>
  </si>
  <si>
    <t>B04006_006EA,B04006_006M,B04006_006MA</t>
  </si>
  <si>
    <t>B04006_007E</t>
  </si>
  <si>
    <t>Arab: Egyptian</t>
  </si>
  <si>
    <t>Estimate: Total: Arab: Egyptian</t>
  </si>
  <si>
    <t>B04006_007EA,B04006_007M,B04006_007MA</t>
  </si>
  <si>
    <t>B04006_008E</t>
  </si>
  <si>
    <t>Arab: Iraqi</t>
  </si>
  <si>
    <t>Estimate: Total: Arab: Iraqi</t>
  </si>
  <si>
    <t>B04006_008EA,B04006_008M,B04006_008MA</t>
  </si>
  <si>
    <t>B04006_009E</t>
  </si>
  <si>
    <t>Arab: Jordanian</t>
  </si>
  <si>
    <t>Estimate: Total: Arab: Jordanian</t>
  </si>
  <si>
    <t>B04006_009EA,B04006_009M,B04006_009MA</t>
  </si>
  <si>
    <t>B04006_010E</t>
  </si>
  <si>
    <t>Arab: Lebanese</t>
  </si>
  <si>
    <t>Estimate: Total: Arab: Lebanese</t>
  </si>
  <si>
    <t>B04006_010EA,B04006_010M,B04006_010MA</t>
  </si>
  <si>
    <t>B04006_011E</t>
  </si>
  <si>
    <t>Arab: Moroccan</t>
  </si>
  <si>
    <t>Estimate: Total: Arab: Moroccan</t>
  </si>
  <si>
    <t>B04006_011EA,B04006_011M,B04006_011MA</t>
  </si>
  <si>
    <t>B04006_012E</t>
  </si>
  <si>
    <t>Arab: Palestinian</t>
  </si>
  <si>
    <t>Estimate: Total: Arab: Palestinian</t>
  </si>
  <si>
    <t>B04006_012EA,B04006_012M,B04006_012MA</t>
  </si>
  <si>
    <t>B04006_013E</t>
  </si>
  <si>
    <t>Arab: Syrian</t>
  </si>
  <si>
    <t>Estimate: Total: Arab: Syrian</t>
  </si>
  <si>
    <t>B04006_013EA,B04006_013M,B04006_013MA</t>
  </si>
  <si>
    <t>B04006_014E</t>
  </si>
  <si>
    <t>Arab: Arab</t>
  </si>
  <si>
    <t>Estimate: Total: Arab: Arab</t>
  </si>
  <si>
    <t>B04006_014EA,B04006_014M,B04006_014MA</t>
  </si>
  <si>
    <t>B04006_015E</t>
  </si>
  <si>
    <t>Arab: Other Arab</t>
  </si>
  <si>
    <t>Estimate: Total: Arab: Other Arab</t>
  </si>
  <si>
    <t>B04006_015EA,B04006_015M,B04006_015MA</t>
  </si>
  <si>
    <t>B04006_016E</t>
  </si>
  <si>
    <t>Armenian</t>
  </si>
  <si>
    <t>Estimate: Total: Armenian</t>
  </si>
  <si>
    <t>B04006_016EA,B04006_016M,B04006_016MA</t>
  </si>
  <si>
    <t>B04006_017E</t>
  </si>
  <si>
    <t>AssyrianChaldeanSyriac</t>
  </si>
  <si>
    <t>Estimate: Total: AssyrianChaldeanSyriac</t>
  </si>
  <si>
    <t>B04006_017EA,B04006_017M,B04006_017MA</t>
  </si>
  <si>
    <t>B04006_018E</t>
  </si>
  <si>
    <t>Australian</t>
  </si>
  <si>
    <t>Estimate: Total: Australian</t>
  </si>
  <si>
    <t>B04006_018EA,B04006_018M,B04006_018MA</t>
  </si>
  <si>
    <t>B04006_019E</t>
  </si>
  <si>
    <t>Austrian</t>
  </si>
  <si>
    <t>Estimate: Total: Austrian</t>
  </si>
  <si>
    <t>B04006_019EA,B04006_019M,B04006_019MA</t>
  </si>
  <si>
    <t>B04006_020E</t>
  </si>
  <si>
    <t>Basque</t>
  </si>
  <si>
    <t>Estimate: Total: Basque</t>
  </si>
  <si>
    <t>B04006_020EA,B04006_020M,B04006_020MA</t>
  </si>
  <si>
    <t>B04006_021E</t>
  </si>
  <si>
    <t>Belgian</t>
  </si>
  <si>
    <t>Estimate: Total: Belgian</t>
  </si>
  <si>
    <t>B04006_021EA,B04006_021M,B04006_021MA</t>
  </si>
  <si>
    <t>B04006_022E</t>
  </si>
  <si>
    <t>Brazilian</t>
  </si>
  <si>
    <t>Estimate: Total: Brazilian</t>
  </si>
  <si>
    <t>B04006_022EA,B04006_022M,B04006_022MA</t>
  </si>
  <si>
    <t>B04006_023E</t>
  </si>
  <si>
    <t>British</t>
  </si>
  <si>
    <t>Estimate: Total: British</t>
  </si>
  <si>
    <t>B04006_023EA,B04006_023M,B04006_023MA</t>
  </si>
  <si>
    <t>B04006_024E</t>
  </si>
  <si>
    <t>Bulgarian</t>
  </si>
  <si>
    <t>Estimate: Total: Bulgarian</t>
  </si>
  <si>
    <t>B04006_024EA,B04006_024M,B04006_024MA</t>
  </si>
  <si>
    <t>B04006_025E</t>
  </si>
  <si>
    <t>Cajun</t>
  </si>
  <si>
    <t>Estimate: Total: Cajun</t>
  </si>
  <si>
    <t>B04006_025EA,B04006_025M,B04006_025MA</t>
  </si>
  <si>
    <t>B04006_026E</t>
  </si>
  <si>
    <t>Canadian</t>
  </si>
  <si>
    <t>Estimate: Total: Canadian</t>
  </si>
  <si>
    <t>B04006_026EA,B04006_026M,B04006_026MA</t>
  </si>
  <si>
    <t>B04006_027E</t>
  </si>
  <si>
    <t>Carpatho Rusyn</t>
  </si>
  <si>
    <t>Estimate: Total: Carpatho Rusyn</t>
  </si>
  <si>
    <t>B04006_027EA,B04006_027M,B04006_027MA</t>
  </si>
  <si>
    <t>B04006_028E</t>
  </si>
  <si>
    <t>Celtic</t>
  </si>
  <si>
    <t>Estimate: Total: Celtic</t>
  </si>
  <si>
    <t>B04006_028EA,B04006_028M,B04006_028MA</t>
  </si>
  <si>
    <t>B04006_029E</t>
  </si>
  <si>
    <t>Croatian</t>
  </si>
  <si>
    <t>Estimate: Total: Croatian</t>
  </si>
  <si>
    <t>B04006_029EA,B04006_029M,B04006_029MA</t>
  </si>
  <si>
    <t>B04006_030E</t>
  </si>
  <si>
    <t>Cypriot</t>
  </si>
  <si>
    <t>Estimate: Total: Cypriot</t>
  </si>
  <si>
    <t>B04006_030EA,B04006_030M,B04006_030MA</t>
  </si>
  <si>
    <t>B04006_031E</t>
  </si>
  <si>
    <t>Czech</t>
  </si>
  <si>
    <t>Estimate: Total: Czech</t>
  </si>
  <si>
    <t>B04006_031EA,B04006_031M,B04006_031MA</t>
  </si>
  <si>
    <t>B04006_032E</t>
  </si>
  <si>
    <t>Czechoslovakian</t>
  </si>
  <si>
    <t>Estimate: Total: Czechoslovakian</t>
  </si>
  <si>
    <t>B04006_032EA,B04006_032M,B04006_032MA</t>
  </si>
  <si>
    <t>B04006_033E</t>
  </si>
  <si>
    <t>Danish</t>
  </si>
  <si>
    <t>Estimate: Total: Danish</t>
  </si>
  <si>
    <t>B04006_033EA,B04006_033M,B04006_033MA</t>
  </si>
  <si>
    <t>B04006_034E</t>
  </si>
  <si>
    <t>Dutch</t>
  </si>
  <si>
    <t>Estimate: Total: Dutch</t>
  </si>
  <si>
    <t>B04006_034EA,B04006_034M,B04006_034MA</t>
  </si>
  <si>
    <t>B04006_035E</t>
  </si>
  <si>
    <t>Eastern European</t>
  </si>
  <si>
    <t>Estimate: Total: Eastern European</t>
  </si>
  <si>
    <t>B04006_035EA,B04006_035M,B04006_035MA</t>
  </si>
  <si>
    <t>B04006_036E</t>
  </si>
  <si>
    <t>English</t>
  </si>
  <si>
    <t>Estimate: Total: English</t>
  </si>
  <si>
    <t>B04006_036EA,B04006_036M,B04006_036MA</t>
  </si>
  <si>
    <t>B04006_037E</t>
  </si>
  <si>
    <t>Estonian</t>
  </si>
  <si>
    <t>Estimate: Total: Estonian</t>
  </si>
  <si>
    <t>B04006_037EA,B04006_037M,B04006_037MA</t>
  </si>
  <si>
    <t>B04006_038E</t>
  </si>
  <si>
    <t>European</t>
  </si>
  <si>
    <t>Estimate: Total: European</t>
  </si>
  <si>
    <t>B04006_038EA,B04006_038M,B04006_038MA</t>
  </si>
  <si>
    <t>B04006_039E</t>
  </si>
  <si>
    <t>Finnish</t>
  </si>
  <si>
    <t>Estimate: Total: Finnish</t>
  </si>
  <si>
    <t>B04006_039EA,B04006_039M,B04006_039MA</t>
  </si>
  <si>
    <t>B04006_040E</t>
  </si>
  <si>
    <t>French except Basque</t>
  </si>
  <si>
    <t>Estimate: Total: French except Basque</t>
  </si>
  <si>
    <t>B04006_040EA,B04006_040M,B04006_040MA</t>
  </si>
  <si>
    <t>B04006_041E</t>
  </si>
  <si>
    <t>French Canadian</t>
  </si>
  <si>
    <t>Estimate: Total: French Canadian</t>
  </si>
  <si>
    <t>B04006_041EA,B04006_041M,B04006_041MA</t>
  </si>
  <si>
    <t>B04006_042E</t>
  </si>
  <si>
    <t>German</t>
  </si>
  <si>
    <t>Estimate: Total: German</t>
  </si>
  <si>
    <t>B04006_042EA,B04006_042M,B04006_042MA</t>
  </si>
  <si>
    <t>B04006_043E</t>
  </si>
  <si>
    <t>German Russian</t>
  </si>
  <si>
    <t>Estimate: Total: German Russian</t>
  </si>
  <si>
    <t>B04006_043EA,B04006_043M,B04006_043MA</t>
  </si>
  <si>
    <t>B04006_044E</t>
  </si>
  <si>
    <t>Greek</t>
  </si>
  <si>
    <t>Estimate: Total: Greek</t>
  </si>
  <si>
    <t>B04006_044EA,B04006_044M,B04006_044MA</t>
  </si>
  <si>
    <t>B04006_045E</t>
  </si>
  <si>
    <t>Guyanese</t>
  </si>
  <si>
    <t>Estimate: Total: Guyanese</t>
  </si>
  <si>
    <t>B04006_045EA,B04006_045M,B04006_045MA</t>
  </si>
  <si>
    <t>B04006_046E</t>
  </si>
  <si>
    <t>Hungarian</t>
  </si>
  <si>
    <t>Estimate: Total: Hungarian</t>
  </si>
  <si>
    <t>B04006_046EA,B04006_046M,B04006_046MA</t>
  </si>
  <si>
    <t>B04006_047E</t>
  </si>
  <si>
    <t>Icelander</t>
  </si>
  <si>
    <t>Estimate: Total: Icelander</t>
  </si>
  <si>
    <t>B04006_047EA,B04006_047M,B04006_047MA</t>
  </si>
  <si>
    <t>B04006_048E</t>
  </si>
  <si>
    <t>Iranian</t>
  </si>
  <si>
    <t>Estimate: Total: Iranian</t>
  </si>
  <si>
    <t>B04006_048EA,B04006_048M,B04006_048MA</t>
  </si>
  <si>
    <t>B04006_049E</t>
  </si>
  <si>
    <t>Irish</t>
  </si>
  <si>
    <t>Estimate: Total: Irish</t>
  </si>
  <si>
    <t>B04006_049EA,B04006_049M,B04006_049MA</t>
  </si>
  <si>
    <t>B04006_050E</t>
  </si>
  <si>
    <t>Israeli</t>
  </si>
  <si>
    <t>Estimate: Total: Israeli</t>
  </si>
  <si>
    <t>B04006_050EA,B04006_050M,B04006_050MA</t>
  </si>
  <si>
    <t>B04006_051E</t>
  </si>
  <si>
    <t>Italian</t>
  </si>
  <si>
    <t>Estimate: Total: Italian</t>
  </si>
  <si>
    <t>B04006_051EA,B04006_051M,B04006_051MA</t>
  </si>
  <si>
    <t>B04006_052E</t>
  </si>
  <si>
    <t>Latvian</t>
  </si>
  <si>
    <t>Estimate: Total: Latvian</t>
  </si>
  <si>
    <t>B04006_052EA,B04006_052M,B04006_052MA</t>
  </si>
  <si>
    <t>B04006_053E</t>
  </si>
  <si>
    <t>Lithuanian</t>
  </si>
  <si>
    <t>Estimate: Total: Lithuanian</t>
  </si>
  <si>
    <t>B04006_053EA,B04006_053M,B04006_053MA</t>
  </si>
  <si>
    <t>2010, 2011, 2012, 2013, 2014, 2015, 2016, 2017</t>
  </si>
  <si>
    <t>B04006_054E</t>
  </si>
  <si>
    <t>Luxemburger</t>
  </si>
  <si>
    <t>Estimate: Total: Luxemburger</t>
  </si>
  <si>
    <t>B04006_054EA,B04006_054M,B04006_054MA</t>
  </si>
  <si>
    <t>2018, 2019, 2020, 2021, 2022, 2023, 2024</t>
  </si>
  <si>
    <t>Luxembourger</t>
  </si>
  <si>
    <t>Estimate: Total: Luxembourger</t>
  </si>
  <si>
    <t>B04006_055E</t>
  </si>
  <si>
    <t>Macedonian</t>
  </si>
  <si>
    <t>Estimate: Total: Macedonian</t>
  </si>
  <si>
    <t>B04006_055EA,B04006_055M,B04006_055MA</t>
  </si>
  <si>
    <t>B04006_056E</t>
  </si>
  <si>
    <t>Maltese</t>
  </si>
  <si>
    <t>Estimate: Total: Maltese</t>
  </si>
  <si>
    <t>B04006_056EA,B04006_056M,B04006_056MA</t>
  </si>
  <si>
    <t>B04006_057E</t>
  </si>
  <si>
    <t>New Zealander</t>
  </si>
  <si>
    <t>Estimate: Total: New Zealander</t>
  </si>
  <si>
    <t>B04006_057EA,B04006_057M,B04006_057MA</t>
  </si>
  <si>
    <t>B04006_058E</t>
  </si>
  <si>
    <t>Northern European</t>
  </si>
  <si>
    <t>Estimate: Total: Northern European</t>
  </si>
  <si>
    <t>B04006_058EA,B04006_058M,B04006_058MA</t>
  </si>
  <si>
    <t>B04006_059E</t>
  </si>
  <si>
    <t>Norwegian</t>
  </si>
  <si>
    <t>Estimate: Total: Norwegian</t>
  </si>
  <si>
    <t>B04006_059EA,B04006_059M,B04006_059MA</t>
  </si>
  <si>
    <t>B04006_060E</t>
  </si>
  <si>
    <t>Pennsylvania German</t>
  </si>
  <si>
    <t>Estimate: Total: Pennsylvania German</t>
  </si>
  <si>
    <t>B04006_060EA,B04006_060M,B04006_060MA</t>
  </si>
  <si>
    <t>B04006_061E</t>
  </si>
  <si>
    <t>Polish</t>
  </si>
  <si>
    <t>Estimate: Total: Polish</t>
  </si>
  <si>
    <t>B04006_061EA,B04006_061M,B04006_061MA</t>
  </si>
  <si>
    <t>B04006_062E</t>
  </si>
  <si>
    <t>Portuguese</t>
  </si>
  <si>
    <t>Estimate: Total: Portuguese</t>
  </si>
  <si>
    <t>B04006_062EA,B04006_062M,B04006_062MA</t>
  </si>
  <si>
    <t>B04006_063E</t>
  </si>
  <si>
    <t>Romanian</t>
  </si>
  <si>
    <t>Estimate: Total: Romanian</t>
  </si>
  <si>
    <t>B04006_063EA,B04006_063M,B04006_063MA</t>
  </si>
  <si>
    <t>B04006_064E</t>
  </si>
  <si>
    <t>Russian</t>
  </si>
  <si>
    <t>Estimate: Total: Russian</t>
  </si>
  <si>
    <t>B04006_064EA,B04006_064M,B04006_064MA</t>
  </si>
  <si>
    <t>B04006_065E</t>
  </si>
  <si>
    <t>Scandinavian</t>
  </si>
  <si>
    <t>Estimate: Total: Scandinavian</t>
  </si>
  <si>
    <t>B04006_065EA,B04006_065M,B04006_065MA</t>
  </si>
  <si>
    <t>B04006_066E</t>
  </si>
  <si>
    <t>Scotch-Irish</t>
  </si>
  <si>
    <t>Estimate: Total: Scotch-Irish</t>
  </si>
  <si>
    <t>B04006_066EA,B04006_066M,B04006_066MA</t>
  </si>
  <si>
    <t>B04006_067E</t>
  </si>
  <si>
    <t>Scottish</t>
  </si>
  <si>
    <t>Estimate: Total: Scottish</t>
  </si>
  <si>
    <t>B04006_067EA,B04006_067M,B04006_067MA</t>
  </si>
  <si>
    <t>B04006_068E</t>
  </si>
  <si>
    <t>Serbian</t>
  </si>
  <si>
    <t>Estimate: Total: Serbian</t>
  </si>
  <si>
    <t>B04006_068EA,B04006_068M,B04006_068MA</t>
  </si>
  <si>
    <t>B04006_069E</t>
  </si>
  <si>
    <t>Slavic</t>
  </si>
  <si>
    <t>Estimate: Total: Slavic</t>
  </si>
  <si>
    <t>B04006_069EA,B04006_069M,B04006_069MA</t>
  </si>
  <si>
    <t>B04006_070E</t>
  </si>
  <si>
    <t>Slovak</t>
  </si>
  <si>
    <t>Estimate: Total: Slovak</t>
  </si>
  <si>
    <t>B04006_070EA,B04006_070M,B04006_070MA</t>
  </si>
  <si>
    <t>B04006_071E</t>
  </si>
  <si>
    <t>Slovene</t>
  </si>
  <si>
    <t>Estimate: Total: Slovene</t>
  </si>
  <si>
    <t>B04006_071EA,B04006_071M,B04006_071MA</t>
  </si>
  <si>
    <t>B04006_072E</t>
  </si>
  <si>
    <t>Soviet Union</t>
  </si>
  <si>
    <t>Estimate: Total: Soviet Union</t>
  </si>
  <si>
    <t>B04006_072EA,B04006_072M,B04006_072MA</t>
  </si>
  <si>
    <t>B04006_073E</t>
  </si>
  <si>
    <t>Subsaharan African</t>
  </si>
  <si>
    <t>Estimate: Total: Subsaharan African</t>
  </si>
  <si>
    <t>B04006_073EA,B04006_073M,B04006_073MA</t>
  </si>
  <si>
    <t>B04006_074E</t>
  </si>
  <si>
    <t>Subsaharan African: Cape Verdean</t>
  </si>
  <si>
    <t>Estimate: Total: Subsaharan African: Cape Verdean</t>
  </si>
  <si>
    <t>B04006_074EA,B04006_074M,B04006_074MA</t>
  </si>
  <si>
    <t>B04006_075E</t>
  </si>
  <si>
    <t>Subsaharan African: Ethiopian</t>
  </si>
  <si>
    <t>Estimate: Total: Subsaharan African: Ethiopian</t>
  </si>
  <si>
    <t>B04006_075EA,B04006_075M,B04006_075MA</t>
  </si>
  <si>
    <t>B04006_076E</t>
  </si>
  <si>
    <t>Subsaharan African: Ghanaian</t>
  </si>
  <si>
    <t>Estimate: Total: Subsaharan African: Ghanaian</t>
  </si>
  <si>
    <t>B04006_076EA,B04006_076M,B04006_076MA</t>
  </si>
  <si>
    <t>B04006_077E</t>
  </si>
  <si>
    <t>Subsaharan African: Kenyan</t>
  </si>
  <si>
    <t>Estimate: Total: Subsaharan African: Kenyan</t>
  </si>
  <si>
    <t>B04006_077EA,B04006_077M,B04006_077MA</t>
  </si>
  <si>
    <t>B04006_078E</t>
  </si>
  <si>
    <t>Subsaharan African: Liberian</t>
  </si>
  <si>
    <t>Estimate: Total: Subsaharan African: Liberian</t>
  </si>
  <si>
    <t>B04006_078EA,B04006_078M,B04006_078MA</t>
  </si>
  <si>
    <t>B04006_079E</t>
  </si>
  <si>
    <t>Subsaharan African: Nigerian</t>
  </si>
  <si>
    <t>Estimate: Total: Subsaharan African: Nigerian</t>
  </si>
  <si>
    <t>B04006_079EA,B04006_079M,B04006_079MA</t>
  </si>
  <si>
    <t>B04006_080E</t>
  </si>
  <si>
    <t>Subsaharan African: Senegalese</t>
  </si>
  <si>
    <t>Estimate: Total: Subsaharan African: Senegalese</t>
  </si>
  <si>
    <t>B04006_080EA,B04006_080M,B04006_080MA</t>
  </si>
  <si>
    <t>B04006_081E</t>
  </si>
  <si>
    <t>Subsaharan African: Sierra Leonean</t>
  </si>
  <si>
    <t>Estimate: Total: Subsaharan African: Sierra Leonean</t>
  </si>
  <si>
    <t>B04006_081EA,B04006_081M,B04006_081MA</t>
  </si>
  <si>
    <t>2010, 2011, 2012, 2013</t>
  </si>
  <si>
    <t>B04006_082E</t>
  </si>
  <si>
    <t>Subsaharan African: Somalian</t>
  </si>
  <si>
    <t>Estimate: Total: Subsaharan African: Somalian</t>
  </si>
  <si>
    <t>B04006_082EA,B04006_082M,B04006_082MA</t>
  </si>
  <si>
    <t>2014, 2015, 2016, 2017, 2018, 2019, 2020, 2021, 2022, 2023, 2024</t>
  </si>
  <si>
    <t>Subsaharan African: Somali</t>
  </si>
  <si>
    <t>Estimate: Total: Subsaharan African: Somali</t>
  </si>
  <si>
    <t>B04006_083E</t>
  </si>
  <si>
    <t>Subsaharan African: South African</t>
  </si>
  <si>
    <t>Estimate: Total: Subsaharan African: South African</t>
  </si>
  <si>
    <t>B04006_083EA,B04006_083M,B04006_083MA</t>
  </si>
  <si>
    <t>B04006_084E</t>
  </si>
  <si>
    <t>Subsaharan African: Sudanese</t>
  </si>
  <si>
    <t>Estimate: Total: Subsaharan African: Sudanese</t>
  </si>
  <si>
    <t>B04006_084EA,B04006_084M,B04006_084MA</t>
  </si>
  <si>
    <t>B04006_085E</t>
  </si>
  <si>
    <t>Subsaharan African: Ugandan</t>
  </si>
  <si>
    <t>Estimate: Total: Subsaharan African: Ugandan</t>
  </si>
  <si>
    <t>B04006_085EA,B04006_085M,B04006_085MA</t>
  </si>
  <si>
    <t>B04006_086E</t>
  </si>
  <si>
    <t>Subsaharan African: Zimbabwean</t>
  </si>
  <si>
    <t>Estimate: Total: Subsaharan African: Zimbabwean</t>
  </si>
  <si>
    <t>B04006_086EA,B04006_086M,B04006_086MA</t>
  </si>
  <si>
    <t>B04006_087E</t>
  </si>
  <si>
    <t>Subsaharan African: African</t>
  </si>
  <si>
    <t>Estimate: Total: Subsaharan African: African</t>
  </si>
  <si>
    <t>B04006_087EA,B04006_087M,B04006_087MA</t>
  </si>
  <si>
    <t>B04006_088E</t>
  </si>
  <si>
    <t>Subsaharan African: Other Subsaharan African</t>
  </si>
  <si>
    <t>Estimate: Total: Subsaharan African: Other Subsaharan African</t>
  </si>
  <si>
    <t>B04006_088EA,B04006_088M,B04006_088MA</t>
  </si>
  <si>
    <t>B04006_089E</t>
  </si>
  <si>
    <t>Swedish</t>
  </si>
  <si>
    <t>Estimate: Total: Swedish</t>
  </si>
  <si>
    <t>B04006_089EA,B04006_089M,B04006_089MA</t>
  </si>
  <si>
    <t>B04006_090E</t>
  </si>
  <si>
    <t>Swiss</t>
  </si>
  <si>
    <t>Estimate: Total: Swiss</t>
  </si>
  <si>
    <t>B04006_090EA,B04006_090M,B04006_090MA</t>
  </si>
  <si>
    <t>B04006_091E</t>
  </si>
  <si>
    <t>Turkish</t>
  </si>
  <si>
    <t>Estimate: Total: Turkish</t>
  </si>
  <si>
    <t>B04006_091EA,B04006_091M,B04006_091MA</t>
  </si>
  <si>
    <t>B04006_092E</t>
  </si>
  <si>
    <t>Ukrainian</t>
  </si>
  <si>
    <t>Estimate: Total: Ukrainian</t>
  </si>
  <si>
    <t>B04006_092EA,B04006_092M,B04006_092MA</t>
  </si>
  <si>
    <t>B04006_093E</t>
  </si>
  <si>
    <t>Welsh</t>
  </si>
  <si>
    <t>Estimate: Total: Welsh</t>
  </si>
  <si>
    <t>B04006_093EA,B04006_093M,B04006_093MA</t>
  </si>
  <si>
    <t>B04006_094E</t>
  </si>
  <si>
    <t>West Indian except Hispanic groups</t>
  </si>
  <si>
    <t>Estimate: Total: West Indian except Hispanic groups</t>
  </si>
  <si>
    <t>B04006_094EA,B04006_094M,B04006_094MA</t>
  </si>
  <si>
    <t>B04006_095E</t>
  </si>
  <si>
    <t>West Indian except Hispanic groups: Bahamian</t>
  </si>
  <si>
    <t>Estimate: Total: West Indian except Hispanic groups: Bahamian</t>
  </si>
  <si>
    <t>B04006_095EA,B04006_095M,B04006_095MA</t>
  </si>
  <si>
    <t>B04006_096E</t>
  </si>
  <si>
    <t>West Indian except Hispanic groups: Barbadian</t>
  </si>
  <si>
    <t>Estimate: Total: West Indian except Hispanic groups: Barbadian</t>
  </si>
  <si>
    <t>B04006_096EA,B04006_096M,B04006_096MA</t>
  </si>
  <si>
    <t>B04006_097E</t>
  </si>
  <si>
    <t>West Indian except Hispanic groups: Belizean</t>
  </si>
  <si>
    <t>Estimate: Total: West Indian except Hispanic groups: Belizean</t>
  </si>
  <si>
    <t>B04006_097EA,B04006_097M,B04006_097MA</t>
  </si>
  <si>
    <t>B04006_098E</t>
  </si>
  <si>
    <t>West Indian except Hispanic groups: Bermudan</t>
  </si>
  <si>
    <t>Estimate: Total: West Indian except Hispanic groups: Bermudan</t>
  </si>
  <si>
    <t>B04006_098EA,B04006_098M,B04006_098MA</t>
  </si>
  <si>
    <t>B04006_099E</t>
  </si>
  <si>
    <t>West Indian except Hispanic groups: British West Indian</t>
  </si>
  <si>
    <t>Estimate: Total: West Indian except Hispanic groups: British West Indian</t>
  </si>
  <si>
    <t>B04006_099EA,B04006_099M,B04006_099MA</t>
  </si>
  <si>
    <t>B04006_100E</t>
  </si>
  <si>
    <t>West Indian except Hispanic groups: Dutch West Indian</t>
  </si>
  <si>
    <t>Estimate: Total: West Indian except Hispanic groups: Dutch West Indian</t>
  </si>
  <si>
    <t>B04006_100EA,B04006_100M,B04006_100MA</t>
  </si>
  <si>
    <t>B04006_101E</t>
  </si>
  <si>
    <t>West Indian except Hispanic groups: Haitian</t>
  </si>
  <si>
    <t>Estimate: Total: West Indian except Hispanic groups: Haitian</t>
  </si>
  <si>
    <t>B04006_101EA,B04006_101M,B04006_101MA</t>
  </si>
  <si>
    <t>B04006_102E</t>
  </si>
  <si>
    <t>West Indian except Hispanic groups: Jamaican</t>
  </si>
  <si>
    <t>Estimate: Total: West Indian except Hispanic groups: Jamaican</t>
  </si>
  <si>
    <t>B04006_102EA,B04006_102M,B04006_102MA</t>
  </si>
  <si>
    <t>B04006_103E</t>
  </si>
  <si>
    <t>West Indian except Hispanic groups: Trinidadian and Tobagonian</t>
  </si>
  <si>
    <t>Estimate: Total: West Indian except Hispanic groups: Trinidadian and Tobagonian</t>
  </si>
  <si>
    <t>B04006_103EA,B04006_103M,B04006_103MA</t>
  </si>
  <si>
    <t>B04006_104E</t>
  </si>
  <si>
    <t>West Indian except Hispanic groups: US Virgin Islander</t>
  </si>
  <si>
    <t>Estimate: Total: West Indian except Hispanic groups: US Virgin Islander</t>
  </si>
  <si>
    <t>B04006_104EA,B04006_104M,B04006_104MA</t>
  </si>
  <si>
    <t>B04006_105E</t>
  </si>
  <si>
    <t>West Indian except Hispanic groups: West Indian</t>
  </si>
  <si>
    <t>Estimate: Total: West Indian except Hispanic groups: West Indian</t>
  </si>
  <si>
    <t>B04006_105EA,B04006_105M,B04006_105MA</t>
  </si>
  <si>
    <t>B04006_106E</t>
  </si>
  <si>
    <t>West Indian except Hispanic groups: Other West Indian</t>
  </si>
  <si>
    <t>Estimate: Total: West Indian except Hispanic groups: Other West Indian</t>
  </si>
  <si>
    <t>B04006_106EA,B04006_106M,B04006_106MA</t>
  </si>
  <si>
    <t>B04006_107E</t>
  </si>
  <si>
    <t>Yugoslavian</t>
  </si>
  <si>
    <t>Estimate: Total: Yugoslavian</t>
  </si>
  <si>
    <t>B04006_107EA,B04006_107M,B04006_107MA</t>
  </si>
  <si>
    <t>B04006_108E</t>
  </si>
  <si>
    <t>Other groups</t>
  </si>
  <si>
    <t>Estimate: Total: Other groups</t>
  </si>
  <si>
    <t>B04006_108EA,B04006_108M,B04006_108MA</t>
  </si>
  <si>
    <t>B04006_109E</t>
  </si>
  <si>
    <t>Unclassified or not reported</t>
  </si>
  <si>
    <t>Estimate: Total: Unclassified or not reported</t>
  </si>
  <si>
    <t>B04006_109EA,B04006_109M,B04006_109MA</t>
  </si>
  <si>
    <t>B28</t>
  </si>
  <si>
    <t>B28001</t>
  </si>
  <si>
    <t>B28001_001E</t>
  </si>
  <si>
    <t>Households</t>
  </si>
  <si>
    <t>S23</t>
  </si>
  <si>
    <t>Types of Computers in Household</t>
  </si>
  <si>
    <t>TYPES OF COMPUTERS IN HOUSEHOLD</t>
  </si>
  <si>
    <t>B28001_001EA,B28001_001M,B28001_001MA</t>
  </si>
  <si>
    <t>B28001_002E</t>
  </si>
  <si>
    <t>Has one or more types of computing devices</t>
  </si>
  <si>
    <t>Estimate: Total: Has one or more types of computing devices</t>
  </si>
  <si>
    <t>B28001_002EA,B28001_002M,B28001_002MA</t>
  </si>
  <si>
    <t>B28001_003E</t>
  </si>
  <si>
    <t>Has one or more types of computing devices: Desktop or laptop</t>
  </si>
  <si>
    <t>Estimate: Total: Has one or more types of computing devices: Desktop or laptop</t>
  </si>
  <si>
    <t>B28001_003EA,B28001_003M,B28001_003MA</t>
  </si>
  <si>
    <t>B28001_004E</t>
  </si>
  <si>
    <t>Has one or more types of computing devices: Desktop or laptop: Desktop or laptop with no other type of computing device</t>
  </si>
  <si>
    <t>Estimate: Total: Has one or more types of computing devices: Desktop or laptop: Desktop or laptop with no other type of computing device</t>
  </si>
  <si>
    <t>B28001_004EA,B28001_004M,B28001_004MA</t>
  </si>
  <si>
    <t>B28001_005E</t>
  </si>
  <si>
    <t>Has one or more types of computing devices: Smartphone</t>
  </si>
  <si>
    <t>Estimate: Total: Has one or more types of computing devices: Smartphone</t>
  </si>
  <si>
    <t>B28001_005EA,B28001_005M,B28001_005MA</t>
  </si>
  <si>
    <t>B28001_006E</t>
  </si>
  <si>
    <t>Has one or more types of computing devices: Smartphone: Smartphone with no other type of computing device</t>
  </si>
  <si>
    <t>Estimate: Total: Has one or more types of computing devices: Smartphone: Smartphone with no other type of computing device</t>
  </si>
  <si>
    <t>B28001_006EA,B28001_006M,B28001_006MA</t>
  </si>
  <si>
    <t>B28001_007E</t>
  </si>
  <si>
    <t>Has one or more types of computing devices: Tablet or other portable wireless computer</t>
  </si>
  <si>
    <t>Estimate: Total: Has one or more types of computing devices: Tablet or other portable wireless computer</t>
  </si>
  <si>
    <t>B28001_007EA,B28001_007M,B28001_007MA</t>
  </si>
  <si>
    <t>B28001_008E</t>
  </si>
  <si>
    <t>Has one or more types of computing devices: Tablet or other portable wireless computer: Tablet or other portable wireless computer with no other type of computing device</t>
  </si>
  <si>
    <t>Estimate: Total: Has one or more types of computing devices: Tablet or other portable wireless computer: Tablet or other portable wireless computer with no other type of computing device</t>
  </si>
  <si>
    <t>B28001_008EA,B28001_008M,B28001_008MA</t>
  </si>
  <si>
    <t>B28001_009E</t>
  </si>
  <si>
    <t>Has one or more types of computing devices: Other computer</t>
  </si>
  <si>
    <t>Estimate: Total: Has one or more types of computing devices: Other computer</t>
  </si>
  <si>
    <t>B28001_009EA,B28001_009M,B28001_009MA</t>
  </si>
  <si>
    <t>B28001_010E</t>
  </si>
  <si>
    <t>Has one or more types of computing devices: Other computer: Other computer with no other type of computing device</t>
  </si>
  <si>
    <t>Estimate: Total: Has one or more types of computing devices: Other computer: Other computer with no other type of computing device</t>
  </si>
  <si>
    <t>B28001_010EA,B28001_010M,B28001_010MA</t>
  </si>
  <si>
    <t>B28001_011E</t>
  </si>
  <si>
    <t>No Computer</t>
  </si>
  <si>
    <t>Estimate: Total: No Computer</t>
  </si>
  <si>
    <t>B28001_011EA,B28001_011M,B28001_011MA</t>
  </si>
  <si>
    <t>B28008</t>
  </si>
  <si>
    <t>B28008_001E</t>
  </si>
  <si>
    <t>S24</t>
  </si>
  <si>
    <t>Computers and Internet Use</t>
  </si>
  <si>
    <t>PRESENCE OF A COMPUTER AND TYPE OF INTERNET SUBSCRIPTION IN HOUSEHOLD</t>
  </si>
  <si>
    <t>B28008_001EA,B28008_001M,B28008_001MA</t>
  </si>
  <si>
    <t>B28008_002E</t>
  </si>
  <si>
    <t>Has a computer</t>
  </si>
  <si>
    <t>Estimate: Total: Has a computer</t>
  </si>
  <si>
    <t>B28008_002EA,B28008_002M,B28008_002MA</t>
  </si>
  <si>
    <t>B28008_003E</t>
  </si>
  <si>
    <t>Has a computer: With dial-up Internet subscription alone</t>
  </si>
  <si>
    <t>Estimate: Total: Has a computer: With dial-up Internet subscription alone</t>
  </si>
  <si>
    <t>B28008_003EA,B28008_003M,B28008_003MA</t>
  </si>
  <si>
    <t>B28008_004E</t>
  </si>
  <si>
    <t>Has a computer: With a broadband subscription</t>
  </si>
  <si>
    <t>Estimate: Total: Has a computer: With a broadband subscription</t>
  </si>
  <si>
    <t>B28008_004EA,B28008_004M,B28008_004MA</t>
  </si>
  <si>
    <t>B28008_005E</t>
  </si>
  <si>
    <t>Has a computer: With a broadband subscription: With a fixed broadband Internet subscription</t>
  </si>
  <si>
    <t>Estimate: Total: Has a computer: With a broadband subscription: With a fixed broadband Internet subscription</t>
  </si>
  <si>
    <t>B28008_005EA,B28008_005M,B28008_005MA</t>
  </si>
  <si>
    <t>B28008_006E</t>
  </si>
  <si>
    <t>Has a computer: With a broadband subscription: With a fixed broadband Internet subscription: With a cellular data plan</t>
  </si>
  <si>
    <t>Estimate: Total: Has a computer: With a broadband subscription: With a fixed broadband Internet subscription: With a cellular data plan</t>
  </si>
  <si>
    <t>B28008_006EA,B28008_006M,B28008_006MA</t>
  </si>
  <si>
    <t>B28008_007E</t>
  </si>
  <si>
    <t>Has a computer: With a broadband subscription: With a fixed broadband Internet subscription: Without a cellular data plan</t>
  </si>
  <si>
    <t>Estimate: Total: Has a computer: With a broadband subscription: With a fixed broadband Internet subscription: Without a cellular data plan</t>
  </si>
  <si>
    <t>B28008_007EA,B28008_007M,B28008_007MA</t>
  </si>
  <si>
    <t>B28008_008E</t>
  </si>
  <si>
    <t>Has a computer: With a broadband subscription: Cellular data plan alone or with dial-up</t>
  </si>
  <si>
    <t>Estimate: Total: Has a computer: With a broadband subscription: Cellular data plan alone or with dial-up</t>
  </si>
  <si>
    <t>B28008_008EA,B28008_008M,B28008_008MA</t>
  </si>
  <si>
    <t>B28008_009E</t>
  </si>
  <si>
    <t>Has a computer: Without Internet subscription</t>
  </si>
  <si>
    <t>Estimate: Total: Has a computer: Without Internet subscription</t>
  </si>
  <si>
    <t>B28008_009EA,B28008_009M,B28008_009MA</t>
  </si>
  <si>
    <t>B28008_010E</t>
  </si>
  <si>
    <t>B28008_010EA,B28008_010M,B28008_010MA</t>
  </si>
  <si>
    <t>B28010</t>
  </si>
  <si>
    <t>B28010_001E</t>
  </si>
  <si>
    <t>Households (Computers)</t>
  </si>
  <si>
    <t>S25</t>
  </si>
  <si>
    <t>Computers in Household</t>
  </si>
  <si>
    <t>COMPUTERS IN HOUSEHOLD</t>
  </si>
  <si>
    <t>B28010_001EA,B28010_001M,B28010_001MA</t>
  </si>
  <si>
    <t>B28010_002E</t>
  </si>
  <si>
    <t>B28010_002EA,B28010_002M,B28010_002MA</t>
  </si>
  <si>
    <t>B28010_003E</t>
  </si>
  <si>
    <t>B28010_003EA,B28010_003M,B28010_003MA</t>
  </si>
  <si>
    <t>B28010_004E</t>
  </si>
  <si>
    <t>Has one or more types of computing devices: Desktop or laptop: Desktop or laptop alone</t>
  </si>
  <si>
    <t>Estimate: Total: Has one or more types of computing devices: Desktop or laptop: Desktop or laptop alone</t>
  </si>
  <si>
    <t>B28010_004EA,B28010_004M,B28010_004MA</t>
  </si>
  <si>
    <t>B28010_005E</t>
  </si>
  <si>
    <t>Has one or more types of computing devices: Smartphone tablet or other portable wireless computer or other computer</t>
  </si>
  <si>
    <t>Estimate: Total: Has one or more types of computing devices: Smartphone tablet or other portable wireless computer or other computer</t>
  </si>
  <si>
    <t>B28010_005EA,B28010_005M,B28010_005MA</t>
  </si>
  <si>
    <t>B28010_006E</t>
  </si>
  <si>
    <t>Has one or more types of computing devices: Smartphone tablet or other portable wireless computer or other computer: Smartphone tablet or other portable wireless computer or other computer no desktop or laptop</t>
  </si>
  <si>
    <t>Estimate: Total: Has one or more types of computing devices: Smartphone tablet or other portable wireless computer or other computer: Smartphone tablet or other portable wireless computer or other computer no desktop or laptop</t>
  </si>
  <si>
    <t>B28010_006EA,B28010_006M,B28010_006MA</t>
  </si>
  <si>
    <t>B28010_007E</t>
  </si>
  <si>
    <t>B28010_007EA,B28010_007M,B28010_007MA</t>
  </si>
  <si>
    <t>B28011</t>
  </si>
  <si>
    <t>B28011_001E</t>
  </si>
  <si>
    <t>Households (Subscriptions)</t>
  </si>
  <si>
    <t>S26</t>
  </si>
  <si>
    <t>Subscriptions in Household</t>
  </si>
  <si>
    <t>INTERNET SUBSCRIPTIONS IN HOUSEHOLD</t>
  </si>
  <si>
    <t>B28011_001EA,B28011_001M,B28011_001MA</t>
  </si>
  <si>
    <t>B28011_002E</t>
  </si>
  <si>
    <t>With an Internet subscription</t>
  </si>
  <si>
    <t>Estimate: Total: With an Internet subscription</t>
  </si>
  <si>
    <t>B28011_002EA,B28011_002M,B28011_002MA</t>
  </si>
  <si>
    <t>B28011_003E</t>
  </si>
  <si>
    <t>With an Internet subscription: Dial-up alone</t>
  </si>
  <si>
    <t>Estimate: Total: With an Internet subscription: Dial-up alone</t>
  </si>
  <si>
    <t>B28011_003EA,B28011_003M,B28011_003MA</t>
  </si>
  <si>
    <t>B28011_004E</t>
  </si>
  <si>
    <t>With an Internet subscription: Broadband such as cable fiber optic or DSL</t>
  </si>
  <si>
    <t>Estimate: Total: With an Internet subscription: Broadband such as cable fiber optic or DSL</t>
  </si>
  <si>
    <t>B28011_004EA,B28011_004M,B28011_004MA</t>
  </si>
  <si>
    <t>B28011_005E</t>
  </si>
  <si>
    <t>With an Internet subscription: Satellite Internet service</t>
  </si>
  <si>
    <t>Estimate: Total: With an Internet subscription: Satellite Internet service</t>
  </si>
  <si>
    <t>B28011_005EA,B28011_005M,B28011_005MA</t>
  </si>
  <si>
    <t>B28011_006E</t>
  </si>
  <si>
    <t>With an Internet subscription: Other service</t>
  </si>
  <si>
    <t>Estimate: Total: With an Internet subscription: Other service</t>
  </si>
  <si>
    <t>B28011_006EA,B28011_006M,B28011_006MA</t>
  </si>
  <si>
    <t>B28011_007E</t>
  </si>
  <si>
    <t>Internet access without a subscription</t>
  </si>
  <si>
    <t>Estimate: Total: Internet access without a subscription</t>
  </si>
  <si>
    <t>B28011_007EA,B28011_007M,B28011_007MA</t>
  </si>
  <si>
    <t>B07003</t>
  </si>
  <si>
    <t>B07003_001E</t>
  </si>
  <si>
    <t>Total US Residents</t>
  </si>
  <si>
    <t>S27</t>
  </si>
  <si>
    <t>Geographical Mobility</t>
  </si>
  <si>
    <t>GEOGRAPHICAL MOBILITY IN THE PAST YEAR BY SEX FOR CURRENT RESIDENCE IN THE UNITED STATES</t>
  </si>
  <si>
    <t>B07003_001EA,B07003_001M,B07003_001MA</t>
  </si>
  <si>
    <t>B07003_002E</t>
  </si>
  <si>
    <t>B07003_002EA,B07003_002M,B07003_002MA</t>
  </si>
  <si>
    <t>B07003_003E</t>
  </si>
  <si>
    <t>B07003_003EA,B07003_003M,B07003_003MA</t>
  </si>
  <si>
    <t>B07003_004E</t>
  </si>
  <si>
    <t>Same house 1 year ago</t>
  </si>
  <si>
    <t>B07003_004EA,B07003_004M,B07003_004MA</t>
  </si>
  <si>
    <t>B07003_005E</t>
  </si>
  <si>
    <t>Same house 1 year ago: Male</t>
  </si>
  <si>
    <t>Estimate: Total: Same house 1 year ago: Male</t>
  </si>
  <si>
    <t>B07003_005EA,B07003_005M,B07003_005MA</t>
  </si>
  <si>
    <t>B07003_006E</t>
  </si>
  <si>
    <t>Same house 1 year ago: Female</t>
  </si>
  <si>
    <t>Estimate: Total: Same house 1 year ago: Female</t>
  </si>
  <si>
    <t>B07003_006EA,B07003_006M,B07003_006MA</t>
  </si>
  <si>
    <t>B07003_007E</t>
  </si>
  <si>
    <t>Moved within same county</t>
  </si>
  <si>
    <t>B07003_007EA,B07003_007M,B07003_007MA</t>
  </si>
  <si>
    <t>B07003_008E</t>
  </si>
  <si>
    <t>Moved within same county: Male</t>
  </si>
  <si>
    <t>Estimate: Total: Moved within same county: Male</t>
  </si>
  <si>
    <t>B07003_008EA,B07003_008M,B07003_008MA</t>
  </si>
  <si>
    <t>B07003_009E</t>
  </si>
  <si>
    <t>Moved within same county: Female</t>
  </si>
  <si>
    <t>Estimate: Total: Moved within same county: Female</t>
  </si>
  <si>
    <t>B07003_009EA,B07003_009M,B07003_009MA</t>
  </si>
  <si>
    <t>B07003_010E</t>
  </si>
  <si>
    <t>Moved from different county within same state</t>
  </si>
  <si>
    <t>B07003_010EA,B07003_010M,B07003_010MA</t>
  </si>
  <si>
    <t>B07003_011E</t>
  </si>
  <si>
    <t>Moved from different county within same state: Male</t>
  </si>
  <si>
    <t>Estimate: Total: Moved from different county within same state: Male</t>
  </si>
  <si>
    <t>B07003_011EA,B07003_011M,B07003_011MA</t>
  </si>
  <si>
    <t>B07003_012E</t>
  </si>
  <si>
    <t>Moved from different county within same state: Female</t>
  </si>
  <si>
    <t>Estimate: Total: Moved from different county within same state: Female</t>
  </si>
  <si>
    <t>B07003_012EA,B07003_012M,B07003_012MA</t>
  </si>
  <si>
    <t>B07003_013E</t>
  </si>
  <si>
    <t>Moved from different state</t>
  </si>
  <si>
    <t>B07003_013EA,B07003_013M,B07003_013MA</t>
  </si>
  <si>
    <t>B07003_014E</t>
  </si>
  <si>
    <t>Moved from different state: Male</t>
  </si>
  <si>
    <t>Estimate: Total: Moved from different state: Male</t>
  </si>
  <si>
    <t>B07003_014EA,B07003_014M,B07003_014MA</t>
  </si>
  <si>
    <t>B07003_015E</t>
  </si>
  <si>
    <t>Moved from different state: Female</t>
  </si>
  <si>
    <t>Estimate: Total: Moved from different state: Female</t>
  </si>
  <si>
    <t>B07003_015EA,B07003_015M,B07003_015MA</t>
  </si>
  <si>
    <t>B07003_016E</t>
  </si>
  <si>
    <t>Moved from abroad</t>
  </si>
  <si>
    <t>B07003_016EA,B07003_016M,B07003_016MA</t>
  </si>
  <si>
    <t>B07003_017E</t>
  </si>
  <si>
    <t>Moved from abroad: Male</t>
  </si>
  <si>
    <t>Estimate: Total: Moved from abroad: Male</t>
  </si>
  <si>
    <t>B07003_017EA,B07003_017M,B07003_017MA</t>
  </si>
  <si>
    <t>B07003_018E</t>
  </si>
  <si>
    <t>Moved from abroad: Female</t>
  </si>
  <si>
    <t>Estimate: Total: Moved from abroad: Female</t>
  </si>
  <si>
    <t>B07003_018EA,B07003_018M,B07003_018MA</t>
  </si>
  <si>
    <t>B07003PR</t>
  </si>
  <si>
    <t>B07003PR_001E</t>
  </si>
  <si>
    <t>Total</t>
  </si>
  <si>
    <t>GEOGRAPHICAL MOBILITY IN THE PAST YEAR BY SEX FOR CURRENT RESIDENCE IN PUERTO RICO</t>
  </si>
  <si>
    <t>B07003PR_001EA,B07003PR_001M,B07003PR_001MA</t>
  </si>
  <si>
    <t>B28011_008E</t>
  </si>
  <si>
    <t>No Internet access</t>
  </si>
  <si>
    <t>Estimate: Total: No Internet access</t>
  </si>
  <si>
    <t>B28011_008EA,B28011_008M,B28011_008MA</t>
  </si>
  <si>
    <t>2011, 2012, 2013, 2014, 2015, 2016, 2017, 2018, 2019, 2020, 2021, 2022, 2023, 2024</t>
  </si>
  <si>
    <t>B23</t>
  </si>
  <si>
    <t>B23025</t>
  </si>
  <si>
    <t>B23025_001E</t>
  </si>
  <si>
    <t>Total Population, 16+ years</t>
  </si>
  <si>
    <t>E01</t>
  </si>
  <si>
    <t>Employment Status</t>
  </si>
  <si>
    <t>EMPLOYMENT STATUS FOR THE POPULATION 16 YEARS AND OVER</t>
  </si>
  <si>
    <t>B23025_001EA,B23025_001M,B23025_001MA</t>
  </si>
  <si>
    <t>B23025_002E</t>
  </si>
  <si>
    <t>In labor force</t>
  </si>
  <si>
    <t>Estimate: Total: In labor force</t>
  </si>
  <si>
    <t>B23025_002EA,B23025_002M,B23025_002MA</t>
  </si>
  <si>
    <t>B23025_003E</t>
  </si>
  <si>
    <t>In labor force: Civilian labor force</t>
  </si>
  <si>
    <t>Estimate: Total: In labor force: Civilian labor force</t>
  </si>
  <si>
    <t>B23025_003EA,B23025_003M,B23025_003MA</t>
  </si>
  <si>
    <t>B23025_004E</t>
  </si>
  <si>
    <t>In labor force: Civilian labor force: Employed</t>
  </si>
  <si>
    <t>Estimate: Total: In labor force: Civilian labor force: Employed</t>
  </si>
  <si>
    <t>B23025_004EA,B23025_004M,B23025_004MA</t>
  </si>
  <si>
    <t>B23025_005E</t>
  </si>
  <si>
    <t>In labor force: Civilian labor force: Unemployed</t>
  </si>
  <si>
    <t>Estimate: Total: In labor force: Civilian labor force: Unemployed</t>
  </si>
  <si>
    <t>B23025_005EA,B23025_005M,B23025_005MA</t>
  </si>
  <si>
    <t>B23025_006E</t>
  </si>
  <si>
    <t>In labor force: Armed Forces</t>
  </si>
  <si>
    <t>Estimate: Total: In labor force: Armed Forces</t>
  </si>
  <si>
    <t>B23025_006EA,B23025_006M,B23025_006MA</t>
  </si>
  <si>
    <t>B23025_007E</t>
  </si>
  <si>
    <t>Not in labor force</t>
  </si>
  <si>
    <t>Estimate: Total: Not in labor force</t>
  </si>
  <si>
    <t>B23025_007EA,B23025_007M,B23025_007MA</t>
  </si>
  <si>
    <t>B23027</t>
  </si>
  <si>
    <t>B23027_001E</t>
  </si>
  <si>
    <t>E02</t>
  </si>
  <si>
    <t>Work Status by Age of Worker</t>
  </si>
  <si>
    <t>FULL-TIME, YEAR-ROUND WORK STATUS IN THE PAST 12 MONTHS BY AGE FOR THE POPULATION 16 YEARS AND OVER</t>
  </si>
  <si>
    <t>B23027_001EA,B23027_001M,B23027_001MA</t>
  </si>
  <si>
    <t>B23027_002E</t>
  </si>
  <si>
    <t>16 to 19 years</t>
  </si>
  <si>
    <t>Estimate: Total: 16 to 19 years</t>
  </si>
  <si>
    <t>B23027_002EA,B23027_002M,B23027_002MA</t>
  </si>
  <si>
    <t>B23027_003E</t>
  </si>
  <si>
    <t>16 to 19 years: Worked in the past 12 months</t>
  </si>
  <si>
    <t>Estimate: Total: 16 to 19 years: Worked in the past 12 months</t>
  </si>
  <si>
    <t>B23027_003EA,B23027_003M,B23027_003MA</t>
  </si>
  <si>
    <t>B23027_004E</t>
  </si>
  <si>
    <t>16 to 19 years: Worked in the past 12 months: Worked full-time year-round</t>
  </si>
  <si>
    <t>Estimate: Total: 16 to 19 years: Worked in the past 12 months: Worked full-time year-round</t>
  </si>
  <si>
    <t>B23027_004EA,B23027_004M,B23027_004MA</t>
  </si>
  <si>
    <t>B23027_005E</t>
  </si>
  <si>
    <t>16 to 19 years: Worked in the past 12 months: Worked less than full-time year-round</t>
  </si>
  <si>
    <t>Estimate: Total: 16 to 19 years: Worked in the past 12 months: Worked less than full-time year-round</t>
  </si>
  <si>
    <t>B23027_005EA,B23027_005M,B23027_005MA</t>
  </si>
  <si>
    <t>B23027_006E</t>
  </si>
  <si>
    <t>16 to 19 years: Did not work in the past 12 months</t>
  </si>
  <si>
    <t>Estimate: Total: 16 to 19 years: Did not work in the past 12 months</t>
  </si>
  <si>
    <t>B23027_006EA,B23027_006M,B23027_006MA</t>
  </si>
  <si>
    <t>B23027_007E</t>
  </si>
  <si>
    <t>20 to 24 years</t>
  </si>
  <si>
    <t>Estimate: Total: 20 to 24 years</t>
  </si>
  <si>
    <t>B23027_007EA,B23027_007M,B23027_007MA</t>
  </si>
  <si>
    <t>B23027_008E</t>
  </si>
  <si>
    <t>20 to 24 years: Worked in the past 12 months</t>
  </si>
  <si>
    <t>Estimate: Total: 20 to 24 years: Worked in the past 12 months</t>
  </si>
  <si>
    <t>B23027_008EA,B23027_008M,B23027_008MA</t>
  </si>
  <si>
    <t>B23027_009E</t>
  </si>
  <si>
    <t>20 to 24 years: Worked in the past 12 months: Worked full-time year-round</t>
  </si>
  <si>
    <t>Estimate: Total: 20 to 24 years: Worked in the past 12 months: Worked full-time year-round</t>
  </si>
  <si>
    <t>B23027_009EA,B23027_009M,B23027_009MA</t>
  </si>
  <si>
    <t>B23027_010E</t>
  </si>
  <si>
    <t>20 to 24 years: Worked in the past 12 months: Worked less than full-time year-round</t>
  </si>
  <si>
    <t>Estimate: Total: 20 to 24 years: Worked in the past 12 months: Worked less than full-time year-round</t>
  </si>
  <si>
    <t>B23027_010EA,B23027_010M,B23027_010MA</t>
  </si>
  <si>
    <t>B23027_011E</t>
  </si>
  <si>
    <t>20 to 24 years: Did not work in the past 12 months</t>
  </si>
  <si>
    <t>Estimate: Total: 20 to 24 years: Did not work in the past 12 months</t>
  </si>
  <si>
    <t>B23027_011EA,B23027_011M,B23027_011MA</t>
  </si>
  <si>
    <t>B23027_012E</t>
  </si>
  <si>
    <t>25 to 44 years</t>
  </si>
  <si>
    <t>Estimate: Total: 25 to 44 years</t>
  </si>
  <si>
    <t>B23027_012EA,B23027_012M,B23027_012MA</t>
  </si>
  <si>
    <t>B23027_013E</t>
  </si>
  <si>
    <t>25 to 44 years: Worked in the past 12 months</t>
  </si>
  <si>
    <t>Estimate: Total: 25 to 44 years: Worked in the past 12 months</t>
  </si>
  <si>
    <t>B23027_013EA,B23027_013M,B23027_013MA</t>
  </si>
  <si>
    <t>B23027_014E</t>
  </si>
  <si>
    <t>25 to 44 years: Worked in the past 12 months: Worked full-time year-round</t>
  </si>
  <si>
    <t>Estimate: Total: 25 to 44 years: Worked in the past 12 months: Worked full-time year-round</t>
  </si>
  <si>
    <t>B23027_014EA,B23027_014M,B23027_014MA</t>
  </si>
  <si>
    <t>B23027_015E</t>
  </si>
  <si>
    <t>25 to 44 years: Worked in the past 12 months: Worked less than full-time year-round</t>
  </si>
  <si>
    <t>Estimate: Total: 25 to 44 years: Worked in the past 12 months: Worked less than full-time year-round</t>
  </si>
  <si>
    <t>B23027_015EA,B23027_015M,B23027_015MA</t>
  </si>
  <si>
    <t>B23027_016E</t>
  </si>
  <si>
    <t>25 to 44 years: Did not work in the past 12 months</t>
  </si>
  <si>
    <t>Estimate: Total: 25 to 44 years: Did not work in the past 12 months</t>
  </si>
  <si>
    <t>B23027_016EA,B23027_016M,B23027_016MA</t>
  </si>
  <si>
    <t>B23027_017E</t>
  </si>
  <si>
    <t>45 to 54 years</t>
  </si>
  <si>
    <t>Estimate: Total: 45 to 54 years</t>
  </si>
  <si>
    <t>B23027_017EA,B23027_017M,B23027_017MA</t>
  </si>
  <si>
    <t>B23027_018E</t>
  </si>
  <si>
    <t>45 to 54 years: Worked in the past 12 months</t>
  </si>
  <si>
    <t>Estimate: Total: 45 to 54 years: Worked in the past 12 months</t>
  </si>
  <si>
    <t>B23027_018EA,B23027_018M,B23027_018MA</t>
  </si>
  <si>
    <t>B23027_019E</t>
  </si>
  <si>
    <t>45 to 54 years: Worked in the past 12 months: Worked full-time year-round</t>
  </si>
  <si>
    <t>Estimate: Total: 45 to 54 years: Worked in the past 12 months: Worked full-time year-round</t>
  </si>
  <si>
    <t>B23027_019EA,B23027_019M,B23027_019MA</t>
  </si>
  <si>
    <t>B23027_020E</t>
  </si>
  <si>
    <t>45 to 54 years: Worked in the past 12 months: Worked less than full-time year-round</t>
  </si>
  <si>
    <t>Estimate: Total: 45 to 54 years: Worked in the past 12 months: Worked less than full-time year-round</t>
  </si>
  <si>
    <t>B23027_020EA,B23027_020M,B23027_020MA</t>
  </si>
  <si>
    <t>B23027_021E</t>
  </si>
  <si>
    <t>45 to 54 years: Did not work in the past 12 months</t>
  </si>
  <si>
    <t>Estimate: Total: 45 to 54 years: Did not work in the past 12 months</t>
  </si>
  <si>
    <t>B23027_021EA,B23027_021M,B23027_021MA</t>
  </si>
  <si>
    <t>B23027_022E</t>
  </si>
  <si>
    <t>55 to 64 years</t>
  </si>
  <si>
    <t>Estimate: Total: 55 to 64 years</t>
  </si>
  <si>
    <t>B23027_022EA,B23027_022M,B23027_022MA</t>
  </si>
  <si>
    <t>B23027_023E</t>
  </si>
  <si>
    <t>55 to 64 years: Worked in the past 12 months</t>
  </si>
  <si>
    <t>Estimate: Total: 55 to 64 years: Worked in the past 12 months</t>
  </si>
  <si>
    <t>B23027_023EA,B23027_023M,B23027_023MA</t>
  </si>
  <si>
    <t>B23027_024E</t>
  </si>
  <si>
    <t>55 to 64 years: Worked in the past 12 months: Worked full-time year-round</t>
  </si>
  <si>
    <t>Estimate: Total: 55 to 64 years: Worked in the past 12 months: Worked full-time year-round</t>
  </si>
  <si>
    <t>B23027_024EA,B23027_024M,B23027_024MA</t>
  </si>
  <si>
    <t>B23027_025E</t>
  </si>
  <si>
    <t>55 to 64 years: Worked in the past 12 months: Worked less than full-time year-round</t>
  </si>
  <si>
    <t>Estimate: Total: 55 to 64 years: Worked in the past 12 months: Worked less than full-time year-round</t>
  </si>
  <si>
    <t>B23027_025EA,B23027_025M,B23027_025MA</t>
  </si>
  <si>
    <t>B23027_026E</t>
  </si>
  <si>
    <t>55 to 64 years: Did not work in the past 12 months</t>
  </si>
  <si>
    <t>Estimate: Total: 55 to 64 years: Did not work in the past 12 months</t>
  </si>
  <si>
    <t>B23027_026EA,B23027_026M,B23027_026MA</t>
  </si>
  <si>
    <t>B23027_027E</t>
  </si>
  <si>
    <t>65 to 69 years</t>
  </si>
  <si>
    <t>Estimate: Total: 65 to 69 years</t>
  </si>
  <si>
    <t>B23027_027EA,B23027_027M,B23027_027MA</t>
  </si>
  <si>
    <t>B23027_028E</t>
  </si>
  <si>
    <t>65 to 69 years: Worked in the past 12 months</t>
  </si>
  <si>
    <t>Estimate: Total: 65 to 69 years: Worked in the past 12 months</t>
  </si>
  <si>
    <t>B23027_028EA,B23027_028M,B23027_028MA</t>
  </si>
  <si>
    <t>B23027_029E</t>
  </si>
  <si>
    <t>65 to 69 years: Worked in the past 12 months: Worked full-time year-round</t>
  </si>
  <si>
    <t>Estimate: Total: 65 to 69 years: Worked in the past 12 months: Worked full-time year-round</t>
  </si>
  <si>
    <t>B23027_029EA,B23027_029M,B23027_029MA</t>
  </si>
  <si>
    <t>B23027_030E</t>
  </si>
  <si>
    <t>65 to 69 years: Worked in the past 12 months: Worked less than full-time year-round</t>
  </si>
  <si>
    <t>Estimate: Total: 65 to 69 years: Worked in the past 12 months: Worked less than full-time year-round</t>
  </si>
  <si>
    <t>B23027_030EA,B23027_030M,B23027_030MA</t>
  </si>
  <si>
    <t>B23027_031E</t>
  </si>
  <si>
    <t>65 to 69 years: Did not work in the past 12 months</t>
  </si>
  <si>
    <t>Estimate: Total: 65 to 69 years: Did not work in the past 12 months</t>
  </si>
  <si>
    <t>B23027_031EA,B23027_031M,B23027_031MA</t>
  </si>
  <si>
    <t>B23027_032E</t>
  </si>
  <si>
    <t>70 years and over</t>
  </si>
  <si>
    <t>Estimate: Total: 70 years and over</t>
  </si>
  <si>
    <t>B23027_032EA,B23027_032M,B23027_032MA</t>
  </si>
  <si>
    <t>B23027_033E</t>
  </si>
  <si>
    <t>70 years and over: Worked in the past 12 months</t>
  </si>
  <si>
    <t>Estimate: Total: 70 years and over: Worked in the past 12 months</t>
  </si>
  <si>
    <t>B23027_033EA,B23027_033M,B23027_033MA</t>
  </si>
  <si>
    <t>B23027_034E</t>
  </si>
  <si>
    <t>70 years and over: Worked in the past 12 months: Worked full-time year-round</t>
  </si>
  <si>
    <t>Estimate: Total: 70 years and over: Worked in the past 12 months: Worked full-time year-round</t>
  </si>
  <si>
    <t>B23027_034EA,B23027_034M,B23027_034MA</t>
  </si>
  <si>
    <t>B23027_035E</t>
  </si>
  <si>
    <t>70 years and over: Worked in the past 12 months: Worked less than full-time year-round</t>
  </si>
  <si>
    <t>Estimate: Total: 70 years and over: Worked in the past 12 months: Worked less than full-time year-round</t>
  </si>
  <si>
    <t>B23027_035EA,B23027_035M,B23027_035MA</t>
  </si>
  <si>
    <t>B23027_036E</t>
  </si>
  <si>
    <t>70 years and over: Did not work in the past 12 months</t>
  </si>
  <si>
    <t>Estimate: Total: 70 years and over: Did not work in the past 12 months</t>
  </si>
  <si>
    <t>B23027_036EA,B23027_036M,B23027_036MA</t>
  </si>
  <si>
    <t>B24</t>
  </si>
  <si>
    <t>B24011</t>
  </si>
  <si>
    <t>B24011_001E</t>
  </si>
  <si>
    <t>Median Earnings: Civilian Employed Population, 16+ years</t>
  </si>
  <si>
    <t>E03</t>
  </si>
  <si>
    <t>Occupation by Median Earnings</t>
  </si>
  <si>
    <t>OCCUPATION BY MEDIAN EARNINGS IN THE PAST 12 MONTHS (IN 2010 INFLATION-ADJUSTED DOLLARS) FOR THE CIVILIAN EMPLOYED POPULATION 16 YEARS AND OVER</t>
  </si>
  <si>
    <t>B24011_001EA,B24011_001M,B24011_001MA</t>
  </si>
  <si>
    <t>B24011_002E</t>
  </si>
  <si>
    <t>Management business science and arts occupations</t>
  </si>
  <si>
    <t>Estimate: Total: Management business science and arts occupations</t>
  </si>
  <si>
    <t>B24011_002EA,B24011_002M,B24011_002MA</t>
  </si>
  <si>
    <t>B24011_003E</t>
  </si>
  <si>
    <t>Management business science and arts occupations: Management business and financial occupations</t>
  </si>
  <si>
    <t>Estimate: Total: Management business science and arts occupations: Management business and financial occupations</t>
  </si>
  <si>
    <t>B24011_003EA,B24011_003M,B24011_003MA</t>
  </si>
  <si>
    <t>B24011_006E</t>
  </si>
  <si>
    <t>Management business science and arts occupations: Computer engineering and science occupations</t>
  </si>
  <si>
    <t>Estimate: Total: Management business science and arts occupations: Computer engineering and science occupations</t>
  </si>
  <si>
    <t>B24011_006EA,B24011_006M,B24011_006MA</t>
  </si>
  <si>
    <t>B24011_010E</t>
  </si>
  <si>
    <t>Management business science and arts occupations: Education legal community service arts and media occupations</t>
  </si>
  <si>
    <t>Estimate: Total: Management business science and arts occupations: Education legal community service arts and media occupations</t>
  </si>
  <si>
    <t>B24011_010EA,B24011_010M,B24011_010MA</t>
  </si>
  <si>
    <t>B24011_015E</t>
  </si>
  <si>
    <t>Management business science and arts occupations: Healthcare practitioners and technical occupations</t>
  </si>
  <si>
    <t>Estimate: Total: Management business science and arts occupations: Healthcare practitioners and technical occupations</t>
  </si>
  <si>
    <t>B24011_015EA,B24011_015M,B24011_015MA</t>
  </si>
  <si>
    <t>B24011_018E</t>
  </si>
  <si>
    <t>Service occupations</t>
  </si>
  <si>
    <t>Estimate: Total: Service occupations</t>
  </si>
  <si>
    <t>B24011_018EA,B24011_018M,B24011_018MA</t>
  </si>
  <si>
    <t>B24011_019E</t>
  </si>
  <si>
    <t>Service occupations: Healthcare support occupations</t>
  </si>
  <si>
    <t>Estimate: Total: Service occupations: Healthcare support occupations</t>
  </si>
  <si>
    <t>B24011_019EA,B24011_019M,B24011_019MA</t>
  </si>
  <si>
    <t>B24011_020E</t>
  </si>
  <si>
    <t>Service occupations: Protective service occupations</t>
  </si>
  <si>
    <t>Estimate: Total: Service occupations: Protective service occupations</t>
  </si>
  <si>
    <t>B24011_020EA,B24011_020M,B24011_020MA</t>
  </si>
  <si>
    <t>B24011_023E</t>
  </si>
  <si>
    <t>Service occupations: Food preparation and serving related occupations</t>
  </si>
  <si>
    <t>Estimate: Total: Service occupations: Food preparation and serving related occupations</t>
  </si>
  <si>
    <t>B24011_023EA,B24011_023M,B24011_023MA</t>
  </si>
  <si>
    <t>B24011_024E</t>
  </si>
  <si>
    <t>Service occupations: Building and grounds cleaning and maintenance occupations</t>
  </si>
  <si>
    <t>Estimate: Total: Service occupations: Building and grounds cleaning and maintenance occupations</t>
  </si>
  <si>
    <t>B24011_024EA,B24011_024M,B24011_024MA</t>
  </si>
  <si>
    <t>B24011_025E</t>
  </si>
  <si>
    <t>Service occupations: Personal care and service occupations</t>
  </si>
  <si>
    <t>Estimate: Total: Service occupations: Personal care and service occupations</t>
  </si>
  <si>
    <t>B24011_025EA,B24011_025M,B24011_025MA</t>
  </si>
  <si>
    <t>B24011_026E</t>
  </si>
  <si>
    <t>Sales and office occupations</t>
  </si>
  <si>
    <t>Estimate: Total: Sales and office occupations</t>
  </si>
  <si>
    <t>B24011_026EA,B24011_026M,B24011_026MA</t>
  </si>
  <si>
    <t>B24011_027E</t>
  </si>
  <si>
    <t>Sales and office occupations: Sales and related occupations</t>
  </si>
  <si>
    <t>Estimate: Total: Sales and office occupations: Sales and related occupations</t>
  </si>
  <si>
    <t>B24011_027EA,B24011_027M,B24011_027MA</t>
  </si>
  <si>
    <t>B24011_028E</t>
  </si>
  <si>
    <t>Sales and office occupations: Office and administrative support occupations</t>
  </si>
  <si>
    <t>Estimate: Total: Sales and office occupations: Office and administrative support occupations</t>
  </si>
  <si>
    <t>B24011_028EA,B24011_028M,B24011_028MA</t>
  </si>
  <si>
    <t>B24011_029E</t>
  </si>
  <si>
    <t>Natural resources construction and maintenance occupations</t>
  </si>
  <si>
    <t>Estimate: Total: Natural resources construction and maintenance occupations</t>
  </si>
  <si>
    <t>B24011_029EA,B24011_029M,B24011_029MA</t>
  </si>
  <si>
    <t>B24011_030E</t>
  </si>
  <si>
    <t>Natural resources construction and maintenance occupations: Farming fishing and forestry occupations</t>
  </si>
  <si>
    <t>Estimate: Total: Natural resources construction and maintenance occupations: Farming fishing and forestry occupations</t>
  </si>
  <si>
    <t>B24011_030EA,B24011_030M,B24011_030MA</t>
  </si>
  <si>
    <t>B24011_031E</t>
  </si>
  <si>
    <t>Natural resources construction and maintenance occupations: Construction and extraction occupations</t>
  </si>
  <si>
    <t>Estimate: Total: Natural resources construction and maintenance occupations: Construction and extraction occupations</t>
  </si>
  <si>
    <t>B24011_031EA,B24011_031M,B24011_031MA</t>
  </si>
  <si>
    <t>B24011_032E</t>
  </si>
  <si>
    <t>Natural resources construction and maintenance occupations: Installation maintenance and repair occupations</t>
  </si>
  <si>
    <t>Estimate: Total: Natural resources construction and maintenance occupations: Installation maintenance and repair occupations</t>
  </si>
  <si>
    <t>B24011_032EA,B24011_032M,B24011_032MA</t>
  </si>
  <si>
    <t>B24011_033E</t>
  </si>
  <si>
    <t>Production transportation and material moving occupations</t>
  </si>
  <si>
    <t>Estimate: Total: Production transportation and material moving occupations</t>
  </si>
  <si>
    <t>B24011_033EA,B24011_033M,B24011_033MA</t>
  </si>
  <si>
    <t>B24011_034E</t>
  </si>
  <si>
    <t>Production transportation and material moving occupations: Production occupations</t>
  </si>
  <si>
    <t>Estimate: Total: Production transportation and material moving occupations: Production occupations</t>
  </si>
  <si>
    <t>B24011_034EA,B24011_034M,B24011_034MA</t>
  </si>
  <si>
    <t>B24011_035E</t>
  </si>
  <si>
    <t>Production transportation and material moving occupations: Transportation occupations</t>
  </si>
  <si>
    <t>Estimate: Total: Production transportation and material moving occupations: Transportation occupations</t>
  </si>
  <si>
    <t>B24011_035EA,B24011_035M,B24011_035MA</t>
  </si>
  <si>
    <t>B24011_036E</t>
  </si>
  <si>
    <t>Production transportation and material moving occupations: Material moving occupations</t>
  </si>
  <si>
    <t>Estimate: Total: Production transportation and material moving occupations: Material moving occupations</t>
  </si>
  <si>
    <t>B24011_036EA,B24011_036M,B24011_036MA</t>
  </si>
  <si>
    <t>B08</t>
  </si>
  <si>
    <t>B08301</t>
  </si>
  <si>
    <t>B08301_001E</t>
  </si>
  <si>
    <t>Workers, 16+ years</t>
  </si>
  <si>
    <t>E04</t>
  </si>
  <si>
    <t>Means of Transportation to Work</t>
  </si>
  <si>
    <t>MEANS OF TRANSPORTATION TO WORK</t>
  </si>
  <si>
    <t>B08301_001EA,B08301_001M,B08301_001MA</t>
  </si>
  <si>
    <t>B08301_002E</t>
  </si>
  <si>
    <t>Car truck or van</t>
  </si>
  <si>
    <t>Estimate: Total: Car truck or van</t>
  </si>
  <si>
    <t>B08301_002EA,B08301_002M,B08301_002MA</t>
  </si>
  <si>
    <t>B08301_003E</t>
  </si>
  <si>
    <t>Car truck or van: Drove alone</t>
  </si>
  <si>
    <t>Estimate: Total: Car truck or van: Drove alone</t>
  </si>
  <si>
    <t>B08301_003EA,B08301_003M,B08301_003MA</t>
  </si>
  <si>
    <t>B08301_004E</t>
  </si>
  <si>
    <t>Car truck or van: Carpooled</t>
  </si>
  <si>
    <t>Estimate: Total: Car truck or van: Carpooled</t>
  </si>
  <si>
    <t>B08301_004EA,B08301_004M,B08301_004MA</t>
  </si>
  <si>
    <t>B08301_010E</t>
  </si>
  <si>
    <t>Public transportation</t>
  </si>
  <si>
    <t>Estimate: Total: Public transportation</t>
  </si>
  <si>
    <t>B08301_010EA,B08301_010M,B08301_010MA</t>
  </si>
  <si>
    <t>B08301_016E</t>
  </si>
  <si>
    <t>Taxi or ride-hailing services</t>
  </si>
  <si>
    <t>Estimate: Total: Taxi or ride-hailing services</t>
  </si>
  <si>
    <t>B08301_016EA,B08301_016M,B08301_016MA</t>
  </si>
  <si>
    <t>2010, 2011, 2012, 2013, 2014, 2015, 2016, 2017, 2018, 2019, 2020, 2021, 2022, 2023</t>
  </si>
  <si>
    <t>Taxicab</t>
  </si>
  <si>
    <t>Estimate: Total: Taxicab</t>
  </si>
  <si>
    <t>B08301_017E</t>
  </si>
  <si>
    <t>Motorcycle</t>
  </si>
  <si>
    <t>Estimate: Total: Motorcycle</t>
  </si>
  <si>
    <t>B08301_017EA,B08301_017M,B08301_017MA</t>
  </si>
  <si>
    <t>B08301_018E</t>
  </si>
  <si>
    <t>Bicycle</t>
  </si>
  <si>
    <t>Estimate: Total: Bicycle</t>
  </si>
  <si>
    <t>B08301_018EA,B08301_018M,B08301_018MA</t>
  </si>
  <si>
    <t>B08301_019E</t>
  </si>
  <si>
    <t>Walked</t>
  </si>
  <si>
    <t>Estimate: Total: Walked</t>
  </si>
  <si>
    <t>B08301_019EA,B08301_019M,B08301_019MA</t>
  </si>
  <si>
    <t>B08301_020E</t>
  </si>
  <si>
    <t>Other means</t>
  </si>
  <si>
    <t>Estimate: Total: Other means</t>
  </si>
  <si>
    <t>B08301_020EA,B08301_020M,B08301_020MA</t>
  </si>
  <si>
    <t>B08301_021E</t>
  </si>
  <si>
    <t>Worked at home</t>
  </si>
  <si>
    <t>Estimate: Total: Worked at home</t>
  </si>
  <si>
    <t>B08301_021EA,B08301_021M,B08301_021MA</t>
  </si>
  <si>
    <t>Worked from home</t>
  </si>
  <si>
    <t>Estimate: Total: Worked from home</t>
  </si>
  <si>
    <t>B08012</t>
  </si>
  <si>
    <t>B08012_001E</t>
  </si>
  <si>
    <t>Total Workers 16+ years who did not work at home</t>
  </si>
  <si>
    <t>E05</t>
  </si>
  <si>
    <t>Travel Time to Work</t>
  </si>
  <si>
    <t>SEX OF WORKERS BY TRAVEL TIME TO WORK</t>
  </si>
  <si>
    <t>B08012_001EA,B08012_001M,B08012_001MA</t>
  </si>
  <si>
    <t>B08012_002E</t>
  </si>
  <si>
    <t>Less than 5 minutes</t>
  </si>
  <si>
    <t>Estimate: Total: Less than 5 minutes</t>
  </si>
  <si>
    <t>B08012_002EA,B08012_002M,B08012_002MA</t>
  </si>
  <si>
    <t>B08012_003E</t>
  </si>
  <si>
    <t>5 to 9 minutes</t>
  </si>
  <si>
    <t>Estimate: Total: 5 to 9 minutes</t>
  </si>
  <si>
    <t>B08012_003EA,B08012_003M,B08012_003MA</t>
  </si>
  <si>
    <t>B08012_004E</t>
  </si>
  <si>
    <t>10 to 14 minutes</t>
  </si>
  <si>
    <t>Estimate: Total: 10 to 14 minutes</t>
  </si>
  <si>
    <t>B08012_004EA,B08012_004M,B08012_004MA</t>
  </si>
  <si>
    <t>B08012_005E</t>
  </si>
  <si>
    <t>15 to 19 minutes</t>
  </si>
  <si>
    <t>Estimate: Total: 15 to 19 minutes</t>
  </si>
  <si>
    <t>B08012_005EA,B08012_005M,B08012_005MA</t>
  </si>
  <si>
    <t>B08012_006E</t>
  </si>
  <si>
    <t>20 to 24 minutes</t>
  </si>
  <si>
    <t>Estimate: Total: 20 to 24 minutes</t>
  </si>
  <si>
    <t>B08012_006EA,B08012_006M,B08012_006MA</t>
  </si>
  <si>
    <t>B08012_007E</t>
  </si>
  <si>
    <t>25 to 29 minutes</t>
  </si>
  <si>
    <t>Estimate: Total: 25 to 29 minutes</t>
  </si>
  <si>
    <t>B08012_007EA,B08012_007M,B08012_007MA</t>
  </si>
  <si>
    <t>B08012_008E</t>
  </si>
  <si>
    <t>30 to 34 minutes</t>
  </si>
  <si>
    <t>Estimate: Total: 30 to 34 minutes</t>
  </si>
  <si>
    <t>B08012_008EA,B08012_008M,B08012_008MA</t>
  </si>
  <si>
    <t>B08012_009E</t>
  </si>
  <si>
    <t>35 to 39 minutes</t>
  </si>
  <si>
    <t>Estimate: Total: 35 to 39 minutes</t>
  </si>
  <si>
    <t>B08012_009EA,B08012_009M,B08012_009MA</t>
  </si>
  <si>
    <t>B08012_010E</t>
  </si>
  <si>
    <t>40 to 44 minutes</t>
  </si>
  <si>
    <t>Estimate: Total: 40 to 44 minutes</t>
  </si>
  <si>
    <t>B08012_010EA,B08012_010M,B08012_010MA</t>
  </si>
  <si>
    <t>B08012_011E</t>
  </si>
  <si>
    <t>45 to 59 minutes</t>
  </si>
  <si>
    <t>Estimate: Total: 45 to 59 minutes</t>
  </si>
  <si>
    <t>B08012_011EA,B08012_011M,B08012_011MA</t>
  </si>
  <si>
    <t>B08012_012E</t>
  </si>
  <si>
    <t>60 to 89 minutes</t>
  </si>
  <si>
    <t>Estimate: Total: 60 to 89 minutes</t>
  </si>
  <si>
    <t>B08012_012EA,B08012_012M,B08012_012MA</t>
  </si>
  <si>
    <t>B08012_013E</t>
  </si>
  <si>
    <t>90 or more minutes</t>
  </si>
  <si>
    <t>Estimate: Total: 90 or more minutes</t>
  </si>
  <si>
    <t>B08012_013EA,B08012_013M,B08012_013MA</t>
  </si>
  <si>
    <t>B08013</t>
  </si>
  <si>
    <t>B08013_001E</t>
  </si>
  <si>
    <t>Aggregate travel time to work in minutes</t>
  </si>
  <si>
    <t>Estimate: Aggregate travel time to work in minutes</t>
  </si>
  <si>
    <t>AGGREGATE TRAVEL TIME TO WORK (IN MINUTES) OF WORKERS BY SEX</t>
  </si>
  <si>
    <t>B08013_001EA,B08013_001M,B08013_001MA</t>
  </si>
  <si>
    <t>B08014</t>
  </si>
  <si>
    <t>B08014_001E</t>
  </si>
  <si>
    <t>Workers 16+ years in households</t>
  </si>
  <si>
    <t>E06</t>
  </si>
  <si>
    <t>Vehicles Available for Workers</t>
  </si>
  <si>
    <t>SEX OF WORKERS BY VEHICLES AVAILABLE</t>
  </si>
  <si>
    <t>B08014_001EA,B08014_001M,B08014_001MA</t>
  </si>
  <si>
    <t>B08014_002E</t>
  </si>
  <si>
    <t>No vehicle available</t>
  </si>
  <si>
    <t>Estimate: Total: No vehicle available</t>
  </si>
  <si>
    <t>B08014_002EA,B08014_002M,B08014_002MA</t>
  </si>
  <si>
    <t>B08014_003E</t>
  </si>
  <si>
    <t>1 vehicle available</t>
  </si>
  <si>
    <t>Estimate: Total: 1 vehicle available</t>
  </si>
  <si>
    <t>B08014_003EA,B08014_003M,B08014_003MA</t>
  </si>
  <si>
    <t>B08014_004E</t>
  </si>
  <si>
    <t>2 vehicles available</t>
  </si>
  <si>
    <t>Estimate: Total: 2 vehicles available</t>
  </si>
  <si>
    <t>B08014_004EA,B08014_004M,B08014_004MA</t>
  </si>
  <si>
    <t>B08014_005E</t>
  </si>
  <si>
    <t>3 vehicles available</t>
  </si>
  <si>
    <t>Estimate: Total: 3 vehicles available</t>
  </si>
  <si>
    <t>B08014_005EA,B08014_005M,B08014_005MA</t>
  </si>
  <si>
    <t>B08014_006E</t>
  </si>
  <si>
    <t>4 vehicles available</t>
  </si>
  <si>
    <t>Estimate: Total: 4 vehicles available</t>
  </si>
  <si>
    <t>B08014_006EA,B08014_006M,B08014_006MA</t>
  </si>
  <si>
    <t>B08014_007E</t>
  </si>
  <si>
    <t>5 or more vehicles available</t>
  </si>
  <si>
    <t>Estimate: Total: 5 or more vehicles available</t>
  </si>
  <si>
    <t>B08014_007EA,B08014_007M,B08014_007MA</t>
  </si>
  <si>
    <t>B08015</t>
  </si>
  <si>
    <t>B08015_001E</t>
  </si>
  <si>
    <t>Aggregate number of vehicles car truck or van used in commuting</t>
  </si>
  <si>
    <t>Estimate: Aggregate number of vehicles car truck or van used in commuting</t>
  </si>
  <si>
    <t>AGGREGATE NUMBER OF VEHICLES (CAR, TRUCK, OR VAN) USED IN COMMUTING BY WORKERS 16 YEARS AND OVER BY SEX</t>
  </si>
  <si>
    <t>B08015_001EA,B08015_001M,B08015_001MA</t>
  </si>
  <si>
    <t>B08014_008E</t>
  </si>
  <si>
    <t>Male Workers</t>
  </si>
  <si>
    <t>E07</t>
  </si>
  <si>
    <t>Vehicles Available by Sex of Workers</t>
  </si>
  <si>
    <t>B08014_008EA,B08014_008M,B08014_008MA</t>
  </si>
  <si>
    <t>B08014_009E</t>
  </si>
  <si>
    <t>Male: No vehicle available</t>
  </si>
  <si>
    <t>Estimate: Total: Male: No vehicle available</t>
  </si>
  <si>
    <t>B08014_009EA,B08014_009M,B08014_009MA</t>
  </si>
  <si>
    <t>B08014_010E</t>
  </si>
  <si>
    <t>Male: 1 vehicle available</t>
  </si>
  <si>
    <t>Estimate: Total: Male: 1 vehicle available</t>
  </si>
  <si>
    <t>B08014_010EA,B08014_010M,B08014_010MA</t>
  </si>
  <si>
    <t>B08014_011E</t>
  </si>
  <si>
    <t>Male: 2 vehicles available</t>
  </si>
  <si>
    <t>Estimate: Total: Male: 2 vehicles available</t>
  </si>
  <si>
    <t>B08014_011EA,B08014_011M,B08014_011MA</t>
  </si>
  <si>
    <t>B08014_012E</t>
  </si>
  <si>
    <t>Male: 3 vehicles available</t>
  </si>
  <si>
    <t>Estimate: Total: Male: 3 vehicles available</t>
  </si>
  <si>
    <t>B08014_012EA,B08014_012M,B08014_012MA</t>
  </si>
  <si>
    <t>B08014_013E</t>
  </si>
  <si>
    <t>Male: 4 vehicles available</t>
  </si>
  <si>
    <t>Estimate: Total: Male: 4 vehicles available</t>
  </si>
  <si>
    <t>B08014_013EA,B08014_013M,B08014_013MA</t>
  </si>
  <si>
    <t>B08014_014E</t>
  </si>
  <si>
    <t>Male: 5 or more vehicles available</t>
  </si>
  <si>
    <t>Estimate: Total: Male: 5 or more vehicles available</t>
  </si>
  <si>
    <t>B08014_014EA,B08014_014M,B08014_014MA</t>
  </si>
  <si>
    <t>B08014_015E</t>
  </si>
  <si>
    <t>Female Workers</t>
  </si>
  <si>
    <t>B08014_015EA,B08014_015M,B08014_015MA</t>
  </si>
  <si>
    <t>B08014_016E</t>
  </si>
  <si>
    <t>Female: No vehicle available</t>
  </si>
  <si>
    <t>Estimate: Total: Female: No vehicle available</t>
  </si>
  <si>
    <t>B08014_016EA,B08014_016M,B08014_016MA</t>
  </si>
  <si>
    <t>B08014_017E</t>
  </si>
  <si>
    <t>Female: 1 vehicle available</t>
  </si>
  <si>
    <t>Estimate: Total: Female: 1 vehicle available</t>
  </si>
  <si>
    <t>B08014_017EA,B08014_017M,B08014_017MA</t>
  </si>
  <si>
    <t>B08014_018E</t>
  </si>
  <si>
    <t>Female: 2 vehicles available</t>
  </si>
  <si>
    <t>Estimate: Total: Female: 2 vehicles available</t>
  </si>
  <si>
    <t>B08014_018EA,B08014_018M,B08014_018MA</t>
  </si>
  <si>
    <t>B08014_019E</t>
  </si>
  <si>
    <t>Female: 3 vehicles available</t>
  </si>
  <si>
    <t>Estimate: Total: Female: 3 vehicles available</t>
  </si>
  <si>
    <t>B08014_019EA,B08014_019M,B08014_019MA</t>
  </si>
  <si>
    <t>B08014_020E</t>
  </si>
  <si>
    <t>Female: 4 vehicles available</t>
  </si>
  <si>
    <t>Estimate: Total: Female: 4 vehicles available</t>
  </si>
  <si>
    <t>B08014_020EA,B08014_020M,B08014_020MA</t>
  </si>
  <si>
    <t>B08014_021E</t>
  </si>
  <si>
    <t>Female: 5 or more vehicles available</t>
  </si>
  <si>
    <t>Estimate: Total: Female: 5 or more vehicles available</t>
  </si>
  <si>
    <t>B08014_021EA,B08014_021M,B08014_021MA</t>
  </si>
  <si>
    <t>B08015_002E</t>
  </si>
  <si>
    <t>Aggregate number of vehicles car truck or van used in commuting: Male</t>
  </si>
  <si>
    <t>Estimate: Aggregate number of vehicles car truck or van used in commuting: Male</t>
  </si>
  <si>
    <t>B08015_002EA,B08015_002M,B08015_002MA</t>
  </si>
  <si>
    <t>B08015_003E</t>
  </si>
  <si>
    <t>Aggregate number of vehicles car truck or van used in commuting: Female</t>
  </si>
  <si>
    <t>Estimate: Aggregate number of vehicles car truck or van used in commuting: Female</t>
  </si>
  <si>
    <t>B08015_003EA,B08015_003M,B08015_003MA</t>
  </si>
  <si>
    <t>B08103</t>
  </si>
  <si>
    <t>B08103_001E</t>
  </si>
  <si>
    <t>Median age: Workers, 16+ years</t>
  </si>
  <si>
    <t>E08</t>
  </si>
  <si>
    <t>Median Age by Means of Transportation to Work</t>
  </si>
  <si>
    <t>MEDIAN AGE BY MEANS OF TRANSPORTATION TO WORK</t>
  </si>
  <si>
    <t>B08103_001EA,B08103_001M,B08103_001MA</t>
  </si>
  <si>
    <t>B08103_002E</t>
  </si>
  <si>
    <t>Median age: Car truck or van-drove alone</t>
  </si>
  <si>
    <t>Estimate: Median age: Total: Car truck or van-drove alone</t>
  </si>
  <si>
    <t>B08103_002EA,B08103_002M,B08103_002MA</t>
  </si>
  <si>
    <t>B08103_003E</t>
  </si>
  <si>
    <t>Median age: Car truck or van-carpooled</t>
  </si>
  <si>
    <t>Estimate: Median age: Total: Car truck or van-carpooled</t>
  </si>
  <si>
    <t>B08103_003EA,B08103_003M,B08103_003MA</t>
  </si>
  <si>
    <t>B08103_004E</t>
  </si>
  <si>
    <t>Median age: Public transportation</t>
  </si>
  <si>
    <t>Estimate: Median age: Total: Public transportation</t>
  </si>
  <si>
    <t>B08103_004EA,B08103_004M,B08103_004MA</t>
  </si>
  <si>
    <t>Median age: Public transportation excluding taxicab</t>
  </si>
  <si>
    <t>Estimate: Median age: Total: Public transportation excluding taxicab</t>
  </si>
  <si>
    <t>B08103_005E</t>
  </si>
  <si>
    <t>Median age: Walked</t>
  </si>
  <si>
    <t>Estimate: Median age: Total: Walked</t>
  </si>
  <si>
    <t>B08103_005EA,B08103_005M,B08103_005MA</t>
  </si>
  <si>
    <t>B08103_006E</t>
  </si>
  <si>
    <t>Median age: Taxi or ride-hailing services motorcycle bicycle or other means</t>
  </si>
  <si>
    <t>Estimate: Median age: Total: Taxi or ride-hailing services motorcycle bicycle or other means</t>
  </si>
  <si>
    <t>B08103_006EA,B08103_006M,B08103_006MA</t>
  </si>
  <si>
    <t>Median age: Taxicab motorcycle bicycle or other means</t>
  </si>
  <si>
    <t>Estimate: Median age: Total: Taxicab motorcycle bicycle or other means</t>
  </si>
  <si>
    <t>B08103_007E</t>
  </si>
  <si>
    <t>Median age: Worked at home</t>
  </si>
  <si>
    <t>Estimate: Median age: Total: Worked at home</t>
  </si>
  <si>
    <t>B08103_007EA,B08103_007M,B08103_007MA</t>
  </si>
  <si>
    <t>Median age: Worked from home</t>
  </si>
  <si>
    <t>Estimate: Median age: Total: Worked from home</t>
  </si>
  <si>
    <t>B08105A</t>
  </si>
  <si>
    <t>B08105A_001E</t>
  </si>
  <si>
    <t>E09</t>
  </si>
  <si>
    <t>Means of Transportation to Work by Race</t>
  </si>
  <si>
    <t>MEANS OF TRANSPORTATION TO WORK (WHITE ALONE)</t>
  </si>
  <si>
    <t>B08105A_001EA,B08105A_001M,B08105A_001MA</t>
  </si>
  <si>
    <t>B08105A_002E</t>
  </si>
  <si>
    <t>Car truck or van-drove alone</t>
  </si>
  <si>
    <t>Estimate: Total: Car truck or van-drove alone</t>
  </si>
  <si>
    <t>B08105A_002EA,B08105A_002M,B08105A_002MA</t>
  </si>
  <si>
    <t>B08105A_003E</t>
  </si>
  <si>
    <t>Car truck or van-carpooled</t>
  </si>
  <si>
    <t>Estimate: Total: Car truck or van-carpooled</t>
  </si>
  <si>
    <t>B08105A_003EA,B08105A_003M,B08105A_003MA</t>
  </si>
  <si>
    <t>B08105A_004E</t>
  </si>
  <si>
    <t>Means of Transportation to Work (White Alone)</t>
  </si>
  <si>
    <t>B08105A_004EA,B08105A_004M,B08105A_004MA</t>
  </si>
  <si>
    <t>Public transportation excluding taxicab</t>
  </si>
  <si>
    <t>Estimate: Total: Public transportation excluding taxicab</t>
  </si>
  <si>
    <t>B08105A_005E</t>
  </si>
  <si>
    <t>B08105A_005EA,B08105A_005M,B08105A_005MA</t>
  </si>
  <si>
    <t>B08105A_006E</t>
  </si>
  <si>
    <t>Taxi or ride-hailing services motorcycle bicycle or other means</t>
  </si>
  <si>
    <t>Estimate: Total: Taxi or ride-hailing services motorcycle bicycle or other means</t>
  </si>
  <si>
    <t>B08105A_006EA,B08105A_006M,B08105A_006MA</t>
  </si>
  <si>
    <t>Taxicab motorcycle bicycle or other means</t>
  </si>
  <si>
    <t>Estimate: Total: Taxicab motorcycle bicycle or other means</t>
  </si>
  <si>
    <t>B08105A_007E</t>
  </si>
  <si>
    <t>B08105A_007EA,B08105A_007M,B08105A_007MA</t>
  </si>
  <si>
    <t>B08105B</t>
  </si>
  <si>
    <t>B08105B_001E</t>
  </si>
  <si>
    <t>MEANS OF TRANSPORTATION TO WORK (BLACK OR AFRICAN AMERICAN ALONE)</t>
  </si>
  <si>
    <t>B08105B_001EA,B08105B_001M,B08105B_001MA</t>
  </si>
  <si>
    <t>B08105B_002E</t>
  </si>
  <si>
    <t>B08105B_002EA,B08105B_002M,B08105B_002MA</t>
  </si>
  <si>
    <t>B08105B_003E</t>
  </si>
  <si>
    <t>B08105B_003EA,B08105B_003M,B08105B_003MA</t>
  </si>
  <si>
    <t>B08105B_004E</t>
  </si>
  <si>
    <t>Means of Transportation to Work (Black or African American Alone)</t>
  </si>
  <si>
    <t>B08105B_004EA,B08105B_004M,B08105B_004MA</t>
  </si>
  <si>
    <t>B08105B_005E</t>
  </si>
  <si>
    <t>B08105B_005EA,B08105B_005M,B08105B_005MA</t>
  </si>
  <si>
    <t>B08105B_006E</t>
  </si>
  <si>
    <t>B08105B_006EA,B08105B_006M,B08105B_006MA</t>
  </si>
  <si>
    <t>B08105B_007E</t>
  </si>
  <si>
    <t>B08105B_007EA,B08105B_007M,B08105B_007MA</t>
  </si>
  <si>
    <t>B08105C</t>
  </si>
  <si>
    <t>B08105C_001E</t>
  </si>
  <si>
    <t>MEANS OF TRANSPORTATION TO WORK (AMERICAN INDIAN AND ALASKA NATIVE ALONE)</t>
  </si>
  <si>
    <t>B08105C_001EA,B08105C_001M,B08105C_001MA</t>
  </si>
  <si>
    <t>B08105C_002E</t>
  </si>
  <si>
    <t>B08105C_002EA,B08105C_002M,B08105C_002MA</t>
  </si>
  <si>
    <t>B08105C_003E</t>
  </si>
  <si>
    <t>B08105C_003EA,B08105C_003M,B08105C_003MA</t>
  </si>
  <si>
    <t>B08105C_004E</t>
  </si>
  <si>
    <t>Means of Transportation to Work (American Indian and Alaska Native Alone)</t>
  </si>
  <si>
    <t>B08105C_004EA,B08105C_004M,B08105C_004MA</t>
  </si>
  <si>
    <t>B08105C_005E</t>
  </si>
  <si>
    <t>B08105C_005EA,B08105C_005M,B08105C_005MA</t>
  </si>
  <si>
    <t>B08105C_006E</t>
  </si>
  <si>
    <t>B08105C_006EA,B08105C_006M,B08105C_006MA</t>
  </si>
  <si>
    <t>B08105C_007E</t>
  </si>
  <si>
    <t>B08105C_007EA,B08105C_007M,B08105C_007MA</t>
  </si>
  <si>
    <t>B08105D</t>
  </si>
  <si>
    <t>B08105D_001E</t>
  </si>
  <si>
    <t>MEANS OF TRANSPORTATION TO WORK (ASIAN ALONE)</t>
  </si>
  <si>
    <t>B08105D_001EA,B08105D_001M,B08105D_001MA</t>
  </si>
  <si>
    <t>B08105D_002E</t>
  </si>
  <si>
    <t>B08105D_002EA,B08105D_002M,B08105D_002MA</t>
  </si>
  <si>
    <t>B08105D_003E</t>
  </si>
  <si>
    <t>B08105D_003EA,B08105D_003M,B08105D_003MA</t>
  </si>
  <si>
    <t>B08105D_004E</t>
  </si>
  <si>
    <t>Means of Transportation to Work (Asian Alone)</t>
  </si>
  <si>
    <t>B08105D_004EA,B08105D_004M,B08105D_004MA</t>
  </si>
  <si>
    <t>B08105D_005E</t>
  </si>
  <si>
    <t>B08105D_005EA,B08105D_005M,B08105D_005MA</t>
  </si>
  <si>
    <t>B08105D_006E</t>
  </si>
  <si>
    <t>B08105D_006EA,B08105D_006M,B08105D_006MA</t>
  </si>
  <si>
    <t>B08105D_007E</t>
  </si>
  <si>
    <t>B08105D_007EA,B08105D_007M,B08105D_007MA</t>
  </si>
  <si>
    <t>B08105E</t>
  </si>
  <si>
    <t>B08105E_001E</t>
  </si>
  <si>
    <t>MEANS OF TRANSPORTATION TO WORK (NATIVE HAWAIIAN AND OTHER PACIFIC ISLANDER ALONE)</t>
  </si>
  <si>
    <t>B08105E_001EA,B08105E_001M,B08105E_001MA</t>
  </si>
  <si>
    <t>B08105E_002E</t>
  </si>
  <si>
    <t>B08105E_002EA,B08105E_002M,B08105E_002MA</t>
  </si>
  <si>
    <t>B08105E_003E</t>
  </si>
  <si>
    <t>B08105E_003EA,B08105E_003M,B08105E_003MA</t>
  </si>
  <si>
    <t>B08105E_004E</t>
  </si>
  <si>
    <t>Means of Transportation to Work (Native Hawaiian and Other Pacific Islander Alone)</t>
  </si>
  <si>
    <t>B08105E_004EA,B08105E_004M,B08105E_004MA</t>
  </si>
  <si>
    <t>B08105E_005E</t>
  </si>
  <si>
    <t>B08105E_005EA,B08105E_005M,B08105E_005MA</t>
  </si>
  <si>
    <t>B08105E_006E</t>
  </si>
  <si>
    <t>B08105E_006EA,B08105E_006M,B08105E_006MA</t>
  </si>
  <si>
    <t>B08105E_007E</t>
  </si>
  <si>
    <t>B08105E_007EA,B08105E_007M,B08105E_007MA</t>
  </si>
  <si>
    <t>B08105F</t>
  </si>
  <si>
    <t>B08105F_001E</t>
  </si>
  <si>
    <t>Some Other Race alone</t>
  </si>
  <si>
    <t>MEANS OF TRANSPORTATION TO WORK (SOME OTHER RACE ALONE)</t>
  </si>
  <si>
    <t>B08105F_001EA,B08105F_001M,B08105F_001MA</t>
  </si>
  <si>
    <t>B08105F_002E</t>
  </si>
  <si>
    <t>B08105F_002EA,B08105F_002M,B08105F_002MA</t>
  </si>
  <si>
    <t>B08105F_003E</t>
  </si>
  <si>
    <t>B08105F_003EA,B08105F_003M,B08105F_003MA</t>
  </si>
  <si>
    <t>B08105F_004E</t>
  </si>
  <si>
    <t>Means of Transportation to Work (Some Other Race Alone)</t>
  </si>
  <si>
    <t>B08105F_004EA,B08105F_004M,B08105F_004MA</t>
  </si>
  <si>
    <t>B08105F_005E</t>
  </si>
  <si>
    <t>B08105F_005EA,B08105F_005M,B08105F_005MA</t>
  </si>
  <si>
    <t>B08105F_006E</t>
  </si>
  <si>
    <t>B08105F_006EA,B08105F_006M,B08105F_006MA</t>
  </si>
  <si>
    <t>B08105F_007E</t>
  </si>
  <si>
    <t>B08105F_007EA,B08105F_007M,B08105F_007MA</t>
  </si>
  <si>
    <t>B08105G</t>
  </si>
  <si>
    <t>B08105G_001E</t>
  </si>
  <si>
    <t>Two or More Races</t>
  </si>
  <si>
    <t>MEANS OF TRANSPORTATION TO WORK (TWO OR MORE RACES)</t>
  </si>
  <si>
    <t>B08105G_001EA,B08105G_001M,B08105G_001MA</t>
  </si>
  <si>
    <t>B08105G_002E</t>
  </si>
  <si>
    <t>B08105G_002EA,B08105G_002M,B08105G_002MA</t>
  </si>
  <si>
    <t>B08105G_003E</t>
  </si>
  <si>
    <t>B08105G_003EA,B08105G_003M,B08105G_003MA</t>
  </si>
  <si>
    <t>B08105G_004E</t>
  </si>
  <si>
    <t>Means of Transportation to Work (Two or More Races)</t>
  </si>
  <si>
    <t>B08105G_004EA,B08105G_004M,B08105G_004MA</t>
  </si>
  <si>
    <t>B08105G_005E</t>
  </si>
  <si>
    <t>B08105G_005EA,B08105G_005M,B08105G_005MA</t>
  </si>
  <si>
    <t>B08105G_006E</t>
  </si>
  <si>
    <t>B08105G_006EA,B08105G_006M,B08105G_006MA</t>
  </si>
  <si>
    <t>B08105G_007E</t>
  </si>
  <si>
    <t>B08105G_007EA,B08105G_007M,B08105G_007MA</t>
  </si>
  <si>
    <t>B08105H</t>
  </si>
  <si>
    <t>B08105H_001E</t>
  </si>
  <si>
    <t>White alone, not Hispanic or Latino</t>
  </si>
  <si>
    <t>MEANS OF TRANSPORTATION TO WORK (WHITE ALONE, NOT HISPANIC OR LATINO)</t>
  </si>
  <si>
    <t>B08105H_001EA,B08105H_001M,B08105H_001MA</t>
  </si>
  <si>
    <t>B08105H_002E</t>
  </si>
  <si>
    <t>B08105H_002EA,B08105H_002M,B08105H_002MA</t>
  </si>
  <si>
    <t>B08105H_003E</t>
  </si>
  <si>
    <t>B08105H_003EA,B08105H_003M,B08105H_003MA</t>
  </si>
  <si>
    <t>B08105H_004E</t>
  </si>
  <si>
    <t>Means of Transportation to Work (White Alone, Not Hispanic or Latino)</t>
  </si>
  <si>
    <t>B08105H_004EA,B08105H_004M,B08105H_004MA</t>
  </si>
  <si>
    <t>B08105H_005E</t>
  </si>
  <si>
    <t>B08105H_005EA,B08105H_005M,B08105H_005MA</t>
  </si>
  <si>
    <t>B08105H_006E</t>
  </si>
  <si>
    <t>B08105H_006EA,B08105H_006M,B08105H_006MA</t>
  </si>
  <si>
    <t>B08105H_007E</t>
  </si>
  <si>
    <t>B08105H_007EA,B08105H_007M,B08105H_007MA</t>
  </si>
  <si>
    <t>B08105I</t>
  </si>
  <si>
    <t>B08105I_001E</t>
  </si>
  <si>
    <t>MEANS OF TRANSPORTATION TO WORK (HISPANIC OR LATINO)</t>
  </si>
  <si>
    <t>B08105I_001EA,B08105I_001M,B08105I_001MA</t>
  </si>
  <si>
    <t>B08105I_002E</t>
  </si>
  <si>
    <t>B08105I_002EA,B08105I_002M,B08105I_002MA</t>
  </si>
  <si>
    <t>B08105I_003E</t>
  </si>
  <si>
    <t>B08105I_003EA,B08105I_003M,B08105I_003MA</t>
  </si>
  <si>
    <t>B08105I_004E</t>
  </si>
  <si>
    <t>Means of Transportation to Work (Hispanic or Latino)</t>
  </si>
  <si>
    <t>B08105I_004EA,B08105I_004M,B08105I_004MA</t>
  </si>
  <si>
    <t>B08105I_005E</t>
  </si>
  <si>
    <t>B08105I_005EA,B08105I_005M,B08105I_005MA</t>
  </si>
  <si>
    <t>B08105I_006E</t>
  </si>
  <si>
    <t>B08105I_006EA,B08105I_006M,B08105I_006MA</t>
  </si>
  <si>
    <t>B08105I_007E</t>
  </si>
  <si>
    <t>B08105I_007EA,B08105I_007M,B08105I_007MA</t>
  </si>
  <si>
    <t>C24</t>
  </si>
  <si>
    <t>C24010</t>
  </si>
  <si>
    <t>C24010_001E</t>
  </si>
  <si>
    <t>Civilian Employed Population 16+ years</t>
  </si>
  <si>
    <t>E10</t>
  </si>
  <si>
    <t>Occupation</t>
  </si>
  <si>
    <t>SEX BY OCCUPATION FOR THE CIVILIAN EMPLOYED POPULATION 16 YEARS AND OVER</t>
  </si>
  <si>
    <t>C24010_001EA,C24010_001M,C24010_001MA</t>
  </si>
  <si>
    <t>C24010_002E</t>
  </si>
  <si>
    <t>C24010_002EA,C24010_002M,C24010_002MA</t>
  </si>
  <si>
    <t>C24010_003E</t>
  </si>
  <si>
    <t>Male: Management business science and arts occupations</t>
  </si>
  <si>
    <t>Estimate: Total: Male: Management business science and arts occupations</t>
  </si>
  <si>
    <t>C24010_003EA,C24010_003M,C24010_003MA</t>
  </si>
  <si>
    <t>C24010_004E</t>
  </si>
  <si>
    <t>Male: Management business science and arts occupations: Management business and financial occupations</t>
  </si>
  <si>
    <t>Estimate: Total: Male: Management business science and arts occupations: Management business and financial occupations</t>
  </si>
  <si>
    <t>C24010_004EA,C24010_004M,C24010_004MA</t>
  </si>
  <si>
    <t>C24010_005E</t>
  </si>
  <si>
    <t>Male: Management business science and arts occupations: Management business and financial occupations: Management occupations</t>
  </si>
  <si>
    <t>Estimate: Total: Male: Management business science and arts occupations: Management business and financial occupations: Management occupations</t>
  </si>
  <si>
    <t>C24010_005EA,C24010_005M,C24010_005MA</t>
  </si>
  <si>
    <t>C24010_006E</t>
  </si>
  <si>
    <t>Male: Management business science and arts occupations: Management business and financial occupations: Business and financial operations occupations</t>
  </si>
  <si>
    <t>Estimate: Total: Male: Management business science and arts occupations: Management business and financial occupations: Business and financial operations occupations</t>
  </si>
  <si>
    <t>C24010_006EA,C24010_006M,C24010_006MA</t>
  </si>
  <si>
    <t>C24010_007E</t>
  </si>
  <si>
    <t>Male: Management business science and arts occupations: Computer engineering and science occupations</t>
  </si>
  <si>
    <t>Estimate: Total: Male: Management business science and arts occupations: Computer engineering and science occupations</t>
  </si>
  <si>
    <t>C24010_007EA,C24010_007M,C24010_007MA</t>
  </si>
  <si>
    <t>C24010_008E</t>
  </si>
  <si>
    <t>Male: Management business science and arts occupations: Computer engineering and science occupations: Computer and mathematical occupations</t>
  </si>
  <si>
    <t>Estimate: Total: Male: Management business science and arts occupations: Computer engineering and science occupations: Computer and mathematical occupations</t>
  </si>
  <si>
    <t>C24010_008EA,C24010_008M,C24010_008MA</t>
  </si>
  <si>
    <t>C24010_009E</t>
  </si>
  <si>
    <t>Male: Management business science and arts occupations: Computer engineering and science occupations: Architecture and engineering occupations</t>
  </si>
  <si>
    <t>Estimate: Total: Male: Management business science and arts occupations: Computer engineering and science occupations: Architecture and engineering occupations</t>
  </si>
  <si>
    <t>C24010_009EA,C24010_009M,C24010_009MA</t>
  </si>
  <si>
    <t>C24010_010E</t>
  </si>
  <si>
    <t>Male: Management business science and arts occupations: Computer engineering and science occupations: Life physical and social science occupations</t>
  </si>
  <si>
    <t>Estimate: Total: Male: Management business science and arts occupations: Computer engineering and science occupations: Life physical and social science occupations</t>
  </si>
  <si>
    <t>C24010_010EA,C24010_010M,C24010_010MA</t>
  </si>
  <si>
    <t>C24010_011E</t>
  </si>
  <si>
    <t>Male: Management business science and arts occupations: Education legal community service arts and media occupations</t>
  </si>
  <si>
    <t>Estimate: Total: Male: Management business science and arts occupations: Education legal community service arts and media occupations</t>
  </si>
  <si>
    <t>C24010_011EA,C24010_011M,C24010_011MA</t>
  </si>
  <si>
    <t>C24010_012E</t>
  </si>
  <si>
    <t>Male: Management business science and arts occupations: Education legal community service arts and media occupations: Community and social service occupations</t>
  </si>
  <si>
    <t>Estimate: Total: Male: Management business science and arts occupations: Education legal community service arts and media occupations: Community and social service occupations</t>
  </si>
  <si>
    <t>C24010_012EA,C24010_012M,C24010_012MA</t>
  </si>
  <si>
    <t>C24010_013E</t>
  </si>
  <si>
    <t>Male: Management business science and arts occupations: Education legal community service arts and media occupations: Legal occupations</t>
  </si>
  <si>
    <t>Estimate: Total: Male: Management business science and arts occupations: Education legal community service arts and media occupations: Legal occupations</t>
  </si>
  <si>
    <t>C24010_013EA,C24010_013M,C24010_013MA</t>
  </si>
  <si>
    <t>C24010_014E</t>
  </si>
  <si>
    <t>Male: Management business science and arts occupations: Education legal community service arts and media occupations: Education training and library occupations</t>
  </si>
  <si>
    <t>Estimate: Total: Male: Management business science and arts occupations: Education legal community service arts and media occupations: Education training and library occupations</t>
  </si>
  <si>
    <t>C24010_014EA,C24010_014M,C24010_014MA</t>
  </si>
  <si>
    <t>Male: Management business science and arts occupations: Education legal community service arts and media occupations: Educational instruction and library occupations</t>
  </si>
  <si>
    <t>Estimate: Total: Male: Management business science and arts occupations: Education legal community service arts and media occupations: Educational instruction and library occupations</t>
  </si>
  <si>
    <t>C24010_015E</t>
  </si>
  <si>
    <t>Male: Management business science and arts occupations: Education legal community service arts and media occupations: Arts design entertainment sports and media occupations</t>
  </si>
  <si>
    <t>Estimate: Total: Male: Management business science and arts occupations: Education legal community service arts and media occupations: Arts design entertainment sports and media occupations</t>
  </si>
  <si>
    <t>C24010_015EA,C24010_015M,C24010_015MA</t>
  </si>
  <si>
    <t>C24010_016E</t>
  </si>
  <si>
    <t>Male: Management business science and arts occupations: Healthcare practitioners and technical occupations</t>
  </si>
  <si>
    <t>Estimate: Total: Male: Management business science and arts occupations: Healthcare practitioners and technical occupations</t>
  </si>
  <si>
    <t>C24010_016EA,C24010_016M,C24010_016MA</t>
  </si>
  <si>
    <t>C24010_017E</t>
  </si>
  <si>
    <t>Male: Management business science and arts occupations: Healthcare practitioners and technical occupations: Health diagnosing and treating practitioners and other technical occupations</t>
  </si>
  <si>
    <t>Estimate: Total: Male: Management business science and arts occupations: Healthcare practitioners and technical occupations: Health diagnosing and treating practitioners and other technical occupations</t>
  </si>
  <si>
    <t>C24010_017EA,C24010_017M,C24010_017MA</t>
  </si>
  <si>
    <t>C24010_018E</t>
  </si>
  <si>
    <t>Male: Management business science and arts occupations: Healthcare practitioners and technical occupations: Health technologists and technicians</t>
  </si>
  <si>
    <t>Estimate: Total: Male: Management business science and arts occupations: Healthcare practitioners and technical occupations: Health technologists and technicians</t>
  </si>
  <si>
    <t>C24010_018EA,C24010_018M,C24010_018MA</t>
  </si>
  <si>
    <t>C24010_019E</t>
  </si>
  <si>
    <t>Male: Service occupations</t>
  </si>
  <si>
    <t>Estimate: Total: Male: Service occupations</t>
  </si>
  <si>
    <t>C24010_019EA,C24010_019M,C24010_019MA</t>
  </si>
  <si>
    <t>C24010_020E</t>
  </si>
  <si>
    <t>Male: Service occupations: Healthcare support occupations</t>
  </si>
  <si>
    <t>Estimate: Total: Male: Service occupations: Healthcare support occupations</t>
  </si>
  <si>
    <t>C24010_020EA,C24010_020M,C24010_020MA</t>
  </si>
  <si>
    <t>C24010_021E</t>
  </si>
  <si>
    <t>Male: Service occupations: Protective service occupations</t>
  </si>
  <si>
    <t>Estimate: Total: Male: Service occupations: Protective service occupations</t>
  </si>
  <si>
    <t>C24010_021EA,C24010_021M,C24010_021MA</t>
  </si>
  <si>
    <t>C24010_022E</t>
  </si>
  <si>
    <t>Male: Service occupations: Protective service occupations: Fire fighting and prevention and other protective service workers including supervisors</t>
  </si>
  <si>
    <t>Estimate: Total: Male: Service occupations: Protective service occupations: Fire fighting and prevention and other protective service workers including supervisors</t>
  </si>
  <si>
    <t>C24010_022EA,C24010_022M,C24010_022MA</t>
  </si>
  <si>
    <t>Male: Service occupations: Protective service occupations: Firefighting and prevention and other protective service workers including supervisors</t>
  </si>
  <si>
    <t>Estimate: Total: Male: Service occupations: Protective service occupations: Firefighting and prevention and other protective service workers including supervisors</t>
  </si>
  <si>
    <t>C24010_023E</t>
  </si>
  <si>
    <t>Male: Service occupations: Protective service occupations: Law enforcement workers including supervisors</t>
  </si>
  <si>
    <t>Estimate: Total: Male: Service occupations: Protective service occupations: Law enforcement workers including supervisors</t>
  </si>
  <si>
    <t>C24010_023EA,C24010_023M,C24010_023MA</t>
  </si>
  <si>
    <t>C24010_024E</t>
  </si>
  <si>
    <t>Male: Service occupations: Food preparation and serving related occupations</t>
  </si>
  <si>
    <t>Estimate: Total: Male: Service occupations: Food preparation and serving related occupations</t>
  </si>
  <si>
    <t>C24010_024EA,C24010_024M,C24010_024MA</t>
  </si>
  <si>
    <t>C24010_025E</t>
  </si>
  <si>
    <t>Male: Service occupations: Building and grounds cleaning and maintenance occupations</t>
  </si>
  <si>
    <t>Estimate: Total: Male: Service occupations: Building and grounds cleaning and maintenance occupations</t>
  </si>
  <si>
    <t>C24010_025EA,C24010_025M,C24010_025MA</t>
  </si>
  <si>
    <t>C24010_026E</t>
  </si>
  <si>
    <t>Male: Service occupations: Personal care and service occupations</t>
  </si>
  <si>
    <t>Estimate: Total: Male: Service occupations: Personal care and service occupations</t>
  </si>
  <si>
    <t>C24010_026EA,C24010_026M,C24010_026MA</t>
  </si>
  <si>
    <t>C24010_027E</t>
  </si>
  <si>
    <t>Male: Sales and office occupations</t>
  </si>
  <si>
    <t>Estimate: Total: Male: Sales and office occupations</t>
  </si>
  <si>
    <t>C24010_027EA,C24010_027M,C24010_027MA</t>
  </si>
  <si>
    <t>C24010_028E</t>
  </si>
  <si>
    <t>Male: Sales and office occupations: Sales and related occupations</t>
  </si>
  <si>
    <t>Estimate: Total: Male: Sales and office occupations: Sales and related occupations</t>
  </si>
  <si>
    <t>C24010_028EA,C24010_028M,C24010_028MA</t>
  </si>
  <si>
    <t>C24010_029E</t>
  </si>
  <si>
    <t>Male: Sales and office occupations: Office and administrative support occupations</t>
  </si>
  <si>
    <t>Estimate: Total: Male: Sales and office occupations: Office and administrative support occupations</t>
  </si>
  <si>
    <t>C24010_029EA,C24010_029M,C24010_029MA</t>
  </si>
  <si>
    <t>C24010_030E</t>
  </si>
  <si>
    <t>Male: Natural resources construction and maintenance occupations</t>
  </si>
  <si>
    <t>Estimate: Total: Male: Natural resources construction and maintenance occupations</t>
  </si>
  <si>
    <t>C24010_030EA,C24010_030M,C24010_030MA</t>
  </si>
  <si>
    <t>C24010_031E</t>
  </si>
  <si>
    <t>Male: Natural resources construction and maintenance occupations: Farming fishing and forestry occupations</t>
  </si>
  <si>
    <t>Estimate: Total: Male: Natural resources construction and maintenance occupations: Farming fishing and forestry occupations</t>
  </si>
  <si>
    <t>C24010_031EA,C24010_031M,C24010_031MA</t>
  </si>
  <si>
    <t>C24010_032E</t>
  </si>
  <si>
    <t>Male: Natural resources construction and maintenance occupations: Construction and extraction occupations</t>
  </si>
  <si>
    <t>Estimate: Total: Male: Natural resources construction and maintenance occupations: Construction and extraction occupations</t>
  </si>
  <si>
    <t>C24010_032EA,C24010_032M,C24010_032MA</t>
  </si>
  <si>
    <t>C24010_033E</t>
  </si>
  <si>
    <t>Male: Natural resources construction and maintenance occupations: Installation maintenance and repair occupations</t>
  </si>
  <si>
    <t>Estimate: Total: Male: Natural resources construction and maintenance occupations: Installation maintenance and repair occupations</t>
  </si>
  <si>
    <t>C24010_033EA,C24010_033M,C24010_033MA</t>
  </si>
  <si>
    <t>C24010_034E</t>
  </si>
  <si>
    <t>Male: Production transportation and material moving occupations</t>
  </si>
  <si>
    <t>Estimate: Total: Male: Production transportation and material moving occupations</t>
  </si>
  <si>
    <t>C24010_034EA,C24010_034M,C24010_034MA</t>
  </si>
  <si>
    <t>C24010_035E</t>
  </si>
  <si>
    <t>Male: Production transportation and material moving occupations: Production occupations</t>
  </si>
  <si>
    <t>Estimate: Total: Male: Production transportation and material moving occupations: Production occupations</t>
  </si>
  <si>
    <t>C24010_035EA,C24010_035M,C24010_035MA</t>
  </si>
  <si>
    <t>C24010_036E</t>
  </si>
  <si>
    <t>Male: Production transportation and material moving occupations: Transportation occupations</t>
  </si>
  <si>
    <t>Estimate: Total: Male: Production transportation and material moving occupations: Transportation occupations</t>
  </si>
  <si>
    <t>C24010_036EA,C24010_036M,C24010_036MA</t>
  </si>
  <si>
    <t>C24010_037E</t>
  </si>
  <si>
    <t>Male: Production transportation and material moving occupations: Material moving occupations</t>
  </si>
  <si>
    <t>Estimate: Total: Male: Production transportation and material moving occupations: Material moving occupations</t>
  </si>
  <si>
    <t>C24010_037EA,C24010_037M,C24010_037MA</t>
  </si>
  <si>
    <t>C24010_038E</t>
  </si>
  <si>
    <t>C24010_038EA,C24010_038M,C24010_038MA</t>
  </si>
  <si>
    <t>C24010_039E</t>
  </si>
  <si>
    <t>Female: Management business science and arts occupations</t>
  </si>
  <si>
    <t>Estimate: Total: Female: Management business science and arts occupations</t>
  </si>
  <si>
    <t>C24010_039EA,C24010_039M,C24010_039MA</t>
  </si>
  <si>
    <t>C24010_040E</t>
  </si>
  <si>
    <t>Female: Management business science and arts occupations: Management business and financial occupations</t>
  </si>
  <si>
    <t>Estimate: Total: Female: Management business science and arts occupations: Management business and financial occupations</t>
  </si>
  <si>
    <t>C24010_040EA,C24010_040M,C24010_040MA</t>
  </si>
  <si>
    <t>C24010_041E</t>
  </si>
  <si>
    <t>Female: Management business science and arts occupations: Management business and financial occupations: Management occupations</t>
  </si>
  <si>
    <t>Estimate: Total: Female: Management business science and arts occupations: Management business and financial occupations: Management occupations</t>
  </si>
  <si>
    <t>C24010_041EA,C24010_041M,C24010_041MA</t>
  </si>
  <si>
    <t>C24010_042E</t>
  </si>
  <si>
    <t>Female: Management business science and arts occupations: Management business and financial occupations: Business and financial operations occupations</t>
  </si>
  <si>
    <t>Estimate: Total: Female: Management business science and arts occupations: Management business and financial occupations: Business and financial operations occupations</t>
  </si>
  <si>
    <t>C24010_042EA,C24010_042M,C24010_042MA</t>
  </si>
  <si>
    <t>C24010_043E</t>
  </si>
  <si>
    <t>Female: Management business science and arts occupations: Computer engineering and science occupations</t>
  </si>
  <si>
    <t>Estimate: Total: Female: Management business science and arts occupations: Computer engineering and science occupations</t>
  </si>
  <si>
    <t>C24010_043EA,C24010_043M,C24010_043MA</t>
  </si>
  <si>
    <t>C24010_044E</t>
  </si>
  <si>
    <t>Female: Management business science and arts occupations: Computer engineering and science occupations: Computer and mathematical occupations</t>
  </si>
  <si>
    <t>Estimate: Total: Female: Management business science and arts occupations: Computer engineering and science occupations: Computer and mathematical occupations</t>
  </si>
  <si>
    <t>C24010_044EA,C24010_044M,C24010_044MA</t>
  </si>
  <si>
    <t>C24010_045E</t>
  </si>
  <si>
    <t>Female: Management business science and arts occupations: Computer engineering and science occupations: Architecture and engineering occupations</t>
  </si>
  <si>
    <t>Estimate: Total: Female: Management business science and arts occupations: Computer engineering and science occupations: Architecture and engineering occupations</t>
  </si>
  <si>
    <t>C24010_045EA,C24010_045M,C24010_045MA</t>
  </si>
  <si>
    <t>C24010_046E</t>
  </si>
  <si>
    <t>Female: Management business science and arts occupations: Computer engineering and science occupations: Life physical and social science occupations</t>
  </si>
  <si>
    <t>Estimate: Total: Female: Management business science and arts occupations: Computer engineering and science occupations: Life physical and social science occupations</t>
  </si>
  <si>
    <t>C24010_046EA,C24010_046M,C24010_046MA</t>
  </si>
  <si>
    <t>C24010_047E</t>
  </si>
  <si>
    <t>Female: Management business science and arts occupations: Education legal community service arts and media occupations</t>
  </si>
  <si>
    <t>Estimate: Total: Female: Management business science and arts occupations: Education legal community service arts and media occupations</t>
  </si>
  <si>
    <t>C24010_047EA,C24010_047M,C24010_047MA</t>
  </si>
  <si>
    <t>C24010_048E</t>
  </si>
  <si>
    <t>Female: Management business science and arts occupations: Education legal community service arts and media occupations: Community and social service occupations</t>
  </si>
  <si>
    <t>Estimate: Total: Female: Management business science and arts occupations: Education legal community service arts and media occupations: Community and social service occupations</t>
  </si>
  <si>
    <t>C24010_048EA,C24010_048M,C24010_048MA</t>
  </si>
  <si>
    <t>C24010_049E</t>
  </si>
  <si>
    <t>Female: Management business science and arts occupations: Education legal community service arts and media occupations: Legal occupations</t>
  </si>
  <si>
    <t>Estimate: Total: Female: Management business science and arts occupations: Education legal community service arts and media occupations: Legal occupations</t>
  </si>
  <si>
    <t>C24010_049EA,C24010_049M,C24010_049MA</t>
  </si>
  <si>
    <t>C24010_050E</t>
  </si>
  <si>
    <t>Female: Management business science and arts occupations: Education legal community service arts and media occupations: Education training and library occupations</t>
  </si>
  <si>
    <t>Estimate: Total: Female: Management business science and arts occupations: Education legal community service arts and media occupations: Education training and library occupations</t>
  </si>
  <si>
    <t>C24010_050EA,C24010_050M,C24010_050MA</t>
  </si>
  <si>
    <t>Female: Management business science and arts occupations: Education legal community service arts and media occupations: Educational instruction and library occupations</t>
  </si>
  <si>
    <t>Estimate: Total: Female: Management business science and arts occupations: Education legal community service arts and media occupations: Educational instruction and library occupations</t>
  </si>
  <si>
    <t>C24010_051E</t>
  </si>
  <si>
    <t>Female: Management business science and arts occupations: Education legal community service arts and media occupations: Arts design entertainment sports and media occupations</t>
  </si>
  <si>
    <t>Estimate: Total: Female: Management business science and arts occupations: Education legal community service arts and media occupations: Arts design entertainment sports and media occupations</t>
  </si>
  <si>
    <t>C24010_051EA,C24010_051M,C24010_051MA</t>
  </si>
  <si>
    <t>C24010_052E</t>
  </si>
  <si>
    <t>Female: Management business science and arts occupations: Healthcare practitioners and technical occupations</t>
  </si>
  <si>
    <t>Estimate: Total: Female: Management business science and arts occupations: Healthcare practitioners and technical occupations</t>
  </si>
  <si>
    <t>C24010_052EA,C24010_052M,C24010_052MA</t>
  </si>
  <si>
    <t>C24010_053E</t>
  </si>
  <si>
    <t>Female: Management business science and arts occupations: Healthcare practitioners and technical occupations: Health diagnosing and treating practitioners and other technical occupations</t>
  </si>
  <si>
    <t>Estimate: Total: Female: Management business science and arts occupations: Healthcare practitioners and technical occupations: Health diagnosing and treating practitioners and other technical occupations</t>
  </si>
  <si>
    <t>C24010_053EA,C24010_053M,C24010_053MA</t>
  </si>
  <si>
    <t>C24010_054E</t>
  </si>
  <si>
    <t>Female: Management business science and arts occupations: Healthcare practitioners and technical occupations: Health technologists and technicians</t>
  </si>
  <si>
    <t>Estimate: Total: Female: Management business science and arts occupations: Healthcare practitioners and technical occupations: Health technologists and technicians</t>
  </si>
  <si>
    <t>C24010_054EA,C24010_054M,C24010_054MA</t>
  </si>
  <si>
    <t>C24010_055E</t>
  </si>
  <si>
    <t>Female: Service occupations</t>
  </si>
  <si>
    <t>Estimate: Total: Female: Service occupations</t>
  </si>
  <si>
    <t>C24010_055EA,C24010_055M,C24010_055MA</t>
  </si>
  <si>
    <t>C24010_056E</t>
  </si>
  <si>
    <t>Female: Service occupations: Healthcare support occupations</t>
  </si>
  <si>
    <t>Estimate: Total: Female: Service occupations: Healthcare support occupations</t>
  </si>
  <si>
    <t>C24010_056EA,C24010_056M,C24010_056MA</t>
  </si>
  <si>
    <t>C24010_057E</t>
  </si>
  <si>
    <t>Female: Service occupations: Protective service occupations</t>
  </si>
  <si>
    <t>Estimate: Total: Female: Service occupations: Protective service occupations</t>
  </si>
  <si>
    <t>C24010_057EA,C24010_057M,C24010_057MA</t>
  </si>
  <si>
    <t>C24010_058E</t>
  </si>
  <si>
    <t>Female: Service occupations: Protective service occupations: Fire fighting and prevention and other protective service workers including supervisors</t>
  </si>
  <si>
    <t>Estimate: Total: Female: Service occupations: Protective service occupations: Fire fighting and prevention and other protective service workers including supervisors</t>
  </si>
  <si>
    <t>C24010_058EA,C24010_058M,C24010_058MA</t>
  </si>
  <si>
    <t>Female: Service occupations: Protective service occupations: Firefighting and prevention and other protective service workers including supervisors</t>
  </si>
  <si>
    <t>Estimate: Total: Female: Service occupations: Protective service occupations: Firefighting and prevention and other protective service workers including supervisors</t>
  </si>
  <si>
    <t>C24010_059E</t>
  </si>
  <si>
    <t>Female: Service occupations: Protective service occupations: Law enforcement workers including supervisors</t>
  </si>
  <si>
    <t>Estimate: Total: Female: Service occupations: Protective service occupations: Law enforcement workers including supervisors</t>
  </si>
  <si>
    <t>C24010_059EA,C24010_059M,C24010_059MA</t>
  </si>
  <si>
    <t>C24010_060E</t>
  </si>
  <si>
    <t>Female: Service occupations: Food preparation and serving related occupations</t>
  </si>
  <si>
    <t>Estimate: Total: Female: Service occupations: Food preparation and serving related occupations</t>
  </si>
  <si>
    <t>C24010_060EA,C24010_060M,C24010_060MA</t>
  </si>
  <si>
    <t>C24010_061E</t>
  </si>
  <si>
    <t>Female: Service occupations: Building and grounds cleaning and maintenance occupations</t>
  </si>
  <si>
    <t>Estimate: Total: Female: Service occupations: Building and grounds cleaning and maintenance occupations</t>
  </si>
  <si>
    <t>C24010_061EA,C24010_061M,C24010_061MA</t>
  </si>
  <si>
    <t>C24010_062E</t>
  </si>
  <si>
    <t>Female: Service occupations: Personal care and service occupations</t>
  </si>
  <si>
    <t>Estimate: Total: Female: Service occupations: Personal care and service occupations</t>
  </si>
  <si>
    <t>C24010_062EA,C24010_062M,C24010_062MA</t>
  </si>
  <si>
    <t>C24010_063E</t>
  </si>
  <si>
    <t>Female: Sales and office occupations</t>
  </si>
  <si>
    <t>Estimate: Total: Female: Sales and office occupations</t>
  </si>
  <si>
    <t>C24010_063EA,C24010_063M,C24010_063MA</t>
  </si>
  <si>
    <t>C24010_064E</t>
  </si>
  <si>
    <t>Female: Sales and office occupations: Sales and related occupations</t>
  </si>
  <si>
    <t>Estimate: Total: Female: Sales and office occupations: Sales and related occupations</t>
  </si>
  <si>
    <t>C24010_064EA,C24010_064M,C24010_064MA</t>
  </si>
  <si>
    <t>C24010_065E</t>
  </si>
  <si>
    <t>Female: Sales and office occupations: Office and administrative support occupations</t>
  </si>
  <si>
    <t>Estimate: Total: Female: Sales and office occupations: Office and administrative support occupations</t>
  </si>
  <si>
    <t>C24010_065EA,C24010_065M,C24010_065MA</t>
  </si>
  <si>
    <t>C24010_066E</t>
  </si>
  <si>
    <t>Female: Natural resources construction and maintenance occupations</t>
  </si>
  <si>
    <t>Estimate: Total: Female: Natural resources construction and maintenance occupations</t>
  </si>
  <si>
    <t>C24010_066EA,C24010_066M,C24010_066MA</t>
  </si>
  <si>
    <t>C24010_067E</t>
  </si>
  <si>
    <t>Female: Natural resources construction and maintenance occupations: Farming fishing and forestry occupations</t>
  </si>
  <si>
    <t>Estimate: Total: Female: Natural resources construction and maintenance occupations: Farming fishing and forestry occupations</t>
  </si>
  <si>
    <t>C24010_067EA,C24010_067M,C24010_067MA</t>
  </si>
  <si>
    <t>C24010_068E</t>
  </si>
  <si>
    <t>Female: Natural resources construction and maintenance occupations: Construction and extraction occupations</t>
  </si>
  <si>
    <t>Estimate: Total: Female: Natural resources construction and maintenance occupations: Construction and extraction occupations</t>
  </si>
  <si>
    <t>C24010_068EA,C24010_068M,C24010_068MA</t>
  </si>
  <si>
    <t>C24010_069E</t>
  </si>
  <si>
    <t>Female: Natural resources construction and maintenance occupations: Installation maintenance and repair occupations</t>
  </si>
  <si>
    <t>Estimate: Total: Female: Natural resources construction and maintenance occupations: Installation maintenance and repair occupations</t>
  </si>
  <si>
    <t>C24010_069EA,C24010_069M,C24010_069MA</t>
  </si>
  <si>
    <t>C24010_070E</t>
  </si>
  <si>
    <t>Female: Production transportation and material moving occupations</t>
  </si>
  <si>
    <t>Estimate: Total: Female: Production transportation and material moving occupations</t>
  </si>
  <si>
    <t>C24010_070EA,C24010_070M,C24010_070MA</t>
  </si>
  <si>
    <t>C24010_071E</t>
  </si>
  <si>
    <t>Female: Production transportation and material moving occupations: Production occupations</t>
  </si>
  <si>
    <t>Estimate: Total: Female: Production transportation and material moving occupations: Production occupations</t>
  </si>
  <si>
    <t>C24010_071EA,C24010_071M,C24010_071MA</t>
  </si>
  <si>
    <t>C24010_072E</t>
  </si>
  <si>
    <t>Female: Production transportation and material moving occupations: Transportation occupations</t>
  </si>
  <si>
    <t>Estimate: Total: Female: Production transportation and material moving occupations: Transportation occupations</t>
  </si>
  <si>
    <t>C24010_072EA,C24010_072M,C24010_072MA</t>
  </si>
  <si>
    <t>C24010_073E</t>
  </si>
  <si>
    <t>Female: Production transportation and material moving occupations: Material moving occupations</t>
  </si>
  <si>
    <t>Estimate: Total: Female: Production transportation and material moving occupations: Material moving occupations</t>
  </si>
  <si>
    <t>C24010_073EA,C24010_073M,C24010_073MA</t>
  </si>
  <si>
    <t>C24030</t>
  </si>
  <si>
    <t>C24030_001E</t>
  </si>
  <si>
    <t>E11</t>
  </si>
  <si>
    <t>Industry</t>
  </si>
  <si>
    <t>SEX BY INDUSTRY FOR THE CIVILIAN EMPLOYED POPULATION 16 YEARS AND OVER</t>
  </si>
  <si>
    <t>C24030_001EA,C24030_001M,C24030_001MA</t>
  </si>
  <si>
    <t>C24030_002E</t>
  </si>
  <si>
    <t>C24030_002EA,C24030_002M,C24030_002MA</t>
  </si>
  <si>
    <t>C24030_003E</t>
  </si>
  <si>
    <t>Male: Agriculture forestry fishing and hunting and mining</t>
  </si>
  <si>
    <t>Estimate: Total: Male: Agriculture forestry fishing and hunting and mining</t>
  </si>
  <si>
    <t>C24030_003EA,C24030_003M,C24030_003MA</t>
  </si>
  <si>
    <t>C24030_004E</t>
  </si>
  <si>
    <t>Male: Agriculture forestry fishing and hunting and mining: Agriculture forestry fishing and hunting</t>
  </si>
  <si>
    <t>Estimate: Total: Male: Agriculture forestry fishing and hunting and mining: Agriculture forestry fishing and hunting</t>
  </si>
  <si>
    <t>C24030_004EA,C24030_004M,C24030_004MA</t>
  </si>
  <si>
    <t>C24030_005E</t>
  </si>
  <si>
    <t>Male: Agriculture forestry fishing and hunting and mining: Mining quarrying and oil and gas extraction</t>
  </si>
  <si>
    <t>Estimate: Total: Male: Agriculture forestry fishing and hunting and mining: Mining quarrying and oil and gas extraction</t>
  </si>
  <si>
    <t>C24030_005EA,C24030_005M,C24030_005MA</t>
  </si>
  <si>
    <t>C24030_006E</t>
  </si>
  <si>
    <t>Male: Construction</t>
  </si>
  <si>
    <t>Estimate: Total: Male: Construction</t>
  </si>
  <si>
    <t>C24030_006EA,C24030_006M,C24030_006MA</t>
  </si>
  <si>
    <t>C24030_007E</t>
  </si>
  <si>
    <t>Male: Manufacturing</t>
  </si>
  <si>
    <t>Estimate: Total: Male: Manufacturing</t>
  </si>
  <si>
    <t>C24030_007EA,C24030_007M,C24030_007MA</t>
  </si>
  <si>
    <t>C24030_008E</t>
  </si>
  <si>
    <t>Male: Wholesale trade</t>
  </si>
  <si>
    <t>Estimate: Total: Male: Wholesale trade</t>
  </si>
  <si>
    <t>C24030_008EA,C24030_008M,C24030_008MA</t>
  </si>
  <si>
    <t>C24030_009E</t>
  </si>
  <si>
    <t>Male: Retail trade</t>
  </si>
  <si>
    <t>Estimate: Total: Male: Retail trade</t>
  </si>
  <si>
    <t>C24030_009EA,C24030_009M,C24030_009MA</t>
  </si>
  <si>
    <t>C24030_010E</t>
  </si>
  <si>
    <t>Male: Transportation and warehousing and utilities</t>
  </si>
  <si>
    <t>Estimate: Total: Male: Transportation and warehousing and utilities</t>
  </si>
  <si>
    <t>C24030_010EA,C24030_010M,C24030_010MA</t>
  </si>
  <si>
    <t>C24030_011E</t>
  </si>
  <si>
    <t>Male: Transportation and warehousing and utilities: Transportation and warehousing</t>
  </si>
  <si>
    <t>Estimate: Total: Male: Transportation and warehousing and utilities: Transportation and warehousing</t>
  </si>
  <si>
    <t>C24030_011EA,C24030_011M,C24030_011MA</t>
  </si>
  <si>
    <t>C24030_012E</t>
  </si>
  <si>
    <t>Male: Transportation and warehousing and utilities: Utilities</t>
  </si>
  <si>
    <t>Estimate: Total: Male: Transportation and warehousing and utilities: Utilities</t>
  </si>
  <si>
    <t>C24030_012EA,C24030_012M,C24030_012MA</t>
  </si>
  <si>
    <t>C24030_013E</t>
  </si>
  <si>
    <t>Male: Information</t>
  </si>
  <si>
    <t>Estimate: Total: Male: Information</t>
  </si>
  <si>
    <t>C24030_013EA,C24030_013M,C24030_013MA</t>
  </si>
  <si>
    <t>C24030_014E</t>
  </si>
  <si>
    <t>Male: Finance and insurance and real estate and rental and leasing</t>
  </si>
  <si>
    <t>Estimate: Total: Male: Finance and insurance and real estate and rental and leasing</t>
  </si>
  <si>
    <t>C24030_014EA,C24030_014M,C24030_014MA</t>
  </si>
  <si>
    <t>C24030_015E</t>
  </si>
  <si>
    <t>Male: Finance and insurance and real estate and rental and leasing: Finance and insurance</t>
  </si>
  <si>
    <t>Estimate: Total: Male: Finance and insurance and real estate and rental and leasing: Finance and insurance</t>
  </si>
  <si>
    <t>C24030_015EA,C24030_015M,C24030_015MA</t>
  </si>
  <si>
    <t>C24030_016E</t>
  </si>
  <si>
    <t>Male: Finance and insurance and real estate and rental and leasing: Real estate and rental and leasing</t>
  </si>
  <si>
    <t>Estimate: Total: Male: Finance and insurance and real estate and rental and leasing: Real estate and rental and leasing</t>
  </si>
  <si>
    <t>C24030_016EA,C24030_016M,C24030_016MA</t>
  </si>
  <si>
    <t>C24030_017E</t>
  </si>
  <si>
    <t>Male: Professional scientific and management and administrative and waste management services</t>
  </si>
  <si>
    <t>Estimate: Total: Male: Professional scientific and management and administrative and waste management services</t>
  </si>
  <si>
    <t>C24030_017EA,C24030_017M,C24030_017MA</t>
  </si>
  <si>
    <t>C24030_018E</t>
  </si>
  <si>
    <t>Male: Professional scientific and management and administrative and waste management services: Professional scientific and technical services</t>
  </si>
  <si>
    <t>Estimate: Total: Male: Professional scientific and management and administrative and waste management services: Professional scientific and technical services</t>
  </si>
  <si>
    <t>C24030_018EA,C24030_018M,C24030_018MA</t>
  </si>
  <si>
    <t>C24030_019E</t>
  </si>
  <si>
    <t>Male: Professional scientific and management and administrative and waste management services: Management of companies and enterprises</t>
  </si>
  <si>
    <t>Estimate: Total: Male: Professional scientific and management and administrative and waste management services: Management of companies and enterprises</t>
  </si>
  <si>
    <t>C24030_019EA,C24030_019M,C24030_019MA</t>
  </si>
  <si>
    <t>C24030_020E</t>
  </si>
  <si>
    <t>Male: Professional scientific and management and administrative and waste management services: Administrative and support and waste management services</t>
  </si>
  <si>
    <t>Estimate: Total: Male: Professional scientific and management and administrative and waste management services: Administrative and support and waste management services</t>
  </si>
  <si>
    <t>C24030_020EA,C24030_020M,C24030_020MA</t>
  </si>
  <si>
    <t>C24030_021E</t>
  </si>
  <si>
    <t>Male: Educational services and health care and social assistance</t>
  </si>
  <si>
    <t>Estimate: Total: Male: Educational services and health care and social assistance</t>
  </si>
  <si>
    <t>C24030_021EA,C24030_021M,C24030_021MA</t>
  </si>
  <si>
    <t>C24030_022E</t>
  </si>
  <si>
    <t>Male: Educational services and health care and social assistance: Educational services</t>
  </si>
  <si>
    <t>Estimate: Total: Male: Educational services and health care and social assistance: Educational services</t>
  </si>
  <si>
    <t>C24030_022EA,C24030_022M,C24030_022MA</t>
  </si>
  <si>
    <t>C24030_023E</t>
  </si>
  <si>
    <t>Male: Educational services and health care and social assistance: Health care and social assistance</t>
  </si>
  <si>
    <t>Estimate: Total: Male: Educational services and health care and social assistance: Health care and social assistance</t>
  </si>
  <si>
    <t>C24030_023EA,C24030_023M,C24030_023MA</t>
  </si>
  <si>
    <t>C24030_024E</t>
  </si>
  <si>
    <t>Male: Arts entertainment and recreation and accommodation and food services</t>
  </si>
  <si>
    <t>Estimate: Total: Male: Arts entertainment and recreation and accommodation and food services</t>
  </si>
  <si>
    <t>C24030_024EA,C24030_024M,C24030_024MA</t>
  </si>
  <si>
    <t>C24030_025E</t>
  </si>
  <si>
    <t>Male: Arts entertainment and recreation and accommodation and food services: Arts entertainment and recreation</t>
  </si>
  <si>
    <t>Estimate: Total: Male: Arts entertainment and recreation and accommodation and food services: Arts entertainment and recreation</t>
  </si>
  <si>
    <t>C24030_025EA,C24030_025M,C24030_025MA</t>
  </si>
  <si>
    <t>C24030_026E</t>
  </si>
  <si>
    <t>Male: Arts entertainment and recreation and accommodation and food services: Accommodation and food services</t>
  </si>
  <si>
    <t>Estimate: Total: Male: Arts entertainment and recreation and accommodation and food services: Accommodation and food services</t>
  </si>
  <si>
    <t>C24030_026EA,C24030_026M,C24030_026MA</t>
  </si>
  <si>
    <t>C24030_027E</t>
  </si>
  <si>
    <t>Male: Other services except public administration</t>
  </si>
  <si>
    <t>Estimate: Total: Male: Other services except public administration</t>
  </si>
  <si>
    <t>C24030_027EA,C24030_027M,C24030_027MA</t>
  </si>
  <si>
    <t>C24030_028E</t>
  </si>
  <si>
    <t>Male: Public administration</t>
  </si>
  <si>
    <t>Estimate: Total: Male: Public administration</t>
  </si>
  <si>
    <t>C24030_028EA,C24030_028M,C24030_028MA</t>
  </si>
  <si>
    <t>C24030_029E</t>
  </si>
  <si>
    <t>C24030_029EA,C24030_029M,C24030_029MA</t>
  </si>
  <si>
    <t>C24030_030E</t>
  </si>
  <si>
    <t>Female: Agriculture forestry fishing and hunting and mining</t>
  </si>
  <si>
    <t>Estimate: Total: Female: Agriculture forestry fishing and hunting and mining</t>
  </si>
  <si>
    <t>C24030_030EA,C24030_030M,C24030_030MA</t>
  </si>
  <si>
    <t>C24030_031E</t>
  </si>
  <si>
    <t>Female: Agriculture forestry fishing and hunting and mining: Agriculture forestry fishing and hunting</t>
  </si>
  <si>
    <t>Estimate: Total: Female: Agriculture forestry fishing and hunting and mining: Agriculture forestry fishing and hunting</t>
  </si>
  <si>
    <t>C24030_031EA,C24030_031M,C24030_031MA</t>
  </si>
  <si>
    <t>C24030_032E</t>
  </si>
  <si>
    <t>Female: Agriculture forestry fishing and hunting and mining: Mining quarrying and oil and gas extraction</t>
  </si>
  <si>
    <t>Estimate: Total: Female: Agriculture forestry fishing and hunting and mining: Mining quarrying and oil and gas extraction</t>
  </si>
  <si>
    <t>C24030_032EA,C24030_032M,C24030_032MA</t>
  </si>
  <si>
    <t>C24030_033E</t>
  </si>
  <si>
    <t>Female: Construction</t>
  </si>
  <si>
    <t>Estimate: Total: Female: Construction</t>
  </si>
  <si>
    <t>C24030_033EA,C24030_033M,C24030_033MA</t>
  </si>
  <si>
    <t>C24030_034E</t>
  </si>
  <si>
    <t>Female: Manufacturing</t>
  </si>
  <si>
    <t>Estimate: Total: Female: Manufacturing</t>
  </si>
  <si>
    <t>C24030_034EA,C24030_034M,C24030_034MA</t>
  </si>
  <si>
    <t>C24030_035E</t>
  </si>
  <si>
    <t>Female: Wholesale trade</t>
  </si>
  <si>
    <t>Estimate: Total: Female: Wholesale trade</t>
  </si>
  <si>
    <t>C24030_035EA,C24030_035M,C24030_035MA</t>
  </si>
  <si>
    <t>C24030_036E</t>
  </si>
  <si>
    <t>Female: Retail trade</t>
  </si>
  <si>
    <t>Estimate: Total: Female: Retail trade</t>
  </si>
  <si>
    <t>C24030_036EA,C24030_036M,C24030_036MA</t>
  </si>
  <si>
    <t>C24030_037E</t>
  </si>
  <si>
    <t>Female: Transportation and warehousing and utilities</t>
  </si>
  <si>
    <t>Estimate: Total: Female: Transportation and warehousing and utilities</t>
  </si>
  <si>
    <t>C24030_037EA,C24030_037M,C24030_037MA</t>
  </si>
  <si>
    <t>C24030_038E</t>
  </si>
  <si>
    <t>Female: Transportation and warehousing and utilities: Transportation and warehousing</t>
  </si>
  <si>
    <t>Estimate: Total: Female: Transportation and warehousing and utilities: Transportation and warehousing</t>
  </si>
  <si>
    <t>C24030_038EA,C24030_038M,C24030_038MA</t>
  </si>
  <si>
    <t>C24030_039E</t>
  </si>
  <si>
    <t>Female: Transportation and warehousing and utilities: Utilities</t>
  </si>
  <si>
    <t>Estimate: Total: Female: Transportation and warehousing and utilities: Utilities</t>
  </si>
  <si>
    <t>C24030_039EA,C24030_039M,C24030_039MA</t>
  </si>
  <si>
    <t>C24030_040E</t>
  </si>
  <si>
    <t>Female: Information</t>
  </si>
  <si>
    <t>Estimate: Total: Female: Information</t>
  </si>
  <si>
    <t>C24030_040EA,C24030_040M,C24030_040MA</t>
  </si>
  <si>
    <t>C24030_041E</t>
  </si>
  <si>
    <t>Female: Finance and insurance and real estate and rental and leasing</t>
  </si>
  <si>
    <t>Estimate: Total: Female: Finance and insurance and real estate and rental and leasing</t>
  </si>
  <si>
    <t>C24030_041EA,C24030_041M,C24030_041MA</t>
  </si>
  <si>
    <t>C24030_042E</t>
  </si>
  <si>
    <t>Female: Finance and insurance and real estate and rental and leasing: Finance and insurance</t>
  </si>
  <si>
    <t>Estimate: Total: Female: Finance and insurance and real estate and rental and leasing: Finance and insurance</t>
  </si>
  <si>
    <t>C24030_042EA,C24030_042M,C24030_042MA</t>
  </si>
  <si>
    <t>C24030_043E</t>
  </si>
  <si>
    <t>Female: Finance and insurance and real estate and rental and leasing: Real estate and rental and leasing</t>
  </si>
  <si>
    <t>Estimate: Total: Female: Finance and insurance and real estate and rental and leasing: Real estate and rental and leasing</t>
  </si>
  <si>
    <t>C24030_043EA,C24030_043M,C24030_043MA</t>
  </si>
  <si>
    <t>C24030_044E</t>
  </si>
  <si>
    <t>Female: Professional scientific and management and administrative and waste management services</t>
  </si>
  <si>
    <t>Estimate: Total: Female: Professional scientific and management and administrative and waste management services</t>
  </si>
  <si>
    <t>C24030_044EA,C24030_044M,C24030_044MA</t>
  </si>
  <si>
    <t>C24030_045E</t>
  </si>
  <si>
    <t>Female: Professional scientific and management and administrative and waste management services: Professional scientific and technical services</t>
  </si>
  <si>
    <t>Estimate: Total: Female: Professional scientific and management and administrative and waste management services: Professional scientific and technical services</t>
  </si>
  <si>
    <t>C24030_045EA,C24030_045M,C24030_045MA</t>
  </si>
  <si>
    <t>C24030_046E</t>
  </si>
  <si>
    <t>Female: Professional scientific and management and administrative and waste management services: Management of companies and enterprises</t>
  </si>
  <si>
    <t>Estimate: Total: Female: Professional scientific and management and administrative and waste management services: Management of companies and enterprises</t>
  </si>
  <si>
    <t>C24030_046EA,C24030_046M,C24030_046MA</t>
  </si>
  <si>
    <t>C24030_047E</t>
  </si>
  <si>
    <t>Female: Professional scientific and management and administrative and waste management services: Administrative and support and waste management services</t>
  </si>
  <si>
    <t>Estimate: Total: Female: Professional scientific and management and administrative and waste management services: Administrative and support and waste management services</t>
  </si>
  <si>
    <t>C24030_047EA,C24030_047M,C24030_047MA</t>
  </si>
  <si>
    <t>C24030_048E</t>
  </si>
  <si>
    <t>Female: Educational services and health care and social assistance</t>
  </si>
  <si>
    <t>Estimate: Total: Female: Educational services and health care and social assistance</t>
  </si>
  <si>
    <t>C24030_048EA,C24030_048M,C24030_048MA</t>
  </si>
  <si>
    <t>C24030_049E</t>
  </si>
  <si>
    <t>Female: Educational services and health care and social assistance: Educational services</t>
  </si>
  <si>
    <t>Estimate: Total: Female: Educational services and health care and social assistance: Educational services</t>
  </si>
  <si>
    <t>C24030_049EA,C24030_049M,C24030_049MA</t>
  </si>
  <si>
    <t>C24030_050E</t>
  </si>
  <si>
    <t>Female: Educational services and health care and social assistance: Health care and social assistance</t>
  </si>
  <si>
    <t>Estimate: Total: Female: Educational services and health care and social assistance: Health care and social assistance</t>
  </si>
  <si>
    <t>C24030_050EA,C24030_050M,C24030_050MA</t>
  </si>
  <si>
    <t>C24030_051E</t>
  </si>
  <si>
    <t>Female: Arts entertainment and recreation and accommodation and food services</t>
  </si>
  <si>
    <t>Estimate: Total: Female: Arts entertainment and recreation and accommodation and food services</t>
  </si>
  <si>
    <t>C24030_051EA,C24030_051M,C24030_051MA</t>
  </si>
  <si>
    <t>C24030_052E</t>
  </si>
  <si>
    <t>Female: Arts entertainment and recreation and accommodation and food services: Arts entertainment and recreation</t>
  </si>
  <si>
    <t>Estimate: Total: Female: Arts entertainment and recreation and accommodation and food services: Arts entertainment and recreation</t>
  </si>
  <si>
    <t>C24030_052EA,C24030_052M,C24030_052MA</t>
  </si>
  <si>
    <t>C24030_053E</t>
  </si>
  <si>
    <t>Female: Arts entertainment and recreation and accommodation and food services: Accommodation and food services</t>
  </si>
  <si>
    <t>Estimate: Total: Female: Arts entertainment and recreation and accommodation and food services: Accommodation and food services</t>
  </si>
  <si>
    <t>C24030_053EA,C24030_053M,C24030_053MA</t>
  </si>
  <si>
    <t>C24030_054E</t>
  </si>
  <si>
    <t>Female: Other services except public administration</t>
  </si>
  <si>
    <t>Estimate: Total: Female: Other services except public administration</t>
  </si>
  <si>
    <t>C24030_054EA,C24030_054M,C24030_054MA</t>
  </si>
  <si>
    <t>C24030_055E</t>
  </si>
  <si>
    <t>Female: Public administration</t>
  </si>
  <si>
    <t>Estimate: Total: Female: Public administration</t>
  </si>
  <si>
    <t>C24030_055EA,C24030_055M,C24030_055MA</t>
  </si>
  <si>
    <t>B24080</t>
  </si>
  <si>
    <t>B24080_001E</t>
  </si>
  <si>
    <t>E12</t>
  </si>
  <si>
    <t>Class of Worker</t>
  </si>
  <si>
    <t>SEX BY CLASS OF WORKER FOR THE CIVILIAN EMPLOYED POPULATION 16 YEARS AND OVER</t>
  </si>
  <si>
    <t>B24080_001EA,B24080_001M,B24080_001MA</t>
  </si>
  <si>
    <t>B24080_002E</t>
  </si>
  <si>
    <t>B24080_002EA,B24080_002M,B24080_002MA</t>
  </si>
  <si>
    <t>B24080_003E</t>
  </si>
  <si>
    <t>Male: Private for-profit wage and salary workers</t>
  </si>
  <si>
    <t>Estimate: Total: Male: Private for-profit wage and salary workers</t>
  </si>
  <si>
    <t>B24080_003EA,B24080_003M,B24080_003MA</t>
  </si>
  <si>
    <t>B24080_004E</t>
  </si>
  <si>
    <t>Male: Private for-profit wage and salary workers: Employee of private company workers</t>
  </si>
  <si>
    <t>Estimate: Total: Male: Private for-profit wage and salary workers: Employee of private company workers</t>
  </si>
  <si>
    <t>B24080_004EA,B24080_004M,B24080_004MA</t>
  </si>
  <si>
    <t>B24080_005E</t>
  </si>
  <si>
    <t>Male: Private for-profit wage and salary workers: Self-employed in own incorporated business workers</t>
  </si>
  <si>
    <t>Estimate: Total: Male: Private for-profit wage and salary workers: Self-employed in own incorporated business workers</t>
  </si>
  <si>
    <t>B24080_005EA,B24080_005M,B24080_005MA</t>
  </si>
  <si>
    <t>B24080_006E</t>
  </si>
  <si>
    <t>Male: Private not-for-profit wage and salary workers</t>
  </si>
  <si>
    <t>Estimate: Total: Male: Private not-for-profit wage and salary workers</t>
  </si>
  <si>
    <t>B24080_006EA,B24080_006M,B24080_006MA</t>
  </si>
  <si>
    <t>B24080_007E</t>
  </si>
  <si>
    <t>Male: Local government workers</t>
  </si>
  <si>
    <t>Estimate: Total: Male: Local government workers</t>
  </si>
  <si>
    <t>B24080_007EA,B24080_007M,B24080_007MA</t>
  </si>
  <si>
    <t>B24080_008E</t>
  </si>
  <si>
    <t>Male: State government workers</t>
  </si>
  <si>
    <t>Estimate: Total: Male: State government workers</t>
  </si>
  <si>
    <t>B24080_008EA,B24080_008M,B24080_008MA</t>
  </si>
  <si>
    <t>B24080_009E</t>
  </si>
  <si>
    <t>Male: Federal government workers</t>
  </si>
  <si>
    <t>Estimate: Total: Male: Federal government workers</t>
  </si>
  <si>
    <t>B24080_009EA,B24080_009M,B24080_009MA</t>
  </si>
  <si>
    <t>B24080_010E</t>
  </si>
  <si>
    <t>Male: Self-employed in own not incorporated business workers</t>
  </si>
  <si>
    <t>Estimate: Total: Male: Self-employed in own not incorporated business workers</t>
  </si>
  <si>
    <t>B24080_010EA,B24080_010M,B24080_010MA</t>
  </si>
  <si>
    <t>B24080_011E</t>
  </si>
  <si>
    <t>Male: Unpaid family workers</t>
  </si>
  <si>
    <t>Estimate: Total: Male: Unpaid family workers</t>
  </si>
  <si>
    <t>B24080_011EA,B24080_011M,B24080_011MA</t>
  </si>
  <si>
    <t>B24080_012E</t>
  </si>
  <si>
    <t>B24080_012EA,B24080_012M,B24080_012MA</t>
  </si>
  <si>
    <t>B24080_013E</t>
  </si>
  <si>
    <t>Female: Private for-profit wage and salary workers</t>
  </si>
  <si>
    <t>Estimate: Total: Female: Private for-profit wage and salary workers</t>
  </si>
  <si>
    <t>B24080_013EA,B24080_013M,B24080_013MA</t>
  </si>
  <si>
    <t>B24080_014E</t>
  </si>
  <si>
    <t>Female: Private for-profit wage and salary workers: Employee of private company workers</t>
  </si>
  <si>
    <t>Estimate: Total: Female: Private for-profit wage and salary workers: Employee of private company workers</t>
  </si>
  <si>
    <t>B24080_014EA,B24080_014M,B24080_014MA</t>
  </si>
  <si>
    <t>B24080_015E</t>
  </si>
  <si>
    <t>Female: Private for-profit wage and salary workers: Self-employed in own incorporated business workers</t>
  </si>
  <si>
    <t>Estimate: Total: Female: Private for-profit wage and salary workers: Self-employed in own incorporated business workers</t>
  </si>
  <si>
    <t>B24080_015EA,B24080_015M,B24080_015MA</t>
  </si>
  <si>
    <t>B24080_016E</t>
  </si>
  <si>
    <t>Female: Private not-for-profit wage and salary workers</t>
  </si>
  <si>
    <t>Estimate: Total: Female: Private not-for-profit wage and salary workers</t>
  </si>
  <si>
    <t>B24080_016EA,B24080_016M,B24080_016MA</t>
  </si>
  <si>
    <t>B24080_017E</t>
  </si>
  <si>
    <t>Female: Local government workers</t>
  </si>
  <si>
    <t>Estimate: Total: Female: Local government workers</t>
  </si>
  <si>
    <t>B24080_017EA,B24080_017M,B24080_017MA</t>
  </si>
  <si>
    <t>B24080_018E</t>
  </si>
  <si>
    <t>Female: State government workers</t>
  </si>
  <si>
    <t>Estimate: Total: Female: State government workers</t>
  </si>
  <si>
    <t>B24080_018EA,B24080_018M,B24080_018MA</t>
  </si>
  <si>
    <t>B24080_019E</t>
  </si>
  <si>
    <t>Female: Federal government workers</t>
  </si>
  <si>
    <t>Estimate: Total: Female: Federal government workers</t>
  </si>
  <si>
    <t>B24080_019EA,B24080_019M,B24080_019MA</t>
  </si>
  <si>
    <t>B24080_020E</t>
  </si>
  <si>
    <t>Female: Self-employed in own not incorporated business workers</t>
  </si>
  <si>
    <t>Estimate: Total: Female: Self-employed in own not incorporated business workers</t>
  </si>
  <si>
    <t>B24080_020EA,B24080_020M,B24080_020MA</t>
  </si>
  <si>
    <t>B24080_021E</t>
  </si>
  <si>
    <t>Female: Unpaid family workers</t>
  </si>
  <si>
    <t>Estimate: Total: Female: Unpaid family workers</t>
  </si>
  <si>
    <t>B24080_021EA,B24080_021M,B24080_021MA</t>
  </si>
  <si>
    <t>B19</t>
  </si>
  <si>
    <t>B19001</t>
  </si>
  <si>
    <t>B19001_001E</t>
  </si>
  <si>
    <t>E13</t>
  </si>
  <si>
    <t>Household Income and Earnings in the Past 12 Months</t>
  </si>
  <si>
    <t>HOUSEHOLD INCOME IN THE PAST 12 MONTHS (IN 2010 INFLATION-ADJUSTED DOLLARS)</t>
  </si>
  <si>
    <t>B19001_001EA,B19001_001M,B19001_001MA</t>
  </si>
  <si>
    <t>B19001_002E</t>
  </si>
  <si>
    <t>Less than $10,000</t>
  </si>
  <si>
    <t>Estimate: Total: Less than 10000</t>
  </si>
  <si>
    <t>B19001_002EA,B19001_002M,B19001_002MA</t>
  </si>
  <si>
    <t>B19001_003E</t>
  </si>
  <si>
    <t>$10,000 to $14,999</t>
  </si>
  <si>
    <t>Estimate: Total: 10000 to 14999</t>
  </si>
  <si>
    <t>B19001_003EA,B19001_003M,B19001_003MA</t>
  </si>
  <si>
    <t>B19001_004E</t>
  </si>
  <si>
    <t>$15,000 to $19,999</t>
  </si>
  <si>
    <t>Estimate: Total: 15000 to 19999</t>
  </si>
  <si>
    <t>B19001_004EA,B19001_004M,B19001_004MA</t>
  </si>
  <si>
    <t>B19001_005E</t>
  </si>
  <si>
    <t>$20,000 to $24,999</t>
  </si>
  <si>
    <t>Estimate: Total: 20000 to 24999</t>
  </si>
  <si>
    <t>B19001_005EA,B19001_005M,B19001_005MA</t>
  </si>
  <si>
    <t>B19001_006E</t>
  </si>
  <si>
    <t>$25,000 to $29,999</t>
  </si>
  <si>
    <t>Estimate: Total: 25000 to 29999</t>
  </si>
  <si>
    <t>B19001_006EA,B19001_006M,B19001_006MA</t>
  </si>
  <si>
    <t>B19001_007E</t>
  </si>
  <si>
    <t>$30,000 to $34,999</t>
  </si>
  <si>
    <t>Estimate: Total: 30000 to 34999</t>
  </si>
  <si>
    <t>B19001_007EA,B19001_007M,B19001_007MA</t>
  </si>
  <si>
    <t>B19001_008E</t>
  </si>
  <si>
    <t>$35,000 to $39,999</t>
  </si>
  <si>
    <t>Estimate: Total: 35000 to 39999</t>
  </si>
  <si>
    <t>B19001_008EA,B19001_008M,B19001_008MA</t>
  </si>
  <si>
    <t>B19001_009E</t>
  </si>
  <si>
    <t>$40,000 to $44,999</t>
  </si>
  <si>
    <t>Estimate: Total: 40000 to 44999</t>
  </si>
  <si>
    <t>B19001_009EA,B19001_009M,B19001_009MA</t>
  </si>
  <si>
    <t>B19001_010E</t>
  </si>
  <si>
    <t>$45,000 to $49,999</t>
  </si>
  <si>
    <t>Estimate: Total: 45000 to 49999</t>
  </si>
  <si>
    <t>B19001_010EA,B19001_010M,B19001_010MA</t>
  </si>
  <si>
    <t>B19001_011E</t>
  </si>
  <si>
    <t>$50,000 to $59,999</t>
  </si>
  <si>
    <t>Estimate: Total: 50000 to 59999</t>
  </si>
  <si>
    <t>B19001_011EA,B19001_011M,B19001_011MA</t>
  </si>
  <si>
    <t>B19001_012E</t>
  </si>
  <si>
    <t>$60,000 to $74,999</t>
  </si>
  <si>
    <t>Estimate: Total: 60000 to 74999</t>
  </si>
  <si>
    <t>B19001_012EA,B19001_012M,B19001_012MA</t>
  </si>
  <si>
    <t>B19001_013E</t>
  </si>
  <si>
    <t>$75,000 to $99,999</t>
  </si>
  <si>
    <t>Estimate: Total: 75000 to 99999</t>
  </si>
  <si>
    <t>B19001_013EA,B19001_013M,B19001_013MA</t>
  </si>
  <si>
    <t>B19001_014E</t>
  </si>
  <si>
    <t>$100,000 to $124,999</t>
  </si>
  <si>
    <t>Estimate: Total: 100000 to 124999</t>
  </si>
  <si>
    <t>B19001_014EA,B19001_014M,B19001_014MA</t>
  </si>
  <si>
    <t>B19001_015E</t>
  </si>
  <si>
    <t>$125,000 to $149,999</t>
  </si>
  <si>
    <t>Estimate: Total: 125000 to 149999</t>
  </si>
  <si>
    <t>B19001_015EA,B19001_015M,B19001_015MA</t>
  </si>
  <si>
    <t>B19001_016E</t>
  </si>
  <si>
    <t>$150,000 to $199,999</t>
  </si>
  <si>
    <t>Estimate: Total: 150000 to 199999</t>
  </si>
  <si>
    <t>B19001_016EA,B19001_016M,B19001_016MA</t>
  </si>
  <si>
    <t>B19001_017E</t>
  </si>
  <si>
    <t>$200,000 or more</t>
  </si>
  <si>
    <t>Estimate: Total: 200000 or more</t>
  </si>
  <si>
    <t>B19001_017EA,B19001_017M,B19001_017MA</t>
  </si>
  <si>
    <t>B19013</t>
  </si>
  <si>
    <t>B19013_001E</t>
  </si>
  <si>
    <t>Median household income in the past 12 months in 2010 inflation-adjusted dollars</t>
  </si>
  <si>
    <t>Estimate: Median household income in the past 12 months in 2010 inflation-adjusted dollars</t>
  </si>
  <si>
    <t>MEDIAN HOUSEHOLD INCOME IN THE PAST 12 MONTHS (IN 2010 INFLATION-ADJUSTED DOLLARS)</t>
  </si>
  <si>
    <t>B19013_001EA,B19013_001M,B19013_001MA</t>
  </si>
  <si>
    <t>Median household income in the past 12 months in 2011 inflation-adjusted dollars</t>
  </si>
  <si>
    <t>Estimate: Median household income in the past 12 months in 2011 inflation-adjusted dollars</t>
  </si>
  <si>
    <t>MEDIAN HOUSEHOLD INCOME IN THE PAST 12 MONTHS (IN 2011 INFLATION-ADJUSTED DOLLARS)</t>
  </si>
  <si>
    <t>Median household income in the past 12 months in 2012 inflation-adjusted dollars</t>
  </si>
  <si>
    <t>Estimate: Median household income in the past 12 months in 2012 inflation-adjusted dollars</t>
  </si>
  <si>
    <t>MEDIAN HOUSEHOLD INCOME IN THE PAST 12 MONTHS (IN 2012 INFLATION-ADJUSTED DOLLARS)</t>
  </si>
  <si>
    <t>Median household income in the past 12 months in 2013 inflation-adjusted dollars</t>
  </si>
  <si>
    <t>Estimate: Median household income in the past 12 months in 2013 inflation-adjusted dollars</t>
  </si>
  <si>
    <t>MEDIAN HOUSEHOLD INCOME IN THE PAST 12 MONTHS (IN 2013 INFLATION-ADJUSTED DOLLARS)</t>
  </si>
  <si>
    <t>Median household income in the past 12 months in 2014 Inflation-adjusted dollars</t>
  </si>
  <si>
    <t>Estimate: Median household income in the past 12 months in 2014 Inflation-adjusted dollars</t>
  </si>
  <si>
    <t>MEDIAN HOUSEHOLD INCOME IN THE PAST 12 MONTHS (IN 2014 INFLATION-ADJUSTED DOLLARS)</t>
  </si>
  <si>
    <t>Median household income in the past 12 months in 2015 Inflation-adjusted dollars</t>
  </si>
  <si>
    <t>Estimate: Median household income in the past 12 months in 2015 Inflation-adjusted dollars</t>
  </si>
  <si>
    <t>MEDIAN HOUSEHOLD INCOME IN THE PAST 12 MONTHS (IN 2015 INFLATION-ADJUSTED DOLLARS)</t>
  </si>
  <si>
    <t>Median household income in the past 12 months in 2016 inflation-adjusted dollars</t>
  </si>
  <si>
    <t>Estimate: Median household income in the past 12 months in 2016 inflation-adjusted dollars</t>
  </si>
  <si>
    <t>MEDIAN HOUSEHOLD INCOME IN THE PAST 12 MONTHS (IN 2016 INFLATION-ADJUSTED DOLLARS)</t>
  </si>
  <si>
    <t>Median household income in the past 12 months in 2017 inflation-adjusted dollars</t>
  </si>
  <si>
    <t>Estimate: Median household income in the past 12 months in 2017 inflation-adjusted dollars</t>
  </si>
  <si>
    <t>MEDIAN HOUSEHOLD INCOME IN THE PAST 12 MONTHS (IN 2017 INFLATION-ADJUSTED DOLLARS)</t>
  </si>
  <si>
    <t>Median household income in the past 12 months in 2018 inflation-adjusted dollars</t>
  </si>
  <si>
    <t>Estimate: Median household income in the past 12 months in 2018 inflation-adjusted dollars</t>
  </si>
  <si>
    <t>MEDIAN HOUSEHOLD INCOME IN THE PAST 12 MONTHS (IN 2018 INFLATION-ADJUSTED DOLLARS)</t>
  </si>
  <si>
    <t>Median household income in the past 12 months in 2019 inflation-adjusted dollars</t>
  </si>
  <si>
    <t>Estimate: Median household income in the past 12 months in 2019 inflation-adjusted dollars</t>
  </si>
  <si>
    <t>MEDIAN HOUSEHOLD INCOME IN THE PAST 12 MONTHS (IN 2019 INFLATION-ADJUSTED DOLLARS)</t>
  </si>
  <si>
    <t>Median household income in the past 12 months in 2020 inflation-adjusted dollars</t>
  </si>
  <si>
    <t>Estimate: Median household income in the past 12 months in 2020 inflation-adjusted dollars</t>
  </si>
  <si>
    <t>MEDIAN HOUSEHOLD INCOME IN THE PAST 12 MONTHS (IN 2020 INFLATION-ADJUSTED DOLLARS)</t>
  </si>
  <si>
    <t>Median household income in the past 12 months in 2021 inflation-adjusted dollars</t>
  </si>
  <si>
    <t>Estimate: Median household income in the past 12 months in 2021 inflation-adjusted dollars</t>
  </si>
  <si>
    <t>MEDIAN HOUSEHOLD INCOME IN THE PAST 12 MONTHS (IN 2021 INFLATION-ADJUSTED DOLLARS)</t>
  </si>
  <si>
    <t>Median household income in the past 12 months in 2022 inflation-adjusted dollars</t>
  </si>
  <si>
    <t>Estimate: Median household income in the past 12 months in 2022 inflation-adjusted dollars</t>
  </si>
  <si>
    <t>Median Household Income in the Past 12 Months (in 2022 Inflation-Adjusted Dollars)</t>
  </si>
  <si>
    <t>Median household income in the past 12 months in 2023 inflation-adjusted dollars</t>
  </si>
  <si>
    <t>Estimate: Median household income in the past 12 months in 2023 inflation-adjusted dollars</t>
  </si>
  <si>
    <t>Median Household Income in the Past 12 Months (in 2023 Inflation-Adjusted Dollars)</t>
  </si>
  <si>
    <t>Median household income in the past 12 months in 2024 inflation-adjusted dollars</t>
  </si>
  <si>
    <t>Estimate: Median household income in the past 12 months in 2024 inflation-adjusted dollars</t>
  </si>
  <si>
    <t>Median Household Income in the Past 12 Months (in 2024 Inflation-Adjusted Dollars)</t>
  </si>
  <si>
    <t>B19025</t>
  </si>
  <si>
    <t>B19025_001E</t>
  </si>
  <si>
    <t>Aggregate household income in the past 12 months in 2010 inflation-adjusted dollars</t>
  </si>
  <si>
    <t>Estimate: Aggregate household income in the past 12 months in 2010 inflation-adjusted dollars</t>
  </si>
  <si>
    <t>AGGREGATE HOUSEHOLD INCOME IN THE PAST 12 MONTHS (IN 2010 INFLATION-ADJUSTED DOLLARS)</t>
  </si>
  <si>
    <t>B19025_001EA,B19025_001M,B19025_001MA</t>
  </si>
  <si>
    <t>Aggregate household income in the past 12 months in 2011 inflation-adjusted dollars</t>
  </si>
  <si>
    <t>Estimate: Aggregate household income in the past 12 months in 2011 inflation-adjusted dollars</t>
  </si>
  <si>
    <t>AGGREGATE HOUSEHOLD INCOME IN THE PAST 12 MONTHS (IN 2011 INFLATION-ADJUSTED DOLLARS)</t>
  </si>
  <si>
    <t>Aggregate household income in the past 12 months in 2012 inflation-adjusted dollars</t>
  </si>
  <si>
    <t>Estimate: Aggregate household income in the past 12 months in 2012 inflation-adjusted dollars</t>
  </si>
  <si>
    <t>AGGREGATE HOUSEHOLD INCOME IN THE PAST 12 MONTHS (IN 2012 INFLATION-ADJUSTED DOLLARS)</t>
  </si>
  <si>
    <t>Aggregate household income in the past 12 months in 2013 inflation-adjusted dollars</t>
  </si>
  <si>
    <t>Estimate: Aggregate household income in the past 12 months in 2013 inflation-adjusted dollars</t>
  </si>
  <si>
    <t>AGGREGATE HOUSEHOLD INCOME IN THE PAST 12 MONTHS (IN 2013 INFLATION-ADJUSTED DOLLARS)</t>
  </si>
  <si>
    <t>Aggregate household income in the past 12 months in 2014 Inflation-adjusted dollars</t>
  </si>
  <si>
    <t>Estimate: Aggregate household income in the past 12 months in 2014 Inflation-adjusted dollars</t>
  </si>
  <si>
    <t>AGGREGATE HOUSEHOLD INCOME IN THE PAST 12 MONTHS (IN 2014 INFLATION-ADJUSTED DOLLARS)</t>
  </si>
  <si>
    <t>Aggregate household income in the past 12 months in 2015 Inflation-adjusted dollars</t>
  </si>
  <si>
    <t>Estimate: Aggregate household income in the past 12 months in 2015 Inflation-adjusted dollars</t>
  </si>
  <si>
    <t>AGGREGATE HOUSEHOLD INCOME IN THE PAST 12 MONTHS (IN 2015 INFLATION-ADJUSTED DOLLARS)</t>
  </si>
  <si>
    <t>Aggregate household income in the past 12 months in 2016 inflation-adjusted dollars</t>
  </si>
  <si>
    <t>Estimate: Aggregate household income in the past 12 months in 2016 inflation-adjusted dollars</t>
  </si>
  <si>
    <t>AGGREGATE HOUSEHOLD INCOME IN THE PAST 12 MONTHS (IN 2016 INFLATION-ADJUSTED DOLLARS)</t>
  </si>
  <si>
    <t>Aggregate household income in the past 12 months in 2017 inflation-adjusted dollars</t>
  </si>
  <si>
    <t>Estimate: Aggregate household income in the past 12 months in 2017 inflation-adjusted dollars</t>
  </si>
  <si>
    <t>AGGREGATE HOUSEHOLD INCOME IN THE PAST 12 MONTHS (IN 2017 INFLATION-ADJUSTED DOLLARS)</t>
  </si>
  <si>
    <t>Aggregate household income in the past 12 months in 2018 inflation-adjusted dollars</t>
  </si>
  <si>
    <t>Estimate: Aggregate household income in the past 12 months in 2018 inflation-adjusted dollars</t>
  </si>
  <si>
    <t>AGGREGATE HOUSEHOLD INCOME IN THE PAST 12 MONTHS (IN 2018 INFLATION-ADJUSTED DOLLARS)</t>
  </si>
  <si>
    <t>Aggregate household income in the past 12 months in 2019 inflation-adjusted dollars</t>
  </si>
  <si>
    <t>Estimate: Aggregate household income in the past 12 months in 2019 inflation-adjusted dollars</t>
  </si>
  <si>
    <t>AGGREGATE HOUSEHOLD INCOME IN THE PAST 12 MONTHS (IN 2019 INFLATION-ADJUSTED DOLLARS)</t>
  </si>
  <si>
    <t>Aggregate household income in the past 12 months in 2020 inflation-adjusted dollars</t>
  </si>
  <si>
    <t>Estimate: Aggregate household income in the past 12 months in 2020 inflation-adjusted dollars</t>
  </si>
  <si>
    <t>AGGREGATE HOUSEHOLD INCOME IN THE PAST 12 MONTHS (IN 2020 INFLATION-ADJUSTED DOLLARS)</t>
  </si>
  <si>
    <t>Aggregate household income in the past 12 months in 2021 inflation-adjusted dollars</t>
  </si>
  <si>
    <t>Estimate: Aggregate household income in the past 12 months in 2021 inflation-adjusted dollars</t>
  </si>
  <si>
    <t>AGGREGATE HOUSEHOLD INCOME IN THE PAST 12 MONTHS (IN 2021 INFLATION-ADJUSTED DOLLARS)</t>
  </si>
  <si>
    <t>Aggregate household income in the past 12 months in 2022 inflation-adjusted dollars</t>
  </si>
  <si>
    <t>Estimate: Aggregate household income in the past 12 months in 2022 inflation-adjusted dollars</t>
  </si>
  <si>
    <t>Aggregate Household Income in the Past 12 Months (in 2022 Inflation-Adjusted Dollars)</t>
  </si>
  <si>
    <t>Aggregate household income in the past 12 months in 2023 inflation-adjusted dollars</t>
  </si>
  <si>
    <t>Estimate: Aggregate household income in the past 12 months in 2023 inflation-adjusted dollars</t>
  </si>
  <si>
    <t>Aggregate Household Income in the Past 12 Months (in 2023 Inflation-Adjusted Dollars)</t>
  </si>
  <si>
    <t>Aggregate household income in the past 12 months in 2024 inflation-adjusted dollars</t>
  </si>
  <si>
    <t>Estimate: Aggregate household income in the past 12 months in 2024 inflation-adjusted dollars</t>
  </si>
  <si>
    <t>Aggregate Household Income in the Past 12 Months (in 2024 Inflation-Adjusted Dollars)</t>
  </si>
  <si>
    <t>B19081</t>
  </si>
  <si>
    <t>B19081_001E</t>
  </si>
  <si>
    <t>Quintile Means: Lowest Quintile</t>
  </si>
  <si>
    <t>Estimate: Quintile Means: Lowest Quintile</t>
  </si>
  <si>
    <t>MEAN HOUSEHOLD INCOME OF QUINTILES</t>
  </si>
  <si>
    <t>B19081_001EA,B19081_001M,B19081_001MA</t>
  </si>
  <si>
    <t>B19081_002E</t>
  </si>
  <si>
    <t>Quintile Means: Second Quintile</t>
  </si>
  <si>
    <t>Estimate: Quintile Means: Second Quintile</t>
  </si>
  <si>
    <t>B19081_002EA,B19081_002M,B19081_002MA</t>
  </si>
  <si>
    <t>B19081_003E</t>
  </si>
  <si>
    <t>Quintile Means: Third Quintile</t>
  </si>
  <si>
    <t>Estimate: Quintile Means: Third Quintile</t>
  </si>
  <si>
    <t>B19081_003EA,B19081_003M,B19081_003MA</t>
  </si>
  <si>
    <t>B19081_004E</t>
  </si>
  <si>
    <t>Quintile Means: Fourth Quintile</t>
  </si>
  <si>
    <t>Estimate: Quintile Means: Fourth Quintile</t>
  </si>
  <si>
    <t>B19081_004EA,B19081_004M,B19081_004MA</t>
  </si>
  <si>
    <t>B19081_005E</t>
  </si>
  <si>
    <t>Quintile Means: Highest Quintile</t>
  </si>
  <si>
    <t>Estimate: Quintile Means: Highest Quintile</t>
  </si>
  <si>
    <t>B19081_005EA,B19081_005M,B19081_005MA</t>
  </si>
  <si>
    <t>B19081_006E</t>
  </si>
  <si>
    <t>Top 5 Percent</t>
  </si>
  <si>
    <t>Estimate: Top 5 Percent</t>
  </si>
  <si>
    <t>B19081_006EA,B19081_006M,B19081_006MA</t>
  </si>
  <si>
    <t>B19083</t>
  </si>
  <si>
    <t>B19083_001E</t>
  </si>
  <si>
    <t>Gini Index</t>
  </si>
  <si>
    <t>Estimate: Gini Index</t>
  </si>
  <si>
    <t>GINI INDEX OF INCOME INEQUALITY</t>
  </si>
  <si>
    <t>B19083_001EA,B19083_001M,B19083_001MA</t>
  </si>
  <si>
    <t>B19051</t>
  </si>
  <si>
    <t>B19051_002E</t>
  </si>
  <si>
    <t>With earnings</t>
  </si>
  <si>
    <t>Estimate: Total: With earnings</t>
  </si>
  <si>
    <t>EARNINGS IN THE PAST 12 MONTHS FOR HOUSEHOLDS</t>
  </si>
  <si>
    <t>B19051_002EA,B19051_002M,B19051_002MA</t>
  </si>
  <si>
    <t>B19051_003E</t>
  </si>
  <si>
    <t>No earnings</t>
  </si>
  <si>
    <t>Estimate: Total: No earnings</t>
  </si>
  <si>
    <t>B19051_003EA,B19051_003M,B19051_003MA</t>
  </si>
  <si>
    <t>B19052</t>
  </si>
  <si>
    <t>B19052_002E</t>
  </si>
  <si>
    <t>With wage or salary income</t>
  </si>
  <si>
    <t>Estimate: Total: With wage or salary income</t>
  </si>
  <si>
    <t>WAGE OR SALARY INCOME IN THE PAST 12 MONTHS FOR HOUSEHOLDS</t>
  </si>
  <si>
    <t>B19052_002EA,B19052_002M,B19052_002MA</t>
  </si>
  <si>
    <t>B19052_003E</t>
  </si>
  <si>
    <t>No wage or salary income</t>
  </si>
  <si>
    <t>Estimate: Total: No wage or salary income</t>
  </si>
  <si>
    <t>B19052_003EA,B19052_003M,B19052_003MA</t>
  </si>
  <si>
    <t>B19053</t>
  </si>
  <si>
    <t>B19053_002E</t>
  </si>
  <si>
    <t>With self-employment income</t>
  </si>
  <si>
    <t>Estimate: Total: With self-employment income</t>
  </si>
  <si>
    <t>SELF-EMPLOYMENT INCOME IN THE PAST 12 MONTHS FOR HOUSEHOLDS</t>
  </si>
  <si>
    <t>B19053_002EA,B19053_002M,B19053_002MA</t>
  </si>
  <si>
    <t>B19053_003E</t>
  </si>
  <si>
    <t>No self-employment income</t>
  </si>
  <si>
    <t>Estimate: Total: No self-employment income</t>
  </si>
  <si>
    <t>B19053_003EA,B19053_003M,B19053_003MA</t>
  </si>
  <si>
    <t>B19054</t>
  </si>
  <si>
    <t>B19054_002E</t>
  </si>
  <si>
    <t>With interest dividends or net rental income</t>
  </si>
  <si>
    <t>Estimate: Total: With interest dividends or net rental income</t>
  </si>
  <si>
    <t>INTEREST, DIVIDENDS, OR NET RENTAL INCOME IN THE PAST 12 MONTHS FOR HOUSEHOLDS</t>
  </si>
  <si>
    <t>B19054_002EA,B19054_002M,B19054_002MA</t>
  </si>
  <si>
    <t>B19054_003E</t>
  </si>
  <si>
    <t>No interest dividends or net rental income</t>
  </si>
  <si>
    <t>Estimate: Total: No interest dividends or net rental income</t>
  </si>
  <si>
    <t>B19054_003EA,B19054_003M,B19054_003MA</t>
  </si>
  <si>
    <t>B19055</t>
  </si>
  <si>
    <t>B19055_002E</t>
  </si>
  <si>
    <t>With Social Security income</t>
  </si>
  <si>
    <t>Estimate: Total: With Social Security income</t>
  </si>
  <si>
    <t>SOCIAL SECURITY INCOME IN THE PAST 12 MONTHS FOR HOUSEHOLDS</t>
  </si>
  <si>
    <t>B19055_002EA,B19055_002M,B19055_002MA</t>
  </si>
  <si>
    <t>B19055_003E</t>
  </si>
  <si>
    <t>No Social Security income</t>
  </si>
  <si>
    <t>Estimate: Total: No Social Security income</t>
  </si>
  <si>
    <t>B19055_003EA,B19055_003M,B19055_003MA</t>
  </si>
  <si>
    <t>B19056</t>
  </si>
  <si>
    <t>B19056_002E</t>
  </si>
  <si>
    <t>With Supplemental Security Income SSI</t>
  </si>
  <si>
    <t>Estimate: Total: With Supplemental Security Income SSI</t>
  </si>
  <si>
    <t>SUPPLEMENTAL SECURITY INCOME (SSI) IN THE PAST 12 MONTHS FOR HOUSEHOLDS</t>
  </si>
  <si>
    <t>B19056_002EA,B19056_002M,B19056_002MA</t>
  </si>
  <si>
    <t>B19056_003E</t>
  </si>
  <si>
    <t>No Supplemental Security Income SSI</t>
  </si>
  <si>
    <t>Estimate: Total: No Supplemental Security Income SSI</t>
  </si>
  <si>
    <t>B19056_003EA,B19056_003M,B19056_003MA</t>
  </si>
  <si>
    <t>B19057</t>
  </si>
  <si>
    <t>B19057_002E</t>
  </si>
  <si>
    <t>With public assistance income</t>
  </si>
  <si>
    <t>Estimate: Total: With public assistance income</t>
  </si>
  <si>
    <t>PUBLIC ASSISTANCE INCOME IN THE PAST 12 MONTHS FOR HOUSEHOLDS</t>
  </si>
  <si>
    <t>B19057_002EA,B19057_002M,B19057_002MA</t>
  </si>
  <si>
    <t>B19057_003E</t>
  </si>
  <si>
    <t>No public assistance income</t>
  </si>
  <si>
    <t>Estimate: Total: No public assistance income</t>
  </si>
  <si>
    <t>B19057_003EA,B19057_003M,B19057_003MA</t>
  </si>
  <si>
    <t>B19058</t>
  </si>
  <si>
    <t>B19058_002E</t>
  </si>
  <si>
    <t>With cash public assistance or Food Stamps-SNAP</t>
  </si>
  <si>
    <t>Estimate: Total: With cash public assistance or Food StampsSNAP</t>
  </si>
  <si>
    <t>PUBLIC ASSISTANCE INCOME OR FOOD STAMPS/SNAP IN THE PAST 12 MONTHS FOR HOUSEHOLDS</t>
  </si>
  <si>
    <t>B19058_002EA,B19058_002M,B19058_002MA</t>
  </si>
  <si>
    <t>B19058_003E</t>
  </si>
  <si>
    <t>No cash public assistance or Food Stamps-SNAP</t>
  </si>
  <si>
    <t>Estimate: Total: No cash public assistance or Food StampsSNAP</t>
  </si>
  <si>
    <t>B19058_003EA,B19058_003M,B19058_003MA</t>
  </si>
  <si>
    <t>B19059</t>
  </si>
  <si>
    <t>B19059_002E</t>
  </si>
  <si>
    <t>With retirement income</t>
  </si>
  <si>
    <t>Estimate: Total: With retirement income</t>
  </si>
  <si>
    <t>RETIREMENT INCOME IN THE PAST 12 MONTHS FOR HOUSEHOLDS</t>
  </si>
  <si>
    <t>B19059_002EA,B19059_002M,B19059_002MA</t>
  </si>
  <si>
    <t>B19059_003E</t>
  </si>
  <si>
    <t>No retirement income</t>
  </si>
  <si>
    <t>Estimate: Total: No retirement income</t>
  </si>
  <si>
    <t>B19059_003EA,B19059_003M,B19059_003MA</t>
  </si>
  <si>
    <t>B19060</t>
  </si>
  <si>
    <t>B19060_002E</t>
  </si>
  <si>
    <t>With other types of income</t>
  </si>
  <si>
    <t>Estimate: Total: With other types of income</t>
  </si>
  <si>
    <t>OTHER TYPES OF INCOME IN THE PAST 12 MONTHS FOR HOUSEHOLDS</t>
  </si>
  <si>
    <t>B19060_002EA,B19060_002M,B19060_002MA</t>
  </si>
  <si>
    <t>B19060_003E</t>
  </si>
  <si>
    <t>No other types of income</t>
  </si>
  <si>
    <t>Estimate: Total: No other types of income</t>
  </si>
  <si>
    <t>B19060_003EA,B19060_003M,B19060_003MA</t>
  </si>
  <si>
    <t>B19061</t>
  </si>
  <si>
    <t>B19061_001E</t>
  </si>
  <si>
    <t>Aggregate earnings in the past 12 months in 2010 inflation-adjusted dollars</t>
  </si>
  <si>
    <t>E14</t>
  </si>
  <si>
    <t>Income and Earnings in Dollars</t>
  </si>
  <si>
    <t>Estimate: Aggregate earnings in the past 12 months in 2010 inflation-adjusted dollars</t>
  </si>
  <si>
    <t>AGGREGATE EARNINGS IN THE PAST 12 MONTHS (IN 2010 INFLATION-ADJUSTED DOLLARS) FOR HOUSEHOLDS</t>
  </si>
  <si>
    <t>B19061_001EA,B19061_001M,B19061_001MA</t>
  </si>
  <si>
    <t>Aggregate earnings in the past 12 months in 2011 inflation-adjusted dollars</t>
  </si>
  <si>
    <t>Estimate: Aggregate earnings in the past 12 months in 2011 inflation-adjusted dollars</t>
  </si>
  <si>
    <t>AGGREGATE EARNINGS IN THE PAST 12 MONTHS (IN 2011 INFLATION-ADJUSTED DOLLARS) FOR HOUSEHOLDS</t>
  </si>
  <si>
    <t>Aggregate earnings in the past 12 months in 2012 inflation-adjusted dollars</t>
  </si>
  <si>
    <t>Estimate: Aggregate earnings in the past 12 months in 2012 inflation-adjusted dollars</t>
  </si>
  <si>
    <t>AGGREGATE EARNINGS IN THE PAST 12 MONTHS (IN 2012 INFLATION-ADJUSTED DOLLARS) FOR HOUSEHOLDS</t>
  </si>
  <si>
    <t>Aggregate earnings in the past 12 months in 2013 inflation-adjusted dollars</t>
  </si>
  <si>
    <t>Estimate: Aggregate earnings in the past 12 months in 2013 inflation-adjusted dollars</t>
  </si>
  <si>
    <t>AGGREGATE EARNINGS IN THE PAST 12 MONTHS (IN 2013 INFLATION-ADJUSTED DOLLARS) FOR HOUSEHOLDS</t>
  </si>
  <si>
    <t>Aggregate earnings in the past 12 months in 2014 Inflation-adjusted dollars</t>
  </si>
  <si>
    <t>Estimate: Aggregate earnings in the past 12 months in 2014 Inflation-adjusted dollars</t>
  </si>
  <si>
    <t>AGGREGATE EARNINGS IN THE PAST 12 MONTHS (IN 2014 INFLATION-ADJUSTED DOLLARS) FOR HOUSEHOLDS</t>
  </si>
  <si>
    <t>Aggregate earnings in the past 12 months in 2015 Inflation-adjusted dollars</t>
  </si>
  <si>
    <t>Estimate: Aggregate earnings in the past 12 months in 2015 Inflation-adjusted dollars</t>
  </si>
  <si>
    <t>AGGREGATE EARNINGS IN THE PAST 12 MONTHS (IN 2015 INFLATION-ADJUSTED DOLLARS) FOR HOUSEHOLDS</t>
  </si>
  <si>
    <t>Aggregate earnings in the past 12 months in 2016 inflation-adjusted dollars</t>
  </si>
  <si>
    <t>Estimate: Aggregate earnings in the past 12 months in 2016 inflation-adjusted dollars</t>
  </si>
  <si>
    <t>AGGREGATE EARNINGS IN THE PAST 12 MONTHS (IN 2016 INFLATION-ADJUSTED DOLLARS) FOR HOUSEHOLDS</t>
  </si>
  <si>
    <t>Aggregate earnings in the past 12 months in 2017 inflation-adjusted dollars</t>
  </si>
  <si>
    <t>Estimate: Aggregate earnings in the past 12 months in 2017 inflation-adjusted dollars</t>
  </si>
  <si>
    <t>AGGREGATE EARNINGS IN THE PAST 12 MONTHS (IN 2017 INFLATION-ADJUSTED DOLLARS) FOR HOUSEHOLDS</t>
  </si>
  <si>
    <t>Aggregate earnings in the past 12 months in 2018 inflation-adjusted dollars</t>
  </si>
  <si>
    <t>Estimate: Aggregate earnings in the past 12 months in 2018 inflation-adjusted dollars</t>
  </si>
  <si>
    <t>AGGREGATE EARNINGS IN THE PAST 12 MONTHS (IN 2018 INFLATION-ADJUSTED DOLLARS) FOR HOUSEHOLDS</t>
  </si>
  <si>
    <t>Aggregate earnings in the past 12 months in 2019 inflation-adjusted dollars</t>
  </si>
  <si>
    <t>Estimate: Aggregate earnings in the past 12 months in 2019 inflation-adjusted dollars</t>
  </si>
  <si>
    <t>AGGREGATE EARNINGS IN THE PAST 12 MONTHS (IN 2019 INFLATION-ADJUSTED DOLLARS) FOR HOUSEHOLDS</t>
  </si>
  <si>
    <t>Aggregate earnings in the past 12 months in 2020 inflation-adjusted dollars</t>
  </si>
  <si>
    <t>Estimate: Aggregate earnings in the past 12 months in 2020 inflation-adjusted dollars</t>
  </si>
  <si>
    <t>AGGREGATE EARNINGS IN THE PAST 12 MONTHS (IN 2020 INFLATION-ADJUSTED DOLLARS) FOR HOUSEHOLDS</t>
  </si>
  <si>
    <t>Aggregate earnings in the past 12 months in 2021 inflation-adjusted dollars</t>
  </si>
  <si>
    <t>Estimate: Aggregate earnings in the past 12 months in 2021 inflation-adjusted dollars</t>
  </si>
  <si>
    <t>AGGREGATE EARNINGS IN THE PAST 12 MONTHS (IN 2021 INFLATION-ADJUSTED DOLLARS) FOR HOUSEHOLDS</t>
  </si>
  <si>
    <t>Aggregate earnings in the past 12 months in 2022 inflation-adjusted dollars</t>
  </si>
  <si>
    <t>Estimate: Aggregate earnings in the past 12 months in 2022 inflation-adjusted dollars</t>
  </si>
  <si>
    <t>Aggregate Earnings in the Past 12 Months (in 2022 Inflation-Adjusted Dollars) for Households</t>
  </si>
  <si>
    <t>Aggregate earnings in the past 12 months in 2023 inflation-adjusted dollars</t>
  </si>
  <si>
    <t>Estimate: Aggregate earnings in the past 12 months in 2023 inflation-adjusted dollars</t>
  </si>
  <si>
    <t>Aggregate Earnings in the Past 12 Months (in 2023 Inflation-Adjusted Dollars) for Households</t>
  </si>
  <si>
    <t>Aggregate earnings in the past 12 months in 2024 inflation-adjusted dollars</t>
  </si>
  <si>
    <t>Estimate: Aggregate earnings in the past 12 months in 2024 inflation-adjusted dollars</t>
  </si>
  <si>
    <t>Aggregate Earnings in the Past 12 Months (in 2024 Inflation-Adjusted Dollars) for Households</t>
  </si>
  <si>
    <t>B19062</t>
  </si>
  <si>
    <t>B19062_001E</t>
  </si>
  <si>
    <t>Aggregate wage or salary income in the past 12 months in 2010 inflation-adjusted dollars</t>
  </si>
  <si>
    <t>Estimate: Aggregate wage or salary income in the past 12 months in 2010 inflation-adjusted dollars</t>
  </si>
  <si>
    <t>AGGREGATE WAGE OR SALARY INCOME IN THE PAST 12 MONTHS (IN 2010 INFLATION-ADJUSTED DOLLARS) FOR HOUSEHOLDS</t>
  </si>
  <si>
    <t>B19062_001EA,B19062_001M,B19062_001MA</t>
  </si>
  <si>
    <t>Aggregate wage or salary income in the past 12 months in 2011 inflation-adjusted dollars</t>
  </si>
  <si>
    <t>Estimate: Aggregate wage or salary income in the past 12 months in 2011 inflation-adjusted dollars</t>
  </si>
  <si>
    <t>AGGREGATE WAGE OR SALARY INCOME IN THE PAST 12 MONTHS (IN 2011 INFLATION-ADJUSTED DOLLARS) FOR HOUSEHOLDS</t>
  </si>
  <si>
    <t>Aggregate wage or salary income in the past 12 months in 2012 inflation-adjusted dollars</t>
  </si>
  <si>
    <t>Estimate: Aggregate wage or salary income in the past 12 months in 2012 inflation-adjusted dollars</t>
  </si>
  <si>
    <t>AGGREGATE WAGE OR SALARY INCOME IN THE PAST 12 MONTHS (IN 2012 INFLATION-ADJUSTED DOLLARS) FOR HOUSEHOLDS</t>
  </si>
  <si>
    <t>Aggregate wage or salary income in the past 12 months in 2013 inflation-adjusted dollars</t>
  </si>
  <si>
    <t>Estimate: Aggregate wage or salary income in the past 12 months in 2013 inflation-adjusted dollars</t>
  </si>
  <si>
    <t>AGGREGATE WAGE OR SALARY INCOME IN THE PAST 12 MONTHS (IN 2013 INFLATION-ADJUSTED DOLLARS) FOR HOUSEHOLDS</t>
  </si>
  <si>
    <t>Aggregate wage or salary income in the past 12 months in 2014 Inflation-adjusted dollars</t>
  </si>
  <si>
    <t>Estimate: Aggregate wage or salary income in the past 12 months in 2014 Inflation-adjusted dollars</t>
  </si>
  <si>
    <t>AGGREGATE WAGE OR SALARY INCOME IN THE PAST 12 MONTHS (IN 2014 INFLATION-ADJUSTED DOLLARS) FOR HOUSEHOLDS</t>
  </si>
  <si>
    <t>Aggregate wage or salary income in the past 12 months in 2015 Inflation-adjusted dollars</t>
  </si>
  <si>
    <t>Estimate: Aggregate wage or salary income in the past 12 months in 2015 Inflation-adjusted dollars</t>
  </si>
  <si>
    <t>AGGREGATE WAGE OR SALARY INCOME IN THE PAST 12 MONTHS (IN 2015 INFLATION-ADJUSTED DOLLARS) FOR HOUSEHOLDS</t>
  </si>
  <si>
    <t>Aggregate wage or salary income in the past 12 months in 2016 inflation-adjusted dollars</t>
  </si>
  <si>
    <t>Estimate: Aggregate wage or salary income in the past 12 months in 2016 inflation-adjusted dollars</t>
  </si>
  <si>
    <t>AGGREGATE WAGE OR SALARY INCOME IN THE PAST 12 MONTHS (IN 2016 INFLATION-ADJUSTED DOLLARS) FOR HOUSEHOLDS</t>
  </si>
  <si>
    <t>Aggregate wage or salary income in the past 12 months in 2017 inflation-adjusted dollars</t>
  </si>
  <si>
    <t>Estimate: Aggregate wage or salary income in the past 12 months in 2017 inflation-adjusted dollars</t>
  </si>
  <si>
    <t>AGGREGATE WAGE OR SALARY INCOME IN THE PAST 12 MONTHS (IN 2017 INFLATION-ADJUSTED DOLLARS) FOR HOUSEHOLDS</t>
  </si>
  <si>
    <t>Aggregate wage or salary income in the past 12 months in 2018 inflation-adjusted dollars</t>
  </si>
  <si>
    <t>Estimate: Aggregate wage or salary income in the past 12 months in 2018 inflation-adjusted dollars</t>
  </si>
  <si>
    <t>AGGREGATE WAGE OR SALARY INCOME IN THE PAST 12 MONTHS (IN 2018 INFLATION-ADJUSTED DOLLARS) FOR HOUSEHOLDS</t>
  </si>
  <si>
    <t>Aggregate wage or salary income in the past 12 months in 2019 inflation-adjusted dollars</t>
  </si>
  <si>
    <t>Estimate: Aggregate wage or salary income in the past 12 months in 2019 inflation-adjusted dollars</t>
  </si>
  <si>
    <t>AGGREGATE WAGE OR SALARY INCOME IN THE PAST 12 MONTHS (IN 2019 INFLATION-ADJUSTED DOLLARS) FOR HOUSEHOLDS</t>
  </si>
  <si>
    <t>Aggregate wage or salary income in the past 12 months in 2020 inflation-adjusted dollars</t>
  </si>
  <si>
    <t>Estimate: Aggregate wage or salary income in the past 12 months in 2020 inflation-adjusted dollars</t>
  </si>
  <si>
    <t>AGGREGATE WAGE OR SALARY INCOME IN THE PAST 12 MONTHS (IN 2020 INFLATION-ADJUSTED DOLLARS) FOR HOUSEHOLDS</t>
  </si>
  <si>
    <t>Aggregate wage or salary income in the past 12 months in 2021 inflation-adjusted dollars</t>
  </si>
  <si>
    <t>Estimate: Aggregate wage or salary income in the past 12 months in 2021 inflation-adjusted dollars</t>
  </si>
  <si>
    <t>AGGREGATE WAGE OR SALARY INCOME IN THE PAST 12 MONTHS (IN 2021 INFLATION-ADJUSTED DOLLARS) FOR HOUSEHOLDS</t>
  </si>
  <si>
    <t>Aggregate wage or salary income in the past 12 months in 2022 inflation-adjusted dollars</t>
  </si>
  <si>
    <t>Estimate: Aggregate wage or salary income in the past 12 months in 2022 inflation-adjusted dollars</t>
  </si>
  <si>
    <t>Aggregate Wage or Salary Income in the Past 12 Months (in 2022 Inflation-Adjusted Dollars) for Households</t>
  </si>
  <si>
    <t>Aggregate wage or salary income in the past 12 months in 2023 inflation-adjusted dollars</t>
  </si>
  <si>
    <t>Estimate: Aggregate wage or salary income in the past 12 months in 2023 inflation-adjusted dollars</t>
  </si>
  <si>
    <t>Aggregate Wage or Salary Income in the Past 12 Months (in 2023 Inflation-Adjusted Dollars) for Households</t>
  </si>
  <si>
    <t>Aggregate wage or salary income in the past 12 months in 2024 inflation-adjusted dollars</t>
  </si>
  <si>
    <t>Estimate: Aggregate wage or salary income in the past 12 months in 2024 inflation-adjusted dollars</t>
  </si>
  <si>
    <t>Aggregate Wage or Salary Income in the Past 12 Months (in 2024 Inflation-Adjusted Dollars) for Households</t>
  </si>
  <si>
    <t>B19063</t>
  </si>
  <si>
    <t>B19063_001E</t>
  </si>
  <si>
    <t>Aggregate self-employment income in the past 12 months in 2010 inflation-adjusted dollars</t>
  </si>
  <si>
    <t>Estimate: Aggregate self-employment income in the past 12 months in 2010 inflation-adjusted dollars</t>
  </si>
  <si>
    <t>AGGREGATE SELF-EMPLOYMENT INCOME IN THE PAST 12 MONTHS (IN 2010 INFLATION-ADJUSTED DOLLARS) FOR HOUSEHOLDS</t>
  </si>
  <si>
    <t>B19063_001EA,B19063_001M,B19063_001MA</t>
  </si>
  <si>
    <t>Aggregate self-employment income in the past 12 months in 2011 inflation-adjusted dollars</t>
  </si>
  <si>
    <t>Estimate: Aggregate self-employment income in the past 12 months in 2011 inflation-adjusted dollars</t>
  </si>
  <si>
    <t>AGGREGATE SELF-EMPLOYMENT INCOME IN THE PAST 12 MONTHS (IN 2011 INFLATION-ADJUSTED DOLLARS) FOR HOUSEHOLDS</t>
  </si>
  <si>
    <t>Aggregate self-employment income in the past 12 months in 2012 inflation-adjusted dollars</t>
  </si>
  <si>
    <t>Estimate: Aggregate self-employment income in the past 12 months in 2012 inflation-adjusted dollars</t>
  </si>
  <si>
    <t>AGGREGATE SELF-EMPLOYMENT INCOME IN THE PAST 12 MONTHS (IN 2012 INFLATION-ADJUSTED DOLLARS) FOR HOUSEHOLDS</t>
  </si>
  <si>
    <t>Aggregate self-employment income in the past 12 months in 2013 inflation-adjusted dollars</t>
  </si>
  <si>
    <t>Estimate: Aggregate self-employment income in the past 12 months in 2013 inflation-adjusted dollars</t>
  </si>
  <si>
    <t>AGGREGATE SELF-EMPLOYMENT INCOME IN THE PAST 12 MONTHS (IN 2013 INFLATION-ADJUSTED DOLLARS) FOR HOUSEHOLDS</t>
  </si>
  <si>
    <t>Aggregate self-employment income in the past 12 months in 2014 Inflation-adjusted dollars</t>
  </si>
  <si>
    <t>Estimate: Aggregate self-employment income in the past 12 months in 2014 Inflation-adjusted dollars</t>
  </si>
  <si>
    <t>AGGREGATE SELF-EMPLOYMENT INCOME IN THE PAST 12 MONTHS (IN 2014 INFLATION-ADJUSTED DOLLARS) FOR HOUSEHOLDS</t>
  </si>
  <si>
    <t>Aggregate self-employment income in the past 12 months in 2015 Inflation-adjusted dollars</t>
  </si>
  <si>
    <t>Estimate: Aggregate self-employment income in the past 12 months in 2015 Inflation-adjusted dollars</t>
  </si>
  <si>
    <t>AGGREGATE SELF-EMPLOYMENT INCOME IN THE PAST 12 MONTHS (IN 2015 INFLATION-ADJUSTED DOLLARS) FOR HOUSEHOLDS</t>
  </si>
  <si>
    <t>Aggregate self-employment income in the past 12 months in 2016 inflation-adjusted dollars</t>
  </si>
  <si>
    <t>Estimate: Aggregate self-employment income in the past 12 months in 2016 inflation-adjusted dollars</t>
  </si>
  <si>
    <t>AGGREGATE SELF-EMPLOYMENT INCOME IN THE PAST 12 MONTHS (IN 2016 INFLATION-ADJUSTED DOLLARS) FOR HOUSEHOLDS</t>
  </si>
  <si>
    <t>Aggregate self-employment income in the past 12 months in 2017 inflation-adjusted dollars</t>
  </si>
  <si>
    <t>Estimate: Aggregate self-employment income in the past 12 months in 2017 inflation-adjusted dollars</t>
  </si>
  <si>
    <t>AGGREGATE SELF-EMPLOYMENT INCOME IN THE PAST 12 MONTHS (IN 2017 INFLATION-ADJUSTED DOLLARS) FOR HOUSEHOLDS</t>
  </si>
  <si>
    <t>Aggregate self-employment income in the past 12 months in 2018 inflation-adjusted dollars</t>
  </si>
  <si>
    <t>Estimate: Aggregate self-employment income in the past 12 months in 2018 inflation-adjusted dollars</t>
  </si>
  <si>
    <t>AGGREGATE SELF-EMPLOYMENT INCOME IN THE PAST 12 MONTHS (IN 2018 INFLATION-ADJUSTED DOLLARS) FOR HOUSEHOLDS</t>
  </si>
  <si>
    <t>Aggregate self-employment income in the past 12 months in 2019 inflation-adjusted dollars</t>
  </si>
  <si>
    <t>Estimate: Aggregate self-employment income in the past 12 months in 2019 inflation-adjusted dollars</t>
  </si>
  <si>
    <t>AGGREGATE SELF-EMPLOYMENT INCOME IN THE PAST 12 MONTHS (IN 2019 INFLATION-ADJUSTED DOLLARS) FOR HOUSEHOLDS</t>
  </si>
  <si>
    <t>Aggregate self-employment income in the past 12 months in 2020 inflation-adjusted dollars</t>
  </si>
  <si>
    <t>Estimate: Aggregate self-employment income in the past 12 months in 2020 inflation-adjusted dollars</t>
  </si>
  <si>
    <t>AGGREGATE SELF-EMPLOYMENT INCOME IN THE PAST 12 MONTHS (IN 2020 INFLATION-ADJUSTED DOLLARS) FOR HOUSEHOLDS</t>
  </si>
  <si>
    <t>Aggregate self-employment income in the past 12 months in 2021 inflation-adjusted dollars</t>
  </si>
  <si>
    <t>Estimate: Aggregate self-employment income in the past 12 months in 2021 inflation-adjusted dollars</t>
  </si>
  <si>
    <t>AGGREGATE SELF-EMPLOYMENT INCOME IN THE PAST 12 MONTHS (IN 2021 INFLATION-ADJUSTED DOLLARS) FOR HOUSEHOLDS</t>
  </si>
  <si>
    <t>Aggregate self-employment income in the past 12 months in 2022 inflation-adjusted dollars</t>
  </si>
  <si>
    <t>Estimate: Aggregate self-employment income in the past 12 months in 2022 inflation-adjusted dollars</t>
  </si>
  <si>
    <t>Aggregate Self-Employment Income in the Past 12 Months (in 2022 Inflation-Adjusted Dollars) for Households</t>
  </si>
  <si>
    <t>Aggregate self-employment income in the past 12 months in 2023 inflation-adjusted dollars</t>
  </si>
  <si>
    <t>Estimate: Aggregate self-employment income in the past 12 months in 2023 inflation-adjusted dollars</t>
  </si>
  <si>
    <t>Aggregate Self-Employment Income in the Past 12 Months (in 2023 Inflation-Adjusted Dollars) for Households</t>
  </si>
  <si>
    <t>Aggregate self-employment income in the past 12 months in 2024 inflation-adjusted dollars</t>
  </si>
  <si>
    <t>Estimate: Aggregate self-employment income in the past 12 months in 2024 inflation-adjusted dollars</t>
  </si>
  <si>
    <t>Aggregate Self-Employment Income in the Past 12 Months (in 2024 Inflation-Adjusted Dollars) for Households</t>
  </si>
  <si>
    <t>B19064</t>
  </si>
  <si>
    <t>B19064_001E</t>
  </si>
  <si>
    <t>Aggregate interest dividends or net rental income in the past 12 months in 2010 inflation-adjusted dollars</t>
  </si>
  <si>
    <t>Estimate: Aggregate interest dividends or net rental income in the past 12 months in 2010 inflation-adjusted dollars</t>
  </si>
  <si>
    <t>AGGREGATE INTEREST, DIVIDENDS, OR NET RENTAL INCOME IN THE PAST 12 MONTHS (IN 2010 INFLATION-ADJUSTED DOLLARS) FOR HOUSEHOLDS</t>
  </si>
  <si>
    <t>B19064_001EA,B19064_001M,B19064_001MA</t>
  </si>
  <si>
    <t>Aggregate interest dividends or net rental income in the past 12 months in 2011 inflation-adjusted dollars</t>
  </si>
  <si>
    <t>Estimate: Aggregate interest dividends or net rental income in the past 12 months in 2011 inflation-adjusted dollars</t>
  </si>
  <si>
    <t>AGGREGATE INTEREST, DIVIDENDS, OR NET RENTAL INCOME IN THE PAST 12 MONTHS (IN 2011 INFLATION-ADJUSTED DOLLARS) FOR HOUSEHOLDS</t>
  </si>
  <si>
    <t>Aggregate interest dividends or net rental income in the past 12 months in 2012 inflation-adjusted dollars</t>
  </si>
  <si>
    <t>Estimate: Aggregate interest dividends or net rental income in the past 12 months in 2012 inflation-adjusted dollars</t>
  </si>
  <si>
    <t>AGGREGATE INTEREST, DIVIDENDS, OR NET RENTAL INCOME IN THE PAST 12 MONTHS (IN 2012 INFLATION-ADJUSTED DOLLARS) FOR HOUSEHOLDS</t>
  </si>
  <si>
    <t>Aggregate interest dividends or net rental income in the past 12 months in 2013 inflation-adjusted dollars</t>
  </si>
  <si>
    <t>Estimate: Aggregate interest dividends or net rental income in the past 12 months in 2013 inflation-adjusted dollars</t>
  </si>
  <si>
    <t>AGGREGATE INTEREST, DIVIDENDS, OR NET RENTAL INCOME IN THE PAST 12 MONTHS (IN 2013 INFLATION-ADJUSTED DOLLARS) FOR HOUSEHOLDS</t>
  </si>
  <si>
    <t>Aggregate interest dividends or net rental income in the past 12 months in 2014 Inflation-adjusted dollars</t>
  </si>
  <si>
    <t>Estimate: Aggregate interest dividends or net rental income in the past 12 months in 2014 Inflation-adjusted dollars</t>
  </si>
  <si>
    <t>AGGREGATE INTEREST, DIVIDENDS, OR NET RENTAL INCOME IN THE PAST 12 MONTHS (IN 2014 INFLATION-ADJUSTED DOLLARS) FOR HOUSEHOLDS</t>
  </si>
  <si>
    <t>Aggregate interest dividends or net rental income in the past 12 months in 2015 Inflation-adjusted dollars</t>
  </si>
  <si>
    <t>Estimate: Aggregate interest dividends or net rental income in the past 12 months in 2015 Inflation-adjusted dollars</t>
  </si>
  <si>
    <t>AGGREGATE INTEREST, DIVIDENDS, OR NET RENTAL INCOME IN THE PAST 12 MONTHS (IN 2015 INFLATION-ADJUSTED DOLLARS) FOR HOUSEHOLDS</t>
  </si>
  <si>
    <t>Aggregate interest dividends or net rental income in the past 12 months in 2016 inflation-adjusted dollars</t>
  </si>
  <si>
    <t>Estimate: Aggregate interest dividends or net rental income in the past 12 months in 2016 inflation-adjusted dollars</t>
  </si>
  <si>
    <t>AGGREGATE INTEREST, DIVIDENDS, OR NET RENTAL INCOME IN THE PAST 12 MONTHS (IN 2016 INFLATION-ADJUSTED DOLLARS) FOR HOUSEHOLDS</t>
  </si>
  <si>
    <t>Aggregate interest dividends or net rental income in the past 12 months in 2017 inflation-adjusted dollars</t>
  </si>
  <si>
    <t>Estimate: Aggregate interest dividends or net rental income in the past 12 months in 2017 inflation-adjusted dollars</t>
  </si>
  <si>
    <t>AGGREGATE INTEREST, DIVIDENDS, OR NET RENTAL INCOME IN THE PAST 12 MONTHS (IN 2017 INFLATION-ADJUSTED DOLLARS) FOR HOUSEHOLDS</t>
  </si>
  <si>
    <t>Aggregate interest dividends or net rental income in the past 12 months in 2018 inflation-adjusted dollars</t>
  </si>
  <si>
    <t>Estimate: Aggregate interest dividends or net rental income in the past 12 months in 2018 inflation-adjusted dollars</t>
  </si>
  <si>
    <t>AGGREGATE INTEREST, DIVIDENDS, OR NET RENTAL INCOME IN THE PAST 12 MONTHS (IN 2018 INFLATION-ADJUSTED DOLLARS) FOR HOUSEHOLDS</t>
  </si>
  <si>
    <t>Aggregate interest dividends or net rental income in the past 12 months in 2019 inflation-adjusted dollars</t>
  </si>
  <si>
    <t>Estimate: Aggregate interest dividends or net rental income in the past 12 months in 2019 inflation-adjusted dollars</t>
  </si>
  <si>
    <t>AGGREGATE INTEREST, DIVIDENDS, OR NET RENTAL INCOME IN THE PAST 12 MONTHS (IN 2019 INFLATION-ADJUSTED DOLLARS) FOR HOUSEHOLDS</t>
  </si>
  <si>
    <t>Aggregate interest dividends or net rental income in the past 12 months in 2020 inflation-adjusted dollars</t>
  </si>
  <si>
    <t>Estimate: Aggregate interest dividends or net rental income in the past 12 months in 2020 inflation-adjusted dollars</t>
  </si>
  <si>
    <t>AGGREGATE INTEREST, DIVIDENDS, OR NET RENTAL INCOME IN THE PAST 12 MONTHS (IN 2020 INFLATION-ADJUSTED DOLLARS) FOR HOUSEHOLDS</t>
  </si>
  <si>
    <t>Aggregate interest dividends or net rental income in the past 12 months in 2021 inflation-adjusted dollars</t>
  </si>
  <si>
    <t>Estimate: Aggregate interest dividends or net rental income in the past 12 months in 2021 inflation-adjusted dollars</t>
  </si>
  <si>
    <t>AGGREGATE INTEREST, DIVIDENDS, OR NET RENTAL INCOME IN THE PAST 12 MONTHS (IN 2021 INFLATION-ADJUSTED DOLLARS) FOR HOUSEHOLDS</t>
  </si>
  <si>
    <t>Aggregate interest dividends or net rental income in the past 12 months in 2022 inflation-adjusted dollars</t>
  </si>
  <si>
    <t>Estimate: Aggregate interest dividends or net rental income in the past 12 months in 2022 inflation-adjusted dollars</t>
  </si>
  <si>
    <t>Aggregate Interest, Dividends, or Net Rental Income in the Past 12 Months (in 2022 Inflation-Adjusted Dollars) for Households</t>
  </si>
  <si>
    <t>Aggregate interest dividends or net rental income in the past 12 months in 2023 inflation-adjusted dollars</t>
  </si>
  <si>
    <t>Estimate: Aggregate interest dividends or net rental income in the past 12 months in 2023 inflation-adjusted dollars</t>
  </si>
  <si>
    <t>Aggregate Interest, Dividends, or Net Rental Income in the Past 12 Months (in 2023 Inflation-Adjusted Dollars) for Households</t>
  </si>
  <si>
    <t>Aggregate interest dividends or net rental income in the past 12 months in 2024 inflation-adjusted dollars</t>
  </si>
  <si>
    <t>Estimate: Aggregate interest dividends or net rental income in the past 12 months in 2024 inflation-adjusted dollars</t>
  </si>
  <si>
    <t>Aggregate Interest, Dividends, or Net Rental Income in the Past 12 Months (in 2024 Inflation-Adjusted Dollars) for Households</t>
  </si>
  <si>
    <t>B19065</t>
  </si>
  <si>
    <t>B19065_001E</t>
  </si>
  <si>
    <t>Aggregate Social Security income in the past 12 months in 2010 inflation-adjusted dollars</t>
  </si>
  <si>
    <t>Estimate: Aggregate Social Security income in the past 12 months in 2010 inflation-adjusted dollars</t>
  </si>
  <si>
    <t>AGGREGATE SOCIAL SECURITY INCOME IN THE PAST 12 MONTHS (IN 2010 INFLATION-ADJUSTED DOLLARS) FOR HOUSEHOLDS</t>
  </si>
  <si>
    <t>B19065_001EA,B19065_001M,B19065_001MA</t>
  </si>
  <si>
    <t>Aggregate Social Security income in the past 12 months in 2011 inflation-adjusted dollars</t>
  </si>
  <si>
    <t>Estimate: Aggregate Social Security income in the past 12 months in 2011 inflation-adjusted dollars</t>
  </si>
  <si>
    <t>AGGREGATE SOCIAL SECURITY INCOME IN THE PAST 12 MONTHS (IN 2011 INFLATION-ADJUSTED DOLLARS) FOR HOUSEHOLDS</t>
  </si>
  <si>
    <t>Aggregate Social Security income in the past 12 months in 2012 inflation-adjusted dollars</t>
  </si>
  <si>
    <t>Estimate: Aggregate Social Security income in the past 12 months in 2012 inflation-adjusted dollars</t>
  </si>
  <si>
    <t>AGGREGATE SOCIAL SECURITY INCOME IN THE PAST 12 MONTHS (IN 2012 INFLATION-ADJUSTED DOLLARS) FOR HOUSEHOLDS</t>
  </si>
  <si>
    <t>Aggregate Social Security income in the past 12 months in 2013 inflation-adjusted dollars</t>
  </si>
  <si>
    <t>Estimate: Aggregate Social Security income in the past 12 months in 2013 inflation-adjusted dollars</t>
  </si>
  <si>
    <t>AGGREGATE SOCIAL SECURITY INCOME IN THE PAST 12 MONTHS (IN 2013 INFLATION-ADJUSTED DOLLARS) FOR HOUSEHOLDS</t>
  </si>
  <si>
    <t>Aggregate Social Security income in the past 12 months in 2014 Inflation-adjusted dollars</t>
  </si>
  <si>
    <t>Estimate: Aggregate Social Security income in the past 12 months in 2014 Inflation-adjusted dollars</t>
  </si>
  <si>
    <t>AGGREGATE SOCIAL SECURITY INCOME IN THE PAST 12 MONTHS (IN 2014 INFLATION-ADJUSTED DOLLARS) FOR HOUSEHOLDS</t>
  </si>
  <si>
    <t>Aggregate Social Security income in the past 12 months in 2015 Inflation-adjusted dollars</t>
  </si>
  <si>
    <t>Estimate: Aggregate Social Security income in the past 12 months in 2015 Inflation-adjusted dollars</t>
  </si>
  <si>
    <t>AGGREGATE SOCIAL SECURITY INCOME IN THE PAST 12 MONTHS (IN 2015 INFLATION-ADJUSTED DOLLARS) FOR HOUSEHOLDS</t>
  </si>
  <si>
    <t>Aggregate Social Security income in the past 12 months in 2016 inflation-adjusted dollars</t>
  </si>
  <si>
    <t>Estimate: Aggregate Social Security income in the past 12 months in 2016 inflation-adjusted dollars</t>
  </si>
  <si>
    <t>AGGREGATE SOCIAL SECURITY INCOME IN THE PAST 12 MONTHS (IN 2016 INFLATION-ADJUSTED DOLLARS) FOR HOUSEHOLDS</t>
  </si>
  <si>
    <t>Aggregate Social Security income in the past 12 months in 2017 inflation-adjusted dollars</t>
  </si>
  <si>
    <t>Estimate: Aggregate Social Security income in the past 12 months in 2017 inflation-adjusted dollars</t>
  </si>
  <si>
    <t>AGGREGATE SOCIAL SECURITY INCOME IN THE PAST 12 MONTHS (IN 2017 INFLATION-ADJUSTED DOLLARS) FOR HOUSEHOLDS</t>
  </si>
  <si>
    <t>Aggregate Social Security income in the past 12 months in 2018 inflation-adjusted dollars</t>
  </si>
  <si>
    <t>Estimate: Aggregate Social Security income in the past 12 months in 2018 inflation-adjusted dollars</t>
  </si>
  <si>
    <t>AGGREGATE SOCIAL SECURITY INCOME IN THE PAST 12 MONTHS (IN 2018 INFLATION-ADJUSTED DOLLARS) FOR HOUSEHOLDS</t>
  </si>
  <si>
    <t>Aggregate Social Security income in the past 12 months in 2019 inflation-adjusted dollars</t>
  </si>
  <si>
    <t>Estimate: Aggregate Social Security income in the past 12 months in 2019 inflation-adjusted dollars</t>
  </si>
  <si>
    <t>AGGREGATE SOCIAL SECURITY INCOME IN THE PAST 12 MONTHS (IN 2019 INFLATION-ADJUSTED DOLLARS) FOR HOUSEHOLDS</t>
  </si>
  <si>
    <t>Aggregate Social Security income in the past 12 months in 2020 inflation-adjusted dollars</t>
  </si>
  <si>
    <t>Estimate: Aggregate Social Security income in the past 12 months in 2020 inflation-adjusted dollars</t>
  </si>
  <si>
    <t>AGGREGATE SOCIAL SECURITY INCOME IN THE PAST 12 MONTHS (IN 2020 INFLATION-ADJUSTED DOLLARS) FOR HOUSEHOLDS</t>
  </si>
  <si>
    <t>Aggregate Social Security income in the past 12 months in 2021 inflation-adjusted dollars</t>
  </si>
  <si>
    <t>Estimate: Aggregate Social Security income in the past 12 months in 2021 inflation-adjusted dollars</t>
  </si>
  <si>
    <t>AGGREGATE SOCIAL SECURITY INCOME IN THE PAST 12 MONTHS (IN 2021 INFLATION-ADJUSTED DOLLARS) FOR HOUSEHOLDS</t>
  </si>
  <si>
    <t>Aggregate Social Security income in the past 12 months in 2022 inflation-adjusted dollars</t>
  </si>
  <si>
    <t>Estimate: Aggregate Social Security income in the past 12 months in 2022 inflation-adjusted dollars</t>
  </si>
  <si>
    <t>Aggregate Social Security Income in the Past 12 Months (in 2022 Inflation-Adjusted Dollars) for Households</t>
  </si>
  <si>
    <t>Aggregate Social Security income in the past 12 months in 2023 inflation-adjusted dollars</t>
  </si>
  <si>
    <t>Estimate: Aggregate Social Security income in the past 12 months in 2023 inflation-adjusted dollars</t>
  </si>
  <si>
    <t>Aggregate Social Security Income in the Past 12 Months (in 2023 Inflation-Adjusted Dollars) for Households</t>
  </si>
  <si>
    <t>Aggregate Social Security income in the past 12 months in 2024 inflation-adjusted dollars</t>
  </si>
  <si>
    <t>Estimate: Aggregate Social Security income in the past 12 months in 2024 inflation-adjusted dollars</t>
  </si>
  <si>
    <t>Aggregate Social Security Income in the Past 12 Months (in 2024 Inflation-Adjusted Dollars) for Households</t>
  </si>
  <si>
    <t>B19066</t>
  </si>
  <si>
    <t>B19066_001E</t>
  </si>
  <si>
    <t>Aggregate Supplemental Security Income SSI in the past 12 months in 2010 inflation-adjusted dollars</t>
  </si>
  <si>
    <t>Estimate: Aggregate Supplemental Security Income SSI in the past 12 months in 2010 inflation-adjusted dollars</t>
  </si>
  <si>
    <t>AGGREGATE SUPPLEMENTAL SECURITY INCOME (SSI) IN THE PAST 12 MONTHS (IN 2010 INFLATION-ADJUSTED DOLLARS) FOR HOUSEHOLDS</t>
  </si>
  <si>
    <t>B19066_001EA,B19066_001M,B19066_001MA</t>
  </si>
  <si>
    <t>Aggregate Supplemental Security Income SSI in the past 12 months in 2011 inflation-adjusted dollars</t>
  </si>
  <si>
    <t>Estimate: Aggregate Supplemental Security Income SSI in the past 12 months in 2011 inflation-adjusted dollars</t>
  </si>
  <si>
    <t>AGGREGATE SUPPLEMENTAL SECURITY INCOME (SSI) IN THE PAST 12 MONTHS (IN 2011 INFLATION-ADJUSTED DOLLARS) FOR HOUSEHOLDS</t>
  </si>
  <si>
    <t>Aggregate Supplemental Security Income SSI in the past 12 months in 2012 inflation-adjusted dollars</t>
  </si>
  <si>
    <t>Estimate: Aggregate Supplemental Security Income SSI in the past 12 months in 2012 inflation-adjusted dollars</t>
  </si>
  <si>
    <t>AGGREGATE SUPPLEMENTAL SECURITY INCOME (SSI) IN THE PAST 12 MONTHS (IN 2012 INFLATION-ADJUSTED DOLLARS) FOR HOUSEHOLDS</t>
  </si>
  <si>
    <t>Aggregate Supplemental Security Income SSI in the past 12 months in 2013 inflation-adjusted dollars</t>
  </si>
  <si>
    <t>Estimate: Aggregate Supplemental Security Income SSI in the past 12 months in 2013 inflation-adjusted dollars</t>
  </si>
  <si>
    <t>AGGREGATE SUPPLEMENTAL SECURITY INCOME (SSI) IN THE PAST 12 MONTHS (IN 2013 INFLATION-ADJUSTED DOLLARS) FOR HOUSEHOLDS</t>
  </si>
  <si>
    <t>Aggregate Supplemental Security Income SSI in the past 12 months in 2014 Inflation-adjusted dollars</t>
  </si>
  <si>
    <t>Estimate: Aggregate Supplemental Security Income SSI in the past 12 months in 2014 Inflation-adjusted dollars</t>
  </si>
  <si>
    <t>AGGREGATE SUPPLEMENTAL SECURITY INCOME (SSI) IN THE PAST 12 MONTHS (IN 2014 INFLATION-ADJUSTED DOLLARS) FOR HOUSEHOLDS</t>
  </si>
  <si>
    <t>Aggregate Supplemental Security Income SSI in the past 12 months in 2015 Inflation-adjusted dollars</t>
  </si>
  <si>
    <t>Estimate: Aggregate Supplemental Security Income SSI in the past 12 months in 2015 Inflation-adjusted dollars</t>
  </si>
  <si>
    <t>AGGREGATE SUPPLEMENTAL SECURITY INCOME (SSI) IN THE PAST 12 MONTHS (IN 2015 INFLATION-ADJUSTED DOLLARS) FOR HOUSEHOLDS</t>
  </si>
  <si>
    <t>Aggregate Supplemental Security Income SSI in the past 12 months in 2016 inflation-adjusted dollars</t>
  </si>
  <si>
    <t>Estimate: Aggregate Supplemental Security Income SSI in the past 12 months in 2016 inflation-adjusted dollars</t>
  </si>
  <si>
    <t>AGGREGATE SUPPLEMENTAL SECURITY INCOME (SSI) IN THE PAST 12 MONTHS (IN 2016 INFLATION-ADJUSTED DOLLARS) FOR HOUSEHOLDS</t>
  </si>
  <si>
    <t>Aggregate Supplemental Security Income SSI in the past 12 months in 2017 inflation-adjusted dollars</t>
  </si>
  <si>
    <t>Estimate: Aggregate Supplemental Security Income SSI in the past 12 months in 2017 inflation-adjusted dollars</t>
  </si>
  <si>
    <t>AGGREGATE SUPPLEMENTAL SECURITY INCOME (SSI) IN THE PAST 12 MONTHS (IN 2017 INFLATION-ADJUSTED DOLLARS) FOR HOUSEHOLDS</t>
  </si>
  <si>
    <t>Aggregate Supplemental Security Income SSI in the past 12 months in 2018 inflation-adjusted dollars</t>
  </si>
  <si>
    <t>Estimate: Aggregate Supplemental Security Income SSI in the past 12 months in 2018 inflation-adjusted dollars</t>
  </si>
  <si>
    <t>AGGREGATE SUPPLEMENTAL SECURITY INCOME (SSI) IN THE PAST 12 MONTHS (IN 2018 INFLATION-ADJUSTED DOLLARS) FOR HOUSEHOLDS</t>
  </si>
  <si>
    <t>Aggregate Supplemental Security Income SSI in the past 12 months in 2019 inflation-adjusted dollars</t>
  </si>
  <si>
    <t>Estimate: Aggregate Supplemental Security Income SSI in the past 12 months in 2019 inflation-adjusted dollars</t>
  </si>
  <si>
    <t>AGGREGATE SUPPLEMENTAL SECURITY INCOME (SSI) IN THE PAST 12 MONTHS (IN 2019 INFLATION-ADJUSTED DOLLARS) FOR HOUSEHOLDS</t>
  </si>
  <si>
    <t>Aggregate Supplemental Security Income SSI in the past 12 months in 2020 inflation-adjusted dollars</t>
  </si>
  <si>
    <t>Estimate: Aggregate Supplemental Security Income SSI in the past 12 months in 2020 inflation-adjusted dollars</t>
  </si>
  <si>
    <t>AGGREGATE SUPPLEMENTAL SECURITY INCOME (SSI) IN THE PAST 12 MONTHS (IN 2020 INFLATION-ADJUSTED DOLLARS) FOR HOUSEHOLDS</t>
  </si>
  <si>
    <t>Aggregate Supplemental Security Income SSI in the past 12 months in 2021 inflation-adjusted dollars</t>
  </si>
  <si>
    <t>Estimate: Aggregate Supplemental Security Income SSI in the past 12 months in 2021 inflation-adjusted dollars</t>
  </si>
  <si>
    <t>AGGREGATE SUPPLEMENTAL SECURITY INCOME (SSI) IN THE PAST 12 MONTHS (IN 2021 INFLATION-ADJUSTED DOLLARS) FOR HOUSEHOLDS</t>
  </si>
  <si>
    <t>Aggregate Supplemental Security Income SSI in the past 12 months in 2022 inflation-adjusted dollars</t>
  </si>
  <si>
    <t>Estimate: Aggregate Supplemental Security Income SSI in the past 12 months in 2022 inflation-adjusted dollars</t>
  </si>
  <si>
    <t>Aggregate Supplemental Security Income (SSI) in the Past 12 Months (in 2022 Inflation-Adjusted Dollars) for Households</t>
  </si>
  <si>
    <t>Aggregate Supplemental Security Income SSI in the past 12 months in 2023 inflation-adjusted dollars</t>
  </si>
  <si>
    <t>Estimate: Aggregate Supplemental Security Income SSI in the past 12 months in 2023 inflation-adjusted dollars</t>
  </si>
  <si>
    <t>Aggregate Supplemental Security Income (SSI) in the Past 12 Months (in 2023 Inflation-Adjusted Dollars) for Households</t>
  </si>
  <si>
    <t>Aggregate Supplemental Security Income SSI in the past 12 months in 2024 inflation-adjusted dollars</t>
  </si>
  <si>
    <t>Estimate: Aggregate Supplemental Security Income SSI in the past 12 months in 2024 inflation-adjusted dollars</t>
  </si>
  <si>
    <t>Aggregate Supplemental Security Income (SSI) in the Past 12 Months (in 2024 Inflation-Adjusted Dollars) for Households</t>
  </si>
  <si>
    <t>B19067</t>
  </si>
  <si>
    <t>B19067_001E</t>
  </si>
  <si>
    <t>Aggregate public assistance income in the past 12 months in 2010 inflation-adjusted dollars</t>
  </si>
  <si>
    <t>Estimate: Aggregate public assistance income in the past 12 months in 2010 inflation-adjusted dollars</t>
  </si>
  <si>
    <t>AGGREGATE PUBLIC ASSISTANCE INCOME IN THE PAST 12 MONTHS (IN 2010 INFLATION-ADJUSTED DOLLARS) FOR HOUSEHOLDS</t>
  </si>
  <si>
    <t>B19067_001EA,B19067_001M,B19067_001MA</t>
  </si>
  <si>
    <t>Aggregate public assistance income in the past 12 months in 2011 inflation-adjusted dollars</t>
  </si>
  <si>
    <t>Estimate: Aggregate public assistance income in the past 12 months in 2011 inflation-adjusted dollars</t>
  </si>
  <si>
    <t>AGGREGATE PUBLIC ASSISTANCE INCOME IN THE PAST 12 MONTHS (IN 2011 INFLATION-ADJUSTED DOLLARS) FOR HOUSEHOLDS</t>
  </si>
  <si>
    <t>Aggregate public assistance income in the past 12 months in 2012 inflation-adjusted dollars</t>
  </si>
  <si>
    <t>Estimate: Aggregate public assistance income in the past 12 months in 2012 inflation-adjusted dollars</t>
  </si>
  <si>
    <t>AGGREGATE PUBLIC ASSISTANCE INCOME IN THE PAST 12 MONTHS (IN 2012 INFLATION-ADJUSTED DOLLARS) FOR HOUSEHOLDS</t>
  </si>
  <si>
    <t>Aggregate public assistance income in the past 12 months in 2013 inflation-adjusted dollars</t>
  </si>
  <si>
    <t>Estimate: Aggregate public assistance income in the past 12 months in 2013 inflation-adjusted dollars</t>
  </si>
  <si>
    <t>AGGREGATE PUBLIC ASSISTANCE INCOME IN THE PAST 12 MONTHS (IN 2013 INFLATION-ADJUSTED DOLLARS) FOR HOUSEHOLDS</t>
  </si>
  <si>
    <t>Aggregate public assistance income in the past 12 months in 2014 Inflation-adjusted dollars</t>
  </si>
  <si>
    <t>Estimate: Aggregate public assistance income in the past 12 months in 2014 Inflation-adjusted dollars</t>
  </si>
  <si>
    <t>AGGREGATE PUBLIC ASSISTANCE INCOME IN THE PAST 12 MONTHS (IN 2014 INFLATION-ADJUSTED DOLLARS) FOR HOUSEHOLDS</t>
  </si>
  <si>
    <t>Aggregate public assistance income in the past 12 months in 2015 Inflation-adjusted dollars</t>
  </si>
  <si>
    <t>Estimate: Aggregate public assistance income in the past 12 months in 2015 Inflation-adjusted dollars</t>
  </si>
  <si>
    <t>AGGREGATE PUBLIC ASSISTANCE INCOME IN THE PAST 12 MONTHS (IN 2015 INFLATION-ADJUSTED DOLLARS) FOR HOUSEHOLDS</t>
  </si>
  <si>
    <t>Aggregate public assistance income in the past 12 months in 2016 inflation-adjusted dollars</t>
  </si>
  <si>
    <t>Estimate: Aggregate public assistance income in the past 12 months in 2016 inflation-adjusted dollars</t>
  </si>
  <si>
    <t>AGGREGATE PUBLIC ASSISTANCE INCOME IN THE PAST 12 MONTHS (IN 2016 INFLATION-ADJUSTED DOLLARS) FOR HOUSEHOLDS</t>
  </si>
  <si>
    <t>Aggregate public assistance income in the past 12 months in 2017 inflation-adjusted dollars</t>
  </si>
  <si>
    <t>Estimate: Aggregate public assistance income in the past 12 months in 2017 inflation-adjusted dollars</t>
  </si>
  <si>
    <t>AGGREGATE PUBLIC ASSISTANCE INCOME IN THE PAST 12 MONTHS (IN 2017 INFLATION-ADJUSTED DOLLARS) FOR HOUSEHOLDS</t>
  </si>
  <si>
    <t>Aggregate public assistance income in the past 12 months in 2018 inflation-adjusted dollars</t>
  </si>
  <si>
    <t>Estimate: Aggregate public assistance income in the past 12 months in 2018 inflation-adjusted dollars</t>
  </si>
  <si>
    <t>AGGREGATE PUBLIC ASSISTANCE INCOME IN THE PAST 12 MONTHS (IN 2018 INFLATION-ADJUSTED DOLLARS) FOR HOUSEHOLDS</t>
  </si>
  <si>
    <t>Aggregate public assistance income in the past 12 months in 2019 inflation-adjusted dollars</t>
  </si>
  <si>
    <t>Estimate: Aggregate public assistance income in the past 12 months in 2019 inflation-adjusted dollars</t>
  </si>
  <si>
    <t>AGGREGATE PUBLIC ASSISTANCE INCOME IN THE PAST 12 MONTHS (IN 2019 INFLATION-ADJUSTED DOLLARS) FOR HOUSEHOLDS</t>
  </si>
  <si>
    <t>Aggregate public assistance income in the past 12 months in 2020 inflation-adjusted dollars</t>
  </si>
  <si>
    <t>Estimate: Aggregate public assistance income in the past 12 months in 2020 inflation-adjusted dollars</t>
  </si>
  <si>
    <t>AGGREGATE PUBLIC ASSISTANCE INCOME IN THE PAST 12 MONTHS (IN 2020 INFLATION-ADJUSTED DOLLARS) FOR HOUSEHOLDS</t>
  </si>
  <si>
    <t>Aggregate public assistance income in the past 12 months in 2021 inflation-adjusted dollars</t>
  </si>
  <si>
    <t>Estimate: Aggregate public assistance income in the past 12 months in 2021 inflation-adjusted dollars</t>
  </si>
  <si>
    <t>AGGREGATE PUBLIC ASSISTANCE INCOME IN THE PAST 12 MONTHS (IN 2021 INFLATION-ADJUSTED DOLLARS) FOR HOUSEHOLDS</t>
  </si>
  <si>
    <t>Aggregate public assistance income in the past 12 months in 2022 inflation-adjusted dollars</t>
  </si>
  <si>
    <t>Estimate: Aggregate public assistance income in the past 12 months in 2022 inflation-adjusted dollars</t>
  </si>
  <si>
    <t>Aggregate Public Assistance Income in the Past 12 Months (in 2022 Inflation-Adjusted Dollars) for Households</t>
  </si>
  <si>
    <t>Aggregate public assistance income in the past 12 months in 2023 inflation-adjusted dollars</t>
  </si>
  <si>
    <t>Estimate: Aggregate public assistance income in the past 12 months in 2023 inflation-adjusted dollars</t>
  </si>
  <si>
    <t>Aggregate Public Assistance Income in the Past 12 Months (in 2023 Inflation-Adjusted Dollars) for Households</t>
  </si>
  <si>
    <t>Aggregate public assistance income in the past 12 months in 2024 inflation-adjusted dollars</t>
  </si>
  <si>
    <t>Estimate: Aggregate public assistance income in the past 12 months in 2024 inflation-adjusted dollars</t>
  </si>
  <si>
    <t>Aggregate Public Assistance Income in the Past 12 Months (in 2024 Inflation-Adjusted Dollars) for Households</t>
  </si>
  <si>
    <t>B19069</t>
  </si>
  <si>
    <t>B19069_001E</t>
  </si>
  <si>
    <t>Aggregate retirement income in the past 12 months in 2010 inflation-adjusted dollars</t>
  </si>
  <si>
    <t>Estimate: Aggregate retirement income in the past 12 months in 2010 inflation-adjusted dollars</t>
  </si>
  <si>
    <t>AGGREGATE RETIREMENT INCOME IN THE PAST 12 MONTHS (IN 2010 INFLATION-ADJUSTED DOLLARS) FOR HOUSEHOLDS</t>
  </si>
  <si>
    <t>B19069_001EA,B19069_001M,B19069_001MA</t>
  </si>
  <si>
    <t>Aggregate retirement income in the past 12 months in 2011 inflation-adjusted dollars</t>
  </si>
  <si>
    <t>Estimate: Aggregate retirement income in the past 12 months in 2011 inflation-adjusted dollars</t>
  </si>
  <si>
    <t>AGGREGATE RETIREMENT INCOME IN THE PAST 12 MONTHS (IN 2011 INFLATION-ADJUSTED DOLLARS) FOR HOUSEHOLDS</t>
  </si>
  <si>
    <t>Aggregate retirement income in the past 12 months in 2012 inflation-adjusted dollars</t>
  </si>
  <si>
    <t>Estimate: Aggregate retirement income in the past 12 months in 2012 inflation-adjusted dollars</t>
  </si>
  <si>
    <t>AGGREGATE RETIREMENT INCOME IN THE PAST 12 MONTHS (IN 2012 INFLATION-ADJUSTED DOLLARS) FOR HOUSEHOLDS</t>
  </si>
  <si>
    <t>Aggregate retirement income in the past 12 months in 2013 inflation-adjusted dollars</t>
  </si>
  <si>
    <t>Estimate: Aggregate retirement income in the past 12 months in 2013 inflation-adjusted dollars</t>
  </si>
  <si>
    <t>AGGREGATE RETIREMENT INCOME IN THE PAST 12 MONTHS (IN 2013 INFLATION-ADJUSTED DOLLARS) FOR HOUSEHOLDS</t>
  </si>
  <si>
    <t>Aggregate retirement income in the past 12 months in 2014 Inflation-adjusted dollars</t>
  </si>
  <si>
    <t>Estimate: Aggregate retirement income in the past 12 months in 2014 Inflation-adjusted dollars</t>
  </si>
  <si>
    <t>AGGREGATE RETIREMENT INCOME IN THE PAST 12 MONTHS (IN 2014 INFLATION-ADJUSTED DOLLARS) FOR HOUSEHOLDS</t>
  </si>
  <si>
    <t>Aggregate retirement income in the past 12 months in 2015 Inflation-adjusted dollars</t>
  </si>
  <si>
    <t>Estimate: Aggregate retirement income in the past 12 months in 2015 Inflation-adjusted dollars</t>
  </si>
  <si>
    <t>AGGREGATE RETIREMENT INCOME IN THE PAST 12 MONTHS (IN 2015 INFLATION-ADJUSTED DOLLARS) FOR HOUSEHOLDS</t>
  </si>
  <si>
    <t>Aggregate retirement income in the past 12 months in 2016 inflation-adjusted dollars</t>
  </si>
  <si>
    <t>Estimate: Aggregate retirement income in the past 12 months in 2016 inflation-adjusted dollars</t>
  </si>
  <si>
    <t>AGGREGATE RETIREMENT INCOME IN THE PAST 12 MONTHS (IN 2016 INFLATION-ADJUSTED DOLLARS) FOR HOUSEHOLDS</t>
  </si>
  <si>
    <t>Aggregate retirement income in the past 12 months in 2017 inflation-adjusted dollars</t>
  </si>
  <si>
    <t>Estimate: Aggregate retirement income in the past 12 months in 2017 inflation-adjusted dollars</t>
  </si>
  <si>
    <t>AGGREGATE RETIREMENT INCOME IN THE PAST 12 MONTHS (IN 2017 INFLATION-ADJUSTED DOLLARS) FOR HOUSEHOLDS</t>
  </si>
  <si>
    <t>Aggregate retirement income in the past 12 months in 2018 inflation-adjusted dollars</t>
  </si>
  <si>
    <t>Estimate: Aggregate retirement income in the past 12 months in 2018 inflation-adjusted dollars</t>
  </si>
  <si>
    <t>AGGREGATE RETIREMENT INCOME IN THE PAST 12 MONTHS (IN 2018 INFLATION-ADJUSTED DOLLARS) FOR HOUSEHOLDS</t>
  </si>
  <si>
    <t>Aggregate retirement income in the past 12 months in 2019 inflation-adjusted dollars</t>
  </si>
  <si>
    <t>Estimate: Aggregate retirement income in the past 12 months in 2019 inflation-adjusted dollars</t>
  </si>
  <si>
    <t>AGGREGATE RETIREMENT INCOME IN THE PAST 12 MONTHS (IN 2019 INFLATION-ADJUSTED DOLLARS) FOR HOUSEHOLDS</t>
  </si>
  <si>
    <t>Aggregate retirement income in the past 12 months in 2020 inflation-adjusted dollars</t>
  </si>
  <si>
    <t>Estimate: Aggregate retirement income in the past 12 months in 2020 inflation-adjusted dollars</t>
  </si>
  <si>
    <t>AGGREGATE RETIREMENT INCOME IN THE PAST 12 MONTHS (IN 2020 INFLATION-ADJUSTED DOLLARS) FOR HOUSEHOLDS</t>
  </si>
  <si>
    <t>Aggregate retirement income in the past 12 months in 2021 inflation-adjusted dollars</t>
  </si>
  <si>
    <t>Estimate: Aggregate retirement income in the past 12 months in 2021 inflation-adjusted dollars</t>
  </si>
  <si>
    <t>AGGREGATE RETIREMENT INCOME IN THE PAST 12 MONTHS (IN 2021 INFLATION-ADJUSTED DOLLARS) FOR HOUSEHOLDS</t>
  </si>
  <si>
    <t>Aggregate retirement income in the past 12 months in 2022 inflation-adjusted dollars</t>
  </si>
  <si>
    <t>Estimate: Aggregate retirement income in the past 12 months in 2022 inflation-adjusted dollars</t>
  </si>
  <si>
    <t>Aggregate Retirement Income in the Past 12 Months (in 2022 Inflation-Adjusted Dollars) for Households</t>
  </si>
  <si>
    <t>Aggregate retirement income in the past 12 months in 2023 inflation-adjusted dollars</t>
  </si>
  <si>
    <t>Estimate: Aggregate retirement income in the past 12 months in 2023 inflation-adjusted dollars</t>
  </si>
  <si>
    <t>Aggregate Retirement Income in the Past 12 Months (in 2023 Inflation-Adjusted Dollars) for Households</t>
  </si>
  <si>
    <t>Aggregate retirement income in the past 12 months in 2024 inflation-adjusted dollars</t>
  </si>
  <si>
    <t>Estimate: Aggregate retirement income in the past 12 months in 2024 inflation-adjusted dollars</t>
  </si>
  <si>
    <t>Aggregate Retirement Income in the Past 12 Months (in 2024 Inflation-Adjusted Dollars) for Households</t>
  </si>
  <si>
    <t>B19070</t>
  </si>
  <si>
    <t>B19070_001E</t>
  </si>
  <si>
    <t>Aggregate other types of income in the past 12 months in 2010 inflation-adjusted dollars</t>
  </si>
  <si>
    <t>Estimate: Aggregate other types of income in the past 12 months in 2010 inflation-adjusted dollars</t>
  </si>
  <si>
    <t>AGGREGATE OTHER TYPES OF INCOME IN THE PAST 12 MONTHS (IN 2010 INFLATION-ADJUSTED DOLLARS) FOR HOUSEHOLDS</t>
  </si>
  <si>
    <t>B19070_001EA,B19070_001M,B19070_001MA</t>
  </si>
  <si>
    <t>Aggregate other types of income in the past 12 months in 2011 inflation-adjusted dollars</t>
  </si>
  <si>
    <t>Estimate: Aggregate other types of income in the past 12 months in 2011 inflation-adjusted dollars</t>
  </si>
  <si>
    <t>AGGREGATE OTHER TYPES OF INCOME IN THE PAST 12 MONTHS (IN 2011 INFLATION-ADJUSTED DOLLARS) FOR HOUSEHOLDS</t>
  </si>
  <si>
    <t>Aggregate other types of income in the past 12 months in 2012 inflation-adjusted dollars</t>
  </si>
  <si>
    <t>Estimate: Aggregate other types of income in the past 12 months in 2012 inflation-adjusted dollars</t>
  </si>
  <si>
    <t>AGGREGATE OTHER TYPES OF INCOME IN THE PAST 12 MONTHS (IN 2012 INFLATION-ADJUSTED DOLLARS) FOR HOUSEHOLDS</t>
  </si>
  <si>
    <t>Aggregate other types of income in the past 12 months in 2013 inflation-adjusted dollars</t>
  </si>
  <si>
    <t>Estimate: Aggregate other types of income in the past 12 months in 2013 inflation-adjusted dollars</t>
  </si>
  <si>
    <t>AGGREGATE OTHER TYPES OF INCOME IN THE PAST 12 MONTHS (IN 2013 INFLATION-ADJUSTED DOLLARS) FOR HOUSEHOLDS</t>
  </si>
  <si>
    <t>Aggregate other types of income in the past 12 months in 2014 Inflation-adjusted dollars</t>
  </si>
  <si>
    <t>Estimate: Aggregate other types of income in the past 12 months in 2014 Inflation-adjusted dollars</t>
  </si>
  <si>
    <t>AGGREGATE OTHER TYPES OF INCOME IN THE PAST 12 MONTHS (IN 2014 INFLATION-ADJUSTED DOLLARS) FOR HOUSEHOLDS</t>
  </si>
  <si>
    <t>Aggregate other types of income in the past 12 months in 2015 Inflation-adjusted dollars</t>
  </si>
  <si>
    <t>Estimate: Aggregate other types of income in the past 12 months in 2015 Inflation-adjusted dollars</t>
  </si>
  <si>
    <t>AGGREGATE OTHER TYPES OF INCOME IN THE PAST 12 MONTHS (IN 2015 INFLATION-ADJUSTED DOLLARS) FOR HOUSEHOLDS</t>
  </si>
  <si>
    <t>Aggregate other types of income in the past 12 months in 2016 inflation-adjusted dollars</t>
  </si>
  <si>
    <t>Estimate: Aggregate other types of income in the past 12 months in 2016 inflation-adjusted dollars</t>
  </si>
  <si>
    <t>AGGREGATE OTHER TYPES OF INCOME IN THE PAST 12 MONTHS (IN 2016 INFLATION-ADJUSTED DOLLARS) FOR HOUSEHOLDS</t>
  </si>
  <si>
    <t>Aggregate other types of income in the past 12 months in 2017 inflation-adjusted dollars</t>
  </si>
  <si>
    <t>Estimate: Aggregate other types of income in the past 12 months in 2017 inflation-adjusted dollars</t>
  </si>
  <si>
    <t>AGGREGATE OTHER TYPES OF INCOME IN THE PAST 12 MONTHS (IN 2017 INFLATION-ADJUSTED DOLLARS) FOR HOUSEHOLDS</t>
  </si>
  <si>
    <t>Aggregate other types of income in the past 12 months in 2018 inflation-adjusted dollars</t>
  </si>
  <si>
    <t>Estimate: Aggregate other types of income in the past 12 months in 2018 inflation-adjusted dollars</t>
  </si>
  <si>
    <t>AGGREGATE OTHER TYPES OF INCOME IN THE PAST 12 MONTHS (IN 2018 INFLATION-ADJUSTED DOLLARS) FOR HOUSEHOLDS</t>
  </si>
  <si>
    <t>Aggregate other types of income in the past 12 months in 2019 inflation-adjusted dollars</t>
  </si>
  <si>
    <t>Estimate: Aggregate other types of income in the past 12 months in 2019 inflation-adjusted dollars</t>
  </si>
  <si>
    <t>AGGREGATE OTHER TYPES OF INCOME IN THE PAST 12 MONTHS (IN 2019 INFLATION-ADJUSTED DOLLARS) FOR HOUSEHOLDS</t>
  </si>
  <si>
    <t>Aggregate other types of income in the past 12 months in 2020 inflation-adjusted dollars</t>
  </si>
  <si>
    <t>Estimate: Aggregate other types of income in the past 12 months in 2020 inflation-adjusted dollars</t>
  </si>
  <si>
    <t>AGGREGATE OTHER TYPES OF INCOME IN THE PAST 12 MONTHS (IN 2020 INFLATION-ADJUSTED DOLLARS) FOR HOUSEHOLDS</t>
  </si>
  <si>
    <t>Aggregate other types of income in the past 12 months in 2021 inflation-adjusted dollars</t>
  </si>
  <si>
    <t>Estimate: Aggregate other types of income in the past 12 months in 2021 inflation-adjusted dollars</t>
  </si>
  <si>
    <t>AGGREGATE OTHER TYPES OF INCOME IN THE PAST 12 MONTHS (IN 2021 INFLATION-ADJUSTED DOLLARS) FOR HOUSEHOLDS</t>
  </si>
  <si>
    <t>Aggregate other types of income in the past 12 months in 2022 inflation-adjusted dollars</t>
  </si>
  <si>
    <t>Estimate: Aggregate other types of income in the past 12 months in 2022 inflation-adjusted dollars</t>
  </si>
  <si>
    <t>Aggregate Other Types of Income in the Past 12 Months (in 2022 Inflation-Adjusted Dollars) for Households</t>
  </si>
  <si>
    <t>Aggregate other types of income in the past 12 months in 2023 inflation-adjusted dollars</t>
  </si>
  <si>
    <t>Estimate: Aggregate other types of income in the past 12 months in 2023 inflation-adjusted dollars</t>
  </si>
  <si>
    <t>Aggregate Other Types of Income in the Past 12 Months (in 2023 Inflation-Adjusted Dollars) for Households</t>
  </si>
  <si>
    <t>Aggregate other types of income in the past 12 months in 2024 inflation-adjusted dollars</t>
  </si>
  <si>
    <t>Estimate: Aggregate other types of income in the past 12 months in 2024 inflation-adjusted dollars</t>
  </si>
  <si>
    <t>Aggregate Other Types of Income in the Past 12 Months (in 2024 Inflation-Adjusted Dollars) for Households</t>
  </si>
  <si>
    <t>B19113</t>
  </si>
  <si>
    <t>B19113_001E</t>
  </si>
  <si>
    <t>Median family income in the past 12 months in 2010 inflation-adjusted dollars</t>
  </si>
  <si>
    <t>Estimate: Median family income in the past 12 months in 2010 inflation-adjusted dollars</t>
  </si>
  <si>
    <t>MEDIAN FAMILY INCOME IN THE PAST 12 MONTHS (IN 2010 INFLATION-ADJUSTED DOLLARS)</t>
  </si>
  <si>
    <t>B19113_001EA,B19113_001M,B19113_001MA</t>
  </si>
  <si>
    <t>Median family income in the past 12 months in 2011 inflation-adjusted dollars</t>
  </si>
  <si>
    <t>Estimate: Median family income in the past 12 months in 2011 inflation-adjusted dollars</t>
  </si>
  <si>
    <t>MEDIAN FAMILY INCOME IN THE PAST 12 MONTHS (IN 2011 INFLATION-ADJUSTED DOLLARS)</t>
  </si>
  <si>
    <t>Median family income in the past 12 months in 2012 inflation-adjusted dollars</t>
  </si>
  <si>
    <t>Estimate: Median family income in the past 12 months in 2012 inflation-adjusted dollars</t>
  </si>
  <si>
    <t>MEDIAN FAMILY INCOME IN THE PAST 12 MONTHS (IN 2012 INFLATION-ADJUSTED DOLLARS)</t>
  </si>
  <si>
    <t>Median family income in the past 12 months in 2013 inflation-adjusted dollars</t>
  </si>
  <si>
    <t>Estimate: Median family income in the past 12 months in 2013 inflation-adjusted dollars</t>
  </si>
  <si>
    <t>MEDIAN FAMILY INCOME IN THE PAST 12 MONTHS (IN 2013 INFLATION-ADJUSTED DOLLARS)</t>
  </si>
  <si>
    <t>Median family income in the past 12 months in 2014 Inflation-adjusted dollars</t>
  </si>
  <si>
    <t>Estimate: Median family income in the past 12 months in 2014 Inflation-adjusted dollars</t>
  </si>
  <si>
    <t>MEDIAN FAMILY INCOME IN THE PAST 12 MONTHS (IN 2014 INFLATION-ADJUSTED DOLLARS)</t>
  </si>
  <si>
    <t>Median family income in the past 12 months in 2015 Inflation-adjusted dollars</t>
  </si>
  <si>
    <t>Estimate: Median family income in the past 12 months in 2015 Inflation-adjusted dollars</t>
  </si>
  <si>
    <t>MEDIAN FAMILY INCOME IN THE PAST 12 MONTHS (IN 2015 INFLATION-ADJUSTED DOLLARS)</t>
  </si>
  <si>
    <t>Median family income in the past 12 months in 2016 inflation-adjusted dollars</t>
  </si>
  <si>
    <t>Estimate: Median family income in the past 12 months in 2016 inflation-adjusted dollars</t>
  </si>
  <si>
    <t>MEDIAN FAMILY INCOME IN THE PAST 12 MONTHS (IN 2016 INFLATION-ADJUSTED DOLLARS)</t>
  </si>
  <si>
    <t>Median family income in the past 12 months in 2017 inflation-adjusted dollars</t>
  </si>
  <si>
    <t>Estimate: Median family income in the past 12 months in 2017 inflation-adjusted dollars</t>
  </si>
  <si>
    <t>MEDIAN FAMILY INCOME IN THE PAST 12 MONTHS (IN 2017 INFLATION-ADJUSTED DOLLARS)</t>
  </si>
  <si>
    <t>Median family income in the past 12 months in 2018 inflation-adjusted dollars</t>
  </si>
  <si>
    <t>Estimate: Median family income in the past 12 months in 2018 inflation-adjusted dollars</t>
  </si>
  <si>
    <t>MEDIAN FAMILY INCOME IN THE PAST 12 MONTHS (IN 2018 INFLATION-ADJUSTED DOLLARS)</t>
  </si>
  <si>
    <t>Median family income in the past 12 months in 2019 inflation-adjusted dollars</t>
  </si>
  <si>
    <t>Estimate: Median family income in the past 12 months in 2019 inflation-adjusted dollars</t>
  </si>
  <si>
    <t>MEDIAN FAMILY INCOME IN THE PAST 12 MONTHS (IN 2019 INFLATION-ADJUSTED DOLLARS)</t>
  </si>
  <si>
    <t>Median family income in the past 12 months in 2020 inflation-adjusted dollars</t>
  </si>
  <si>
    <t>Estimate: Median family income in the past 12 months in 2020 inflation-adjusted dollars</t>
  </si>
  <si>
    <t>MEDIAN FAMILY INCOME IN THE PAST 12 MONTHS (IN 2020 INFLATION-ADJUSTED DOLLARS)</t>
  </si>
  <si>
    <t>Median family income in the past 12 months in 2021 inflation-adjusted dollars</t>
  </si>
  <si>
    <t>Estimate: Median family income in the past 12 months in 2021 inflation-adjusted dollars</t>
  </si>
  <si>
    <t>MEDIAN FAMILY INCOME IN THE PAST 12 MONTHS (IN 2021 INFLATION-ADJUSTED DOLLARS)</t>
  </si>
  <si>
    <t>Median family income in the past 12 months in 2022 inflation-adjusted dollars</t>
  </si>
  <si>
    <t>Estimate: Median family income in the past 12 months in 2022 inflation-adjusted dollars</t>
  </si>
  <si>
    <t>Median Family Income in the Past 12 Months (in 2022 Inflation-Adjusted Dollars)</t>
  </si>
  <si>
    <t>Median family income in the past 12 months in 2023 inflation-adjusted dollars</t>
  </si>
  <si>
    <t>Estimate: Median family income in the past 12 months in 2023 inflation-adjusted dollars</t>
  </si>
  <si>
    <t>Median Family Income in the Past 12 Months (in 2023 Inflation-Adjusted Dollars)</t>
  </si>
  <si>
    <t>Median family income in the past 12 months in 2024 inflation-adjusted dollars</t>
  </si>
  <si>
    <t>Estimate: Median family income in the past 12 months in 2024 inflation-adjusted dollars</t>
  </si>
  <si>
    <t>Median Family Income in the Past 12 Months (in 2024 Inflation-Adjusted Dollars)</t>
  </si>
  <si>
    <t>B19202</t>
  </si>
  <si>
    <t>B19202_001E</t>
  </si>
  <si>
    <t>Median Non-family household income in the past 12 months in 2010 inflation-adjusted dollars</t>
  </si>
  <si>
    <t>Estimate: Median nonfamily household income in the past 12 months in 2010 inflation-adjusted dollars</t>
  </si>
  <si>
    <t>MEDIAN NONFAMILY HOUSEHOLD INCOME IN THE PAST 12 MONTHS (IN 2010 INFLATION-ADJUSTED DOLLARS)</t>
  </si>
  <si>
    <t>B19202_001EA,B19202_001M,B19202_001MA</t>
  </si>
  <si>
    <t>Median Non-family household income in the past 12 months in 2011 inflation-adjusted dollars</t>
  </si>
  <si>
    <t>Estimate: Median nonfamily household income in the past 12 months in 2011 inflation-adjusted dollars</t>
  </si>
  <si>
    <t>MEDIAN NONFAMILY HOUSEHOLD INCOME IN THE PAST 12 MONTHS (IN 2011 INFLATION-ADJUSTED DOLLARS)</t>
  </si>
  <si>
    <t>Median Non-family household income in the past 12 months in 2012 inflation-adjusted dollars</t>
  </si>
  <si>
    <t>Estimate: Median nonfamily household income in the past 12 months in 2012 inflation-adjusted dollars</t>
  </si>
  <si>
    <t>MEDIAN NONFAMILY HOUSEHOLD INCOME IN THE PAST 12 MONTHS (IN 2012 INFLATION-ADJUSTED DOLLARS)</t>
  </si>
  <si>
    <t>Median Non-family household income in the past 12 months in 2013 inflation-adjusted dollars</t>
  </si>
  <si>
    <t>Estimate: Median nonfamily household income in the past 12 months in 2013 inflation-adjusted dollars</t>
  </si>
  <si>
    <t>MEDIAN NONFAMILY HOUSEHOLD INCOME IN THE PAST 12 MONTHS (IN 2013 INFLATION-ADJUSTED DOLLARS)</t>
  </si>
  <si>
    <t>Median Non-family household income in the past 12 months in 2014 Inflation-adjusted dollars</t>
  </si>
  <si>
    <t>Estimate: Median nonfamily household income in the past 12 months in 2014 Inflation-adjusted dollars</t>
  </si>
  <si>
    <t>MEDIAN NONFAMILY HOUSEHOLD INCOME IN THE PAST 12 MONTHS (IN 2014 INFLATION-ADJUSTED DOLLARS)</t>
  </si>
  <si>
    <t>Median Non-family household income in the past 12 months in 2015 Inflation-adjusted dollars</t>
  </si>
  <si>
    <t>Estimate: Median nonfamily household income in the past 12 months in 2015 Inflation-adjusted dollars</t>
  </si>
  <si>
    <t>MEDIAN NONFAMILY HOUSEHOLD INCOME IN THE PAST 12 MONTHS (IN 2015 INFLATION-ADJUSTED DOLLARS)</t>
  </si>
  <si>
    <t>Median Non-family household income in the past 12 months in 2016 inflation-adjusted dollars</t>
  </si>
  <si>
    <t>Estimate: Median nonfamily household income in the past 12 months in 2016 inflation-adjusted dollars</t>
  </si>
  <si>
    <t>MEDIAN NONFAMILY HOUSEHOLD INCOME IN THE PAST 12 MONTHS (IN 2016 INFLATION-ADJUSTED DOLLARS)</t>
  </si>
  <si>
    <t>Median Non-family household income in the past 12 months in 2017 inflation-adjusted dollars</t>
  </si>
  <si>
    <t>Estimate: Median nonfamily household income in the past 12 months in 2017 inflation-adjusted dollars</t>
  </si>
  <si>
    <t>MEDIAN NONFAMILY HOUSEHOLD INCOME IN THE PAST 12 MONTHS (IN 2017 INFLATION-ADJUSTED DOLLARS)</t>
  </si>
  <si>
    <t>Median Non-family household income in the past 12 months in 2018 inflation-adjusted dollars</t>
  </si>
  <si>
    <t>Estimate: Median nonfamily household income in the past 12 months in 2018 inflation-adjusted dollars</t>
  </si>
  <si>
    <t>MEDIAN NONFAMILY HOUSEHOLD INCOME IN THE PAST 12 MONTHS (IN 2018 INFLATION-ADJUSTED DOLLARS)</t>
  </si>
  <si>
    <t>Median Non-family household income in the past 12 months in 2019 inflation-adjusted dollars</t>
  </si>
  <si>
    <t>Estimate: Median nonfamily household income in the past 12 months in 2019 inflation-adjusted dollars</t>
  </si>
  <si>
    <t>MEDIAN NONFAMILY HOUSEHOLD INCOME IN THE PAST 12 MONTHS (IN 2019 INFLATION-ADJUSTED DOLLARS)</t>
  </si>
  <si>
    <t>Median Non-family household income in the past 12 months in 2020 inflation-adjusted dollars</t>
  </si>
  <si>
    <t>Estimate: Median nonfamily household income in the past 12 months in 2020 inflation-adjusted dollars</t>
  </si>
  <si>
    <t>MEDIAN NONFAMILY HOUSEHOLD INCOME IN THE PAST 12 MONTHS (IN 2020 INFLATION-ADJUSTED DOLLARS)</t>
  </si>
  <si>
    <t>Median Non-family household income in the past 12 months in 2021 inflation-adjusted dollars</t>
  </si>
  <si>
    <t>Estimate: Median nonfamily household income in the past 12 months in 2021 inflation-adjusted dollars</t>
  </si>
  <si>
    <t>MEDIAN NONFAMILY HOUSEHOLD INCOME IN THE PAST 12 MONTHS (IN 2021 INFLATION-ADJUSTED DOLLARS)</t>
  </si>
  <si>
    <t>Median Non-family household income in the past 12 months in 2022 inflation-adjusted dollars</t>
  </si>
  <si>
    <t>Estimate: Median nonfamily household income in the past 12 months in 2022 inflation-adjusted dollars</t>
  </si>
  <si>
    <t>Median Nonfamily Household Income in the Past 12 Months (in 2022 Inflation-Adjusted Dollars)</t>
  </si>
  <si>
    <t>Median Non-family household income in the past 12 months in 2023 inflation-adjusted dollars</t>
  </si>
  <si>
    <t>Estimate: Median nonfamily household income in the past 12 months in 2023 inflation-adjusted dollars</t>
  </si>
  <si>
    <t>Median Nonfamily Household Income in the Past 12 Months (in 2023 Inflation-Adjusted Dollars)</t>
  </si>
  <si>
    <t>Median Non-family household income in the past 12 months in 2024 inflation-adjusted dollars</t>
  </si>
  <si>
    <t>Estimate: Median nonfamily household income in the past 12 months in 2024 inflation-adjusted dollars</t>
  </si>
  <si>
    <t>Median Nonfamily Household Income in the Past 12 Months (in 2024 Inflation-Adjusted Dollars)</t>
  </si>
  <si>
    <t>B19214</t>
  </si>
  <si>
    <t>B19214_001E</t>
  </si>
  <si>
    <t>Aggregate Non-family household income in the past 12 months in 2010 inflation-adjusted dollars</t>
  </si>
  <si>
    <t>Estimate: Aggregate nonfamily household income in the past 12 months in 2010 inflation-adjusted dollars</t>
  </si>
  <si>
    <t>AGGREGATE NONFAMILY HOUSEHOLD INCOME IN THE PAST 12 MONTHS (IN 2010 INFLATION-ADJUSTED DOLLARS)</t>
  </si>
  <si>
    <t>B19214_001EA,B19214_001M,B19214_001MA</t>
  </si>
  <si>
    <t>Aggregate Non-family household income in the past 12 months in 2011 inflation-adjusted dollars</t>
  </si>
  <si>
    <t>Estimate: Aggregate nonfamily household income in the past 12 months in 2011 inflation-adjusted dollars</t>
  </si>
  <si>
    <t>AGGREGATE NONFAMILY HOUSEHOLD INCOME IN THE PAST 12 MONTHS (IN 2011 INFLATION-ADJUSTED DOLLARS)</t>
  </si>
  <si>
    <t>Aggregate Non-family household income in the past 12 months in 2012 inflation-adjusted dollars</t>
  </si>
  <si>
    <t>Estimate: Aggregate nonfamily household income in the past 12 months in 2012 inflation-adjusted dollars</t>
  </si>
  <si>
    <t>AGGREGATE NONFAMILY HOUSEHOLD INCOME IN THE PAST 12 MONTHS (IN 2012 INFLATION-ADJUSTED DOLLARS)</t>
  </si>
  <si>
    <t>Aggregate Non-family household income in the past 12 months in 2013 inflation-adjusted dollars</t>
  </si>
  <si>
    <t>Estimate: Aggregate nonfamily household income in the past 12 months in 2013 inflation-adjusted dollars</t>
  </si>
  <si>
    <t>AGGREGATE NONFAMILY HOUSEHOLD INCOME IN THE PAST 12 MONTHS (IN 2013 INFLATION-ADJUSTED DOLLARS)</t>
  </si>
  <si>
    <t>Aggregate Non-family household income in the past 12 months in 2014 Inflation-adjusted dollars</t>
  </si>
  <si>
    <t>Estimate: Aggregate nonfamily household income in the past 12 months in 2014 Inflation-adjusted dollars</t>
  </si>
  <si>
    <t>AGGREGATE NONFAMILY HOUSEHOLD INCOME IN THE PAST 12 MONTHS (IN 2014 INFLATION-ADJUSTED DOLLARS)</t>
  </si>
  <si>
    <t>Aggregate Non-family household income in the past 12 months in 2015 Inflation-adjusted dollars</t>
  </si>
  <si>
    <t>Estimate: Aggregate nonfamily household income in the past 12 months in 2015 Inflation-adjusted dollars</t>
  </si>
  <si>
    <t>AGGREGATE NONFAMILY HOUSEHOLD INCOME IN THE PAST 12 MONTHS (IN 2015 INFLATION-ADJUSTED DOLLARS)</t>
  </si>
  <si>
    <t>Aggregate Non-family household income in the past 12 months in 2016 inflation-adjusted dollars</t>
  </si>
  <si>
    <t>Estimate: Aggregate nonfamily household income in the past 12 months in 2016 inflation-adjusted dollars</t>
  </si>
  <si>
    <t>AGGREGATE NONFAMILY HOUSEHOLD INCOME IN THE PAST 12 MONTHS (IN 2016 INFLATION-ADJUSTED DOLLARS)</t>
  </si>
  <si>
    <t>Aggregate Non-family household income in the past 12 months in 2017 inflation-adjusted dollars</t>
  </si>
  <si>
    <t>Estimate: Aggregate nonfamily household income in the past 12 months in 2017 inflation-adjusted dollars</t>
  </si>
  <si>
    <t>AGGREGATE NONFAMILY HOUSEHOLD INCOME IN THE PAST 12 MONTHS (IN 2017 INFLATION-ADJUSTED DOLLARS)</t>
  </si>
  <si>
    <t>Aggregate Non-family household income in the past 12 months in 2018 inflation-adjusted dollars</t>
  </si>
  <si>
    <t>Estimate: Aggregate nonfamily household income in the past 12 months in 2018 inflation-adjusted dollars</t>
  </si>
  <si>
    <t>AGGREGATE NONFAMILY HOUSEHOLD INCOME IN THE PAST 12 MONTHS (IN 2018 INFLATION-ADJUSTED DOLLARS)</t>
  </si>
  <si>
    <t>Aggregate Non-family household income in the past 12 months in 2019 inflation-adjusted dollars</t>
  </si>
  <si>
    <t>Estimate: Aggregate nonfamily household income in the past 12 months in 2019 inflation-adjusted dollars</t>
  </si>
  <si>
    <t>AGGREGATE NONFAMILY HOUSEHOLD INCOME IN THE PAST 12 MONTHS (IN 2019 INFLATION-ADJUSTED DOLLARS)</t>
  </si>
  <si>
    <t>Aggregate Non-family household income in the past 12 months in 2020 inflation-adjusted dollars</t>
  </si>
  <si>
    <t>Estimate: Aggregate nonfamily household income in the past 12 months in 2020 inflation-adjusted dollars</t>
  </si>
  <si>
    <t>AGGREGATE NONFAMILY HOUSEHOLD INCOME IN THE PAST 12 MONTHS (IN 2020 INFLATION-ADJUSTED DOLLARS)</t>
  </si>
  <si>
    <t>Aggregate Non-family household income in the past 12 months in 2021 inflation-adjusted dollars</t>
  </si>
  <si>
    <t>Estimate: Aggregate nonfamily household income in the past 12 months in 2021 inflation-adjusted dollars</t>
  </si>
  <si>
    <t>AGGREGATE NONFAMILY HOUSEHOLD INCOME IN THE PAST 12 MONTHS (IN 2021 INFLATION-ADJUSTED DOLLARS)</t>
  </si>
  <si>
    <t>Aggregate Non-family household income in the past 12 months in 2022 inflation-adjusted dollars</t>
  </si>
  <si>
    <t>Estimate: Aggregate nonfamily household income in the past 12 months in 2022 inflation-adjusted dollars</t>
  </si>
  <si>
    <t>Aggregate Nonfamily Household Income in the Past 12 Months (in 2022 Inflation-Adjusted Dollars)</t>
  </si>
  <si>
    <t>Aggregate Non-family household income in the past 12 months in 2023 inflation-adjusted dollars</t>
  </si>
  <si>
    <t>Estimate: Aggregate nonfamily household income in the past 12 months in 2023 inflation-adjusted dollars</t>
  </si>
  <si>
    <t>Aggregate Nonfamily Household Income in the Past 12 Months (in 2023 Inflation-Adjusted Dollars)</t>
  </si>
  <si>
    <t>Aggregate Non-family household income in the past 12 months in 2024 inflation-adjusted dollars</t>
  </si>
  <si>
    <t>Estimate: Aggregate nonfamily household income in the past 12 months in 2024 inflation-adjusted dollars</t>
  </si>
  <si>
    <t>Aggregate Nonfamily Household Income in the Past 12 Months (in 2024 Inflation-Adjusted Dollars)</t>
  </si>
  <si>
    <t>B19301</t>
  </si>
  <si>
    <t>B19301_001E</t>
  </si>
  <si>
    <t>Per capita income in the past 12 months in 2010 inflation-adjusted dollars</t>
  </si>
  <si>
    <t>Estimate: Per capita income in the past 12 months in 2010 inflation-adjusted dollars</t>
  </si>
  <si>
    <t>PER CAPITA INCOME IN THE PAST 12 MONTHS (IN 2010 INFLATION-ADJUSTED DOLLARS)</t>
  </si>
  <si>
    <t>B19301_001EA,B19301_001M,B19301_001MA</t>
  </si>
  <si>
    <t>Per capita income in the past 12 months in 2011 inflation-adjusted dollars</t>
  </si>
  <si>
    <t>Estimate: Per capita income in the past 12 months in 2011 inflation-adjusted dollars</t>
  </si>
  <si>
    <t>PER CAPITA INCOME IN THE PAST 12 MONTHS (IN 2011 INFLATION-ADJUSTED DOLLARS)</t>
  </si>
  <si>
    <t>Per capita income in the past 12 months in 2012 inflation-adjusted dollars</t>
  </si>
  <si>
    <t>Estimate: Per capita income in the past 12 months in 2012 inflation-adjusted dollars</t>
  </si>
  <si>
    <t>PER CAPITA INCOME IN THE PAST 12 MONTHS (IN 2012 INFLATION-ADJUSTED DOLLARS)</t>
  </si>
  <si>
    <t>Per capita income in the past 12 months in 2013 inflation-adjusted dollars</t>
  </si>
  <si>
    <t>Estimate: Per capita income in the past 12 months in 2013 inflation-adjusted dollars</t>
  </si>
  <si>
    <t>PER CAPITA INCOME IN THE PAST 12 MONTHS (IN 2013 INFLATION-ADJUSTED DOLLARS)</t>
  </si>
  <si>
    <t>Per capita income in the past 12 months in 2014 Inflation-adjusted dollars</t>
  </si>
  <si>
    <t>Estimate: Per capita income in the past 12 months in 2014 Inflation-adjusted dollars</t>
  </si>
  <si>
    <t>PER CAPITA INCOME IN THE PAST 12 MONTHS (IN 2014 INFLATION-ADJUSTED DOLLARS)</t>
  </si>
  <si>
    <t>Per capita income in the past 12 months in 2015 Inflation-adjusted dollars</t>
  </si>
  <si>
    <t>Estimate: Per capita income in the past 12 months in 2015 Inflation-adjusted dollars</t>
  </si>
  <si>
    <t>PER CAPITA INCOME IN THE PAST 12 MONTHS (IN 2015 INFLATION-ADJUSTED DOLLARS)</t>
  </si>
  <si>
    <t>Per capita income in the past 12 months in 2016 inflation-adjusted dollars</t>
  </si>
  <si>
    <t>Estimate: Per capita income in the past 12 months in 2016 inflation-adjusted dollars</t>
  </si>
  <si>
    <t>PER CAPITA INCOME IN THE PAST 12 MONTHS (IN 2016 INFLATION-ADJUSTED DOLLARS)</t>
  </si>
  <si>
    <t>Per capita income in the past 12 months in 2017 inflation-adjusted dollars</t>
  </si>
  <si>
    <t>Estimate: Per capita income in the past 12 months in 2017 inflation-adjusted dollars</t>
  </si>
  <si>
    <t>PER CAPITA INCOME IN THE PAST 12 MONTHS (IN 2017 INFLATION-ADJUSTED DOLLARS)</t>
  </si>
  <si>
    <t>Per capita income in the past 12 months in 2018 inflation-adjusted dollars</t>
  </si>
  <si>
    <t>Estimate: Per capita income in the past 12 months in 2018 inflation-adjusted dollars</t>
  </si>
  <si>
    <t>PER CAPITA INCOME IN THE PAST 12 MONTHS (IN 2018 INFLATION-ADJUSTED DOLLARS)</t>
  </si>
  <si>
    <t>Per capita income in the past 12 months in 2019 inflation-adjusted dollars</t>
  </si>
  <si>
    <t>Estimate: Per capita income in the past 12 months in 2019 inflation-adjusted dollars</t>
  </si>
  <si>
    <t>PER CAPITA INCOME IN THE PAST 12 MONTHS (IN 2019 INFLATION-ADJUSTED DOLLARS)</t>
  </si>
  <si>
    <t>Per capita income in the past 12 months in 2020 inflation-adjusted dollars</t>
  </si>
  <si>
    <t>Estimate: Per capita income in the past 12 months in 2020 inflation-adjusted dollars</t>
  </si>
  <si>
    <t>PER CAPITA INCOME IN THE PAST 12 MONTHS (IN 2020 INFLATION-ADJUSTED DOLLARS)</t>
  </si>
  <si>
    <t>Per capita income in the past 12 months in 2021 inflation-adjusted dollars</t>
  </si>
  <si>
    <t>Estimate: Per capita income in the past 12 months in 2021 inflation-adjusted dollars</t>
  </si>
  <si>
    <t>PER CAPITA INCOME IN THE PAST 12 MONTHS (IN 2021 INFLATION-ADJUSTED DOLLARS)</t>
  </si>
  <si>
    <t>Per capita income in the past 12 months in 2022 inflation-adjusted dollars</t>
  </si>
  <si>
    <t>Estimate: Per capita income in the past 12 months in 2022 inflation-adjusted dollars</t>
  </si>
  <si>
    <t>Per Capita Income in the Past 12 Months (in 2022 Inflation-Adjusted Dollars)</t>
  </si>
  <si>
    <t>Per capita income in the past 12 months in 2023 inflation-adjusted dollars</t>
  </si>
  <si>
    <t>Estimate: Per capita income in the past 12 months in 2023 inflation-adjusted dollars</t>
  </si>
  <si>
    <t>Per Capita Income in the Past 12 Months (in 2023 Inflation-Adjusted Dollars)</t>
  </si>
  <si>
    <t>Per capita income in the past 12 months in 2024 inflation-adjusted dollars</t>
  </si>
  <si>
    <t>Estimate: Per capita income in the past 12 months in 2024 inflation-adjusted dollars</t>
  </si>
  <si>
    <t>Per Capita Income in the Past 12 Months (in 2024 Inflation-Adjusted Dollars)</t>
  </si>
  <si>
    <t>B19301A</t>
  </si>
  <si>
    <t>B19301A_001E</t>
  </si>
  <si>
    <t>White alone: Per capita income in the past 12 months in 2010 inflation-adjusted dollars</t>
  </si>
  <si>
    <t>PER CAPITA INCOME IN THE PAST 12 MONTHS (IN 2010 INFLATION-ADJUSTED DOLLARS) (WHITE ALONE)</t>
  </si>
  <si>
    <t>B19301A_001EA,B19301A_001M,B19301A_001MA</t>
  </si>
  <si>
    <t>White alone: Per capita income in the past 12 months in 2011 inflation-adjusted dollars</t>
  </si>
  <si>
    <t>PER CAPITA INCOME IN THE PAST 12 MONTHS (IN 2011 INFLATION-ADJUSTED DOLLARS) (WHITE ALONE)</t>
  </si>
  <si>
    <t>White alone: Per capita income in the past 12 months in 2012 inflation-adjusted dollars</t>
  </si>
  <si>
    <t>PER CAPITA INCOME IN THE PAST 12 MONTHS (IN 2012 INFLATION-ADJUSTED DOLLARS) (WHITE ALONE)</t>
  </si>
  <si>
    <t>White alone: Per capita income in the past 12 months in 2013 inflation-adjusted dollars</t>
  </si>
  <si>
    <t>PER CAPITA INCOME IN THE PAST 12 MONTHS (IN 2013 INFLATION-ADJUSTED DOLLARS) (WHITE ALONE)</t>
  </si>
  <si>
    <t>White alone: Per capita income in the past 12 months in 2014 Inflation-adjusted dollars</t>
  </si>
  <si>
    <t>PER CAPITA INCOME IN THE PAST 12 MONTHS (IN 2014 INFLATION-ADJUSTED DOLLARS) (WHITE ALONE)</t>
  </si>
  <si>
    <t>White alone: Per capita income in the past 12 months in 2015 Inflation-adjusted dollars</t>
  </si>
  <si>
    <t>PER CAPITA INCOME IN THE PAST 12 MONTHS (IN 2015 INFLATION-ADJUSTED DOLLARS) (WHITE ALONE)</t>
  </si>
  <si>
    <t>White alone: Per capita income in the past 12 months in 2016 inflation-adjusted dollars</t>
  </si>
  <si>
    <t>PER CAPITA INCOME IN THE PAST 12 MONTHS (IN 2016 INFLATION-ADJUSTED DOLLARS) (WHITE ALONE)</t>
  </si>
  <si>
    <t>White alone: Per capita income in the past 12 months in 2017 inflation-adjusted dollars</t>
  </si>
  <si>
    <t>PER CAPITA INCOME IN THE PAST 12 MONTHS (IN 2017 INFLATION-ADJUSTED DOLLARS) (WHITE ALONE)</t>
  </si>
  <si>
    <t>White alone: Per capita income in the past 12 months in 2018 inflation-adjusted dollars</t>
  </si>
  <si>
    <t>PER CAPITA INCOME IN THE PAST 12 MONTHS (IN 2018 INFLATION-ADJUSTED DOLLARS) (WHITE ALONE)</t>
  </si>
  <si>
    <t>White alone: Per capita income in the past 12 months in 2019 inflation-adjusted dollars</t>
  </si>
  <si>
    <t>PER CAPITA INCOME IN THE PAST 12 MONTHS (IN 2019 INFLATION-ADJUSTED DOLLARS) (WHITE ALONE)</t>
  </si>
  <si>
    <t>White alone: Per capita income in the past 12 months in 2020 inflation-adjusted dollars</t>
  </si>
  <si>
    <t>PER CAPITA INCOME IN THE PAST 12 MONTHS (IN 2020 INFLATION-ADJUSTED DOLLARS) (WHITE ALONE)</t>
  </si>
  <si>
    <t>White alone: Per capita income in the past 12 months in 2021 inflation-adjusted dollars</t>
  </si>
  <si>
    <t>PER CAPITA INCOME IN THE PAST 12 MONTHS (IN 2021 INFLATION-ADJUSTED DOLLARS) (WHITE ALONE)</t>
  </si>
  <si>
    <t>White alone: Per capita income in the past 12 months in 2022 inflation-adjusted dollars</t>
  </si>
  <si>
    <t>Per Capita Income in the Past 12 Months (in 2022 Inflation-Adjusted Dollars) (White Alone)</t>
  </si>
  <si>
    <t>White alone: Per capita income in the past 12 months in 2023 inflation-adjusted dollars</t>
  </si>
  <si>
    <t>Per Capita Income in the Past 12 Months (in 2023 Inflation-Adjusted Dollars) (White Alone)</t>
  </si>
  <si>
    <t>White alone: Per capita income in the past 12 months in 2024 inflation-adjusted dollars</t>
  </si>
  <si>
    <t>Per Capita Income in the Past 12 Months (in 2024 Inflation-Adjusted Dollars) (White Alone)</t>
  </si>
  <si>
    <t>B19301B</t>
  </si>
  <si>
    <t>B19301B_001E</t>
  </si>
  <si>
    <t>Black or African American alone: Per capita income in the past 12 months in 2010 inflation-adjusted dollars</t>
  </si>
  <si>
    <t>PER CAPITA INCOME IN THE PAST 12 MONTHS (IN 2010 INFLATION-ADJUSTED DOLLARS) (BLACK OR AFRICAN AMERICAN ALONE)</t>
  </si>
  <si>
    <t>B19301B_001EA,B19301B_001M,B19301B_001MA</t>
  </si>
  <si>
    <t>Black or African American alone: Per capita income in the past 12 months in 2011 inflation-adjusted dollars</t>
  </si>
  <si>
    <t>PER CAPITA INCOME IN THE PAST 12 MONTHS (IN 2011 INFLATION-ADJUSTED DOLLARS) (BLACK OR AFRICAN AMERICAN ALONE)</t>
  </si>
  <si>
    <t>Black or African American alone: Per capita income in the past 12 months in 2012 inflation-adjusted dollars</t>
  </si>
  <si>
    <t>PER CAPITA INCOME IN THE PAST 12 MONTHS (IN 2012 INFLATION-ADJUSTED DOLLARS) (BLACK OR AFRICAN AMERICAN ALONE)</t>
  </si>
  <si>
    <t>Black or African American alone: Per capita income in the past 12 months in 2013 inflation-adjusted dollars</t>
  </si>
  <si>
    <t>PER CAPITA INCOME IN THE PAST 12 MONTHS (IN 2013 INFLATION-ADJUSTED DOLLARS) (BLACK OR AFRICAN AMERICAN ALONE)</t>
  </si>
  <si>
    <t>Black or African American alone: Per capita income in the past 12 months in 2014 Inflation-adjusted dollars</t>
  </si>
  <si>
    <t>PER CAPITA INCOME IN THE PAST 12 MONTHS (IN 2014 INFLATION-ADJUSTED DOLLARS) (BLACK OR AFRICAN AMERICAN ALONE)</t>
  </si>
  <si>
    <t>Black or African American alone: Per capita income in the past 12 months in 2015 Inflation-adjusted dollars</t>
  </si>
  <si>
    <t>PER CAPITA INCOME IN THE PAST 12 MONTHS (IN 2015 INFLATION-ADJUSTED DOLLARS) (BLACK OR AFRICAN AMERICAN ALONE)</t>
  </si>
  <si>
    <t>Black or African American alone: Per capita income in the past 12 months in 2016 inflation-adjusted dollars</t>
  </si>
  <si>
    <t>PER CAPITA INCOME IN THE PAST 12 MONTHS (IN 2016 INFLATION-ADJUSTED DOLLARS) (BLACK OR AFRICAN AMERICAN ALONE)</t>
  </si>
  <si>
    <t>Black or African American alone: Per capita income in the past 12 months in 2017 inflation-adjusted dollars</t>
  </si>
  <si>
    <t>PER CAPITA INCOME IN THE PAST 12 MONTHS (IN 2017 INFLATION-ADJUSTED DOLLARS) (BLACK OR AFRICAN AMERICAN ALONE)</t>
  </si>
  <si>
    <t>Black or African American alone: Per capita income in the past 12 months in 2018 inflation-adjusted dollars</t>
  </si>
  <si>
    <t>PER CAPITA INCOME IN THE PAST 12 MONTHS (IN 2018 INFLATION-ADJUSTED DOLLARS) (BLACK OR AFRICAN AMERICAN ALONE)</t>
  </si>
  <si>
    <t>Black or African American alone: Per capita income in the past 12 months in 2019 inflation-adjusted dollars</t>
  </si>
  <si>
    <t>PER CAPITA INCOME IN THE PAST 12 MONTHS (IN 2019 INFLATION-ADJUSTED DOLLARS) (BLACK OR AFRICAN AMERICAN ALONE)</t>
  </si>
  <si>
    <t>Black or African American alone: Per capita income in the past 12 months in 2020 inflation-adjusted dollars</t>
  </si>
  <si>
    <t>PER CAPITA INCOME IN THE PAST 12 MONTHS (IN 2020 INFLATION-ADJUSTED DOLLARS) (BLACK OR AFRICAN AMERICAN ALONE)</t>
  </si>
  <si>
    <t>Black or African American alone: Per capita income in the past 12 months in 2021 inflation-adjusted dollars</t>
  </si>
  <si>
    <t>PER CAPITA INCOME IN THE PAST 12 MONTHS (IN 2021 INFLATION-ADJUSTED DOLLARS) (BLACK OR AFRICAN AMERICAN ALONE)</t>
  </si>
  <si>
    <t>Black or African American alone: Per capita income in the past 12 months in 2022 inflation-adjusted dollars</t>
  </si>
  <si>
    <t>Per Capita Income in the Past 12 Months (in 2022 Inflation-Adjusted Dollars) (Black or African American Alone)</t>
  </si>
  <si>
    <t>Black or African American alone: Per capita income in the past 12 months in 2023 inflation-adjusted dollars</t>
  </si>
  <si>
    <t>Per Capita Income in the Past 12 Months (in 2023 Inflation-Adjusted Dollars) (Black or African American Alone)</t>
  </si>
  <si>
    <t>Black or African American alone: Per capita income in the past 12 months in 2024 inflation-adjusted dollars</t>
  </si>
  <si>
    <t>Per Capita Income in the Past 12 Months (in 2024 Inflation-Adjusted Dollars) (Black or African American Alone)</t>
  </si>
  <si>
    <t>B19301C</t>
  </si>
  <si>
    <t>B19301C_001E</t>
  </si>
  <si>
    <t>American Indian and Alaska Native alone: Per capita income in the past 12 months in 2010 inflation-adjusted dollars</t>
  </si>
  <si>
    <t>PER CAPITA INCOME IN THE PAST 12 MONTHS (IN 2010 INFLATION-ADJUSTED DOLLARS) (AMERICAN INDIAN AND ALASKA NATIVE ALONE)</t>
  </si>
  <si>
    <t>B19301C_001EA,B19301C_001M,B19301C_001MA</t>
  </si>
  <si>
    <t>American Indian and Alaska Native alone: Per capita income in the past 12 months in 2011 inflation-adjusted dollars</t>
  </si>
  <si>
    <t>PER CAPITA INCOME IN THE PAST 12 MONTHS (IN 2011 INFLATION-ADJUSTED DOLLARS) (AMERICAN INDIAN AND ALASKA NATIVE ALONE)</t>
  </si>
  <si>
    <t>American Indian and Alaska Native alone: Per capita income in the past 12 months in 2012 inflation-adjusted dollars</t>
  </si>
  <si>
    <t>PER CAPITA INCOME IN THE PAST 12 MONTHS (IN 2012 INFLATION-ADJUSTED DOLLARS) (AMERICAN INDIAN AND ALASKA NATIVE ALONE)</t>
  </si>
  <si>
    <t>American Indian and Alaska Native alone: Per capita income in the past 12 months in 2013 inflation-adjusted dollars</t>
  </si>
  <si>
    <t>PER CAPITA INCOME IN THE PAST 12 MONTHS (IN 2013 INFLATION-ADJUSTED DOLLARS) (AMERICAN INDIAN AND ALASKA NATIVE ALONE)</t>
  </si>
  <si>
    <t>American Indian and Alaska Native alone: Per capita income in the past 12 months in 2014 Inflation-adjusted dollars</t>
  </si>
  <si>
    <t>PER CAPITA INCOME IN THE PAST 12 MONTHS (IN 2014 INFLATION-ADJUSTED DOLLARS) (AMERICAN INDIAN AND ALASKA NATIVE ALONE)</t>
  </si>
  <si>
    <t>American Indian and Alaska Native alone: Per capita income in the past 12 months in 2015 Inflation-adjusted dollars</t>
  </si>
  <si>
    <t>PER CAPITA INCOME IN THE PAST 12 MONTHS (IN 2015 INFLATION-ADJUSTED DOLLARS) (AMERICAN INDIAN AND ALASKA NATIVE ALONE)</t>
  </si>
  <si>
    <t>American Indian and Alaska Native alone: Per capita income in the past 12 months in 2016 inflation-adjusted dollars</t>
  </si>
  <si>
    <t>PER CAPITA INCOME IN THE PAST 12 MONTHS (IN 2016 INFLATION-ADJUSTED DOLLARS) (AMERICAN INDIAN AND ALASKA NATIVE ALONE)</t>
  </si>
  <si>
    <t>American Indian and Alaska Native alone: Per capita income in the past 12 months in 2017 inflation-adjusted dollars</t>
  </si>
  <si>
    <t>PER CAPITA INCOME IN THE PAST 12 MONTHS (IN 2017 INFLATION-ADJUSTED DOLLARS) (AMERICAN INDIAN AND ALASKA NATIVE ALONE)</t>
  </si>
  <si>
    <t>American Indian and Alaska Native alone: Per capita income in the past 12 months in 2018 inflation-adjusted dollars</t>
  </si>
  <si>
    <t>PER CAPITA INCOME IN THE PAST 12 MONTHS (IN 2018 INFLATION-ADJUSTED DOLLARS) (AMERICAN INDIAN AND ALASKA NATIVE ALONE)</t>
  </si>
  <si>
    <t>American Indian and Alaska Native alone: Per capita income in the past 12 months in 2019 inflation-adjusted dollars</t>
  </si>
  <si>
    <t>PER CAPITA INCOME IN THE PAST 12 MONTHS (IN 2019 INFLATION-ADJUSTED DOLLARS) (AMERICAN INDIAN AND ALASKA NATIVE ALONE)</t>
  </si>
  <si>
    <t>American Indian and Alaska Native alone: Per capita income in the past 12 months in 2020 inflation-adjusted dollars</t>
  </si>
  <si>
    <t>PER CAPITA INCOME IN THE PAST 12 MONTHS (IN 2020 INFLATION-ADJUSTED DOLLARS) (AMERICAN INDIAN AND ALASKA NATIVE ALONE)</t>
  </si>
  <si>
    <t>American Indian and Alaska Native alone: Per capita income in the past 12 months in 2021 inflation-adjusted dollars</t>
  </si>
  <si>
    <t>PER CAPITA INCOME IN THE PAST 12 MONTHS (IN 2021 INFLATION-ADJUSTED DOLLARS) (AMERICAN INDIAN AND ALASKA NATIVE ALONE)</t>
  </si>
  <si>
    <t>American Indian and Alaska Native alone: Per capita income in the past 12 months in 2022 inflation-adjusted dollars</t>
  </si>
  <si>
    <t>Per Capita Income in the Past 12 Months (in 2022 Inflation-Adjusted Dollars) (American Indian and Alaska Native Alone)</t>
  </si>
  <si>
    <t>American Indian and Alaska Native alone: Per capita income in the past 12 months in 2023 inflation-adjusted dollars</t>
  </si>
  <si>
    <t>Per Capita Income in the Past 12 Months (in 2023 Inflation-Adjusted Dollars) (American Indian and Alaska Native Alone)</t>
  </si>
  <si>
    <t>American Indian and Alaska Native alone: Per capita income in the past 12 months in 2024 inflation-adjusted dollars</t>
  </si>
  <si>
    <t>Per Capita Income in the Past 12 Months (in 2024 Inflation-Adjusted Dollars) (American Indian and Alaska Native Alone)</t>
  </si>
  <si>
    <t>B19301D</t>
  </si>
  <si>
    <t>B19301D_001E</t>
  </si>
  <si>
    <t>Asian alone: Per capita income in the past 12 months in 2010 inflation-adjusted dollars</t>
  </si>
  <si>
    <t>PER CAPITA INCOME IN THE PAST 12 MONTHS (IN 2010 INFLATION-ADJUSTED DOLLARS) (ASIAN ALONE)</t>
  </si>
  <si>
    <t>B19301D_001EA,B19301D_001M,B19301D_001MA</t>
  </si>
  <si>
    <t>Asian alone: Per capita income in the past 12 months in 2011 inflation-adjusted dollars</t>
  </si>
  <si>
    <t>PER CAPITA INCOME IN THE PAST 12 MONTHS (IN 2011 INFLATION-ADJUSTED DOLLARS) (ASIAN ALONE)</t>
  </si>
  <si>
    <t>Asian alone: Per capita income in the past 12 months in 2012 inflation-adjusted dollars</t>
  </si>
  <si>
    <t>PER CAPITA INCOME IN THE PAST 12 MONTHS (IN 2012 INFLATION-ADJUSTED DOLLARS) (ASIAN ALONE)</t>
  </si>
  <si>
    <t>Asian alone: Per capita income in the past 12 months in 2013 inflation-adjusted dollars</t>
  </si>
  <si>
    <t>PER CAPITA INCOME IN THE PAST 12 MONTHS (IN 2013 INFLATION-ADJUSTED DOLLARS) (ASIAN ALONE)</t>
  </si>
  <si>
    <t>Asian alone: Per capita income in the past 12 months in 2014 Inflation-adjusted dollars</t>
  </si>
  <si>
    <t>PER CAPITA INCOME IN THE PAST 12 MONTHS (IN 2014 INFLATION-ADJUSTED DOLLARS) (ASIAN ALONE)</t>
  </si>
  <si>
    <t>Asian alone: Per capita income in the past 12 months in 2015 Inflation-adjusted dollars</t>
  </si>
  <si>
    <t>PER CAPITA INCOME IN THE PAST 12 MONTHS (IN 2015 INFLATION-ADJUSTED DOLLARS) (ASIAN ALONE)</t>
  </si>
  <si>
    <t>Asian alone: Per capita income in the past 12 months in 2016 inflation-adjusted dollars</t>
  </si>
  <si>
    <t>PER CAPITA INCOME IN THE PAST 12 MONTHS (IN 2016 INFLATION-ADJUSTED DOLLARS) (ASIAN ALONE)</t>
  </si>
  <si>
    <t>Asian alone: Per capita income in the past 12 months in 2017 inflation-adjusted dollars</t>
  </si>
  <si>
    <t>PER CAPITA INCOME IN THE PAST 12 MONTHS (IN 2017 INFLATION-ADJUSTED DOLLARS) (ASIAN ALONE)</t>
  </si>
  <si>
    <t>Asian alone: Per capita income in the past 12 months in 2018 inflation-adjusted dollars</t>
  </si>
  <si>
    <t>PER CAPITA INCOME IN THE PAST 12 MONTHS (IN 2018 INFLATION-ADJUSTED DOLLARS) (ASIAN ALONE)</t>
  </si>
  <si>
    <t>Asian alone: Per capita income in the past 12 months in 2019 inflation-adjusted dollars</t>
  </si>
  <si>
    <t>PER CAPITA INCOME IN THE PAST 12 MONTHS (IN 2019 INFLATION-ADJUSTED DOLLARS) (ASIAN ALONE)</t>
  </si>
  <si>
    <t>Asian alone: Per capita income in the past 12 months in 2020 inflation-adjusted dollars</t>
  </si>
  <si>
    <t>PER CAPITA INCOME IN THE PAST 12 MONTHS (IN 2020 INFLATION-ADJUSTED DOLLARS) (ASIAN ALONE)</t>
  </si>
  <si>
    <t>Asian alone: Per capita income in the past 12 months in 2021 inflation-adjusted dollars</t>
  </si>
  <si>
    <t>PER CAPITA INCOME IN THE PAST 12 MONTHS (IN 2021 INFLATION-ADJUSTED DOLLARS) (ASIAN ALONE)</t>
  </si>
  <si>
    <t>Asian alone: Per capita income in the past 12 months in 2022 inflation-adjusted dollars</t>
  </si>
  <si>
    <t>Per Capita Income in the Past 12 Months (in 2022 Inflation-Adjusted Dollars) (Asian Alone)</t>
  </si>
  <si>
    <t>Asian alone: Per capita income in the past 12 months in 2023 inflation-adjusted dollars</t>
  </si>
  <si>
    <t>Per Capita Income in the Past 12 Months (in 2023 Inflation-Adjusted Dollars) (Asian Alone)</t>
  </si>
  <si>
    <t>Asian alone: Per capita income in the past 12 months in 2024 inflation-adjusted dollars</t>
  </si>
  <si>
    <t>Per Capita Income in the Past 12 Months (in 2024 Inflation-Adjusted Dollars) (Asian Alone)</t>
  </si>
  <si>
    <t>B19301E</t>
  </si>
  <si>
    <t>B19301E_001E</t>
  </si>
  <si>
    <t>Native Hawaiian and Other Pacific Islander alone: Per capita income in the past 12 months in 2010 inflation-adjusted dollars</t>
  </si>
  <si>
    <t>PER CAPITA INCOME IN THE PAST 12 MONTHS (IN 2010 INFLATION-ADJUSTED DOLLARS) (NATIVE HAWAIIAN AND OTHER PACIFIC ISLANDER ALONE)</t>
  </si>
  <si>
    <t>B19301E_001EA,B19301E_001M,B19301E_001MA</t>
  </si>
  <si>
    <t>Native Hawaiian and Other Pacific Islander alone: Per capita income in the past 12 months in 2011 inflation-adjusted dollars</t>
  </si>
  <si>
    <t>PER CAPITA INCOME IN THE PAST 12 MONTHS (IN 2011 INFLATION-ADJUSTED DOLLARS) (NATIVE HAWAIIAN AND OTHER PACIFIC ISLANDER ALONE)</t>
  </si>
  <si>
    <t>Native Hawaiian and Other Pacific Islander alone: Per capita income in the past 12 months in 2012 inflation-adjusted dollars</t>
  </si>
  <si>
    <t>PER CAPITA INCOME IN THE PAST 12 MONTHS (IN 2012 INFLATION-ADJUSTED DOLLARS) (NATIVE HAWAIIAN AND OTHER PACIFIC ISLANDER ALONE)</t>
  </si>
  <si>
    <t>Native Hawaiian and Other Pacific Islander alone: Per capita income in the past 12 months in 2013 inflation-adjusted dollars</t>
  </si>
  <si>
    <t>PER CAPITA INCOME IN THE PAST 12 MONTHS (IN 2013 INFLATION-ADJUSTED DOLLARS) (NATIVE HAWAIIAN AND OTHER PACIFIC ISLANDER ALONE)</t>
  </si>
  <si>
    <t>Native Hawaiian and Other Pacific Islander alone: Per capita income in the past 12 months in 2014 Inflation-adjusted dollars</t>
  </si>
  <si>
    <t>PER CAPITA INCOME IN THE PAST 12 MONTHS (IN 2014 INFLATION-ADJUSTED DOLLARS) (NATIVE HAWAIIAN AND OTHER PACIFIC ISLANDER ALONE)</t>
  </si>
  <si>
    <t>Native Hawaiian and Other Pacific Islander alone: Per capita income in the past 12 months in 2015 Inflation-adjusted dollars</t>
  </si>
  <si>
    <t>PER CAPITA INCOME IN THE PAST 12 MONTHS (IN 2015 INFLATION-ADJUSTED DOLLARS) (NATIVE HAWAIIAN AND OTHER PACIFIC ISLANDER ALONE)</t>
  </si>
  <si>
    <t>Native Hawaiian and Other Pacific Islander alone: Per capita income in the past 12 months in 2016 inflation-adjusted dollars</t>
  </si>
  <si>
    <t>PER CAPITA INCOME IN THE PAST 12 MONTHS (IN 2016 INFLATION-ADJUSTED DOLLARS) (NATIVE HAWAIIAN AND OTHER PACIFIC ISLANDER ALONE)</t>
  </si>
  <si>
    <t>Native Hawaiian and Other Pacific Islander alone: Per capita income in the past 12 months in 2017 inflation-adjusted dollars</t>
  </si>
  <si>
    <t>PER CAPITA INCOME IN THE PAST 12 MONTHS (IN 2017 INFLATION-ADJUSTED DOLLARS) (NATIVE HAWAIIAN AND OTHER PACIFIC ISLANDER ALONE)</t>
  </si>
  <si>
    <t>Native Hawaiian and Other Pacific Islander alone: Per capita income in the past 12 months in 2018 inflation-adjusted dollars</t>
  </si>
  <si>
    <t>PER CAPITA INCOME IN THE PAST 12 MONTHS (IN 2018 INFLATION-ADJUSTED DOLLARS) (NATIVE HAWAIIAN AND OTHER PACIFIC ISLANDER ALONE)</t>
  </si>
  <si>
    <t>Native Hawaiian and Other Pacific Islander alone: Per capita income in the past 12 months in 2019 inflation-adjusted dollars</t>
  </si>
  <si>
    <t>PER CAPITA INCOME IN THE PAST 12 MONTHS (IN 2019 INFLATION-ADJUSTED DOLLARS) (NATIVE HAWAIIAN AND OTHER PACIFIC ISLANDER ALONE)</t>
  </si>
  <si>
    <t>Native Hawaiian and Other Pacific Islander alone: Per capita income in the past 12 months in 2020 inflation-adjusted dollars</t>
  </si>
  <si>
    <t>PER CAPITA INCOME IN THE PAST 12 MONTHS (IN 2020 INFLATION-ADJUSTED DOLLARS) (NATIVE HAWAIIAN AND OTHER PACIFIC ISLANDER ALONE)</t>
  </si>
  <si>
    <t>Native Hawaiian and Other Pacific Islander alone: Per capita income in the past 12 months in 2021 inflation-adjusted dollars</t>
  </si>
  <si>
    <t>PER CAPITA INCOME IN THE PAST 12 MONTHS (IN 2021 INFLATION-ADJUSTED DOLLARS) (NATIVE HAWAIIAN AND OTHER PACIFIC ISLANDER ALONE)</t>
  </si>
  <si>
    <t>Native Hawaiian and Other Pacific Islander alone: Per capita income in the past 12 months in 2022 inflation-adjusted dollars</t>
  </si>
  <si>
    <t>Per Capita Income in the Past 12 Months (in 2022 Inflation-Adjusted Dollars) (Native Hawaiian and Other Pacific Islander Alone)</t>
  </si>
  <si>
    <t>Native Hawaiian and Other Pacific Islander alone: Per capita income in the past 12 months in 2023 inflation-adjusted dollars</t>
  </si>
  <si>
    <t>Per Capita Income in the Past 12 Months (in 2023 Inflation-Adjusted Dollars) (Native Hawaiian and Other Pacific Islander Alone)</t>
  </si>
  <si>
    <t>Native Hawaiian and Other Pacific Islander alone: Per capita income in the past 12 months in 2024 inflation-adjusted dollars</t>
  </si>
  <si>
    <t>Per Capita Income in the Past 12 Months (in 2024 Inflation-Adjusted Dollars) (Native Hawaiian and Other Pacific Islander Alone)</t>
  </si>
  <si>
    <t>B19301F</t>
  </si>
  <si>
    <t>B19301F_001E</t>
  </si>
  <si>
    <t>Some Other Race alone: Per capita income in the past 12 months in 2010 inflation-adjusted dollars</t>
  </si>
  <si>
    <t>PER CAPITA INCOME IN THE PAST 12 MONTHS (IN 2010 INFLATION-ADJUSTED DOLLARS) (SOME OTHER RACE ALONE)</t>
  </si>
  <si>
    <t>B19301F_001EA,B19301F_001M,B19301F_001MA</t>
  </si>
  <si>
    <t>Some Other Race alone: Per capita income in the past 12 months in 2011 inflation-adjusted dollars</t>
  </si>
  <si>
    <t>PER CAPITA INCOME IN THE PAST 12 MONTHS (IN 2011 INFLATION-ADJUSTED DOLLARS) (SOME OTHER RACE ALONE)</t>
  </si>
  <si>
    <t>Some Other Race alone: Per capita income in the past 12 months in 2012 inflation-adjusted dollars</t>
  </si>
  <si>
    <t>PER CAPITA INCOME IN THE PAST 12 MONTHS (IN 2012 INFLATION-ADJUSTED DOLLARS) (SOME OTHER RACE ALONE)</t>
  </si>
  <si>
    <t>Some Other Race alone: Per capita income in the past 12 months in 2013 inflation-adjusted dollars</t>
  </si>
  <si>
    <t>PER CAPITA INCOME IN THE PAST 12 MONTHS (IN 2013 INFLATION-ADJUSTED DOLLARS) (SOME OTHER RACE ALONE)</t>
  </si>
  <si>
    <t>Some Other Race alone: Per capita income in the past 12 months in 2014 Inflation-adjusted dollars</t>
  </si>
  <si>
    <t>PER CAPITA INCOME IN THE PAST 12 MONTHS (IN 2014 INFLATION-ADJUSTED DOLLARS) (SOME OTHER RACE ALONE)</t>
  </si>
  <si>
    <t>Some Other Race alone: Per capita income in the past 12 months in 2015 Inflation-adjusted dollars</t>
  </si>
  <si>
    <t>PER CAPITA INCOME IN THE PAST 12 MONTHS (IN 2015 INFLATION-ADJUSTED DOLLARS) (SOME OTHER RACE ALONE)</t>
  </si>
  <si>
    <t>Some Other Race alone: Per capita income in the past 12 months in 2016 inflation-adjusted dollars</t>
  </si>
  <si>
    <t>PER CAPITA INCOME IN THE PAST 12 MONTHS (IN 2016 INFLATION-ADJUSTED DOLLARS) (SOME OTHER RACE ALONE)</t>
  </si>
  <si>
    <t>Some Other Race alone: Per capita income in the past 12 months in 2017 inflation-adjusted dollars</t>
  </si>
  <si>
    <t>PER CAPITA INCOME IN THE PAST 12 MONTHS (IN 2017 INFLATION-ADJUSTED DOLLARS) (SOME OTHER RACE ALONE)</t>
  </si>
  <si>
    <t>Some Other Race alone: Per capita income in the past 12 months in 2018 inflation-adjusted dollars</t>
  </si>
  <si>
    <t>PER CAPITA INCOME IN THE PAST 12 MONTHS (IN 2018 INFLATION-ADJUSTED DOLLARS) (SOME OTHER RACE ALONE)</t>
  </si>
  <si>
    <t>Some Other Race alone: Per capita income in the past 12 months in 2019 inflation-adjusted dollars</t>
  </si>
  <si>
    <t>PER CAPITA INCOME IN THE PAST 12 MONTHS (IN 2019 INFLATION-ADJUSTED DOLLARS) (SOME OTHER RACE ALONE)</t>
  </si>
  <si>
    <t>Some Other Race alone: Per capita income in the past 12 months in 2020 inflation-adjusted dollars</t>
  </si>
  <si>
    <t>PER CAPITA INCOME IN THE PAST 12 MONTHS (IN 2020 INFLATION-ADJUSTED DOLLARS) (SOME OTHER RACE ALONE)</t>
  </si>
  <si>
    <t>Some Other Race alone: Per capita income in the past 12 months in 2021 inflation-adjusted dollars</t>
  </si>
  <si>
    <t>PER CAPITA INCOME IN THE PAST 12 MONTHS (IN 2021 INFLATION-ADJUSTED DOLLARS) (SOME OTHER RACE ALONE)</t>
  </si>
  <si>
    <t>Some Other Race alone: Per capita income in the past 12 months in 2022 inflation-adjusted dollars</t>
  </si>
  <si>
    <t>Per Capita Income in the Past 12 Months (in 2022 Inflation-Adjusted Dollars) (Some Other Race Alone)</t>
  </si>
  <si>
    <t>Some Other Race alone: Per capita income in the past 12 months in 2023 inflation-adjusted dollars</t>
  </si>
  <si>
    <t>Per Capita Income in the Past 12 Months (in 2023 Inflation-Adjusted Dollars) (Some Other Race Alone)</t>
  </si>
  <si>
    <t>Some Other Race alone: Per capita income in the past 12 months in 2024 inflation-adjusted dollars</t>
  </si>
  <si>
    <t>Per Capita Income in the Past 12 Months (in 2024 Inflation-Adjusted Dollars) (Some Other Race Alone)</t>
  </si>
  <si>
    <t>B19301G</t>
  </si>
  <si>
    <t>B19301G_001E</t>
  </si>
  <si>
    <t>Two or More Races: Per capita income in the past 12 months in 2010 inflation-adjusted dollars</t>
  </si>
  <si>
    <t>PER CAPITA INCOME IN THE PAST 12 MONTHS (IN 2010 INFLATION-ADJUSTED DOLLARS) (TWO OR MORE RACES)</t>
  </si>
  <si>
    <t>B19301G_001EA,B19301G_001M,B19301G_001MA</t>
  </si>
  <si>
    <t>Two or More Races: Per capita income in the past 12 months in 2011 inflation-adjusted dollars</t>
  </si>
  <si>
    <t>PER CAPITA INCOME IN THE PAST 12 MONTHS (IN 2011 INFLATION-ADJUSTED DOLLARS) (TWO OR MORE RACES)</t>
  </si>
  <si>
    <t>Two or More Races: Per capita income in the past 12 months in 2012 inflation-adjusted dollars</t>
  </si>
  <si>
    <t>PER CAPITA INCOME IN THE PAST 12 MONTHS (IN 2012 INFLATION-ADJUSTED DOLLARS) (TWO OR MORE RACES)</t>
  </si>
  <si>
    <t>Two or More Races: Per capita income in the past 12 months in 2013 inflation-adjusted dollars</t>
  </si>
  <si>
    <t>PER CAPITA INCOME IN THE PAST 12 MONTHS (IN 2013 INFLATION-ADJUSTED DOLLARS) (TWO OR MORE RACES)</t>
  </si>
  <si>
    <t>Two or More Races: Per capita income in the past 12 months in 2014 Inflation-adjusted dollars</t>
  </si>
  <si>
    <t>PER CAPITA INCOME IN THE PAST 12 MONTHS (IN 2014 INFLATION-ADJUSTED DOLLARS) (TWO OR MORE RACES)</t>
  </si>
  <si>
    <t>Two or More Races: Per capita income in the past 12 months in 2015 Inflation-adjusted dollars</t>
  </si>
  <si>
    <t>PER CAPITA INCOME IN THE PAST 12 MONTHS (IN 2015 INFLATION-ADJUSTED DOLLARS) (TWO OR MORE RACES)</t>
  </si>
  <si>
    <t>Two or More Races: Per capita income in the past 12 months in 2016 inflation-adjusted dollars</t>
  </si>
  <si>
    <t>PER CAPITA INCOME IN THE PAST 12 MONTHS (IN 2016 INFLATION-ADJUSTED DOLLARS) (TWO OR MORE RACES)</t>
  </si>
  <si>
    <t>Two or More Races: Per capita income in the past 12 months in 2017 inflation-adjusted dollars</t>
  </si>
  <si>
    <t>PER CAPITA INCOME IN THE PAST 12 MONTHS (IN 2017 INFLATION-ADJUSTED DOLLARS) (TWO OR MORE RACES)</t>
  </si>
  <si>
    <t>Two or More Races: Per capita income in the past 12 months in 2018 inflation-adjusted dollars</t>
  </si>
  <si>
    <t>PER CAPITA INCOME IN THE PAST 12 MONTHS (IN 2018 INFLATION-ADJUSTED DOLLARS) (TWO OR MORE RACES)</t>
  </si>
  <si>
    <t>Two or More Races: Per capita income in the past 12 months in 2019 inflation-adjusted dollars</t>
  </si>
  <si>
    <t>PER CAPITA INCOME IN THE PAST 12 MONTHS (IN 2019 INFLATION-ADJUSTED DOLLARS) (TWO OR MORE RACES)</t>
  </si>
  <si>
    <t>Two or More Races: Per capita income in the past 12 months in 2020 inflation-adjusted dollars</t>
  </si>
  <si>
    <t>PER CAPITA INCOME IN THE PAST 12 MONTHS (IN 2020 INFLATION-ADJUSTED DOLLARS) (TWO OR MORE RACES)</t>
  </si>
  <si>
    <t>Two or More Races: Per capita income in the past 12 months in 2021 inflation-adjusted dollars</t>
  </si>
  <si>
    <t>PER CAPITA INCOME IN THE PAST 12 MONTHS (IN 2021 INFLATION-ADJUSTED DOLLARS) (TWO OR MORE RACES)</t>
  </si>
  <si>
    <t>Two or More Races: Per capita income in the past 12 months in 2022 inflation-adjusted dollars</t>
  </si>
  <si>
    <t>Per Capita Income in the Past 12 Months (in 2022 Inflation-Adjusted Dollars) (Two or More Races)</t>
  </si>
  <si>
    <t>Two or More Races: Per capita income in the past 12 months in 2023 inflation-adjusted dollars</t>
  </si>
  <si>
    <t>Per Capita Income in the Past 12 Months (in 2023 Inflation-Adjusted Dollars) (Two or More Races)</t>
  </si>
  <si>
    <t>Two or More Races: Per capita income in the past 12 months in 2024 inflation-adjusted dollars</t>
  </si>
  <si>
    <t>Per Capita Income in the Past 12 Months (in 2024 Inflation-Adjusted Dollars) (Two or More Races)</t>
  </si>
  <si>
    <t>B19301H</t>
  </si>
  <si>
    <t>B19301H_001E</t>
  </si>
  <si>
    <t>White alone, not Hispanic or Latino: Per capita income in the past 12 months in 2010 inflation-adjusted dollars</t>
  </si>
  <si>
    <t>PER CAPITA INCOME IN THE PAST 12 MONTHS (IN 2010 INFLATION-ADJUSTED DOLLARS) (WHITE ALONE, NOT HISPANIC OR LATINO)</t>
  </si>
  <si>
    <t>B19301H_001EA,B19301H_001M,B19301H_001MA</t>
  </si>
  <si>
    <t>White alone, not Hispanic or Latino: Per capita income in the past 12 months in 2011 inflation-adjusted dollars</t>
  </si>
  <si>
    <t>PER CAPITA INCOME IN THE PAST 12 MONTHS (IN 2011 INFLATION-ADJUSTED DOLLARS) (WHITE ALONE, NOT HISPANIC OR LATINO)</t>
  </si>
  <si>
    <t>White alone, not Hispanic or Latino: Per capita income in the past 12 months in 2012 inflation-adjusted dollars</t>
  </si>
  <si>
    <t>PER CAPITA INCOME IN THE PAST 12 MONTHS (IN 2012 INFLATION-ADJUSTED DOLLARS) (WHITE ALONE, NOT HISPANIC OR LATINO)</t>
  </si>
  <si>
    <t>White alone, not Hispanic or Latino: Per capita income in the past 12 months in 2013 inflation-adjusted dollars</t>
  </si>
  <si>
    <t>PER CAPITA INCOME IN THE PAST 12 MONTHS (IN 2013 INFLATION-ADJUSTED DOLLARS) (WHITE ALONE, NOT HISPANIC OR LATINO)</t>
  </si>
  <si>
    <t>White alone, not Hispanic or Latino: Per capita income in the past 12 months in 2014 Inflation-adjusted dollars</t>
  </si>
  <si>
    <t>PER CAPITA INCOME IN THE PAST 12 MONTHS (IN 2014 INFLATION-ADJUSTED DOLLARS) (WHITE ALONE, NOT HISPANIC OR LATINO)</t>
  </si>
  <si>
    <t>White alone, not Hispanic or Latino: Per capita income in the past 12 months in 2015 Inflation-adjusted dollars</t>
  </si>
  <si>
    <t>PER CAPITA INCOME IN THE PAST 12 MONTHS (IN 2015 INFLATION-ADJUSTED DOLLARS) (WHITE ALONE, NOT HISPANIC OR LATINO)</t>
  </si>
  <si>
    <t>White alone, not Hispanic or Latino: Per capita income in the past 12 months in 2016 inflation-adjusted dollars</t>
  </si>
  <si>
    <t>PER CAPITA INCOME IN THE PAST 12 MONTHS (IN 2016 INFLATION-ADJUSTED DOLLARS) (WHITE ALONE, NOT HISPANIC OR LATINO)</t>
  </si>
  <si>
    <t>White alone, not Hispanic or Latino: Per capita income in the past 12 months in 2017 inflation-adjusted dollars</t>
  </si>
  <si>
    <t>PER CAPITA INCOME IN THE PAST 12 MONTHS (IN 2017 INFLATION-ADJUSTED DOLLARS) (WHITE ALONE, NOT HISPANIC OR LATINO)</t>
  </si>
  <si>
    <t>White alone, not Hispanic or Latino: Per capita income in the past 12 months in 2018 inflation-adjusted dollars</t>
  </si>
  <si>
    <t>PER CAPITA INCOME IN THE PAST 12 MONTHS (IN 2018 INFLATION-ADJUSTED DOLLARS) (WHITE ALONE, NOT HISPANIC OR LATINO)</t>
  </si>
  <si>
    <t>White alone, not Hispanic or Latino: Per capita income in the past 12 months in 2019 inflation-adjusted dollars</t>
  </si>
  <si>
    <t>PER CAPITA INCOME IN THE PAST 12 MONTHS (IN 2019 INFLATION-ADJUSTED DOLLARS) (WHITE ALONE, NOT HISPANIC OR LATINO)</t>
  </si>
  <si>
    <t>White alone, not Hispanic or Latino: Per capita income in the past 12 months in 2020 inflation-adjusted dollars</t>
  </si>
  <si>
    <t>PER CAPITA INCOME IN THE PAST 12 MONTHS (IN 2020 INFLATION-ADJUSTED DOLLARS) (WHITE ALONE, NOT HISPANIC OR LATINO)</t>
  </si>
  <si>
    <t>White alone, not Hispanic or Latino: Per capita income in the past 12 months in 2021 inflation-adjusted dollars</t>
  </si>
  <si>
    <t>PER CAPITA INCOME IN THE PAST 12 MONTHS (IN 2021 INFLATION-ADJUSTED DOLLARS) (WHITE ALONE, NOT HISPANIC OR LATINO)</t>
  </si>
  <si>
    <t>White alone, not Hispanic or Latino: Per capita income in the past 12 months in 2022 inflation-adjusted dollars</t>
  </si>
  <si>
    <t>Per Capita Income in the Past 12 Months (in 2022 Inflation-Adjusted Dollars) (White Alone, Not Hispanic or Latino)</t>
  </si>
  <si>
    <t>White alone, not Hispanic or Latino: Per capita income in the past 12 months in 2023 inflation-adjusted dollars</t>
  </si>
  <si>
    <t>Per Capita Income in the Past 12 Months (in 2023 Inflation-Adjusted Dollars) (White Alone, Not Hispanic or Latino)</t>
  </si>
  <si>
    <t>White alone, not Hispanic or Latino: Per capita income in the past 12 months in 2024 inflation-adjusted dollars</t>
  </si>
  <si>
    <t>Per Capita Income in the Past 12 Months (in 2024 Inflation-Adjusted Dollars) (White Alone, Not Hispanic or Latino)</t>
  </si>
  <si>
    <t>B19301I</t>
  </si>
  <si>
    <t>B19301I_001E</t>
  </si>
  <si>
    <t>Hispanic or Latino: Per capita income in the past 12 months in 2010 inflation-adjusted dollars</t>
  </si>
  <si>
    <t>PER CAPITA INCOME IN THE PAST 12 MONTHS (IN 2010 INFLATION-ADJUSTED DOLLARS) (HISPANIC OR LATINO)</t>
  </si>
  <si>
    <t>B19301I_001EA,B19301I_001M,B19301I_001MA</t>
  </si>
  <si>
    <t>Hispanic or Latino: Per capita income in the past 12 months in 2011 inflation-adjusted dollars</t>
  </si>
  <si>
    <t>PER CAPITA INCOME IN THE PAST 12 MONTHS (IN 2011 INFLATION-ADJUSTED DOLLARS) (HISPANIC OR LATINO)</t>
  </si>
  <si>
    <t>Hispanic or Latino: Per capita income in the past 12 months in 2012 inflation-adjusted dollars</t>
  </si>
  <si>
    <t>PER CAPITA INCOME IN THE PAST 12 MONTHS (IN 2012 INFLATION-ADJUSTED DOLLARS) (HISPANIC OR LATINO)</t>
  </si>
  <si>
    <t>Hispanic or Latino: Per capita income in the past 12 months in 2013 inflation-adjusted dollars</t>
  </si>
  <si>
    <t>PER CAPITA INCOME IN THE PAST 12 MONTHS (IN 2013 INFLATION-ADJUSTED DOLLARS) (HISPANIC OR LATINO)</t>
  </si>
  <si>
    <t>Hispanic or Latino: Per capita income in the past 12 months in 2014 Inflation-adjusted dollars</t>
  </si>
  <si>
    <t>PER CAPITA INCOME IN THE PAST 12 MONTHS (IN 2014 INFLATION-ADJUSTED DOLLARS) (HISPANIC OR LATINO)</t>
  </si>
  <si>
    <t>Hispanic or Latino: Per capita income in the past 12 months in 2015 Inflation-adjusted dollars</t>
  </si>
  <si>
    <t>PER CAPITA INCOME IN THE PAST 12 MONTHS (IN 2015 INFLATION-ADJUSTED DOLLARS) (HISPANIC OR LATINO)</t>
  </si>
  <si>
    <t>Hispanic or Latino: Per capita income in the past 12 months in 2016 inflation-adjusted dollars</t>
  </si>
  <si>
    <t>PER CAPITA INCOME IN THE PAST 12 MONTHS (IN 2016 INFLATION-ADJUSTED DOLLARS) (HISPANIC OR LATINO)</t>
  </si>
  <si>
    <t>Hispanic or Latino: Per capita income in the past 12 months in 2017 inflation-adjusted dollars</t>
  </si>
  <si>
    <t>PER CAPITA INCOME IN THE PAST 12 MONTHS (IN 2017 INFLATION-ADJUSTED DOLLARS) (HISPANIC OR LATINO)</t>
  </si>
  <si>
    <t>Hispanic or Latino: Per capita income in the past 12 months in 2018 inflation-adjusted dollars</t>
  </si>
  <si>
    <t>PER CAPITA INCOME IN THE PAST 12 MONTHS (IN 2018 INFLATION-ADJUSTED DOLLARS) (HISPANIC OR LATINO)</t>
  </si>
  <si>
    <t>Hispanic or Latino: Per capita income in the past 12 months in 2019 inflation-adjusted dollars</t>
  </si>
  <si>
    <t>PER CAPITA INCOME IN THE PAST 12 MONTHS (IN 2019 INFLATION-ADJUSTED DOLLARS) (HISPANIC OR LATINO)</t>
  </si>
  <si>
    <t>Hispanic or Latino: Per capita income in the past 12 months in 2020 inflation-adjusted dollars</t>
  </si>
  <si>
    <t>PER CAPITA INCOME IN THE PAST 12 MONTHS (IN 2020 INFLATION-ADJUSTED DOLLARS) (HISPANIC OR LATINO)</t>
  </si>
  <si>
    <t>Hispanic or Latino: Per capita income in the past 12 months in 2021 inflation-adjusted dollars</t>
  </si>
  <si>
    <t>PER CAPITA INCOME IN THE PAST 12 MONTHS (IN 2021 INFLATION-ADJUSTED DOLLARS) (HISPANIC OR LATINO)</t>
  </si>
  <si>
    <t>Hispanic or Latino: Per capita income in the past 12 months in 2022 inflation-adjusted dollars</t>
  </si>
  <si>
    <t>Per Capita Income in the Past 12 Months (in 2022 Inflation-Adjusted Dollars) (Hispanic or Latino)</t>
  </si>
  <si>
    <t>Hispanic or Latino: Per capita income in the past 12 months in 2023 inflation-adjusted dollars</t>
  </si>
  <si>
    <t>Per Capita Income in the Past 12 Months (in 2023 Inflation-Adjusted Dollars) (Hispanic or Latino)</t>
  </si>
  <si>
    <t>Hispanic or Latino: Per capita income in the past 12 months in 2024 inflation-adjusted dollars</t>
  </si>
  <si>
    <t>Per Capita Income in the Past 12 Months (in 2024 Inflation-Adjusted Dollars) (Hispanic or Latino)</t>
  </si>
  <si>
    <t>B19313</t>
  </si>
  <si>
    <t>B19313_001E</t>
  </si>
  <si>
    <t>Aggregate income in the past 12 months in 2010 inflation-adjusted dollars</t>
  </si>
  <si>
    <t>Estimate: Aggregate income in the past 12 months in 2010 inflation-adjusted dollars</t>
  </si>
  <si>
    <t>AGGREGATE INCOME IN THE PAST 12 MONTHS (IN 2010 INFLATION-ADJUSTED DOLLARS)</t>
  </si>
  <si>
    <t>B19313_001EA,B19313_001M,B19313_001MA</t>
  </si>
  <si>
    <t>Aggregate income in the past 12 months in 2011 inflation-adjusted dollars</t>
  </si>
  <si>
    <t>Estimate: Aggregate income in the past 12 months in 2011 inflation-adjusted dollars</t>
  </si>
  <si>
    <t>AGGREGATE INCOME IN THE PAST 12 MONTHS (IN 2011 INFLATION-ADJUSTED DOLLARS)</t>
  </si>
  <si>
    <t>Aggregate income in the past 12 months in 2012 inflation-adjusted dollars</t>
  </si>
  <si>
    <t>Estimate: Aggregate income in the past 12 months in 2012 inflation-adjusted dollars</t>
  </si>
  <si>
    <t>AGGREGATE INCOME IN THE PAST 12 MONTHS (IN 2012 INFLATION-ADJUSTED DOLLARS)</t>
  </si>
  <si>
    <t>Aggregate income in the past 12 months in 2013 inflation-adjusted dollars</t>
  </si>
  <si>
    <t>Estimate: Aggregate income in the past 12 months in 2013 inflation-adjusted dollars</t>
  </si>
  <si>
    <t>AGGREGATE INCOME IN THE PAST 12 MONTHS (IN 2013 INFLATION-ADJUSTED DOLLARS)</t>
  </si>
  <si>
    <t>Aggregate income in the past 12 months in 2014 Inflation-adjusted dollars</t>
  </si>
  <si>
    <t>Estimate: Aggregate income in the past 12 months in 2014 Inflation-adjusted dollars</t>
  </si>
  <si>
    <t>AGGREGATE INCOME IN THE PAST 12 MONTHS (IN 2014 INFLATION-ADJUSTED DOLLARS)</t>
  </si>
  <si>
    <t>Aggregate income in the past 12 months in 2015 Inflation-adjusted dollars</t>
  </si>
  <si>
    <t>Estimate: Aggregate income in the past 12 months in 2015 Inflation-adjusted dollars</t>
  </si>
  <si>
    <t>AGGREGATE INCOME IN THE PAST 12 MONTHS (IN 2015 INFLATION-ADJUSTED DOLLARS)</t>
  </si>
  <si>
    <t>Aggregate income in the past 12 months in 2016 inflation-adjusted dollars</t>
  </si>
  <si>
    <t>Estimate: Aggregate income in the past 12 months in 2016 inflation-adjusted dollars</t>
  </si>
  <si>
    <t>AGGREGATE INCOME IN THE PAST 12 MONTHS (IN 2016 INFLATION-ADJUSTED DOLLARS)</t>
  </si>
  <si>
    <t>Aggregate income in the past 12 months in 2017 inflation-adjusted dollars</t>
  </si>
  <si>
    <t>Estimate: Aggregate income in the past 12 months in 2017 inflation-adjusted dollars</t>
  </si>
  <si>
    <t>AGGREGATE INCOME IN THE PAST 12 MONTHS (IN 2017 INFLATION-ADJUSTED DOLLARS)</t>
  </si>
  <si>
    <t>Aggregate income in the past 12 months in 2018 inflation-adjusted dollars</t>
  </si>
  <si>
    <t>Estimate: Aggregate income in the past 12 months in 2018 inflation-adjusted dollars</t>
  </si>
  <si>
    <t>AGGREGATE INCOME IN THE PAST 12 MONTHS (IN 2018 INFLATION-ADJUSTED DOLLARS)</t>
  </si>
  <si>
    <t>Aggregate income in the past 12 months in 2019 inflation-adjusted dollars</t>
  </si>
  <si>
    <t>Estimate: Aggregate income in the past 12 months in 2019 inflation-adjusted dollars</t>
  </si>
  <si>
    <t>AGGREGATE INCOME IN THE PAST 12 MONTHS (IN 2019 INFLATION-ADJUSTED DOLLARS)</t>
  </si>
  <si>
    <t>Aggregate income in the past 12 months in 2020 inflation-adjusted dollars</t>
  </si>
  <si>
    <t>Estimate: Aggregate income in the past 12 months in 2020 inflation-adjusted dollars</t>
  </si>
  <si>
    <t>AGGREGATE INCOME IN THE PAST 12 MONTHS (IN 2020 INFLATION-ADJUSTED DOLLARS)</t>
  </si>
  <si>
    <t>Aggregate income in the past 12 months in 2021 inflation-adjusted dollars</t>
  </si>
  <si>
    <t>Estimate: Aggregate income in the past 12 months in 2021 inflation-adjusted dollars</t>
  </si>
  <si>
    <t>AGGREGATE INCOME IN THE PAST 12 MONTHS (IN 2021 INFLATION-ADJUSTED DOLLARS)</t>
  </si>
  <si>
    <t>Aggregate income in the past 12 months in 2022 inflation-adjusted dollars</t>
  </si>
  <si>
    <t>Estimate: Aggregate income in the past 12 months in 2022 inflation-adjusted dollars</t>
  </si>
  <si>
    <t>Aggregate Income in the Past 12 Months (in 2022 Inflation-Adjusted Dollars)</t>
  </si>
  <si>
    <t>Aggregate income in the past 12 months in 2023 inflation-adjusted dollars</t>
  </si>
  <si>
    <t>Estimate: Aggregate income in the past 12 months in 2023 inflation-adjusted dollars</t>
  </si>
  <si>
    <t>Aggregate Income in the Past 12 Months (in 2023 Inflation-Adjusted Dollars)</t>
  </si>
  <si>
    <t>Aggregate income in the past 12 months in 2024 inflation-adjusted dollars</t>
  </si>
  <si>
    <t>Estimate: Aggregate income in the past 12 months in 2024 inflation-adjusted dollars</t>
  </si>
  <si>
    <t>Aggregate Income in the Past 12 Months (in 2024 Inflation-Adjusted Dollars)</t>
  </si>
  <si>
    <t>B20</t>
  </si>
  <si>
    <t>B20002</t>
  </si>
  <si>
    <t>B20002_001E</t>
  </si>
  <si>
    <t>Median earnings in the past 12 months in 2010 inflation-adjusted dollars: Total</t>
  </si>
  <si>
    <t>Estimate: Median earnings in the past 12 months in 2010 inflation-adjusted dollars: Total</t>
  </si>
  <si>
    <t>MEDIAN EARNINGS IN THE PAST 12 MONTHS (IN 2010 INFLATION-ADJUSTED DOLLARS) BY SEX FOR THE POPULATION 16 YEARS AND OVER WITH EARNINGS IN THE PAST 12 MONTHS</t>
  </si>
  <si>
    <t>B20002_001EA,B20002_001M,B20002_001MA</t>
  </si>
  <si>
    <t>Median earnings in the past 12 months in 2011 inflation-adjusted dollars: Total</t>
  </si>
  <si>
    <t>Estimate: Median earnings in the past 12 months in 2011 inflation-adjusted dollars: Total</t>
  </si>
  <si>
    <t>MEDIAN EARNINGS IN THE PAST 12 MONTHS (IN 2011 INFLATION-ADJUSTED DOLLARS) BY SEX FOR THE POPULATION 16 YEARS AND OVER WITH EARNINGS IN THE PAST 12 MONTHS</t>
  </si>
  <si>
    <t>Median earnings in the past 12 months in 2012 inflation-adjusted dollars: Total</t>
  </si>
  <si>
    <t>Estimate: Median earnings in the past 12 months in 2012 inflation-adjusted dollars: Total</t>
  </si>
  <si>
    <t>MEDIAN EARNINGS IN THE PAST 12 MONTHS (IN 2012 INFLATION-ADJUSTED DOLLARS) BY SEX FOR THE POPULATION 16 YEARS AND OVER WITH EARNINGS IN THE PAST 12 MONTHS</t>
  </si>
  <si>
    <t>Median earnings in the past 12 months in 2013 inflation-adjusted dollars: Total</t>
  </si>
  <si>
    <t>Estimate: Median earnings in the past 12 months in 2013 inflation-adjusted dollars: Total</t>
  </si>
  <si>
    <t>MEDIAN EARNINGS IN THE PAST 12 MONTHS (IN 2013 INFLATION-ADJUSTED DOLLARS) BY SEX FOR THE POPULATION 16 YEARS AND OVER WITH EARNINGS IN THE PAST 12 MONTHS</t>
  </si>
  <si>
    <t>Median earnings in the past 12 months in 2014 Inflation-adjusted dollars: Total</t>
  </si>
  <si>
    <t>Estimate: Median earnings in the past 12 months in 2014 Inflation-adjusted dollars: Total</t>
  </si>
  <si>
    <t>MEDIAN EARNINGS IN THE PAST 12 MONTHS (IN 2014 INFLATION-ADJUSTED DOLLARS) BY SEX FOR THE POPULATION 16 YEARS AND OVER WITH EARNINGS IN THE PAST 12 MONTHS</t>
  </si>
  <si>
    <t>Median earnings in the past 12 months in 2015 Inflation-adjusted dollars: Total</t>
  </si>
  <si>
    <t>Estimate: Median earnings in the past 12 months in 2015 Inflation-adjusted dollars: Total</t>
  </si>
  <si>
    <t>MEDIAN EARNINGS IN THE PAST 12 MONTHS (IN 2015 INFLATION-ADJUSTED DOLLARS) BY SEX FOR THE POPULATION 16 YEARS AND OVER WITH EARNINGS IN THE PAST 12 MONTHS</t>
  </si>
  <si>
    <t>Median earnings in the past 12 months in 2016 inflation-adjusted dollars: Total</t>
  </si>
  <si>
    <t>Estimate: Median earnings in the past 12 months in 2016 inflation-adjusted dollars: Total</t>
  </si>
  <si>
    <t>MEDIAN EARNINGS IN THE PAST 12 MONTHS (IN 2016 INFLATION-ADJUSTED DOLLARS) BY SEX FOR THE POPULATION 16 YEARS AND OVER WITH EARNINGS IN THE PAST 12 MONTHS</t>
  </si>
  <si>
    <t>Median earnings in the past 12 months in 2017 inflation-adjusted dollars: Total</t>
  </si>
  <si>
    <t>Estimate: Median earnings in the past 12 months in 2017 inflation-adjusted dollars: Total</t>
  </si>
  <si>
    <t>MEDIAN EARNINGS IN THE PAST 12 MONTHS (IN 2017 INFLATION-ADJUSTED DOLLARS) BY SEX FOR THE POPULATION 16 YEARS AND OVER WITH EARNINGS IN THE PAST 12 MONTHS</t>
  </si>
  <si>
    <t>Median earnings in the past 12 months in 2018 inflation-adjusted dollars: Total</t>
  </si>
  <si>
    <t>Estimate: Median earnings in the past 12 months in 2018 inflation-adjusted dollars: Total</t>
  </si>
  <si>
    <t>MEDIAN EARNINGS IN THE PAST 12 MONTHS (IN 2018 INFLATION-ADJUSTED DOLLARS) BY SEX FOR THE POPULATION 16 YEARS AND OVER WITH EARNINGS IN THE PAST 12 MONTHS</t>
  </si>
  <si>
    <t>Median earnings in the past 12 months in 2019 inflation-adjusted dollars: Total</t>
  </si>
  <si>
    <t>Estimate: Median earnings in the past 12 months in 2019 inflation-adjusted dollars: Total</t>
  </si>
  <si>
    <t>MEDIAN EARNINGS IN THE PAST 12 MONTHS (IN 2019 INFLATION-ADJUSTED DOLLARS) BY SEX FOR THE POPULATION 16 YEARS AND OVER WITH EARNINGS IN THE PAST 12 MONTHS</t>
  </si>
  <si>
    <t>Median earnings in the past 12 months in 2020 inflation-adjusted dollars: Total</t>
  </si>
  <si>
    <t>Estimate: Median earnings in the past 12 months in 2020 inflation-adjusted dollars: Total</t>
  </si>
  <si>
    <t>MEDIAN EARNINGS IN THE PAST 12 MONTHS (IN 2020 INFLATION-ADJUSTED DOLLARS) BY SEX FOR THE POPULATION 16 YEARS AND OVER WITH EARNINGS IN THE PAST 12 MONTHS</t>
  </si>
  <si>
    <t>Median earnings in the past 12 months in 2021 inflation-adjusted dollars: Total</t>
  </si>
  <si>
    <t>Estimate: Median earnings in the past 12 months in 2021 inflation-adjusted dollars: Total</t>
  </si>
  <si>
    <t>MEDIAN EARNINGS IN THE PAST 12 MONTHS (IN 2021 INFLATION-ADJUSTED DOLLARS) BY SEX FOR THE POPULATION 16 YEARS AND OVER WITH EARNINGS IN THE PAST 12 MONTHS</t>
  </si>
  <si>
    <t>Median earnings in the past 12 months in 2022 inflation-adjusted dollars: Total</t>
  </si>
  <si>
    <t>Estimate: Median earnings in the past 12 months in 2022 inflation-adjusted dollars: Total</t>
  </si>
  <si>
    <t>Median Earnings in the Past 12 Months (in 2022 Inflation-Adjusted Dollars) by Sex for the Population 16 Years and Over With Earnings in the Past 12 Months</t>
  </si>
  <si>
    <t>Median earnings in the past 12 months in 2023 inflation-adjusted dollars: Total</t>
  </si>
  <si>
    <t>Estimate: Median earnings in the past 12 months in 2023 inflation-adjusted dollars: Total</t>
  </si>
  <si>
    <t>Median Earnings in the Past 12 Months (in 2023 Inflation-Adjusted Dollars) by Sex for the Population 16 Years and Over With Earnings in the Past 12 Months</t>
  </si>
  <si>
    <t>Median earnings in the past 12 months in 2024 inflation-adjusted dollars: Total</t>
  </si>
  <si>
    <t>Estimate: Median earnings in the past 12 months in 2024 inflation-adjusted dollars: Total</t>
  </si>
  <si>
    <t>Median Earnings in the Past 12 Months (in 2024 Inflation-Adjusted Dollars) by Sex for the Population 16 Years and Over With Earnings in the Past 12 Months</t>
  </si>
  <si>
    <t>B20002_002E</t>
  </si>
  <si>
    <t>Median earnings in the past 12 months in 2010 inflation-adjusted dollars: Male</t>
  </si>
  <si>
    <t>Estimate: Median earnings in the past 12 months in 2010 inflation-adjusted dollars: Male</t>
  </si>
  <si>
    <t>B20002_002EA,B20002_002M,B20002_002MA</t>
  </si>
  <si>
    <t>Median earnings in the past 12 months in 2011 inflation-adjusted dollars: Male</t>
  </si>
  <si>
    <t>Estimate: Median earnings in the past 12 months in 2011 inflation-adjusted dollars: Male</t>
  </si>
  <si>
    <t>Median earnings in the past 12 months in 2012 inflation-adjusted dollars: Male</t>
  </si>
  <si>
    <t>Estimate: Median earnings in the past 12 months in 2012 inflation-adjusted dollars: Male</t>
  </si>
  <si>
    <t>Median earnings in the past 12 months in 2013 inflation-adjusted dollars: Male</t>
  </si>
  <si>
    <t>Estimate: Median earnings in the past 12 months in 2013 inflation-adjusted dollars: Male</t>
  </si>
  <si>
    <t>Median earnings in the past 12 months in 2014 Inflation-adjusted dollars: Male</t>
  </si>
  <si>
    <t>Estimate: Median earnings in the past 12 months in 2014 Inflation-adjusted dollars: Male</t>
  </si>
  <si>
    <t>Median earnings in the past 12 months in 2015 Inflation-adjusted dollars: Male</t>
  </si>
  <si>
    <t>Estimate: Median earnings in the past 12 months in 2015 Inflation-adjusted dollars: Male</t>
  </si>
  <si>
    <t>Median earnings in the past 12 months in 2016 inflation-adjusted dollars: Male</t>
  </si>
  <si>
    <t>Estimate: Median earnings in the past 12 months in 2016 inflation-adjusted dollars: Male</t>
  </si>
  <si>
    <t>Median earnings in the past 12 months in 2017 inflation-adjusted dollars: Male</t>
  </si>
  <si>
    <t>Estimate: Median earnings in the past 12 months in 2017 inflation-adjusted dollars: Male</t>
  </si>
  <si>
    <t>Median earnings in the past 12 months in 2018 inflation-adjusted dollars: Male</t>
  </si>
  <si>
    <t>Estimate: Median earnings in the past 12 months in 2018 inflation-adjusted dollars: Male</t>
  </si>
  <si>
    <t>Median earnings in the past 12 months in 2019 inflation-adjusted dollars: Male</t>
  </si>
  <si>
    <t>Estimate: Median earnings in the past 12 months in 2019 inflation-adjusted dollars: Male</t>
  </si>
  <si>
    <t>Median earnings in the past 12 months in 2020 inflation-adjusted dollars: Male</t>
  </si>
  <si>
    <t>Estimate: Median earnings in the past 12 months in 2020 inflation-adjusted dollars: Male</t>
  </si>
  <si>
    <t>Median earnings in the past 12 months in 2021 inflation-adjusted dollars: Male</t>
  </si>
  <si>
    <t>Estimate: Median earnings in the past 12 months in 2021 inflation-adjusted dollars: Male</t>
  </si>
  <si>
    <t>Median earnings in the past 12 months in 2022 inflation-adjusted dollars: Male</t>
  </si>
  <si>
    <t>Estimate: Median earnings in the past 12 months in 2022 inflation-adjusted dollars: Male</t>
  </si>
  <si>
    <t>Median earnings in the past 12 months in 2023 inflation-adjusted dollars: Male</t>
  </si>
  <si>
    <t>Estimate: Median earnings in the past 12 months in 2023 inflation-adjusted dollars: Male</t>
  </si>
  <si>
    <t>Median earnings in the past 12 months in 2024 inflation-adjusted dollars: Male</t>
  </si>
  <si>
    <t>Estimate: Median earnings in the past 12 months in 2024 inflation-adjusted dollars: Male</t>
  </si>
  <si>
    <t>B20002_003E</t>
  </si>
  <si>
    <t>Median earnings in the past 12 months in 2010 inflation-adjusted dollars: Female</t>
  </si>
  <si>
    <t>Estimate: Median earnings in the past 12 months in 2010 inflation-adjusted dollars: Female</t>
  </si>
  <si>
    <t>B20002_003EA,B20002_003M,B20002_003MA</t>
  </si>
  <si>
    <t>Median earnings in the past 12 months in 2011 inflation-adjusted dollars: Female</t>
  </si>
  <si>
    <t>Estimate: Median earnings in the past 12 months in 2011 inflation-adjusted dollars: Female</t>
  </si>
  <si>
    <t>Median earnings in the past 12 months in 2012 inflation-adjusted dollars: Female</t>
  </si>
  <si>
    <t>Estimate: Median earnings in the past 12 months in 2012 inflation-adjusted dollars: Female</t>
  </si>
  <si>
    <t>Median earnings in the past 12 months in 2013 inflation-adjusted dollars: Female</t>
  </si>
  <si>
    <t>Estimate: Median earnings in the past 12 months in 2013 inflation-adjusted dollars: Female</t>
  </si>
  <si>
    <t>Median earnings in the past 12 months in 2014 Inflation-adjusted dollars: Female</t>
  </si>
  <si>
    <t>Estimate: Median earnings in the past 12 months in 2014 Inflation-adjusted dollars: Female</t>
  </si>
  <si>
    <t>Median earnings in the past 12 months in 2015 Inflation-adjusted dollars: Female</t>
  </si>
  <si>
    <t>Estimate: Median earnings in the past 12 months in 2015 Inflation-adjusted dollars: Female</t>
  </si>
  <si>
    <t>Median earnings in the past 12 months in 2016 inflation-adjusted dollars: Female</t>
  </si>
  <si>
    <t>Estimate: Median earnings in the past 12 months in 2016 inflation-adjusted dollars: Female</t>
  </si>
  <si>
    <t>Median earnings in the past 12 months in 2017 inflation-adjusted dollars: Female</t>
  </si>
  <si>
    <t>Estimate: Median earnings in the past 12 months in 2017 inflation-adjusted dollars: Female</t>
  </si>
  <si>
    <t>Median earnings in the past 12 months in 2018 inflation-adjusted dollars: Female</t>
  </si>
  <si>
    <t>Estimate: Median earnings in the past 12 months in 2018 inflation-adjusted dollars: Female</t>
  </si>
  <si>
    <t>Median earnings in the past 12 months in 2019 inflation-adjusted dollars: Female</t>
  </si>
  <si>
    <t>Estimate: Median earnings in the past 12 months in 2019 inflation-adjusted dollars: Female</t>
  </si>
  <si>
    <t>Median earnings in the past 12 months in 2020 inflation-adjusted dollars: Female</t>
  </si>
  <si>
    <t>Estimate: Median earnings in the past 12 months in 2020 inflation-adjusted dollars: Female</t>
  </si>
  <si>
    <t>Median earnings in the past 12 months in 2021 inflation-adjusted dollars: Female</t>
  </si>
  <si>
    <t>Estimate: Median earnings in the past 12 months in 2021 inflation-adjusted dollars: Female</t>
  </si>
  <si>
    <t>Median earnings in the past 12 months in 2022 inflation-adjusted dollars: Female</t>
  </si>
  <si>
    <t>Estimate: Median earnings in the past 12 months in 2022 inflation-adjusted dollars: Female</t>
  </si>
  <si>
    <t>Median earnings in the past 12 months in 2023 inflation-adjusted dollars: Female</t>
  </si>
  <si>
    <t>Estimate: Median earnings in the past 12 months in 2023 inflation-adjusted dollars: Female</t>
  </si>
  <si>
    <t>Median earnings in the past 12 months in 2024 inflation-adjusted dollars: Female</t>
  </si>
  <si>
    <t>Estimate: Median earnings in the past 12 months in 2024 inflation-adjusted dollars: Female</t>
  </si>
  <si>
    <t>B20003</t>
  </si>
  <si>
    <t>B20003_001E</t>
  </si>
  <si>
    <t>AGGREGATE EARNINGS IN THE PAST 12 MONTHS (IN 2010 INFLATION-ADJUSTED DOLLARS) BY SEX BY WORK EXPERIENCE FOR THE POPULATION 16 YEARS AND OVER WITH EARNINGS</t>
  </si>
  <si>
    <t>B20003_001EA,B20003_001M,B20003_001MA</t>
  </si>
  <si>
    <t>AGGREGATE EARNINGS IN THE PAST 12 MONTHS (IN 2011 INFLATION-ADJUSTED DOLLARS) BY SEX BY WORK EXPERIENCE FOR THE POPULATION 16 YEARS AND OVER WITH EARNINGS</t>
  </si>
  <si>
    <t>AGGREGATE EARNINGS IN THE PAST 12 MONTHS (IN 2012 INFLATION-ADJUSTED DOLLARS) BY SEX BY WORK EXPERIENCE FOR THE POPULATION 16 YEARS AND OVER WITH EARNINGS</t>
  </si>
  <si>
    <t>AGGREGATE EARNINGS IN THE PAST 12 MONTHS (IN 2013 INFLATION-ADJUSTED DOLLARS) BY SEX BY WORK EXPERIENCE FOR THE POPULATION 16 YEARS AND OVER WITH EARNINGS</t>
  </si>
  <si>
    <t>AGGREGATE EARNINGS IN THE PAST 12 MONTHS (IN 2014 INFLATION-ADJUSTED DOLLARS) BY SEX BY WORK EXPERIENCE FOR THE POPULATION 16 YEARS AND OVER WITH EARNINGS</t>
  </si>
  <si>
    <t>AGGREGATE EARNINGS IN THE PAST 12 MONTHS (IN 2015 INFLATION-ADJUSTED DOLLARS) BY SEX BY WORK EXPERIENCE FOR THE POPULATION 16 YEARS AND OVER WITH EARNINGS</t>
  </si>
  <si>
    <t>AGGREGATE EARNINGS IN THE PAST 12 MONTHS (IN 2016 INFLATION-ADJUSTED DOLLARS) BY SEX BY WORK EXPERIENCE FOR THE POPULATION 16 YEARS AND OVER WITH EARNINGS</t>
  </si>
  <si>
    <t>AGGREGATE EARNINGS IN THE PAST 12 MONTHS (IN 2017 INFLATION-ADJUSTED DOLLARS) BY SEX BY WORK EXPERIENCE FOR THE POPULATION 16 YEARS AND OVER WITH EARNINGS</t>
  </si>
  <si>
    <t>AGGREGATE EARNINGS IN THE PAST 12 MONTHS (IN 2018 INFLATION-ADJUSTED DOLLARS) BY SEX BY WORK EXPERIENCE FOR THE POPULATION 16 YEARS AND OVER WITH EARNINGS</t>
  </si>
  <si>
    <t>AGGREGATE EARNINGS IN THE PAST 12 MONTHS (IN 2019 INFLATION-ADJUSTED DOLLARS) BY SEX BY WORK EXPERIENCE FOR THE POPULATION 16 YEARS AND OVER WITH EARNINGS</t>
  </si>
  <si>
    <t>AGGREGATE EARNINGS IN THE PAST 12 MONTHS (IN 2020 INFLATION-ADJUSTED DOLLARS) BY SEX BY WORK EXPERIENCE FOR THE POPULATION 16 YEARS AND OVER WITH EARNINGS</t>
  </si>
  <si>
    <t>AGGREGATE EARNINGS IN THE PAST 12 MONTHS (IN 2021 INFLATION-ADJUSTED DOLLARS) BY SEX BY WORK EXPERIENCE FOR THE POPULATION 16 YEARS AND OVER WITH EARNINGS</t>
  </si>
  <si>
    <t>Aggregate Earnings in the Past 12 Months (in 2022 Inflation-Adjusted Dollars) by Sex by Work Experience for the Population 16 Years and Over With Earnings</t>
  </si>
  <si>
    <t>Aggregate Earnings in the Past 12 Months (in 2023 Inflation-Adjusted Dollars) by Sex by Work Experience for the Population 16 Years and Over With Earnings</t>
  </si>
  <si>
    <t>Aggregate Earnings in the Past 12 Months (in 2024 Inflation-Adjusted Dollars) by Sex by Work Experience for the Population 16 Years and Over With Earnings</t>
  </si>
  <si>
    <t>B20003_002E</t>
  </si>
  <si>
    <t>Aggregate earnings in the past 12 months in 2010 inflation-adjusted dollars: Male</t>
  </si>
  <si>
    <t>Estimate: Aggregate earnings in the past 12 months in 2010 inflation-adjusted dollars: Male</t>
  </si>
  <si>
    <t>B20003_002EA,B20003_002M,B20003_002MA</t>
  </si>
  <si>
    <t>Aggregate earnings in the past 12 months in 2011 inflation-adjusted dollars: Male</t>
  </si>
  <si>
    <t>Estimate: Aggregate earnings in the past 12 months in 2011 inflation-adjusted dollars: Male</t>
  </si>
  <si>
    <t>Aggregate earnings in the past 12 months in 2012 inflation-adjusted dollars: Male</t>
  </si>
  <si>
    <t>Estimate: Aggregate earnings in the past 12 months in 2012 inflation-adjusted dollars: Male</t>
  </si>
  <si>
    <t>Aggregate earnings in the past 12 months in 2013 inflation-adjusted dollars: Male</t>
  </si>
  <si>
    <t>Estimate: Aggregate earnings in the past 12 months in 2013 inflation-adjusted dollars: Male</t>
  </si>
  <si>
    <t>Aggregate earnings in the past 12 months in 2014 Inflation-adjusted dollars: Male</t>
  </si>
  <si>
    <t>Estimate: Aggregate earnings in the past 12 months in 2014 Inflation-adjusted dollars: Male</t>
  </si>
  <si>
    <t>Aggregate earnings in the past 12 months in 2015 Inflation-adjusted dollars: Male</t>
  </si>
  <si>
    <t>Estimate: Aggregate earnings in the past 12 months in 2015 Inflation-adjusted dollars: Male</t>
  </si>
  <si>
    <t>Aggregate earnings in the past 12 months in 2016 inflation-adjusted dollars: Male</t>
  </si>
  <si>
    <t>Estimate: Aggregate earnings in the past 12 months in 2016 inflation-adjusted dollars: Male</t>
  </si>
  <si>
    <t>Aggregate earnings in the past 12 months in 2017 inflation-adjusted dollars: Male</t>
  </si>
  <si>
    <t>Estimate: Aggregate earnings in the past 12 months in 2017 inflation-adjusted dollars: Male</t>
  </si>
  <si>
    <t>Aggregate earnings in the past 12 months in 2018 inflation-adjusted dollars: Male</t>
  </si>
  <si>
    <t>Estimate: Aggregate earnings in the past 12 months in 2018 inflation-adjusted dollars: Male</t>
  </si>
  <si>
    <t>Aggregate earnings in the past 12 months in 2019 inflation-adjusted dollars: Male</t>
  </si>
  <si>
    <t>Estimate: Aggregate earnings in the past 12 months in 2019 inflation-adjusted dollars: Male</t>
  </si>
  <si>
    <t>Aggregate earnings in the past 12 months in 2020 inflation-adjusted dollars: Male</t>
  </si>
  <si>
    <t>Estimate: Aggregate earnings in the past 12 months in 2020 inflation-adjusted dollars: Male</t>
  </si>
  <si>
    <t>Aggregate earnings in the past 12 months in 2021 inflation-adjusted dollars: Male</t>
  </si>
  <si>
    <t>Estimate: Aggregate earnings in the past 12 months in 2021 inflation-adjusted dollars: Male</t>
  </si>
  <si>
    <t>Aggregate earnings in the past 12 months in 2022 inflation-adjusted dollars: Male</t>
  </si>
  <si>
    <t>Estimate: Aggregate earnings in the past 12 months in 2022 inflation-adjusted dollars: Male</t>
  </si>
  <si>
    <t>Aggregate earnings in the past 12 months in 2023 inflation-adjusted dollars: Male</t>
  </si>
  <si>
    <t>Estimate: Aggregate earnings in the past 12 months in 2023 inflation-adjusted dollars: Male</t>
  </si>
  <si>
    <t>Aggregate earnings in the past 12 months in 2024 inflation-adjusted dollars: Male</t>
  </si>
  <si>
    <t>Estimate: Aggregate earnings in the past 12 months in 2024 inflation-adjusted dollars: Male</t>
  </si>
  <si>
    <t>B20003_003E</t>
  </si>
  <si>
    <t>Aggregate earnings in the past 12 months in 2010 inflation-adjusted dollars: Male: Worked full-time year-round in the past 12 months</t>
  </si>
  <si>
    <t>Estimate: Aggregate earnings in the past 12 months in 2010 inflation-adjusted dollars: Male: Worked full-time year-round in the past 12 months</t>
  </si>
  <si>
    <t>B20003_003EA,B20003_003M,B20003_003MA</t>
  </si>
  <si>
    <t>Aggregate earnings in the past 12 months in 2011 inflation-adjusted dollars: Male: Worked full-time year-round in the past 12 months</t>
  </si>
  <si>
    <t>Estimate: Aggregate earnings in the past 12 months in 2011 inflation-adjusted dollars: Male: Worked full-time year-round in the past 12 months</t>
  </si>
  <si>
    <t>Aggregate earnings in the past 12 months in 2012 inflation-adjusted dollars: Male: Worked full-time year-round in the past 12 months</t>
  </si>
  <si>
    <t>Estimate: Aggregate earnings in the past 12 months in 2012 inflation-adjusted dollars: Male: Worked full-time year-round in the past 12 months</t>
  </si>
  <si>
    <t>Aggregate earnings in the past 12 months in 2013 inflation-adjusted dollars: Male: Worked full-time year-round in the past 12 months</t>
  </si>
  <si>
    <t>Estimate: Aggregate earnings in the past 12 months in 2013 inflation-adjusted dollars: Male: Worked full-time year-round in the past 12 months</t>
  </si>
  <si>
    <t>Aggregate earnings in the past 12 months in 2014 Inflation-adjusted dollars: Male: Worked full-time year-round in the past 12 months</t>
  </si>
  <si>
    <t>Estimate: Aggregate earnings in the past 12 months in 2014 Inflation-adjusted dollars: Male: Worked full-time year-round in the past 12 months</t>
  </si>
  <si>
    <t>Aggregate earnings in the past 12 months in 2015 Inflation-adjusted dollars: Male: Worked full-time year-round in the past 12 months</t>
  </si>
  <si>
    <t>Estimate: Aggregate earnings in the past 12 months in 2015 Inflation-adjusted dollars: Male: Worked full-time year-round in the past 12 months</t>
  </si>
  <si>
    <t>Aggregate earnings in the past 12 months in 2016 inflation-adjusted dollars: Male: Worked full-time year-round in the past 12 months</t>
  </si>
  <si>
    <t>Estimate: Aggregate earnings in the past 12 months in 2016 inflation-adjusted dollars: Male: Worked full-time year-round in the past 12 months</t>
  </si>
  <si>
    <t>Aggregate earnings in the past 12 months in 2017 inflation-adjusted dollars: Male: Worked full-time year-round in the past 12 months</t>
  </si>
  <si>
    <t>Estimate: Aggregate earnings in the past 12 months in 2017 inflation-adjusted dollars: Male: Worked full-time year-round in the past 12 months</t>
  </si>
  <si>
    <t>Aggregate earnings in the past 12 months in 2018 inflation-adjusted dollars: Male: Worked full-time year-round in the past 12 months</t>
  </si>
  <si>
    <t>Estimate: Aggregate earnings in the past 12 months in 2018 inflation-adjusted dollars: Male: Worked full-time year-round in the past 12 months</t>
  </si>
  <si>
    <t>Aggregate earnings in the past 12 months in 2019 inflation-adjusted dollars: Male: Worked full-time year-round in the past 12 months</t>
  </si>
  <si>
    <t>Estimate: Aggregate earnings in the past 12 months in 2019 inflation-adjusted dollars: Male: Worked full-time year-round in the past 12 months</t>
  </si>
  <si>
    <t>Aggregate earnings in the past 12 months in 2020 inflation-adjusted dollars: Male: Worked full-time year-round in the past 12 months</t>
  </si>
  <si>
    <t>Estimate: Aggregate earnings in the past 12 months in 2020 inflation-adjusted dollars: Male: Worked full-time year-round in the past 12 months</t>
  </si>
  <si>
    <t>Aggregate earnings in the past 12 months in 2021 inflation-adjusted dollars: Male: Worked full-time year-round in the past 12 months</t>
  </si>
  <si>
    <t>Estimate: Aggregate earnings in the past 12 months in 2021 inflation-adjusted dollars: Male: Worked full-time year-round in the past 12 months</t>
  </si>
  <si>
    <t>Aggregate earnings in the past 12 months in 2022 inflation-adjusted dollars: Male: Worked full-time year-round in the past 12 months</t>
  </si>
  <si>
    <t>Estimate: Aggregate earnings in the past 12 months in 2022 inflation-adjusted dollars: Male: Worked full-time year-round in the past 12 months</t>
  </si>
  <si>
    <t>Aggregate earnings in the past 12 months in 2023 inflation-adjusted dollars: Male: Worked full-time year-round in the past 12 months</t>
  </si>
  <si>
    <t>Estimate: Aggregate earnings in the past 12 months in 2023 inflation-adjusted dollars: Male: Worked full-time year-round in the past 12 months</t>
  </si>
  <si>
    <t>Aggregate earnings in the past 12 months in 2024 inflation-adjusted dollars: Male: Worked full-time year-round in the past 12 months</t>
  </si>
  <si>
    <t>Estimate: Aggregate earnings in the past 12 months in 2024 inflation-adjusted dollars: Male: Worked full-time year-round in the past 12 months</t>
  </si>
  <si>
    <t>B20003_005E</t>
  </si>
  <si>
    <t>Aggregate earnings in the past 12 months in 2010 inflation-adjusted dollars: Female</t>
  </si>
  <si>
    <t>Estimate: Aggregate earnings in the past 12 months in 2010 inflation-adjusted dollars: Female</t>
  </si>
  <si>
    <t>B20003_005EA,B20003_005M,B20003_005MA</t>
  </si>
  <si>
    <t>Aggregate earnings in the past 12 months in 2011 inflation-adjusted dollars: Female</t>
  </si>
  <si>
    <t>Estimate: Aggregate earnings in the past 12 months in 2011 inflation-adjusted dollars: Female</t>
  </si>
  <si>
    <t>Aggregate earnings in the past 12 months in 2012 inflation-adjusted dollars: Female</t>
  </si>
  <si>
    <t>Estimate: Aggregate earnings in the past 12 months in 2012 inflation-adjusted dollars: Female</t>
  </si>
  <si>
    <t>Aggregate earnings in the past 12 months in 2013 inflation-adjusted dollars: Female</t>
  </si>
  <si>
    <t>Estimate: Aggregate earnings in the past 12 months in 2013 inflation-adjusted dollars: Female</t>
  </si>
  <si>
    <t>Aggregate earnings in the past 12 months in 2014 Inflation-adjusted dollars: Female</t>
  </si>
  <si>
    <t>Estimate: Aggregate earnings in the past 12 months in 2014 Inflation-adjusted dollars: Female</t>
  </si>
  <si>
    <t>Aggregate earnings in the past 12 months in 2015 Inflation-adjusted dollars: Female</t>
  </si>
  <si>
    <t>Estimate: Aggregate earnings in the past 12 months in 2015 Inflation-adjusted dollars: Female</t>
  </si>
  <si>
    <t>Aggregate earnings in the past 12 months in 2016 inflation-adjusted dollars: Female</t>
  </si>
  <si>
    <t>Estimate: Aggregate earnings in the past 12 months in 2016 inflation-adjusted dollars: Female</t>
  </si>
  <si>
    <t>Aggregate earnings in the past 12 months in 2017 inflation-adjusted dollars: Female</t>
  </si>
  <si>
    <t>Estimate: Aggregate earnings in the past 12 months in 2017 inflation-adjusted dollars: Female</t>
  </si>
  <si>
    <t>Aggregate earnings in the past 12 months in 2018 inflation-adjusted dollars: Female</t>
  </si>
  <si>
    <t>Estimate: Aggregate earnings in the past 12 months in 2018 inflation-adjusted dollars: Female</t>
  </si>
  <si>
    <t>Aggregate earnings in the past 12 months in 2019 inflation-adjusted dollars: Female</t>
  </si>
  <si>
    <t>Estimate: Aggregate earnings in the past 12 months in 2019 inflation-adjusted dollars: Female</t>
  </si>
  <si>
    <t>Aggregate earnings in the past 12 months in 2020 inflation-adjusted dollars: Female</t>
  </si>
  <si>
    <t>Estimate: Aggregate earnings in the past 12 months in 2020 inflation-adjusted dollars: Female</t>
  </si>
  <si>
    <t>Aggregate earnings in the past 12 months in 2021 inflation-adjusted dollars: Female</t>
  </si>
  <si>
    <t>Estimate: Aggregate earnings in the past 12 months in 2021 inflation-adjusted dollars: Female</t>
  </si>
  <si>
    <t>Aggregate earnings in the past 12 months in 2022 inflation-adjusted dollars: Female</t>
  </si>
  <si>
    <t>Estimate: Aggregate earnings in the past 12 months in 2022 inflation-adjusted dollars: Female</t>
  </si>
  <si>
    <t>Aggregate earnings in the past 12 months in 2023 inflation-adjusted dollars: Female</t>
  </si>
  <si>
    <t>Estimate: Aggregate earnings in the past 12 months in 2023 inflation-adjusted dollars: Female</t>
  </si>
  <si>
    <t>Aggregate earnings in the past 12 months in 2024 inflation-adjusted dollars: Female</t>
  </si>
  <si>
    <t>Estimate: Aggregate earnings in the past 12 months in 2024 inflation-adjusted dollars: Female</t>
  </si>
  <si>
    <t>B20003_006E</t>
  </si>
  <si>
    <t>Aggregate earnings in the past 12 months in 2010 inflation-adjusted dollars: Female: Worked full-time year-round in the past 12 months</t>
  </si>
  <si>
    <t>Estimate: Aggregate earnings in the past 12 months in 2010 inflation-adjusted dollars: Female: Worked full-time year-round in the past 12 months</t>
  </si>
  <si>
    <t>B20003_006EA,B20003_006M,B20003_006MA</t>
  </si>
  <si>
    <t>Aggregate earnings in the past 12 months in 2011 inflation-adjusted dollars: Female: Worked full-time year-round in the past 12 months</t>
  </si>
  <si>
    <t>Estimate: Aggregate earnings in the past 12 months in 2011 inflation-adjusted dollars: Female: Worked full-time year-round in the past 12 months</t>
  </si>
  <si>
    <t>Aggregate earnings in the past 12 months in 2012 inflation-adjusted dollars: Female: Worked full-time year-round in the past 12 months</t>
  </si>
  <si>
    <t>Estimate: Aggregate earnings in the past 12 months in 2012 inflation-adjusted dollars: Female: Worked full-time year-round in the past 12 months</t>
  </si>
  <si>
    <t>Aggregate earnings in the past 12 months in 2013 inflation-adjusted dollars: Female: Worked full-time year-round in the past 12 months</t>
  </si>
  <si>
    <t>Estimate: Aggregate earnings in the past 12 months in 2013 inflation-adjusted dollars: Female: Worked full-time year-round in the past 12 months</t>
  </si>
  <si>
    <t>Aggregate earnings in the past 12 months in 2014 Inflation-adjusted dollars: Female: Worked full-time year-round in the past 12 months</t>
  </si>
  <si>
    <t>Estimate: Aggregate earnings in the past 12 months in 2014 Inflation-adjusted dollars: Female: Worked full-time year-round in the past 12 months</t>
  </si>
  <si>
    <t>Aggregate earnings in the past 12 months in 2015 Inflation-adjusted dollars: Female: Worked full-time year-round in the past 12 months</t>
  </si>
  <si>
    <t>Estimate: Aggregate earnings in the past 12 months in 2015 Inflation-adjusted dollars: Female: Worked full-time year-round in the past 12 months</t>
  </si>
  <si>
    <t>Aggregate earnings in the past 12 months in 2016 inflation-adjusted dollars: Female: Worked full-time year-round in the past 12 months</t>
  </si>
  <si>
    <t>Estimate: Aggregate earnings in the past 12 months in 2016 inflation-adjusted dollars: Female: Worked full-time year-round in the past 12 months</t>
  </si>
  <si>
    <t>Aggregate earnings in the past 12 months in 2017 inflation-adjusted dollars: Female: Worked full-time year-round in the past 12 months</t>
  </si>
  <si>
    <t>Estimate: Aggregate earnings in the past 12 months in 2017 inflation-adjusted dollars: Female: Worked full-time year-round in the past 12 months</t>
  </si>
  <si>
    <t>Aggregate earnings in the past 12 months in 2018 inflation-adjusted dollars: Female: Worked full-time year-round in the past 12 months</t>
  </si>
  <si>
    <t>Estimate: Aggregate earnings in the past 12 months in 2018 inflation-adjusted dollars: Female: Worked full-time year-round in the past 12 months</t>
  </si>
  <si>
    <t>Aggregate earnings in the past 12 months in 2019 inflation-adjusted dollars: Female: Worked full-time year-round in the past 12 months</t>
  </si>
  <si>
    <t>Estimate: Aggregate earnings in the past 12 months in 2019 inflation-adjusted dollars: Female: Worked full-time year-round in the past 12 months</t>
  </si>
  <si>
    <t>Aggregate earnings in the past 12 months in 2020 inflation-adjusted dollars: Female: Worked full-time year-round in the past 12 months</t>
  </si>
  <si>
    <t>Estimate: Aggregate earnings in the past 12 months in 2020 inflation-adjusted dollars: Female: Worked full-time year-round in the past 12 months</t>
  </si>
  <si>
    <t>Aggregate earnings in the past 12 months in 2021 inflation-adjusted dollars: Female: Worked full-time year-round in the past 12 months</t>
  </si>
  <si>
    <t>Estimate: Aggregate earnings in the past 12 months in 2021 inflation-adjusted dollars: Female: Worked full-time year-round in the past 12 months</t>
  </si>
  <si>
    <t>Aggregate earnings in the past 12 months in 2022 inflation-adjusted dollars: Female: Worked full-time year-round in the past 12 months</t>
  </si>
  <si>
    <t>Estimate: Aggregate earnings in the past 12 months in 2022 inflation-adjusted dollars: Female: Worked full-time year-round in the past 12 months</t>
  </si>
  <si>
    <t>Aggregate earnings in the past 12 months in 2023 inflation-adjusted dollars: Female: Worked full-time year-round in the past 12 months</t>
  </si>
  <si>
    <t>Estimate: Aggregate earnings in the past 12 months in 2023 inflation-adjusted dollars: Female: Worked full-time year-round in the past 12 months</t>
  </si>
  <si>
    <t>Aggregate earnings in the past 12 months in 2024 inflation-adjusted dollars: Female: Worked full-time year-round in the past 12 months</t>
  </si>
  <si>
    <t>Estimate: Aggregate earnings in the past 12 months in 2024 inflation-adjusted dollars: Female: Worked full-time year-round in the past 12 months</t>
  </si>
  <si>
    <t>B19101</t>
  </si>
  <si>
    <t>B19101_001E</t>
  </si>
  <si>
    <t>E15</t>
  </si>
  <si>
    <t>Family Income in Dollars</t>
  </si>
  <si>
    <t>FAMILY INCOME IN THE PAST 12 MONTHS (IN 2010 INFLATION-ADJUSTED DOLLARS)</t>
  </si>
  <si>
    <t>B19101_001EA,B19101_001M,B19101_001MA</t>
  </si>
  <si>
    <t>B19101_002E</t>
  </si>
  <si>
    <t>B19101_002EA,B19101_002M,B19101_002MA</t>
  </si>
  <si>
    <t>B19101_003E</t>
  </si>
  <si>
    <t>B19101_003EA,B19101_003M,B19101_003MA</t>
  </si>
  <si>
    <t>B19101_004E</t>
  </si>
  <si>
    <t>B19101_004EA,B19101_004M,B19101_004MA</t>
  </si>
  <si>
    <t>B19101_005E</t>
  </si>
  <si>
    <t>B19101_005EA,B19101_005M,B19101_005MA</t>
  </si>
  <si>
    <t>B19101_006E</t>
  </si>
  <si>
    <t>B19101_006EA,B19101_006M,B19101_006MA</t>
  </si>
  <si>
    <t>B19101_007E</t>
  </si>
  <si>
    <t>B19101_007EA,B19101_007M,B19101_007MA</t>
  </si>
  <si>
    <t>B19101_008E</t>
  </si>
  <si>
    <t>B19101_008EA,B19101_008M,B19101_008MA</t>
  </si>
  <si>
    <t>B19101_009E</t>
  </si>
  <si>
    <t>B19101_009EA,B19101_009M,B19101_009MA</t>
  </si>
  <si>
    <t>B19101_010E</t>
  </si>
  <si>
    <t>B19101_010EA,B19101_010M,B19101_010MA</t>
  </si>
  <si>
    <t>B19101_011E</t>
  </si>
  <si>
    <t>B19101_011EA,B19101_011M,B19101_011MA</t>
  </si>
  <si>
    <t>B19101_012E</t>
  </si>
  <si>
    <t>B19101_012EA,B19101_012M,B19101_012MA</t>
  </si>
  <si>
    <t>B19101_013E</t>
  </si>
  <si>
    <t>B19101_013EA,B19101_013M,B19101_013MA</t>
  </si>
  <si>
    <t>B19101_014E</t>
  </si>
  <si>
    <t>B19101_014EA,B19101_014M,B19101_014MA</t>
  </si>
  <si>
    <t>B19101_015E</t>
  </si>
  <si>
    <t>B19101_015EA,B19101_015M,B19101_015MA</t>
  </si>
  <si>
    <t>B19101_016E</t>
  </si>
  <si>
    <t>B19101_016EA,B19101_016M,B19101_016MA</t>
  </si>
  <si>
    <t>B19101_017E</t>
  </si>
  <si>
    <t>B19101_017EA,B19101_017M,B19101_017MA</t>
  </si>
  <si>
    <t>B27</t>
  </si>
  <si>
    <t>B27010</t>
  </si>
  <si>
    <t>B27010_001E</t>
  </si>
  <si>
    <t>Civilian non-institutionalized population</t>
  </si>
  <si>
    <t>E16</t>
  </si>
  <si>
    <t>Health Insurance Coverage by Age</t>
  </si>
  <si>
    <t>TYPES OF HEALTH INSURANCE COVERAGE BY AGE</t>
  </si>
  <si>
    <t>B27010_001EA,B27010_001M,B27010_001MA</t>
  </si>
  <si>
    <t>2013, 2014, 2015, 2016</t>
  </si>
  <si>
    <t>B27010_002E</t>
  </si>
  <si>
    <t>Under 18 years</t>
  </si>
  <si>
    <t>Estimate: Total: Under 18 years</t>
  </si>
  <si>
    <t>B27010_002EA,B27010_002M,B27010_002MA</t>
  </si>
  <si>
    <t>Under 19 years</t>
  </si>
  <si>
    <t>Estimate: Total: Under 19 years</t>
  </si>
  <si>
    <t>B27010_003E</t>
  </si>
  <si>
    <t>Under 18 years: With one type of health insurance coverage</t>
  </si>
  <si>
    <t>Estimate: Total: Under 18 years: With one type of health insurance coverage</t>
  </si>
  <si>
    <t>B27010_003EA,B27010_003M,B27010_003MA</t>
  </si>
  <si>
    <t>Under 19 years: With one type of health insurance coverage</t>
  </si>
  <si>
    <t>Estimate: Total: Under 19 years: With one type of health insurance coverage</t>
  </si>
  <si>
    <t>B27010_004E</t>
  </si>
  <si>
    <t>Under 18 years: With one type of health insurance coverage: With employer-based health insurance only</t>
  </si>
  <si>
    <t>Estimate: Total: Under 18 years: With one type of health insurance coverage: With employer-based health insurance only</t>
  </si>
  <si>
    <t>B27010_004EA,B27010_004M,B27010_004MA</t>
  </si>
  <si>
    <t>Under 19 years: With one type of health insurance coverage: With employer-based health insurance only</t>
  </si>
  <si>
    <t>Estimate: Total: Under 19 years: With one type of health insurance coverage: With employer-based health insurance only</t>
  </si>
  <si>
    <t>B27010_005E</t>
  </si>
  <si>
    <t>Under 18 years: With one type of health insurance coverage: With direct-purchase health insurance only</t>
  </si>
  <si>
    <t>Estimate: Total: Under 18 years: With one type of health insurance coverage: With direct-purchase health insurance only</t>
  </si>
  <si>
    <t>B27010_005EA,B27010_005M,B27010_005MA</t>
  </si>
  <si>
    <t>Under 19 years: With one type of health insurance coverage: With direct-purchase health insurance only</t>
  </si>
  <si>
    <t>Estimate: Total: Under 19 years: With one type of health insurance coverage: With direct-purchase health insurance only</t>
  </si>
  <si>
    <t>B27010_006E</t>
  </si>
  <si>
    <t>Under 18 years: With one type of health insurance coverage: With Medicare coverage only</t>
  </si>
  <si>
    <t>Estimate: Total: Under 18 years: With one type of health insurance coverage: With Medicare coverage only</t>
  </si>
  <si>
    <t>B27010_006EA,B27010_006M,B27010_006MA</t>
  </si>
  <si>
    <t>Under 19 years: With one type of health insurance coverage: With Medicare coverage only</t>
  </si>
  <si>
    <t>Estimate: Total: Under 19 years: With one type of health insurance coverage: With Medicare coverage only</t>
  </si>
  <si>
    <t>B27010_007E</t>
  </si>
  <si>
    <t>Under 18 years: With one type of health insurance coverage: With Medicaidmeans-tested public coverage only</t>
  </si>
  <si>
    <t>Estimate: Total: Under 18 years: With one type of health insurance coverage: With Medicaidmeans-tested public coverage only</t>
  </si>
  <si>
    <t>B27010_007EA,B27010_007M,B27010_007MA</t>
  </si>
  <si>
    <t>Under 19 years: With one type of health insurance coverage: With Medicaidmeans-tested public coverage only</t>
  </si>
  <si>
    <t>Estimate: Total: Under 19 years: With one type of health insurance coverage: With Medicaidmeans-tested public coverage only</t>
  </si>
  <si>
    <t>B27010_008E</t>
  </si>
  <si>
    <t>Under 18 years: With one type of health insurance coverage: With TRICAREmilitary health coverage only</t>
  </si>
  <si>
    <t>Estimate: Total: Under 18 years: With one type of health insurance coverage: With TRICAREmilitary health coverage only</t>
  </si>
  <si>
    <t>B27010_008EA,B27010_008M,B27010_008MA</t>
  </si>
  <si>
    <t>Under 19 years: With one type of health insurance coverage: With TRICAREmilitary health coverage only</t>
  </si>
  <si>
    <t>Estimate: Total: Under 19 years: With one type of health insurance coverage: With TRICAREmilitary health coverage only</t>
  </si>
  <si>
    <t>B27010_009E</t>
  </si>
  <si>
    <t>Under 18 years: With one type of health insurance coverage: With VA Health Care only</t>
  </si>
  <si>
    <t>Estimate: Total: Under 18 years: With one type of health insurance coverage: With VA Health Care only</t>
  </si>
  <si>
    <t>B27010_009EA,B27010_009M,B27010_009MA</t>
  </si>
  <si>
    <t>Under 19 years: With one type of health insurance coverage: With VA Health Care only</t>
  </si>
  <si>
    <t>Estimate: Total: Under 19 years: With one type of health insurance coverage: With VA Health Care only</t>
  </si>
  <si>
    <t>B27010_010E</t>
  </si>
  <si>
    <t>Under 18 years: With two or more types of health insurance coverage</t>
  </si>
  <si>
    <t>Estimate: Total: Under 18 years: With two or more types of health insurance coverage</t>
  </si>
  <si>
    <t>B27010_010EA,B27010_010M,B27010_010MA</t>
  </si>
  <si>
    <t>Under 19 years: With two or more types of health insurance coverage</t>
  </si>
  <si>
    <t>Estimate: Total: Under 19 years: With two or more types of health insurance coverage</t>
  </si>
  <si>
    <t>B27010_011E</t>
  </si>
  <si>
    <t>Under 18 years: With two or more types of health insurance coverage: With employer-based and direct-purchase coverage</t>
  </si>
  <si>
    <t>Estimate: Total: Under 18 years: With two or more types of health insurance coverage: With employer-based and direct-purchase coverage</t>
  </si>
  <si>
    <t>B27010_011EA,B27010_011M,B27010_011MA</t>
  </si>
  <si>
    <t>Under 19 years: With two or more types of health insurance coverage: With employer-based and direct-purchase coverage</t>
  </si>
  <si>
    <t>Estimate: Total: Under 19 years: With two or more types of health insurance coverage: With employer-based and direct-purchase coverage</t>
  </si>
  <si>
    <t>B27010_012E</t>
  </si>
  <si>
    <t>Under 18 years: With two or more types of health insurance coverage: With employer-based and Medicare coverage</t>
  </si>
  <si>
    <t>Estimate: Total: Under 18 years: With two or more types of health insurance coverage: With employer-based and Medicare coverage</t>
  </si>
  <si>
    <t>B27010_012EA,B27010_012M,B27010_012MA</t>
  </si>
  <si>
    <t>Under 19 years: With two or more types of health insurance coverage: With employer-based and Medicare coverage</t>
  </si>
  <si>
    <t>Estimate: Total: Under 19 years: With two or more types of health insurance coverage: With employer-based and Medicare coverage</t>
  </si>
  <si>
    <t>B27010_013E</t>
  </si>
  <si>
    <t>Under 18 years: With two or more types of health insurance coverage: With Medicare and Medicaidmeans-tested public coverage</t>
  </si>
  <si>
    <t>Estimate: Total: Under 18 years: With two or more types of health insurance coverage: With Medicare and Medicaidmeans-tested public coverage</t>
  </si>
  <si>
    <t>B27010_013EA,B27010_013M,B27010_013MA</t>
  </si>
  <si>
    <t>Under 19 years: With two or more types of health insurance coverage: With Medicare and Medicaidmeans-tested public coverage</t>
  </si>
  <si>
    <t>Estimate: Total: Under 19 years: With two or more types of health insurance coverage: With Medicare and Medicaidmeans-tested public coverage</t>
  </si>
  <si>
    <t>B27010_014E</t>
  </si>
  <si>
    <t>Under 18 years: With two or more types of health insurance coverage: Other private only combinations</t>
  </si>
  <si>
    <t>Estimate: Total: Under 18 years: With two or more types of health insurance coverage: Other private only combinations</t>
  </si>
  <si>
    <t>B27010_014EA,B27010_014M,B27010_014MA</t>
  </si>
  <si>
    <t>Under 19 years: With two or more types of health insurance coverage: Other private only combinations</t>
  </si>
  <si>
    <t>Estimate: Total: Under 19 years: With two or more types of health insurance coverage: Other private only combinations</t>
  </si>
  <si>
    <t>B27010_015E</t>
  </si>
  <si>
    <t>Under 18 years: With two or more types of health insurance coverage: Other public only combinations</t>
  </si>
  <si>
    <t>Estimate: Total: Under 18 years: With two or more types of health insurance coverage: Other public only combinations</t>
  </si>
  <si>
    <t>B27010_015EA,B27010_015M,B27010_015MA</t>
  </si>
  <si>
    <t>Under 19 years: With two or more types of health insurance coverage: Other public only combinations</t>
  </si>
  <si>
    <t>Estimate: Total: Under 19 years: With two or more types of health insurance coverage: Other public only combinations</t>
  </si>
  <si>
    <t>B27010_016E</t>
  </si>
  <si>
    <t>Under 18 years: With two or more types of health insurance coverage: Other coverage combinations</t>
  </si>
  <si>
    <t>Estimate: Total: Under 18 years: With two or more types of health insurance coverage: Other coverage combinations</t>
  </si>
  <si>
    <t>B27010_016EA,B27010_016M,B27010_016MA</t>
  </si>
  <si>
    <t>Under 19 years: With two or more types of health insurance coverage: Other coverage combinations</t>
  </si>
  <si>
    <t>Estimate: Total: Under 19 years: With two or more types of health insurance coverage: Other coverage combinations</t>
  </si>
  <si>
    <t>B27010_017E</t>
  </si>
  <si>
    <t>Under 18 years: No health insurance coverage</t>
  </si>
  <si>
    <t>Estimate: Total: Under 18 years: No health insurance coverage</t>
  </si>
  <si>
    <t>B27010_017EA,B27010_017M,B27010_017MA</t>
  </si>
  <si>
    <t>Under 19 years: No health insurance coverage</t>
  </si>
  <si>
    <t>Estimate: Total: Under 19 years: No health insurance coverage</t>
  </si>
  <si>
    <t>B27010_018E</t>
  </si>
  <si>
    <t>18 to 34 years</t>
  </si>
  <si>
    <t>Estimate: Total: 18 to 34 years</t>
  </si>
  <si>
    <t>B27010_018EA,B27010_018M,B27010_018MA</t>
  </si>
  <si>
    <t>19 to 34 years</t>
  </si>
  <si>
    <t>Estimate: Total: 19 to 34 years</t>
  </si>
  <si>
    <t>B27010_019E</t>
  </si>
  <si>
    <t>18 to 34 years: With one type of health insurance coverage</t>
  </si>
  <si>
    <t>Estimate: Total: 18 to 34 years: With one type of health insurance coverage</t>
  </si>
  <si>
    <t>B27010_019EA,B27010_019M,B27010_019MA</t>
  </si>
  <si>
    <t>19 to 34 years: With one type of health insurance coverage</t>
  </si>
  <si>
    <t>Estimate: Total: 19 to 34 years: With one type of health insurance coverage</t>
  </si>
  <si>
    <t>B27010_020E</t>
  </si>
  <si>
    <t>18 to 34 years: With one type of health insurance coverage: With employer-based health insurance only</t>
  </si>
  <si>
    <t>Estimate: Total: 18 to 34 years: With one type of health insurance coverage: With employer-based health insurance only</t>
  </si>
  <si>
    <t>B27010_020EA,B27010_020M,B27010_020MA</t>
  </si>
  <si>
    <t>19 to 34 years: With one type of health insurance coverage: With employer-based health insurance only</t>
  </si>
  <si>
    <t>Estimate: Total: 19 to 34 years: With one type of health insurance coverage: With employer-based health insurance only</t>
  </si>
  <si>
    <t>B27010_021E</t>
  </si>
  <si>
    <t>18 to 34 years: With one type of health insurance coverage: With direct-purchase health insurance only</t>
  </si>
  <si>
    <t>Estimate: Total: 18 to 34 years: With one type of health insurance coverage: With direct-purchase health insurance only</t>
  </si>
  <si>
    <t>B27010_021EA,B27010_021M,B27010_021MA</t>
  </si>
  <si>
    <t>19 to 34 years: With one type of health insurance coverage: With direct-purchase health insurance only</t>
  </si>
  <si>
    <t>Estimate: Total: 19 to 34 years: With one type of health insurance coverage: With direct-purchase health insurance only</t>
  </si>
  <si>
    <t>B27010_022E</t>
  </si>
  <si>
    <t>18 to 34 years: With one type of health insurance coverage: With Medicare coverage only</t>
  </si>
  <si>
    <t>Estimate: Total: 18 to 34 years: With one type of health insurance coverage: With Medicare coverage only</t>
  </si>
  <si>
    <t>B27010_022EA,B27010_022M,B27010_022MA</t>
  </si>
  <si>
    <t>19 to 34 years: With one type of health insurance coverage: With Medicare coverage only</t>
  </si>
  <si>
    <t>Estimate: Total: 19 to 34 years: With one type of health insurance coverage: With Medicare coverage only</t>
  </si>
  <si>
    <t>B27010_023E</t>
  </si>
  <si>
    <t>18 to 34 years: With one type of health insurance coverage: With Medicaidmeans-tested public coverage only</t>
  </si>
  <si>
    <t>Estimate: Total: 18 to 34 years: With one type of health insurance coverage: With Medicaidmeans-tested public coverage only</t>
  </si>
  <si>
    <t>B27010_023EA,B27010_023M,B27010_023MA</t>
  </si>
  <si>
    <t>19 to 34 years: With one type of health insurance coverage: With Medicaidmeans-tested public coverage only</t>
  </si>
  <si>
    <t>Estimate: Total: 19 to 34 years: With one type of health insurance coverage: With Medicaidmeans-tested public coverage only</t>
  </si>
  <si>
    <t>B27010_024E</t>
  </si>
  <si>
    <t>18 to 34 years: With one type of health insurance coverage: With TRICAREmilitary health coverage only</t>
  </si>
  <si>
    <t>Estimate: Total: 18 to 34 years: With one type of health insurance coverage: With TRICAREmilitary health coverage only</t>
  </si>
  <si>
    <t>B27010_024EA,B27010_024M,B27010_024MA</t>
  </si>
  <si>
    <t>19 to 34 years: With one type of health insurance coverage: With TRICAREmilitary health coverage only</t>
  </si>
  <si>
    <t>Estimate: Total: 19 to 34 years: With one type of health insurance coverage: With TRICAREmilitary health coverage only</t>
  </si>
  <si>
    <t>B27010_025E</t>
  </si>
  <si>
    <t>18 to 34 years: With one type of health insurance coverage: With VA Health Care only</t>
  </si>
  <si>
    <t>Estimate: Total: 18 to 34 years: With one type of health insurance coverage: With VA Health Care only</t>
  </si>
  <si>
    <t>B27010_025EA,B27010_025M,B27010_025MA</t>
  </si>
  <si>
    <t>19 to 34 years: With one type of health insurance coverage: With VA Health Care only</t>
  </si>
  <si>
    <t>Estimate: Total: 19 to 34 years: With one type of health insurance coverage: With VA Health Care only</t>
  </si>
  <si>
    <t>B27010_026E</t>
  </si>
  <si>
    <t>18 to 34 years: With two or more types of health insurance coverage</t>
  </si>
  <si>
    <t>Estimate: Total: 18 to 34 years: With two or more types of health insurance coverage</t>
  </si>
  <si>
    <t>B27010_026EA,B27010_026M,B27010_026MA</t>
  </si>
  <si>
    <t>19 to 34 years: With two or more types of health insurance coverage</t>
  </si>
  <si>
    <t>Estimate: Total: 19 to 34 years: With two or more types of health insurance coverage</t>
  </si>
  <si>
    <t>B27010_027E</t>
  </si>
  <si>
    <t>18 to 34 years: With two or more types of health insurance coverage: With employer-based and direct-purchase coverage</t>
  </si>
  <si>
    <t>Estimate: Total: 18 to 34 years: With two or more types of health insurance coverage: With employer-based and direct-purchase coverage</t>
  </si>
  <si>
    <t>B27010_027EA,B27010_027M,B27010_027MA</t>
  </si>
  <si>
    <t>19 to 34 years: With two or more types of health insurance coverage: With employer-based and direct-purchase coverage</t>
  </si>
  <si>
    <t>Estimate: Total: 19 to 34 years: With two or more types of health insurance coverage: With employer-based and direct-purchase coverage</t>
  </si>
  <si>
    <t>B27010_028E</t>
  </si>
  <si>
    <t>18 to 34 years: With two or more types of health insurance coverage: With employer-based and Medicare coverage</t>
  </si>
  <si>
    <t>Estimate: Total: 18 to 34 years: With two or more types of health insurance coverage: With employer-based and Medicare coverage</t>
  </si>
  <si>
    <t>B27010_028EA,B27010_028M,B27010_028MA</t>
  </si>
  <si>
    <t>19 to 34 years: With two or more types of health insurance coverage: With employer-based and Medicare coverage</t>
  </si>
  <si>
    <t>Estimate: Total: 19 to 34 years: With two or more types of health insurance coverage: With employer-based and Medicare coverage</t>
  </si>
  <si>
    <t>B27010_029E</t>
  </si>
  <si>
    <t>18 to 34 years: With two or more types of health insurance coverage: With Medicare and Medicaidmeans-tested public coverage</t>
  </si>
  <si>
    <t>Estimate: Total: 18 to 34 years: With two or more types of health insurance coverage: With Medicare and Medicaidmeans-tested public coverage</t>
  </si>
  <si>
    <t>B27010_029EA,B27010_029M,B27010_029MA</t>
  </si>
  <si>
    <t>19 to 34 years: With two or more types of health insurance coverage: With Medicare and Medicaidmeans-tested public coverage</t>
  </si>
  <si>
    <t>Estimate: Total: 19 to 34 years: With two or more types of health insurance coverage: With Medicare and Medicaidmeans-tested public coverage</t>
  </si>
  <si>
    <t>B27010_030E</t>
  </si>
  <si>
    <t>18 to 34 years: With two or more types of health insurance coverage: Other private only combinations</t>
  </si>
  <si>
    <t>Estimate: Total: 18 to 34 years: With two or more types of health insurance coverage: Other private only combinations</t>
  </si>
  <si>
    <t>B27010_030EA,B27010_030M,B27010_030MA</t>
  </si>
  <si>
    <t>19 to 34 years: With two or more types of health insurance coverage: Other private only combinations</t>
  </si>
  <si>
    <t>Estimate: Total: 19 to 34 years: With two or more types of health insurance coverage: Other private only combinations</t>
  </si>
  <si>
    <t>B27010_031E</t>
  </si>
  <si>
    <t>18 to 34 years: With two or more types of health insurance coverage: Other public only combinations</t>
  </si>
  <si>
    <t>Estimate: Total: 18 to 34 years: With two or more types of health insurance coverage: Other public only combinations</t>
  </si>
  <si>
    <t>B27010_031EA,B27010_031M,B27010_031MA</t>
  </si>
  <si>
    <t>19 to 34 years: With two or more types of health insurance coverage: Other public only combinations</t>
  </si>
  <si>
    <t>Estimate: Total: 19 to 34 years: With two or more types of health insurance coverage: Other public only combinations</t>
  </si>
  <si>
    <t>B27010_032E</t>
  </si>
  <si>
    <t>18 to 34 years: With two or more types of health insurance coverage: Other coverage combinations</t>
  </si>
  <si>
    <t>Estimate: Total: 18 to 34 years: With two or more types of health insurance coverage: Other coverage combinations</t>
  </si>
  <si>
    <t>B27010_032EA,B27010_032M,B27010_032MA</t>
  </si>
  <si>
    <t>19 to 34 years: With two or more types of health insurance coverage: Other coverage combinations</t>
  </si>
  <si>
    <t>Estimate: Total: 19 to 34 years: With two or more types of health insurance coverage: Other coverage combinations</t>
  </si>
  <si>
    <t>B27010_033E</t>
  </si>
  <si>
    <t>18 to 34 years: No health insurance coverage</t>
  </si>
  <si>
    <t>Estimate: Total: 18 to 34 years: No health insurance coverage</t>
  </si>
  <si>
    <t>B27010_033EA,B27010_033M,B27010_033MA</t>
  </si>
  <si>
    <t>19 to 34 years: No health insurance coverage</t>
  </si>
  <si>
    <t>Estimate: Total: 19 to 34 years: No health insurance coverage</t>
  </si>
  <si>
    <t>B27010_034E</t>
  </si>
  <si>
    <t>35 to 64 years</t>
  </si>
  <si>
    <t>Estimate: Total: 35 to 64 years</t>
  </si>
  <si>
    <t>B27010_034EA,B27010_034M,B27010_034MA</t>
  </si>
  <si>
    <t>B27010_035E</t>
  </si>
  <si>
    <t>35 to 64 years: With one type of health insurance coverage</t>
  </si>
  <si>
    <t>Estimate: Total: 35 to 64 years: With one type of health insurance coverage</t>
  </si>
  <si>
    <t>B27010_035EA,B27010_035M,B27010_035MA</t>
  </si>
  <si>
    <t>B27010_036E</t>
  </si>
  <si>
    <t>35 to 64 years: With one type of health insurance coverage: With employer-based health insurance only</t>
  </si>
  <si>
    <t>Estimate: Total: 35 to 64 years: With one type of health insurance coverage: With employer-based health insurance only</t>
  </si>
  <si>
    <t>B27010_036EA,B27010_036M,B27010_036MA</t>
  </si>
  <si>
    <t>B27010_037E</t>
  </si>
  <si>
    <t>35 to 64 years: With one type of health insurance coverage: With direct-purchase health insurance only</t>
  </si>
  <si>
    <t>Estimate: Total: 35 to 64 years: With one type of health insurance coverage: With direct-purchase health insurance only</t>
  </si>
  <si>
    <t>B27010_037EA,B27010_037M,B27010_037MA</t>
  </si>
  <si>
    <t>B27010_038E</t>
  </si>
  <si>
    <t>35 to 64 years: With one type of health insurance coverage: With Medicare coverage only</t>
  </si>
  <si>
    <t>Estimate: Total: 35 to 64 years: With one type of health insurance coverage: With Medicare coverage only</t>
  </si>
  <si>
    <t>B27010_038EA,B27010_038M,B27010_038MA</t>
  </si>
  <si>
    <t>B27010_039E</t>
  </si>
  <si>
    <t>35 to 64 years: With one type of health insurance coverage: With Medicaidmeans-tested public coverage only</t>
  </si>
  <si>
    <t>Estimate: Total: 35 to 64 years: With one type of health insurance coverage: With Medicaidmeans-tested public coverage only</t>
  </si>
  <si>
    <t>B27010_039EA,B27010_039M,B27010_039MA</t>
  </si>
  <si>
    <t>B27010_040E</t>
  </si>
  <si>
    <t>35 to 64 years: With one type of health insurance coverage: With TRICAREmilitary health coverage only</t>
  </si>
  <si>
    <t>Estimate: Total: 35 to 64 years: With one type of health insurance coverage: With TRICAREmilitary health coverage only</t>
  </si>
  <si>
    <t>B27010_040EA,B27010_040M,B27010_040MA</t>
  </si>
  <si>
    <t>B27010_041E</t>
  </si>
  <si>
    <t>35 to 64 years: With one type of health insurance coverage: With VA Health Care only</t>
  </si>
  <si>
    <t>Estimate: Total: 35 to 64 years: With one type of health insurance coverage: With VA Health Care only</t>
  </si>
  <si>
    <t>B27010_041EA,B27010_041M,B27010_041MA</t>
  </si>
  <si>
    <t>B27010_042E</t>
  </si>
  <si>
    <t>35 to 64 years: With two or more types of health insurance coverage</t>
  </si>
  <si>
    <t>Estimate: Total: 35 to 64 years: With two or more types of health insurance coverage</t>
  </si>
  <si>
    <t>B27010_042EA,B27010_042M,B27010_042MA</t>
  </si>
  <si>
    <t>B27010_043E</t>
  </si>
  <si>
    <t>35 to 64 years: With two or more types of health insurance coverage: With employer-based and direct-purchase coverage</t>
  </si>
  <si>
    <t>Estimate: Total: 35 to 64 years: With two or more types of health insurance coverage: With employer-based and direct-purchase coverage</t>
  </si>
  <si>
    <t>B27010_043EA,B27010_043M,B27010_043MA</t>
  </si>
  <si>
    <t>B27010_044E</t>
  </si>
  <si>
    <t>35 to 64 years: With two or more types of health insurance coverage: With employer-based and Medicare coverage</t>
  </si>
  <si>
    <t>Estimate: Total: 35 to 64 years: With two or more types of health insurance coverage: With employer-based and Medicare coverage</t>
  </si>
  <si>
    <t>B27010_044EA,B27010_044M,B27010_044MA</t>
  </si>
  <si>
    <t>B27010_045E</t>
  </si>
  <si>
    <t>35 to 64 years: With two or more types of health insurance coverage: With direct-purchase and Medicare coverage</t>
  </si>
  <si>
    <t>Estimate: Total: 35 to 64 years: With two or more types of health insurance coverage: With direct-purchase and Medicare coverage</t>
  </si>
  <si>
    <t>B27010_045EA,B27010_045M,B27010_045MA</t>
  </si>
  <si>
    <t>B27010_046E</t>
  </si>
  <si>
    <t>35 to 64 years: With two or more types of health insurance coverage: With Medicare and Medicaidmeans-tested public coverage</t>
  </si>
  <si>
    <t>Estimate: Total: 35 to 64 years: With two or more types of health insurance coverage: With Medicare and Medicaidmeans-tested public coverage</t>
  </si>
  <si>
    <t>B27010_046EA,B27010_046M,B27010_046MA</t>
  </si>
  <si>
    <t>B27010_047E</t>
  </si>
  <si>
    <t>35 to 64 years: With two or more types of health insurance coverage: Other private only combinations</t>
  </si>
  <si>
    <t>Estimate: Total: 35 to 64 years: With two or more types of health insurance coverage: Other private only combinations</t>
  </si>
  <si>
    <t>B27010_047EA,B27010_047M,B27010_047MA</t>
  </si>
  <si>
    <t>B27010_048E</t>
  </si>
  <si>
    <t>35 to 64 years: With two or more types of health insurance coverage: Other public only combinations</t>
  </si>
  <si>
    <t>Estimate: Total: 35 to 64 years: With two or more types of health insurance coverage: Other public only combinations</t>
  </si>
  <si>
    <t>B27010_048EA,B27010_048M,B27010_048MA</t>
  </si>
  <si>
    <t>B27010_049E</t>
  </si>
  <si>
    <t>35 to 64 years: With two or more types of health insurance coverage: Other coverage combinations</t>
  </si>
  <si>
    <t>Estimate: Total: 35 to 64 years: With two or more types of health insurance coverage: Other coverage combinations</t>
  </si>
  <si>
    <t>B27010_049EA,B27010_049M,B27010_049MA</t>
  </si>
  <si>
    <t>B27010_050E</t>
  </si>
  <si>
    <t>35 to 64 years: No health insurance coverage</t>
  </si>
  <si>
    <t>Estimate: Total: 35 to 64 years: No health insurance coverage</t>
  </si>
  <si>
    <t>B27010_050EA,B27010_050M,B27010_050MA</t>
  </si>
  <si>
    <t>B27010_051E</t>
  </si>
  <si>
    <t>B27010_051EA,B27010_051M,B27010_051MA</t>
  </si>
  <si>
    <t>B27010_052E</t>
  </si>
  <si>
    <t>65 years and over: With one type of health insurance coverage</t>
  </si>
  <si>
    <t>Estimate: Total: 65 years and over: With one type of health insurance coverage</t>
  </si>
  <si>
    <t>B27010_052EA,B27010_052M,B27010_052MA</t>
  </si>
  <si>
    <t>B27010_053E</t>
  </si>
  <si>
    <t>65 years and over: With one type of health insurance coverage: With employer-based health insurance only</t>
  </si>
  <si>
    <t>Estimate: Total: 65 years and over: With one type of health insurance coverage: With employer-based health insurance only</t>
  </si>
  <si>
    <t>B27010_053EA,B27010_053M,B27010_053MA</t>
  </si>
  <si>
    <t>B27010_054E</t>
  </si>
  <si>
    <t>65 years and over: With one type of health insurance coverage: With direct-purchase health insurance only</t>
  </si>
  <si>
    <t>Estimate: Total: 65 years and over: With one type of health insurance coverage: With direct-purchase health insurance only</t>
  </si>
  <si>
    <t>B27010_054EA,B27010_054M,B27010_054MA</t>
  </si>
  <si>
    <t>B27010_055E</t>
  </si>
  <si>
    <t>65 years and over: With one type of health insurance coverage: With Medicare coverage only</t>
  </si>
  <si>
    <t>Estimate: Total: 65 years and over: With one type of health insurance coverage: With Medicare coverage only</t>
  </si>
  <si>
    <t>B27010_055EA,B27010_055M,B27010_055MA</t>
  </si>
  <si>
    <t>B27010_056E</t>
  </si>
  <si>
    <t>65 years and over: With one type of health insurance coverage: With TRICAREmilitary health coverage only</t>
  </si>
  <si>
    <t>Estimate: Total: 65 years and over: With one type of health insurance coverage: With TRICAREmilitary health coverage only</t>
  </si>
  <si>
    <t>B27010_056EA,B27010_056M,B27010_056MA</t>
  </si>
  <si>
    <t>B27010_057E</t>
  </si>
  <si>
    <t>65 years and over: With one type of health insurance coverage: With VA Health Care only</t>
  </si>
  <si>
    <t>Estimate: Total: 65 years and over: With one type of health insurance coverage: With VA Health Care only</t>
  </si>
  <si>
    <t>B27010_057EA,B27010_057M,B27010_057MA</t>
  </si>
  <si>
    <t>B27010_058E</t>
  </si>
  <si>
    <t>65 years and over: With two or more types of health insurance coverage</t>
  </si>
  <si>
    <t>Estimate: Total: 65 years and over: With two or more types of health insurance coverage</t>
  </si>
  <si>
    <t>B27010_058EA,B27010_058M,B27010_058MA</t>
  </si>
  <si>
    <t>B27010_059E</t>
  </si>
  <si>
    <t>65 years and over: With two or more types of health insurance coverage: With employer-based and direct-purchase coverage</t>
  </si>
  <si>
    <t>Estimate: Total: 65 years and over: With two or more types of health insurance coverage: With employer-based and direct-purchase coverage</t>
  </si>
  <si>
    <t>B27010_059EA,B27010_059M,B27010_059MA</t>
  </si>
  <si>
    <t>B27010_060E</t>
  </si>
  <si>
    <t>65 years and over: With two or more types of health insurance coverage: With employer-based and Medicare coverage</t>
  </si>
  <si>
    <t>Estimate: Total: 65 years and over: With two or more types of health insurance coverage: With employer-based and Medicare coverage</t>
  </si>
  <si>
    <t>B27010_060EA,B27010_060M,B27010_060MA</t>
  </si>
  <si>
    <t>B27010_061E</t>
  </si>
  <si>
    <t>65 years and over: With two or more types of health insurance coverage: With direct-purchase and Medicare coverage</t>
  </si>
  <si>
    <t>Estimate: Total: 65 years and over: With two or more types of health insurance coverage: With direct-purchase and Medicare coverage</t>
  </si>
  <si>
    <t>B27010_061EA,B27010_061M,B27010_061MA</t>
  </si>
  <si>
    <t>B27010_062E</t>
  </si>
  <si>
    <t>65 years and over: With two or more types of health insurance coverage: With Medicare and Medicaidmeans-tested public coverage</t>
  </si>
  <si>
    <t>Estimate: Total: 65 years and over: With two or more types of health insurance coverage: With Medicare and Medicaidmeans-tested public coverage</t>
  </si>
  <si>
    <t>B27010_062EA,B27010_062M,B27010_062MA</t>
  </si>
  <si>
    <t>B27010_063E</t>
  </si>
  <si>
    <t>65 years and over: With two or more types of health insurance coverage: Other private only combinations</t>
  </si>
  <si>
    <t>Estimate: Total: 65 years and over: With two or more types of health insurance coverage: Other private only combinations</t>
  </si>
  <si>
    <t>B27010_063EA,B27010_063M,B27010_063MA</t>
  </si>
  <si>
    <t>B27010_064E</t>
  </si>
  <si>
    <t>65 years and over: With two or more types of health insurance coverage: Other public only combinations</t>
  </si>
  <si>
    <t>Estimate: Total: 65 years and over: With two or more types of health insurance coverage: Other public only combinations</t>
  </si>
  <si>
    <t>B27010_064EA,B27010_064M,B27010_064MA</t>
  </si>
  <si>
    <t>B27010_065E</t>
  </si>
  <si>
    <t>65 years and over: With two or more types of health insurance coverage: Other coverage combinations</t>
  </si>
  <si>
    <t>Estimate: Total: 65 years and over: With two or more types of health insurance coverage: Other coverage combinations</t>
  </si>
  <si>
    <t>B27010_065EA,B27010_065M,B27010_065MA</t>
  </si>
  <si>
    <t>B27010_066E</t>
  </si>
  <si>
    <t>65 years and over: No health insurance coverage</t>
  </si>
  <si>
    <t>Estimate: Total: 65 years and over: No health insurance coverage</t>
  </si>
  <si>
    <t>B27010_066EA,B27010_066M,B27010_066MA</t>
  </si>
  <si>
    <t>C17</t>
  </si>
  <si>
    <t>C17002</t>
  </si>
  <si>
    <t>C17002_001E</t>
  </si>
  <si>
    <t>Total population for whom poverty status is determined</t>
  </si>
  <si>
    <t>E17</t>
  </si>
  <si>
    <t>Ratio of Income to Poverty Level</t>
  </si>
  <si>
    <t>RATIO OF INCOME TO POVERTY LEVEL IN THE PAST 12 MONTHS</t>
  </si>
  <si>
    <t>C17002_001EA,C17002_001M,C17002_001MA</t>
  </si>
  <si>
    <t>C17002_002E</t>
  </si>
  <si>
    <t>Estimate: Total: Under 50</t>
  </si>
  <si>
    <t>C17002_002EA,C17002_002M,C17002_002MA</t>
  </si>
  <si>
    <t>C17002_003E</t>
  </si>
  <si>
    <t>Estimate: Total: 50 to 99</t>
  </si>
  <si>
    <t>C17002_003EA,C17002_003M,C17002_003MA</t>
  </si>
  <si>
    <t>C17002_004E</t>
  </si>
  <si>
    <t>Estimate: Total: 100 to 124</t>
  </si>
  <si>
    <t>C17002_004EA,C17002_004M,C17002_004MA</t>
  </si>
  <si>
    <t>C17002_005E</t>
  </si>
  <si>
    <t>Estimate: Total: 125 to 149</t>
  </si>
  <si>
    <t>C17002_005EA,C17002_005M,C17002_005MA</t>
  </si>
  <si>
    <t>C17002_006E</t>
  </si>
  <si>
    <t>Estimate: Total: 150 to 184</t>
  </si>
  <si>
    <t>C17002_006EA,C17002_006M,C17002_006MA</t>
  </si>
  <si>
    <t>C17002_007E</t>
  </si>
  <si>
    <t>Estimate: Total: 185 to 199</t>
  </si>
  <si>
    <t>C17002_007EA,C17002_007M,C17002_007MA</t>
  </si>
  <si>
    <t>C17002_008E</t>
  </si>
  <si>
    <t>Estimate: Total: 200 and over</t>
  </si>
  <si>
    <t>C17002_008EA,C17002_008M,C17002_008MA</t>
  </si>
  <si>
    <t>B17</t>
  </si>
  <si>
    <t>B17021</t>
  </si>
  <si>
    <t>B17021_001E</t>
  </si>
  <si>
    <t>E18</t>
  </si>
  <si>
    <t>Poverty in Population in the Past 12 Months</t>
  </si>
  <si>
    <t>POVERTY STATUS OF INDIVIDUALS IN THE PAST 12 MONTHS BY LIVING ARRANGEMENT</t>
  </si>
  <si>
    <t>B17021_001EA,B17021_001M,B17021_001MA</t>
  </si>
  <si>
    <t>B17021_002E</t>
  </si>
  <si>
    <t>Income in the past 12 months below poverty level</t>
  </si>
  <si>
    <t>Estimate: Total: Income in the past 12 months below poverty level</t>
  </si>
  <si>
    <t>B17021_002EA,B17021_002M,B17021_002MA</t>
  </si>
  <si>
    <t>B17021_003E</t>
  </si>
  <si>
    <t>Income in the past 12 months below poverty level: In family households</t>
  </si>
  <si>
    <t>Estimate: Total: Income in the past 12 months below poverty level: In family households</t>
  </si>
  <si>
    <t>B17021_003EA,B17021_003M,B17021_003MA</t>
  </si>
  <si>
    <t>B17021_004E</t>
  </si>
  <si>
    <t>Income in the past 12 months below poverty level: In family households: In married couple families</t>
  </si>
  <si>
    <t>Estimate: Total: Income in the past 12 months below poverty level: In family households: In married couple families</t>
  </si>
  <si>
    <t>B17021_004EA,B17021_004M,B17021_004MA</t>
  </si>
  <si>
    <t>B17021_005E</t>
  </si>
  <si>
    <t>Income in the past 12 months below poverty level: In family households: In married couple families: All relatives</t>
  </si>
  <si>
    <t>Estimate: Total: Income in the past 12 months below poverty level: In family households: In married couple families: All relatives</t>
  </si>
  <si>
    <t>B17021_005EA,B17021_005M,B17021_005MA</t>
  </si>
  <si>
    <t>B17021_006E</t>
  </si>
  <si>
    <t>Income in the past 12 months below poverty level: In family households: In married couple families: Non-relatives</t>
  </si>
  <si>
    <t>Estimate: Total: Income in the past 12 months below poverty level: In family households: In married couple families: Non-relatives</t>
  </si>
  <si>
    <t>B17021_006EA,B17021_006M,B17021_006MA</t>
  </si>
  <si>
    <t>B17021_007E</t>
  </si>
  <si>
    <t>Income in the past 12 months below poverty level: In family households: In other families</t>
  </si>
  <si>
    <t>Estimate: Total: Income in the past 12 months below poverty level: In family households: In other families</t>
  </si>
  <si>
    <t>B17021_007EA,B17021_007M,B17021_007MA</t>
  </si>
  <si>
    <t>B17021_008E</t>
  </si>
  <si>
    <t>Income in the past 12 months below poverty level: In family households: In other families: Male householder no wife present</t>
  </si>
  <si>
    <t>Estimate: Total: Income in the past 12 months below poverty level: In family households: In other families: Male householder no wife present</t>
  </si>
  <si>
    <t>B17021_008EA,B17021_008M,B17021_008MA</t>
  </si>
  <si>
    <t>Income in the past 12 months below poverty level: In family households: In other families: Male householder no spouse present</t>
  </si>
  <si>
    <t>Estimate: Total: Income in the past 12 months below poverty level: In family households: In other families: Male householder no spouse present</t>
  </si>
  <si>
    <t>B17021_009E</t>
  </si>
  <si>
    <t>Income in the past 12 months below poverty level: In family households: In other families: Male householder no wife present: All relatives</t>
  </si>
  <si>
    <t>Estimate: Total: Income in the past 12 months below poverty level: In family households: In other families: Male householder no wife present: All relatives</t>
  </si>
  <si>
    <t>B17021_009EA,B17021_009M,B17021_009MA</t>
  </si>
  <si>
    <t>Income in the past 12 months below poverty level: In family households: In other families: Male householder no spouse present: All relatives</t>
  </si>
  <si>
    <t>Estimate: Total: Income in the past 12 months below poverty level: In family households: In other families: Male householder no spouse present: All relatives</t>
  </si>
  <si>
    <t>B17021_010E</t>
  </si>
  <si>
    <t>Income in the past 12 months below poverty level: In family households: In other families: Male householder no wife present: Non-relatives</t>
  </si>
  <si>
    <t>Estimate: Total: Income in the past 12 months below poverty level: In family households: In other families: Male householder no wife present: Non-relatives</t>
  </si>
  <si>
    <t>B17021_010EA,B17021_010M,B17021_010MA</t>
  </si>
  <si>
    <t>Income in the past 12 months below poverty level: In family households: In other families: Male householder no spouse present: Non-relatives</t>
  </si>
  <si>
    <t>Estimate: Total: Income in the past 12 months below poverty level: In family households: In other families: Male householder no spouse present: Non-relatives</t>
  </si>
  <si>
    <t>B17021_011E</t>
  </si>
  <si>
    <t>Income in the past 12 months below poverty level: In family households: In other families: Female householder no husband present</t>
  </si>
  <si>
    <t>Estimate: Total: Income in the past 12 months below poverty level: In family households: In other families: Female householder no husband present</t>
  </si>
  <si>
    <t>B17021_011EA,B17021_011M,B17021_011MA</t>
  </si>
  <si>
    <t>Income in the past 12 months below poverty level: In family households: In other families: Female householder no spouse present</t>
  </si>
  <si>
    <t>Estimate: Total: Income in the past 12 months below poverty level: In family households: In other families: Female householder no spouse present</t>
  </si>
  <si>
    <t>B17021_012E</t>
  </si>
  <si>
    <t>Income in the past 12 months below poverty level: In family households: In other families: Female householder no husband present: All relatives</t>
  </si>
  <si>
    <t>Estimate: Total: Income in the past 12 months below poverty level: In family households: In other families: Female householder no husband present: All relatives</t>
  </si>
  <si>
    <t>B17021_012EA,B17021_012M,B17021_012MA</t>
  </si>
  <si>
    <t>Income in the past 12 months below poverty level: In family households: In other families: Female householder no spouse present: All relatives</t>
  </si>
  <si>
    <t>Estimate: Total: Income in the past 12 months below poverty level: In family households: In other families: Female householder no spouse present: All relatives</t>
  </si>
  <si>
    <t>B17021_013E</t>
  </si>
  <si>
    <t>Income in the past 12 months below poverty level: In family households: In other families: Female householder no husband present: Non-relatives</t>
  </si>
  <si>
    <t>Estimate: Total: Income in the past 12 months below poverty level: In family households: In other families: Female householder no husband present: Non-relatives</t>
  </si>
  <si>
    <t>B17021_013EA,B17021_013M,B17021_013MA</t>
  </si>
  <si>
    <t>Income in the past 12 months below poverty level: In family households: In other families: Female householder no spouse present: Non-relatives</t>
  </si>
  <si>
    <t>Estimate: Total: Income in the past 12 months below poverty level: In family households: In other families: Female householder no spouse present: Non-relatives</t>
  </si>
  <si>
    <t>B17021_014E</t>
  </si>
  <si>
    <t>Income in the past 12 months below poverty level: In non-family households and other living arrangement</t>
  </si>
  <si>
    <t>Estimate: Total: Income in the past 12 months below poverty level: In non-family households and other living arrangement</t>
  </si>
  <si>
    <t>B17021_014EA,B17021_014M,B17021_014MA</t>
  </si>
  <si>
    <t>B17021_015E</t>
  </si>
  <si>
    <t>Income in the past 12 months below poverty level: In non-family households and other living arrangement: Householder</t>
  </si>
  <si>
    <t>Estimate: Total: Income in the past 12 months below poverty level: In non-family households and other living arrangement: Householder</t>
  </si>
  <si>
    <t>B17021_015EA,B17021_015M,B17021_015MA</t>
  </si>
  <si>
    <t>B17021_016E</t>
  </si>
  <si>
    <t>Income in the past 12 months below poverty level: In non-family households and other living arrangement: Householder: Living alone</t>
  </si>
  <si>
    <t>Estimate: Total: Income in the past 12 months below poverty level: In non-family households and other living arrangement: Householder: Living alone</t>
  </si>
  <si>
    <t>B17021_016EA,B17021_016M,B17021_016MA</t>
  </si>
  <si>
    <t>B17021_017E</t>
  </si>
  <si>
    <t>Income in the past 12 months below poverty level: In non-family households and other living arrangement: Householder: Not living alone</t>
  </si>
  <si>
    <t>Estimate: Total: Income in the past 12 months below poverty level: In non-family households and other living arrangement: Householder: Not living alone</t>
  </si>
  <si>
    <t>B17021_017EA,B17021_017M,B17021_017MA</t>
  </si>
  <si>
    <t>B17021_018E</t>
  </si>
  <si>
    <t>Income in the past 12 months below poverty level: In non-family households and other living arrangement: Other living arrangement</t>
  </si>
  <si>
    <t>Estimate: Total: Income in the past 12 months below poverty level: In non-family households and other living arrangement: Other living arrangement</t>
  </si>
  <si>
    <t>B17021_018EA,B17021_018M,B17021_018MA</t>
  </si>
  <si>
    <t>B17021_019E</t>
  </si>
  <si>
    <t>Income in the past 12 months at or above poverty level</t>
  </si>
  <si>
    <t>Estimate: Total: Income in the past 12 months at or above poverty level</t>
  </si>
  <si>
    <t>B17021_019EA,B17021_019M,B17021_019MA</t>
  </si>
  <si>
    <t>B17021_020E</t>
  </si>
  <si>
    <t>Income in the past 12 months at or above poverty level: In family households</t>
  </si>
  <si>
    <t>Estimate: Total: Income in the past 12 months at or above poverty level: In family households</t>
  </si>
  <si>
    <t>B17021_020EA,B17021_020M,B17021_020MA</t>
  </si>
  <si>
    <t>B17021_021E</t>
  </si>
  <si>
    <t>Income in the past 12 months at or above poverty level: In family households: In married couple families</t>
  </si>
  <si>
    <t>Estimate: Total: Income in the past 12 months at or above poverty level: In family households: In married couple families</t>
  </si>
  <si>
    <t>B17021_021EA,B17021_021M,B17021_021MA</t>
  </si>
  <si>
    <t>B17021_022E</t>
  </si>
  <si>
    <t>Income in the past 12 months at or above poverty level: In family households: In married couple families: All relatives</t>
  </si>
  <si>
    <t>Estimate: Total: Income in the past 12 months at or above poverty level: In family households: In married couple families: All relatives</t>
  </si>
  <si>
    <t>B17021_022EA,B17021_022M,B17021_022MA</t>
  </si>
  <si>
    <t>B17021_023E</t>
  </si>
  <si>
    <t>Income in the past 12 months at or above poverty level: In family households: In married couple families: Non-relatives</t>
  </si>
  <si>
    <t>Estimate: Total: Income in the past 12 months at or above poverty level: In family households: In married couple families: Non-relatives</t>
  </si>
  <si>
    <t>B17021_023EA,B17021_023M,B17021_023MA</t>
  </si>
  <si>
    <t>B17021_024E</t>
  </si>
  <si>
    <t>Income in the past 12 months at or above poverty level: In family households: In other families</t>
  </si>
  <si>
    <t>Estimate: Total: Income in the past 12 months at or above poverty level: In family households: In other families</t>
  </si>
  <si>
    <t>B17021_024EA,B17021_024M,B17021_024MA</t>
  </si>
  <si>
    <t>B17021_025E</t>
  </si>
  <si>
    <t>Income in the past 12 months at or above poverty level: In family households: In other families: Male householder no wife present</t>
  </si>
  <si>
    <t>Estimate: Total: Income in the past 12 months at or above poverty level: In family households: In other families: Male householder no wife present</t>
  </si>
  <si>
    <t>B17021_025EA,B17021_025M,B17021_025MA</t>
  </si>
  <si>
    <t>Income in the past 12 months at or above poverty level: In family households: In other families: Male householder no spouse present</t>
  </si>
  <si>
    <t>Estimate: Total: Income in the past 12 months at or above poverty level: In family households: In other families: Male householder no spouse present</t>
  </si>
  <si>
    <t>B17021_026E</t>
  </si>
  <si>
    <t>Income in the past 12 months at or above poverty level: In family households: In other families: Male householder no wife present: All relatives</t>
  </si>
  <si>
    <t>Estimate: Total: Income in the past 12 months at or above poverty level: In family households: In other families: Male householder no wife present: All relatives</t>
  </si>
  <si>
    <t>B17021_026EA,B17021_026M,B17021_026MA</t>
  </si>
  <si>
    <t>Income in the past 12 months at or above poverty level: In family households: In other families: Male householder no spouse present: All relatives</t>
  </si>
  <si>
    <t>Estimate: Total: Income in the past 12 months at or above poverty level: In family households: In other families: Male householder no spouse present: All relatives</t>
  </si>
  <si>
    <t>B17021_027E</t>
  </si>
  <si>
    <t>Income in the past 12 months at or above poverty level: In family households: In other families: Male householder no wife present: Non-relatives</t>
  </si>
  <si>
    <t>Estimate: Total: Income in the past 12 months at or above poverty level: In family households: In other families: Male householder no wife present: Non-relatives</t>
  </si>
  <si>
    <t>B17021_027EA,B17021_027M,B17021_027MA</t>
  </si>
  <si>
    <t>Income in the past 12 months at or above poverty level: In family households: In other families: Male householder no spouse present: Non-relatives</t>
  </si>
  <si>
    <t>Estimate: Total: Income in the past 12 months at or above poverty level: In family households: In other families: Male householder no spouse present: Non-relatives</t>
  </si>
  <si>
    <t>B17021_028E</t>
  </si>
  <si>
    <t>Income in the past 12 months at or above poverty level: In family households: In other families: Female householder no husband present</t>
  </si>
  <si>
    <t>Estimate: Total: Income in the past 12 months at or above poverty level: In family households: In other families: Female householder no husband present</t>
  </si>
  <si>
    <t>B17021_028EA,B17021_028M,B17021_028MA</t>
  </si>
  <si>
    <t>Income in the past 12 months at or above poverty level: In family households: In other families: Female householder no spouse present</t>
  </si>
  <si>
    <t>Estimate: Total: Income in the past 12 months at or above poverty level: In family households: In other families: Female householder no spouse present</t>
  </si>
  <si>
    <t>B17021_029E</t>
  </si>
  <si>
    <t>Income in the past 12 months at or above poverty level: In family households: In other families: Female householder no husband present: All relatives</t>
  </si>
  <si>
    <t>Estimate: Total: Income in the past 12 months at or above poverty level: In family households: In other families: Female householder no husband present: All relatives</t>
  </si>
  <si>
    <t>B17021_029EA,B17021_029M,B17021_029MA</t>
  </si>
  <si>
    <t>Income in the past 12 months at or above poverty level: In family households: In other families: Female householder no spouse present: All relatives</t>
  </si>
  <si>
    <t>Estimate: Total: Income in the past 12 months at or above poverty level: In family households: In other families: Female householder no spouse present: All relatives</t>
  </si>
  <si>
    <t>B17021_030E</t>
  </si>
  <si>
    <t>Income in the past 12 months at or above poverty level: In family households: In other families: Female householder no husband present: Non-relatives</t>
  </si>
  <si>
    <t>Estimate: Total: Income in the past 12 months at or above poverty level: In family households: In other families: Female householder no husband present: Non-relatives</t>
  </si>
  <si>
    <t>B17021_030EA,B17021_030M,B17021_030MA</t>
  </si>
  <si>
    <t>Income in the past 12 months at or above poverty level: In family households: In other families: Female householder no spouse present: Non-relatives</t>
  </si>
  <si>
    <t>Estimate: Total: Income in the past 12 months at or above poverty level: In family households: In other families: Female householder no spouse present: Non-relatives</t>
  </si>
  <si>
    <t>B17021_031E</t>
  </si>
  <si>
    <t>Income in the past 12 months at or above poverty level: In non-family households and other living arrangement</t>
  </si>
  <si>
    <t>Estimate: Total: Income in the past 12 months at or above poverty level: In non-family households and other living arrangement</t>
  </si>
  <si>
    <t>B17021_031EA,B17021_031M,B17021_031MA</t>
  </si>
  <si>
    <t>B17021_032E</t>
  </si>
  <si>
    <t>Income in the past 12 months at or above poverty level: In non-family households and other living arrangement: Householder</t>
  </si>
  <si>
    <t>Estimate: Total: Income in the past 12 months at or above poverty level: In non-family households and other living arrangement: Householder</t>
  </si>
  <si>
    <t>B17021_032EA,B17021_032M,B17021_032MA</t>
  </si>
  <si>
    <t>B17021_033E</t>
  </si>
  <si>
    <t>Income in the past 12 months at or above poverty level: In non-family households and other living arrangement: Householder: Living alone</t>
  </si>
  <si>
    <t>Estimate: Total: Income in the past 12 months at or above poverty level: In non-family households and other living arrangement: Householder: Living alone</t>
  </si>
  <si>
    <t>B17021_033EA,B17021_033M,B17021_033MA</t>
  </si>
  <si>
    <t>B17021_034E</t>
  </si>
  <si>
    <t>Income in the past 12 months at or above poverty level: In non-family households and other living arrangement: Householder: Not living alone</t>
  </si>
  <si>
    <t>Estimate: Total: Income in the past 12 months at or above poverty level: In non-family households and other living arrangement: Householder: Not living alone</t>
  </si>
  <si>
    <t>B17021_034EA,B17021_034M,B17021_034MA</t>
  </si>
  <si>
    <t>B17021_035E</t>
  </si>
  <si>
    <t>Income in the past 12 months at or above poverty level: In non-family households and other living arrangement: Other living arrangement</t>
  </si>
  <si>
    <t>Estimate: Total: Income in the past 12 months at or above poverty level: In non-family households and other living arrangement: Other living arrangement</t>
  </si>
  <si>
    <t>B17021_035EA,B17021_035M,B17021_035MA</t>
  </si>
  <si>
    <t>B17017</t>
  </si>
  <si>
    <t>B17017_001E</t>
  </si>
  <si>
    <t>E19</t>
  </si>
  <si>
    <t>Poverty in Households in the Past 12 Months</t>
  </si>
  <si>
    <t>POVERTY STATUS IN THE PAST 12 MONTHS BY HOUSEHOLD TYPE BY AGE OF HOUSEHOLDER</t>
  </si>
  <si>
    <t>B17017_001EA,B17017_001M,B17017_001MA</t>
  </si>
  <si>
    <t>B17017_002E</t>
  </si>
  <si>
    <t>B17017_002EA,B17017_002M,B17017_002MA</t>
  </si>
  <si>
    <t>B17017_003E</t>
  </si>
  <si>
    <t>Income in the past 12 months below poverty level: Family households</t>
  </si>
  <si>
    <t>Estimate: Total: Income in the past 12 months below poverty level: Family households</t>
  </si>
  <si>
    <t>B17017_003EA,B17017_003M,B17017_003MA</t>
  </si>
  <si>
    <t>B17017_004E</t>
  </si>
  <si>
    <t>Income in the past 12 months below poverty level: Family households: Married-couple family</t>
  </si>
  <si>
    <t>Estimate: Total: Income in the past 12 months below poverty level: Family households: Married-couple family</t>
  </si>
  <si>
    <t>B17017_004EA,B17017_004M,B17017_004MA</t>
  </si>
  <si>
    <t>B17017_005E</t>
  </si>
  <si>
    <t>Income in the past 12 months below poverty level: Family households: Married-couple family: Householder under 25 years</t>
  </si>
  <si>
    <t>Estimate: Total: Income in the past 12 months below poverty level: Family households: Married-couple family: Householder under 25 years</t>
  </si>
  <si>
    <t>B17017_005EA,B17017_005M,B17017_005MA</t>
  </si>
  <si>
    <t>B17017_006E</t>
  </si>
  <si>
    <t>Income in the past 12 months below poverty level: Family households: Married-couple family: Householder 25 to 44 years</t>
  </si>
  <si>
    <t>Estimate: Total: Income in the past 12 months below poverty level: Family households: Married-couple family: Householder 25 to 44 years</t>
  </si>
  <si>
    <t>B17017_006EA,B17017_006M,B17017_006MA</t>
  </si>
  <si>
    <t>B17017_007E</t>
  </si>
  <si>
    <t>Income in the past 12 months below poverty level: Family households: Married-couple family: Householder 45 to 64 years</t>
  </si>
  <si>
    <t>Estimate: Total: Income in the past 12 months below poverty level: Family households: Married-couple family: Householder 45 to 64 years</t>
  </si>
  <si>
    <t>B17017_007EA,B17017_007M,B17017_007MA</t>
  </si>
  <si>
    <t>B17017_008E</t>
  </si>
  <si>
    <t>Income in the past 12 months below poverty level: Family households: Married-couple family: Householder 65 years and over</t>
  </si>
  <si>
    <t>Estimate: Total: Income in the past 12 months below poverty level: Family households: Married-couple family: Householder 65 years and over</t>
  </si>
  <si>
    <t>B17017_008EA,B17017_008M,B17017_008MA</t>
  </si>
  <si>
    <t>B17017_009E</t>
  </si>
  <si>
    <t>Income in the past 12 months below poverty level: Family households: Other family</t>
  </si>
  <si>
    <t>Estimate: Total: Income in the past 12 months below poverty level: Family households: Other family</t>
  </si>
  <si>
    <t>B17017_009EA,B17017_009M,B17017_009MA</t>
  </si>
  <si>
    <t>B17017_010E</t>
  </si>
  <si>
    <t>Income in the past 12 months below poverty level: Family households: Other family: Male householder no wife present</t>
  </si>
  <si>
    <t>Estimate: Total: Income in the past 12 months below poverty level: Family households: Other family: Male householder no wife present</t>
  </si>
  <si>
    <t>B17017_010EA,B17017_010M,B17017_010MA</t>
  </si>
  <si>
    <t>Income in the past 12 months below poverty level: Family households: Other family: Male householder no spouse present</t>
  </si>
  <si>
    <t>Estimate: Total: Income in the past 12 months below poverty level: Family households: Other family: Male householder no spouse present</t>
  </si>
  <si>
    <t>B17017_011E</t>
  </si>
  <si>
    <t>Income in the past 12 months below poverty level: Family households: Other family: Male householder no wife present: Householder under 25 years</t>
  </si>
  <si>
    <t>Estimate: Total: Income in the past 12 months below poverty level: Family households: Other family: Male householder no wife present: Householder under 25 years</t>
  </si>
  <si>
    <t>B17017_011EA,B17017_011M,B17017_011MA</t>
  </si>
  <si>
    <t>Income in the past 12 months below poverty level: Family households: Other family: Male householder no spouse present: Householder under 25 years</t>
  </si>
  <si>
    <t>Estimate: Total: Income in the past 12 months below poverty level: Family households: Other family: Male householder no spouse present: Householder under 25 years</t>
  </si>
  <si>
    <t>B17017_012E</t>
  </si>
  <si>
    <t>Income in the past 12 months below poverty level: Family households: Other family: Male householder no wife present: Householder 25 to 44 years</t>
  </si>
  <si>
    <t>Estimate: Total: Income in the past 12 months below poverty level: Family households: Other family: Male householder no wife present: Householder 25 to 44 years</t>
  </si>
  <si>
    <t>B17017_012EA,B17017_012M,B17017_012MA</t>
  </si>
  <si>
    <t>Income in the past 12 months below poverty level: Family households: Other family: Male householder no spouse present: Householder 25 to 44 years</t>
  </si>
  <si>
    <t>Estimate: Total: Income in the past 12 months below poverty level: Family households: Other family: Male householder no spouse present: Householder 25 to 44 years</t>
  </si>
  <si>
    <t>B17017_013E</t>
  </si>
  <si>
    <t>Income in the past 12 months below poverty level: Family households: Other family: Male householder no wife present: Householder 45 to 64 years</t>
  </si>
  <si>
    <t>Estimate: Total: Income in the past 12 months below poverty level: Family households: Other family: Male householder no wife present: Householder 45 to 64 years</t>
  </si>
  <si>
    <t>B17017_013EA,B17017_013M,B17017_013MA</t>
  </si>
  <si>
    <t>Income in the past 12 months below poverty level: Family households: Other family: Male householder no spouse present: Householder 45 to 64 years</t>
  </si>
  <si>
    <t>Estimate: Total: Income in the past 12 months below poverty level: Family households: Other family: Male householder no spouse present: Householder 45 to 64 years</t>
  </si>
  <si>
    <t>B17017_014E</t>
  </si>
  <si>
    <t>Income in the past 12 months below poverty level: Family households: Other family: Male householder no wife present: Householder 65 years and over</t>
  </si>
  <si>
    <t>Estimate: Total: Income in the past 12 months below poverty level: Family households: Other family: Male householder no wife present: Householder 65 years and over</t>
  </si>
  <si>
    <t>B17017_014EA,B17017_014M,B17017_014MA</t>
  </si>
  <si>
    <t>Income in the past 12 months below poverty level: Family households: Other family: Male householder no spouse present: Householder 65 years and over</t>
  </si>
  <si>
    <t>Estimate: Total: Income in the past 12 months below poverty level: Family households: Other family: Male householder no spouse present: Householder 65 years and over</t>
  </si>
  <si>
    <t>B17017_015E</t>
  </si>
  <si>
    <t>Income in the past 12 months below poverty level: Family households: Other family: Female householder no husband present</t>
  </si>
  <si>
    <t>Estimate: Total: Income in the past 12 months below poverty level: Family households: Other family: Female householder no husband present</t>
  </si>
  <si>
    <t>B17017_015EA,B17017_015M,B17017_015MA</t>
  </si>
  <si>
    <t>Income in the past 12 months below poverty level: Family households: Other family: Female householder no spouse present</t>
  </si>
  <si>
    <t>Estimate: Total: Income in the past 12 months below poverty level: Family households: Other family: Female householder no spouse present</t>
  </si>
  <si>
    <t>B17017_016E</t>
  </si>
  <si>
    <t>Income in the past 12 months below poverty level: Family households: Other family: Female householder no husband present: Householder under 25 years</t>
  </si>
  <si>
    <t>Estimate: Total: Income in the past 12 months below poverty level: Family households: Other family: Female householder no husband present: Householder under 25 years</t>
  </si>
  <si>
    <t>B17017_016EA,B17017_016M,B17017_016MA</t>
  </si>
  <si>
    <t>Income in the past 12 months below poverty level: Family households: Other family: Female householder no spouse present: Householder under 25 years</t>
  </si>
  <si>
    <t>Estimate: Total: Income in the past 12 months below poverty level: Family households: Other family: Female householder no spouse present: Householder under 25 years</t>
  </si>
  <si>
    <t>B17017_017E</t>
  </si>
  <si>
    <t>Income in the past 12 months below poverty level: Family households: Other family: Female householder no husband present: Householder 25 to 44 years</t>
  </si>
  <si>
    <t>Estimate: Total: Income in the past 12 months below poverty level: Family households: Other family: Female householder no husband present: Householder 25 to 44 years</t>
  </si>
  <si>
    <t>B17017_017EA,B17017_017M,B17017_017MA</t>
  </si>
  <si>
    <t>Income in the past 12 months below poverty level: Family households: Other family: Female householder no spouse present: Householder 25 to 44 years</t>
  </si>
  <si>
    <t>Estimate: Total: Income in the past 12 months below poverty level: Family households: Other family: Female householder no spouse present: Householder 25 to 44 years</t>
  </si>
  <si>
    <t>B17017_018E</t>
  </si>
  <si>
    <t>Income in the past 12 months below poverty level: Family households: Other family: Female householder no husband present: Householder 45 to 64 years</t>
  </si>
  <si>
    <t>Estimate: Total: Income in the past 12 months below poverty level: Family households: Other family: Female householder no husband present: Householder 45 to 64 years</t>
  </si>
  <si>
    <t>B17017_018EA,B17017_018M,B17017_018MA</t>
  </si>
  <si>
    <t>Income in the past 12 months below poverty level: Family households: Other family: Female householder no spouse present: Householder 45 to 64 years</t>
  </si>
  <si>
    <t>Estimate: Total: Income in the past 12 months below poverty level: Family households: Other family: Female householder no spouse present: Householder 45 to 64 years</t>
  </si>
  <si>
    <t>B17017_019E</t>
  </si>
  <si>
    <t>Income in the past 12 months below poverty level: Family households: Other family: Female householder no husband present: Householder 65 years and over</t>
  </si>
  <si>
    <t>Estimate: Total: Income in the past 12 months below poverty level: Family households: Other family: Female householder no husband present: Householder 65 years and over</t>
  </si>
  <si>
    <t>B17017_019EA,B17017_019M,B17017_019MA</t>
  </si>
  <si>
    <t>Income in the past 12 months below poverty level: Family households: Other family: Female householder no spouse present: Householder 65 years and over</t>
  </si>
  <si>
    <t>Estimate: Total: Income in the past 12 months below poverty level: Family households: Other family: Female householder no spouse present: Householder 65 years and over</t>
  </si>
  <si>
    <t>B17017_020E</t>
  </si>
  <si>
    <t>Income in the past 12 months below poverty level: Non-family households</t>
  </si>
  <si>
    <t>Estimate: Total: Income in the past 12 months below poverty level: Nonfamily households</t>
  </si>
  <si>
    <t>B17017_020EA,B17017_020M,B17017_020MA</t>
  </si>
  <si>
    <t>B17017_021E</t>
  </si>
  <si>
    <t>Income in the past 12 months below poverty level: Non-family households: Male householder</t>
  </si>
  <si>
    <t>Estimate: Total: Income in the past 12 months below poverty level: Nonfamily households: Male householder</t>
  </si>
  <si>
    <t>B17017_021EA,B17017_021M,B17017_021MA</t>
  </si>
  <si>
    <t>B17017_022E</t>
  </si>
  <si>
    <t>Income in the past 12 months below poverty level: Non-family households: Male householder: Householder under 25 years</t>
  </si>
  <si>
    <t>Estimate: Total: Income in the past 12 months below poverty level: Nonfamily households: Male householder: Householder under 25 years</t>
  </si>
  <si>
    <t>B17017_022EA,B17017_022M,B17017_022MA</t>
  </si>
  <si>
    <t>B17017_023E</t>
  </si>
  <si>
    <t>Income in the past 12 months below poverty level: Non-family households: Male householder: Householder 25 to 44 years</t>
  </si>
  <si>
    <t>Estimate: Total: Income in the past 12 months below poverty level: Nonfamily households: Male householder: Householder 25 to 44 years</t>
  </si>
  <si>
    <t>B17017_023EA,B17017_023M,B17017_023MA</t>
  </si>
  <si>
    <t>B17017_024E</t>
  </si>
  <si>
    <t>Income in the past 12 months below poverty level: Non-family households: Male householder: Householder 45 to 64 years</t>
  </si>
  <si>
    <t>Estimate: Total: Income in the past 12 months below poverty level: Nonfamily households: Male householder: Householder 45 to 64 years</t>
  </si>
  <si>
    <t>B17017_024EA,B17017_024M,B17017_024MA</t>
  </si>
  <si>
    <t>B17017_025E</t>
  </si>
  <si>
    <t>Income in the past 12 months below poverty level: Non-family households: Male householder: Householder 65 years and over</t>
  </si>
  <si>
    <t>Estimate: Total: Income in the past 12 months below poverty level: Nonfamily households: Male householder: Householder 65 years and over</t>
  </si>
  <si>
    <t>B17017_025EA,B17017_025M,B17017_025MA</t>
  </si>
  <si>
    <t>B17017_026E</t>
  </si>
  <si>
    <t>Income in the past 12 months below poverty level: Non-family households: Female householder</t>
  </si>
  <si>
    <t>Estimate: Total: Income in the past 12 months below poverty level: Nonfamily households: Female householder</t>
  </si>
  <si>
    <t>B17017_026EA,B17017_026M,B17017_026MA</t>
  </si>
  <si>
    <t>B17017_027E</t>
  </si>
  <si>
    <t>Income in the past 12 months below poverty level: Non-family households: Female householder: Householder under 25 years</t>
  </si>
  <si>
    <t>Estimate: Total: Income in the past 12 months below poverty level: Nonfamily households: Female householder: Householder under 25 years</t>
  </si>
  <si>
    <t>B17017_027EA,B17017_027M,B17017_027MA</t>
  </si>
  <si>
    <t>B17017_028E</t>
  </si>
  <si>
    <t>Income in the past 12 months below poverty level: Non-family households: Female householder: Householder 25 to 44 years</t>
  </si>
  <si>
    <t>Estimate: Total: Income in the past 12 months below poverty level: Nonfamily households: Female householder: Householder 25 to 44 years</t>
  </si>
  <si>
    <t>B17017_028EA,B17017_028M,B17017_028MA</t>
  </si>
  <si>
    <t>B17017_029E</t>
  </si>
  <si>
    <t>Income in the past 12 months below poverty level: Non-family households: Female householder: Householder 45 to 64 years</t>
  </si>
  <si>
    <t>Estimate: Total: Income in the past 12 months below poverty level: Nonfamily households: Female householder: Householder 45 to 64 years</t>
  </si>
  <si>
    <t>B17017_029EA,B17017_029M,B17017_029MA</t>
  </si>
  <si>
    <t>B17017_030E</t>
  </si>
  <si>
    <t>Income in the past 12 months below poverty level: Non-family households: Female householder: Householder 65 years and over</t>
  </si>
  <si>
    <t>Estimate: Total: Income in the past 12 months below poverty level: Nonfamily households: Female householder: Householder 65 years and over</t>
  </si>
  <si>
    <t>B17017_030EA,B17017_030M,B17017_030MA</t>
  </si>
  <si>
    <t>B17017_031E</t>
  </si>
  <si>
    <t>B17017_031EA,B17017_031M,B17017_031MA</t>
  </si>
  <si>
    <t>B17017_032E</t>
  </si>
  <si>
    <t>Income in the past 12 months at or above poverty level: Family households</t>
  </si>
  <si>
    <t>Estimate: Total: Income in the past 12 months at or above poverty level: Family households</t>
  </si>
  <si>
    <t>B17017_032EA,B17017_032M,B17017_032MA</t>
  </si>
  <si>
    <t>B17017_033E</t>
  </si>
  <si>
    <t>Income in the past 12 months at or above poverty level: Family households: Married-couple family</t>
  </si>
  <si>
    <t>Estimate: Total: Income in the past 12 months at or above poverty level: Family households: Married-couple family</t>
  </si>
  <si>
    <t>B17017_033EA,B17017_033M,B17017_033MA</t>
  </si>
  <si>
    <t>B17017_034E</t>
  </si>
  <si>
    <t>Income in the past 12 months at or above poverty level: Family households: Married-couple family: Householder under 25 years</t>
  </si>
  <si>
    <t>Estimate: Total: Income in the past 12 months at or above poverty level: Family households: Married-couple family: Householder under 25 years</t>
  </si>
  <si>
    <t>B17017_034EA,B17017_034M,B17017_034MA</t>
  </si>
  <si>
    <t>B17017_035E</t>
  </si>
  <si>
    <t>Income in the past 12 months at or above poverty level: Family households: Married-couple family: Householder 25 to 44 years</t>
  </si>
  <si>
    <t>Estimate: Total: Income in the past 12 months at or above poverty level: Family households: Married-couple family: Householder 25 to 44 years</t>
  </si>
  <si>
    <t>B17017_035EA,B17017_035M,B17017_035MA</t>
  </si>
  <si>
    <t>B17017_036E</t>
  </si>
  <si>
    <t>Income in the past 12 months at or above poverty level: Family households: Married-couple family: Householder 45 to 64 years</t>
  </si>
  <si>
    <t>Estimate: Total: Income in the past 12 months at or above poverty level: Family households: Married-couple family: Householder 45 to 64 years</t>
  </si>
  <si>
    <t>B17017_036EA,B17017_036M,B17017_036MA</t>
  </si>
  <si>
    <t>B17017_037E</t>
  </si>
  <si>
    <t>Income in the past 12 months at or above poverty level: Family households: Married-couple family: Householder 65 years and over</t>
  </si>
  <si>
    <t>Estimate: Total: Income in the past 12 months at or above poverty level: Family households: Married-couple family: Householder 65 years and over</t>
  </si>
  <si>
    <t>B17017_037EA,B17017_037M,B17017_037MA</t>
  </si>
  <si>
    <t>B17017_038E</t>
  </si>
  <si>
    <t>Income in the past 12 months at or above poverty level: Family households: Other family</t>
  </si>
  <si>
    <t>Estimate: Total: Income in the past 12 months at or above poverty level: Family households: Other family</t>
  </si>
  <si>
    <t>B17017_038EA,B17017_038M,B17017_038MA</t>
  </si>
  <si>
    <t>B17017_039E</t>
  </si>
  <si>
    <t>Income in the past 12 months at or above poverty level: Family households: Other family: Male householder no wife present</t>
  </si>
  <si>
    <t>Estimate: Total: Income in the past 12 months at or above poverty level: Family households: Other family: Male householder no wife present</t>
  </si>
  <si>
    <t>B17017_039EA,B17017_039M,B17017_039MA</t>
  </si>
  <si>
    <t>Income in the past 12 months at or above poverty level: Family households: Other family: Male householder no spouse present</t>
  </si>
  <si>
    <t>Estimate: Total: Income in the past 12 months at or above poverty level: Family households: Other family: Male householder no spouse present</t>
  </si>
  <si>
    <t>B17017_040E</t>
  </si>
  <si>
    <t>Income in the past 12 months at or above poverty level: Family households: Other family: Male householder no wife present: Householder under 25 years</t>
  </si>
  <si>
    <t>Estimate: Total: Income in the past 12 months at or above poverty level: Family households: Other family: Male householder no wife present: Householder under 25 years</t>
  </si>
  <si>
    <t>B17017_040EA,B17017_040M,B17017_040MA</t>
  </si>
  <si>
    <t>Income in the past 12 months at or above poverty level: Family households: Other family: Male householder no spouse present: Householder under 25 years</t>
  </si>
  <si>
    <t>Estimate: Total: Income in the past 12 months at or above poverty level: Family households: Other family: Male householder no spouse present: Householder under 25 years</t>
  </si>
  <si>
    <t>B17017_041E</t>
  </si>
  <si>
    <t>Income in the past 12 months at or above poverty level: Family households: Other family: Male householder no wife present: Householder 25 to 44 years</t>
  </si>
  <si>
    <t>Estimate: Total: Income in the past 12 months at or above poverty level: Family households: Other family: Male householder no wife present: Householder 25 to 44 years</t>
  </si>
  <si>
    <t>B17017_041EA,B17017_041M,B17017_041MA</t>
  </si>
  <si>
    <t>Income in the past 12 months at or above poverty level: Family households: Other family: Male householder no spouse present: Householder 25 to 44 years</t>
  </si>
  <si>
    <t>Estimate: Total: Income in the past 12 months at or above poverty level: Family households: Other family: Male householder no spouse present: Householder 25 to 44 years</t>
  </si>
  <si>
    <t>B17017_042E</t>
  </si>
  <si>
    <t>Income in the past 12 months at or above poverty level: Family households: Other family: Male householder no wife present: Householder 45 to 64 years</t>
  </si>
  <si>
    <t>Estimate: Total: Income in the past 12 months at or above poverty level: Family households: Other family: Male householder no wife present: Householder 45 to 64 years</t>
  </si>
  <si>
    <t>B17017_042EA,B17017_042M,B17017_042MA</t>
  </si>
  <si>
    <t>Income in the past 12 months at or above poverty level: Family households: Other family: Male householder no spouse present: Householder 45 to 64 years</t>
  </si>
  <si>
    <t>Estimate: Total: Income in the past 12 months at or above poverty level: Family households: Other family: Male householder no spouse present: Householder 45 to 64 years</t>
  </si>
  <si>
    <t>B17017_043E</t>
  </si>
  <si>
    <t>Income in the past 12 months at or above poverty level: Family households: Other family: Male householder no wife present: Householder 65 years and over</t>
  </si>
  <si>
    <t>Estimate: Total: Income in the past 12 months at or above poverty level: Family households: Other family: Male householder no wife present: Householder 65 years and over</t>
  </si>
  <si>
    <t>B17017_043EA,B17017_043M,B17017_043MA</t>
  </si>
  <si>
    <t>Income in the past 12 months at or above poverty level: Family households: Other family: Male householder no spouse present: Householder 65 years and over</t>
  </si>
  <si>
    <t>Estimate: Total: Income in the past 12 months at or above poverty level: Family households: Other family: Male householder no spouse present: Householder 65 years and over</t>
  </si>
  <si>
    <t>B17017_044E</t>
  </si>
  <si>
    <t>Income in the past 12 months at or above poverty level: Family households: Other family: Female householder no husband present</t>
  </si>
  <si>
    <t>Estimate: Total: Income in the past 12 months at or above poverty level: Family households: Other family: Female householder no husband present</t>
  </si>
  <si>
    <t>B17017_044EA,B17017_044M,B17017_044MA</t>
  </si>
  <si>
    <t>Income in the past 12 months at or above poverty level: Family households: Other family: Female householder no spouse present</t>
  </si>
  <si>
    <t>Estimate: Total: Income in the past 12 months at or above poverty level: Family households: Other family: Female householder no spouse present</t>
  </si>
  <si>
    <t>B17017_045E</t>
  </si>
  <si>
    <t>Income in the past 12 months at or above poverty level: Family households: Other family: Female householder no husband present: Householder under 25 years</t>
  </si>
  <si>
    <t>Estimate: Total: Income in the past 12 months at or above poverty level: Family households: Other family: Female householder no husband present: Householder under 25 years</t>
  </si>
  <si>
    <t>B17017_045EA,B17017_045M,B17017_045MA</t>
  </si>
  <si>
    <t>Income in the past 12 months at or above poverty level: Family households: Other family: Female householder no spouse present: Householder under 25 years</t>
  </si>
  <si>
    <t>Estimate: Total: Income in the past 12 months at or above poverty level: Family households: Other family: Female householder no spouse present: Householder under 25 years</t>
  </si>
  <si>
    <t>B17017_046E</t>
  </si>
  <si>
    <t>Income in the past 12 months at or above poverty level: Family households: Other family: Female householder no husband present: Householder 25 to 44 years</t>
  </si>
  <si>
    <t>Estimate: Total: Income in the past 12 months at or above poverty level: Family households: Other family: Female householder no husband present: Householder 25 to 44 years</t>
  </si>
  <si>
    <t>B17017_046EA,B17017_046M,B17017_046MA</t>
  </si>
  <si>
    <t>Income in the past 12 months at or above poverty level: Family households: Other family: Female householder no spouse present: Householder 25 to 44 years</t>
  </si>
  <si>
    <t>Estimate: Total: Income in the past 12 months at or above poverty level: Family households: Other family: Female householder no spouse present: Householder 25 to 44 years</t>
  </si>
  <si>
    <t>B17017_047E</t>
  </si>
  <si>
    <t>Income in the past 12 months at or above poverty level: Family households: Other family: Female householder no husband present: Householder 45 to 64 years</t>
  </si>
  <si>
    <t>Estimate: Total: Income in the past 12 months at or above poverty level: Family households: Other family: Female householder no husband present: Householder 45 to 64 years</t>
  </si>
  <si>
    <t>B17017_047EA,B17017_047M,B17017_047MA</t>
  </si>
  <si>
    <t>Income in the past 12 months at or above poverty level: Family households: Other family: Female householder no spouse present: Householder 45 to 64 years</t>
  </si>
  <si>
    <t>Estimate: Total: Income in the past 12 months at or above poverty level: Family households: Other family: Female householder no spouse present: Householder 45 to 64 years</t>
  </si>
  <si>
    <t>B17017_048E</t>
  </si>
  <si>
    <t>Income in the past 12 months at or above poverty level: Family households: Other family: Female householder no husband present: Householder 65 years and over</t>
  </si>
  <si>
    <t>Estimate: Total: Income in the past 12 months at or above poverty level: Family households: Other family: Female householder no husband present: Householder 65 years and over</t>
  </si>
  <si>
    <t>B17017_048EA,B17017_048M,B17017_048MA</t>
  </si>
  <si>
    <t>Income in the past 12 months at or above poverty level: Family households: Other family: Female householder no spouse present: Householder 65 years and over</t>
  </si>
  <si>
    <t>Estimate: Total: Income in the past 12 months at or above poverty level: Family households: Other family: Female householder no spouse present: Householder 65 years and over</t>
  </si>
  <si>
    <t>B17017_049E</t>
  </si>
  <si>
    <t>Income in the past 12 months at or above poverty level: Non-family households</t>
  </si>
  <si>
    <t>Estimate: Total: Income in the past 12 months at or above poverty level: Nonfamily households</t>
  </si>
  <si>
    <t>B17017_049EA,B17017_049M,B17017_049MA</t>
  </si>
  <si>
    <t>B17017_050E</t>
  </si>
  <si>
    <t>Income in the past 12 months at or above poverty level: Non-family households: Male householder</t>
  </si>
  <si>
    <t>Estimate: Total: Income in the past 12 months at or above poverty level: Nonfamily households: Male householder</t>
  </si>
  <si>
    <t>B17017_050EA,B17017_050M,B17017_050MA</t>
  </si>
  <si>
    <t>B17017_051E</t>
  </si>
  <si>
    <t>Income in the past 12 months at or above poverty level: Non-family households: Male householder: Householder under 25 years</t>
  </si>
  <si>
    <t>Estimate: Total: Income in the past 12 months at or above poverty level: Nonfamily households: Male householder: Householder under 25 years</t>
  </si>
  <si>
    <t>B17017_051EA,B17017_051M,B17017_051MA</t>
  </si>
  <si>
    <t>B17017_052E</t>
  </si>
  <si>
    <t>Income in the past 12 months at or above poverty level: Non-family households: Male householder: Householder 25 to 44 years</t>
  </si>
  <si>
    <t>Estimate: Total: Income in the past 12 months at or above poverty level: Nonfamily households: Male householder: Householder 25 to 44 years</t>
  </si>
  <si>
    <t>B17017_052EA,B17017_052M,B17017_052MA</t>
  </si>
  <si>
    <t>B17017_053E</t>
  </si>
  <si>
    <t>Income in the past 12 months at or above poverty level: Non-family households: Male householder: Householder 45 to 64 years</t>
  </si>
  <si>
    <t>Estimate: Total: Income in the past 12 months at or above poverty level: Nonfamily households: Male householder: Householder 45 to 64 years</t>
  </si>
  <si>
    <t>B17017_053EA,B17017_053M,B17017_053MA</t>
  </si>
  <si>
    <t>B17017_054E</t>
  </si>
  <si>
    <t>Income in the past 12 months at or above poverty level: Non-family households: Male householder: Householder 65 years and over</t>
  </si>
  <si>
    <t>Estimate: Total: Income in the past 12 months at or above poverty level: Nonfamily households: Male householder: Householder 65 years and over</t>
  </si>
  <si>
    <t>B17017_054EA,B17017_054M,B17017_054MA</t>
  </si>
  <si>
    <t>B17017_055E</t>
  </si>
  <si>
    <t>Income in the past 12 months at or above poverty level: Non-family households: Female householder</t>
  </si>
  <si>
    <t>Estimate: Total: Income in the past 12 months at or above poverty level: Nonfamily households: Female householder</t>
  </si>
  <si>
    <t>B17017_055EA,B17017_055M,B17017_055MA</t>
  </si>
  <si>
    <t>B17017_056E</t>
  </si>
  <si>
    <t>Income in the past 12 months at or above poverty level: Non-family households: Female householder: Householder under 25 years</t>
  </si>
  <si>
    <t>Estimate: Total: Income in the past 12 months at or above poverty level: Nonfamily households: Female householder: Householder under 25 years</t>
  </si>
  <si>
    <t>B17017_056EA,B17017_056M,B17017_056MA</t>
  </si>
  <si>
    <t>B17017_057E</t>
  </si>
  <si>
    <t>Income in the past 12 months at or above poverty level: Non-family households: Female householder: Householder 25 to 44 years</t>
  </si>
  <si>
    <t>Estimate: Total: Income in the past 12 months at or above poverty level: Nonfamily households: Female householder: Householder 25 to 44 years</t>
  </si>
  <si>
    <t>B17017_057EA,B17017_057M,B17017_057MA</t>
  </si>
  <si>
    <t>B17017_058E</t>
  </si>
  <si>
    <t>Income in the past 12 months at or above poverty level: Non-family households: Female householder: Householder 45 to 64 years</t>
  </si>
  <si>
    <t>Estimate: Total: Income in the past 12 months at or above poverty level: Nonfamily households: Female householder: Householder 45 to 64 years</t>
  </si>
  <si>
    <t>B17017_058EA,B17017_058M,B17017_058MA</t>
  </si>
  <si>
    <t>B17017_059E</t>
  </si>
  <si>
    <t>Income in the past 12 months at or above poverty level: Non-family households: Female householder: Householder 65 years and over</t>
  </si>
  <si>
    <t>Estimate: Total: Income in the past 12 months at or above poverty level: Nonfamily households: Female householder: Householder 65 years and over</t>
  </si>
  <si>
    <t>B17017_059EA,B17017_059M,B17017_059MA</t>
  </si>
  <si>
    <t>B17010</t>
  </si>
  <si>
    <t>B17010_001E</t>
  </si>
  <si>
    <t>All Families</t>
  </si>
  <si>
    <t>E20</t>
  </si>
  <si>
    <t>Poverty Status by Family</t>
  </si>
  <si>
    <t>POVERTY STATUS IN THE PAST 12 MONTHS OF FAMILIES BY FAMILY TYPE BY PRESENCE OF RELATED CHILDREN UNDER 18 YEARS BY AGE OF RELATED CHILDREN</t>
  </si>
  <si>
    <t>B17010_001EA,B17010_001M,B17010_001MA</t>
  </si>
  <si>
    <t>B17010_002E</t>
  </si>
  <si>
    <t>B17010_002EA,B17010_002M,B17010_002MA</t>
  </si>
  <si>
    <t>B17010_003E</t>
  </si>
  <si>
    <t>Income in the past 12 months below poverty level: Married-couple family</t>
  </si>
  <si>
    <t>Estimate: Total: Income in the past 12 months below poverty level: Married-couple family</t>
  </si>
  <si>
    <t>B17010_003EA,B17010_003M,B17010_003MA</t>
  </si>
  <si>
    <t>B17010_004E</t>
  </si>
  <si>
    <t>Income in the past 12 months below poverty level: Married-couple family: With related children under 18 years</t>
  </si>
  <si>
    <t>Estimate: Total: Income in the past 12 months below poverty level: Married-couple family: With related children under 18 years</t>
  </si>
  <si>
    <t>B17010_004EA,B17010_004M,B17010_004MA</t>
  </si>
  <si>
    <t>Income in the past 12 months below poverty level: Married-couple family: With related children of the householder under 18 years</t>
  </si>
  <si>
    <t>Estimate: Total: Income in the past 12 months below poverty level: Married-couple family: With related children of the householder under 18 years</t>
  </si>
  <si>
    <t>B17010_005E</t>
  </si>
  <si>
    <t>Income in the past 12 months below poverty level: Married-couple family: With related children under 18 years: Under 5 years only</t>
  </si>
  <si>
    <t>Estimate: Total: Income in the past 12 months below poverty level: Married-couple family: With related children under 18 years: Under 5 years only</t>
  </si>
  <si>
    <t>B17010_005EA,B17010_005M,B17010_005MA</t>
  </si>
  <si>
    <t>Income in the past 12 months below poverty level: Married-couple family: With related children of the householder under 18 years: Under 5 years only</t>
  </si>
  <si>
    <t>Estimate: Total: Income in the past 12 months below poverty level: Married-couple family: With related children of the householder under 18 years: Under 5 years only</t>
  </si>
  <si>
    <t>B17010_006E</t>
  </si>
  <si>
    <t>Income in the past 12 months below poverty level: Married-couple family: With related children under 18 years: Under 5 years and 5 to 17 years</t>
  </si>
  <si>
    <t>Estimate: Total: Income in the past 12 months below poverty level: Married-couple family: With related children under 18 years: Under 5 years and 5 to 17 years</t>
  </si>
  <si>
    <t>B17010_006EA,B17010_006M,B17010_006MA</t>
  </si>
  <si>
    <t>Income in the past 12 months below poverty level: Married-couple family: With related children of the householder under 18 years: Under 5 years and 5 to 17 years</t>
  </si>
  <si>
    <t>Estimate: Total: Income in the past 12 months below poverty level: Married-couple family: With related children of the householder under 18 years: Under 5 years and 5 to 17 years</t>
  </si>
  <si>
    <t>B17010_007E</t>
  </si>
  <si>
    <t>Income in the past 12 months below poverty level: Married-couple family: With related children under 18 years: 5 to 17 years only</t>
  </si>
  <si>
    <t>Estimate: Total: Income in the past 12 months below poverty level: Married-couple family: With related children under 18 years: 5 to 17 years only</t>
  </si>
  <si>
    <t>B17010_007EA,B17010_007M,B17010_007MA</t>
  </si>
  <si>
    <t>Income in the past 12 months below poverty level: Married-couple family: With related children of the householder under 18 years: 5 to 17 years only</t>
  </si>
  <si>
    <t>Estimate: Total: Income in the past 12 months below poverty level: Married-couple family: With related children of the householder under 18 years: 5 to 17 years only</t>
  </si>
  <si>
    <t>B17010_008E</t>
  </si>
  <si>
    <t>Income in the past 12 months below poverty level: Married-couple family: No related children under 18 years</t>
  </si>
  <si>
    <t>Estimate: Total: Income in the past 12 months below poverty level: Married-couple family: No related children under 18 years</t>
  </si>
  <si>
    <t>B17010_008EA,B17010_008M,B17010_008MA</t>
  </si>
  <si>
    <t>Income in the past 12 months below poverty level: Married-couple family: No related children of the householder under 18 years</t>
  </si>
  <si>
    <t>Estimate: Total: Income in the past 12 months below poverty level: Married-couple family: No related children of the householder under 18 years</t>
  </si>
  <si>
    <t>B17010_009E</t>
  </si>
  <si>
    <t>Income in the past 12 months below poverty level: Other family</t>
  </si>
  <si>
    <t>Estimate: Total: Income in the past 12 months below poverty level: Other family</t>
  </si>
  <si>
    <t>B17010_009EA,B17010_009M,B17010_009MA</t>
  </si>
  <si>
    <t>B17010_010E</t>
  </si>
  <si>
    <t>Income in the past 12 months below poverty level: Other family: Male householder no wife present</t>
  </si>
  <si>
    <t>Estimate: Total: Income in the past 12 months below poverty level: Other family: Male householder no wife present</t>
  </si>
  <si>
    <t>B17010_010EA,B17010_010M,B17010_010MA</t>
  </si>
  <si>
    <t>Income in the past 12 months below poverty level: Other family: Male householder no spouse present</t>
  </si>
  <si>
    <t>Estimate: Total: Income in the past 12 months below poverty level: Other family: Male householder no spouse present</t>
  </si>
  <si>
    <t>B17010_011E</t>
  </si>
  <si>
    <t>Income in the past 12 months below poverty level: Other family: Male householder no wife present: With related children under 18 years</t>
  </si>
  <si>
    <t>Estimate: Total: Income in the past 12 months below poverty level: Other family: Male householder no wife present: With related children under 18 years</t>
  </si>
  <si>
    <t>B17010_011EA,B17010_011M,B17010_011MA</t>
  </si>
  <si>
    <t>Income in the past 12 months below poverty level: Other family: Male householder no wife present: With related children of the householder under 18 years</t>
  </si>
  <si>
    <t>Estimate: Total: Income in the past 12 months below poverty level: Other family: Male householder no wife present: With related children of the householder under 18 years</t>
  </si>
  <si>
    <t>Income in the past 12 months below poverty level: Other family: Male householder no spouse present: With related children of the householder under 18 years</t>
  </si>
  <si>
    <t>Estimate: Total: Income in the past 12 months below poverty level: Other family: Male householder no spouse present: With related children of the householder under 18 years</t>
  </si>
  <si>
    <t>B17010_012E</t>
  </si>
  <si>
    <t>Income in the past 12 months below poverty level: Other family: Male householder no wife present: With related children under 18 years: Under 5 years only</t>
  </si>
  <si>
    <t>Estimate: Total: Income in the past 12 months below poverty level: Other family: Male householder no wife present: With related children under 18 years: Under 5 years only</t>
  </si>
  <si>
    <t>B17010_012EA,B17010_012M,B17010_012MA</t>
  </si>
  <si>
    <t>Income in the past 12 months below poverty level: Other family: Male householder no wife present: With related children of the householder under 18 years: Under 5 years only</t>
  </si>
  <si>
    <t>Estimate: Total: Income in the past 12 months below poverty level: Other family: Male householder no wife present: With related children of the householder under 18 years: Under 5 years only</t>
  </si>
  <si>
    <t>Income in the past 12 months below poverty level: Other family: Male householder no spouse present: With related children of the householder under 18 years: Under 5 years only</t>
  </si>
  <si>
    <t>Estimate: Total: Income in the past 12 months below poverty level: Other family: Male householder no spouse present: With related children of the householder under 18 years: Under 5 years only</t>
  </si>
  <si>
    <t>B17010_013E</t>
  </si>
  <si>
    <t>Income in the past 12 months below poverty level: Other family: Male householder no wife present: With related children under 18 years: Under 5 years and 5 to 17 years</t>
  </si>
  <si>
    <t>Estimate: Total: Income in the past 12 months below poverty level: Other family: Male householder no wife present: With related children under 18 years: Under 5 years and 5 to 17 years</t>
  </si>
  <si>
    <t>B17010_013EA,B17010_013M,B17010_013MA</t>
  </si>
  <si>
    <t>Income in the past 12 months below poverty level: Other family: Male householder no wife present: With related children of the householder under 18 years: Under 5 years and 5 to 17 years</t>
  </si>
  <si>
    <t>Estimate: Total: Income in the past 12 months below poverty level: Other family: Male householder no wife present: With related children of the householder under 18 years: Under 5 years and 5 to 17 years</t>
  </si>
  <si>
    <t>Income in the past 12 months below poverty level: Other family: Male householder no spouse present: With related children of the householder under 18 years: Under 5 years and 5 to 17 years</t>
  </si>
  <si>
    <t>Estimate: Total: Income in the past 12 months below poverty level: Other family: Male householder no spouse present: With related children of the householder under 18 years: Under 5 years and 5 to 17 years</t>
  </si>
  <si>
    <t>B17010_014E</t>
  </si>
  <si>
    <t>Income in the past 12 months below poverty level: Other family: Male householder no wife present: With related children under 18 years: 5 to 17 years only</t>
  </si>
  <si>
    <t>Estimate: Total: Income in the past 12 months below poverty level: Other family: Male householder no wife present: With related children under 18 years: 5 to 17 years only</t>
  </si>
  <si>
    <t>B17010_014EA,B17010_014M,B17010_014MA</t>
  </si>
  <si>
    <t>Income in the past 12 months below poverty level: Other family: Male householder no wife present: With related children of the householder under 18 years: 5 to 17 years only</t>
  </si>
  <si>
    <t>Estimate: Total: Income in the past 12 months below poverty level: Other family: Male householder no wife present: With related children of the householder under 18 years: 5 to 17 years only</t>
  </si>
  <si>
    <t>Income in the past 12 months below poverty level: Other family: Male householder no spouse present: With related children of the householder under 18 years: 5 to 17 years only</t>
  </si>
  <si>
    <t>Estimate: Total: Income in the past 12 months below poverty level: Other family: Male householder no spouse present: With related children of the householder under 18 years: 5 to 17 years only</t>
  </si>
  <si>
    <t>B17010_015E</t>
  </si>
  <si>
    <t>Income in the past 12 months below poverty level: Other family: Male householder no wife present: No related children under 18 years</t>
  </si>
  <si>
    <t>Estimate: Total: Income in the past 12 months below poverty level: Other family: Male householder no wife present: No related children under 18 years</t>
  </si>
  <si>
    <t>B17010_015EA,B17010_015M,B17010_015MA</t>
  </si>
  <si>
    <t>Income in the past 12 months below poverty level: Other family: Male householder no wife present: No related children of the householder under 18 years</t>
  </si>
  <si>
    <t>Estimate: Total: Income in the past 12 months below poverty level: Other family: Male householder no wife present: No related children of the householder under 18 years</t>
  </si>
  <si>
    <t>Income in the past 12 months below poverty level: Other family: Male householder no spouse present: No related children of the householder under 18 years</t>
  </si>
  <si>
    <t>Estimate: Total: Income in the past 12 months below poverty level: Other family: Male householder no spouse present: No related children of the householder under 18 years</t>
  </si>
  <si>
    <t>B17010_016E</t>
  </si>
  <si>
    <t>Income in the past 12 months below poverty level: Other family: Female householder no husband present</t>
  </si>
  <si>
    <t>Estimate: Total: Income in the past 12 months below poverty level: Other family: Female householder no husband present</t>
  </si>
  <si>
    <t>B17010_016EA,B17010_016M,B17010_016MA</t>
  </si>
  <si>
    <t>Income in the past 12 months below poverty level: Other family: Female householder no spouse present</t>
  </si>
  <si>
    <t>Estimate: Total: Income in the past 12 months below poverty level: Other family: Female householder no spouse present</t>
  </si>
  <si>
    <t>B17010_017E</t>
  </si>
  <si>
    <t>Income in the past 12 months below poverty level: Other family: Female householder no husband present: With related children under 18 years</t>
  </si>
  <si>
    <t>Estimate: Total: Income in the past 12 months below poverty level: Other family: Female householder no husband present: With related children under 18 years</t>
  </si>
  <si>
    <t>B17010_017EA,B17010_017M,B17010_017MA</t>
  </si>
  <si>
    <t>Income in the past 12 months below poverty level: Other family: Female householder no husband present: With related children of the householder under 18 years</t>
  </si>
  <si>
    <t>Estimate: Total: Income in the past 12 months below poverty level: Other family: Female householder no husband present: With related children of the householder under 18 years</t>
  </si>
  <si>
    <t>Income in the past 12 months below poverty level: Other family: Female householder no spouse present: With related children of the householder under 18 years</t>
  </si>
  <si>
    <t>Estimate: Total: Income in the past 12 months below poverty level: Other family: Female householder no spouse present: With related children of the householder under 18 years</t>
  </si>
  <si>
    <t>B17010_018E</t>
  </si>
  <si>
    <t>Income in the past 12 months below poverty level: Other family: Female householder no husband present: With related children under 18 years: Under 5 years only</t>
  </si>
  <si>
    <t>Estimate: Total: Income in the past 12 months below poverty level: Other family: Female householder no husband present: With related children under 18 years: Under 5 years only</t>
  </si>
  <si>
    <t>B17010_018EA,B17010_018M,B17010_018MA</t>
  </si>
  <si>
    <t>Income in the past 12 months below poverty level: Other family: Female householder no husband present: With related children of the householder under 18 years: Under 5 years only</t>
  </si>
  <si>
    <t>Estimate: Total: Income in the past 12 months below poverty level: Other family: Female householder no husband present: With related children of the householder under 18 years: Under 5 years only</t>
  </si>
  <si>
    <t>Income in the past 12 months below poverty level: Other family: Female householder no spouse present: With related children of the householder under 18 years: Under 5 years only</t>
  </si>
  <si>
    <t>Estimate: Total: Income in the past 12 months below poverty level: Other family: Female householder no spouse present: With related children of the householder under 18 years: Under 5 years only</t>
  </si>
  <si>
    <t>B17010_019E</t>
  </si>
  <si>
    <t>Income in the past 12 months below poverty level: Other family: Female householder no husband present: With related children under 18 years: Under 5 years and 5 to 17 years</t>
  </si>
  <si>
    <t>Estimate: Total: Income in the past 12 months below poverty level: Other family: Female householder no husband present: With related children under 18 years: Under 5 years and 5 to 17 years</t>
  </si>
  <si>
    <t>B17010_019EA,B17010_019M,B17010_019MA</t>
  </si>
  <si>
    <t>Income in the past 12 months below poverty level: Other family: Female householder no husband present: With related children of the householder under 18 years: Under 5 years and 5 to 17 years</t>
  </si>
  <si>
    <t>Estimate: Total: Income in the past 12 months below poverty level: Other family: Female householder no husband present: With related children of the householder under 18 years: Under 5 years and 5 to 17 years</t>
  </si>
  <si>
    <t>Income in the past 12 months below poverty level: Other family: Female householder no spouse present: With related children of the householder under 18 years: Under 5 years and 5 to 17 years</t>
  </si>
  <si>
    <t>Estimate: Total: Income in the past 12 months below poverty level: Other family: Female householder no spouse present: With related children of the householder under 18 years: Under 5 years and 5 to 17 years</t>
  </si>
  <si>
    <t>B17010_020E</t>
  </si>
  <si>
    <t>Income in the past 12 months below poverty level: Other family: Female householder no husband present: With related children under 18 years: 5 to 17 years only</t>
  </si>
  <si>
    <t>Estimate: Total: Income in the past 12 months below poverty level: Other family: Female householder no husband present: With related children under 18 years: 5 to 17 years only</t>
  </si>
  <si>
    <t>B17010_020EA,B17010_020M,B17010_020MA</t>
  </si>
  <si>
    <t>Income in the past 12 months below poverty level: Other family: Female householder no husband present: With related children of the householder under 18 years: 5 to 17 years only</t>
  </si>
  <si>
    <t>Estimate: Total: Income in the past 12 months below poverty level: Other family: Female householder no husband present: With related children of the householder under 18 years: 5 to 17 years only</t>
  </si>
  <si>
    <t>Income in the past 12 months below poverty level: Other family: Female householder no spouse present: With related children of the householder under 18 years: 5 to 17 years only</t>
  </si>
  <si>
    <t>Estimate: Total: Income in the past 12 months below poverty level: Other family: Female householder no spouse present: With related children of the householder under 18 years: 5 to 17 years only</t>
  </si>
  <si>
    <t>B17010_021E</t>
  </si>
  <si>
    <t>Income in the past 12 months below poverty level: Other family: Female householder no husband present: No related children under 18 years</t>
  </si>
  <si>
    <t>Estimate: Total: Income in the past 12 months below poverty level: Other family: Female householder no husband present: No related children under 18 years</t>
  </si>
  <si>
    <t>B17010_021EA,B17010_021M,B17010_021MA</t>
  </si>
  <si>
    <t>Income in the past 12 months below poverty level: Other family: Female householder no husband present: No related children of the householder under 18 years</t>
  </si>
  <si>
    <t>Estimate: Total: Income in the past 12 months below poverty level: Other family: Female householder no husband present: No related children of the householder under 18 years</t>
  </si>
  <si>
    <t>Income in the past 12 months below poverty level: Other family: Female householder no spouse present: No related children of the householder under 18 years</t>
  </si>
  <si>
    <t>Estimate: Total: Income in the past 12 months below poverty level: Other family: Female householder no spouse present: No related children of the householder under 18 years</t>
  </si>
  <si>
    <t>B17010_022E</t>
  </si>
  <si>
    <t>B17010_022EA,B17010_022M,B17010_022MA</t>
  </si>
  <si>
    <t>B17010_023E</t>
  </si>
  <si>
    <t>Income in the past 12 months at or above poverty level: Married-couple family</t>
  </si>
  <si>
    <t>Estimate: Total: Income in the past 12 months at or above poverty level: Married-couple family</t>
  </si>
  <si>
    <t>B17010_023EA,B17010_023M,B17010_023MA</t>
  </si>
  <si>
    <t>B17010_024E</t>
  </si>
  <si>
    <t>Income in the past 12 months at or above poverty level: Married-couple family: With related children under 18 years</t>
  </si>
  <si>
    <t>Estimate: Total: Income in the past 12 months at or above poverty level: Married-couple family: With related children under 18 years</t>
  </si>
  <si>
    <t>B17010_024EA,B17010_024M,B17010_024MA</t>
  </si>
  <si>
    <t>Income in the past 12 months at or above poverty level: Married-couple family: With related children of the householder under 18 years</t>
  </si>
  <si>
    <t>Estimate: Total: Income in the past 12 months at or above poverty level: Married-couple family: With related children of the householder under 18 years</t>
  </si>
  <si>
    <t>B17010_025E</t>
  </si>
  <si>
    <t>Income in the past 12 months at or above poverty level: Married-couple family: With related children under 18 years: Under 5 years only</t>
  </si>
  <si>
    <t>Estimate: Total: Income in the past 12 months at or above poverty level: Married-couple family: With related children under 18 years: Under 5 years only</t>
  </si>
  <si>
    <t>B17010_025EA,B17010_025M,B17010_025MA</t>
  </si>
  <si>
    <t>Income in the past 12 months at or above poverty level: Married-couple family: With related children of the householder under 18 years: Under 5 years only</t>
  </si>
  <si>
    <t>Estimate: Total: Income in the past 12 months at or above poverty level: Married-couple family: With related children of the householder under 18 years: Under 5 years only</t>
  </si>
  <si>
    <t>B17010_026E</t>
  </si>
  <si>
    <t>Income in the past 12 months at or above poverty level: Married-couple family: With related children under 18 years: Under 5 years and 5 to 17 years</t>
  </si>
  <si>
    <t>Estimate: Total: Income in the past 12 months at or above poverty level: Married-couple family: With related children under 18 years: Under 5 years and 5 to 17 years</t>
  </si>
  <si>
    <t>B17010_026EA,B17010_026M,B17010_026MA</t>
  </si>
  <si>
    <t>Income in the past 12 months at or above poverty level: Married-couple family: With related children of the householder under 18 years: Under 5 years and 5 to 17 years</t>
  </si>
  <si>
    <t>Estimate: Total: Income in the past 12 months at or above poverty level: Married-couple family: With related children of the householder under 18 years: Under 5 years and 5 to 17 years</t>
  </si>
  <si>
    <t>B17010_027E</t>
  </si>
  <si>
    <t>Income in the past 12 months at or above poverty level: Married-couple family: With related children under 18 years: 5 to 17 years only</t>
  </si>
  <si>
    <t>Estimate: Total: Income in the past 12 months at or above poverty level: Married-couple family: With related children under 18 years: 5 to 17 years only</t>
  </si>
  <si>
    <t>B17010_027EA,B17010_027M,B17010_027MA</t>
  </si>
  <si>
    <t>Income in the past 12 months at or above poverty level: Married-couple family: With related children of the householder under 18 years: 5 to 17 years only</t>
  </si>
  <si>
    <t>Estimate: Total: Income in the past 12 months at or above poverty level: Married-couple family: With related children of the householder under 18 years: 5 to 17 years only</t>
  </si>
  <si>
    <t>B17010_028E</t>
  </si>
  <si>
    <t>Income in the past 12 months at or above poverty level: Married-couple family: No related children under 18 years</t>
  </si>
  <si>
    <t>Estimate: Total: Income in the past 12 months at or above poverty level: Married-couple family: No related children under 18 years</t>
  </si>
  <si>
    <t>B17010_028EA,B17010_028M,B17010_028MA</t>
  </si>
  <si>
    <t>Income in the past 12 months at or above poverty level: Married-couple family: No related children of the householder under 18 years</t>
  </si>
  <si>
    <t>Estimate: Total: Income in the past 12 months at or above poverty level: Married-couple family: No related children of the householder under 18 years</t>
  </si>
  <si>
    <t>B17010_029E</t>
  </si>
  <si>
    <t>Income in the past 12 months at or above poverty level: Other family</t>
  </si>
  <si>
    <t>Estimate: Total: Income in the past 12 months at or above poverty level: Other family</t>
  </si>
  <si>
    <t>B17010_029EA,B17010_029M,B17010_029MA</t>
  </si>
  <si>
    <t>B17010_030E</t>
  </si>
  <si>
    <t>Income in the past 12 months at or above poverty level: Other family: Male householder no wife present</t>
  </si>
  <si>
    <t>Estimate: Total: Income in the past 12 months at or above poverty level: Other family: Male householder no wife present</t>
  </si>
  <si>
    <t>B17010_030EA,B17010_030M,B17010_030MA</t>
  </si>
  <si>
    <t>Income in the past 12 months at or above poverty level: Other family: Male householder no spouse present</t>
  </si>
  <si>
    <t>Estimate: Total: Income in the past 12 months at or above poverty level: Other family: Male householder no spouse present</t>
  </si>
  <si>
    <t>B17010_031E</t>
  </si>
  <si>
    <t>Income in the past 12 months at or above poverty level: Other family: Male householder no wife present: With related children under 18 years</t>
  </si>
  <si>
    <t>Estimate: Total: Income in the past 12 months at or above poverty level: Other family: Male householder no wife present: With related children under 18 years</t>
  </si>
  <si>
    <t>B17010_031EA,B17010_031M,B17010_031MA</t>
  </si>
  <si>
    <t>Income in the past 12 months at or above poverty level: Other family: Male householder no wife present: With related children of the householder under 18 years</t>
  </si>
  <si>
    <t>Estimate: Total: Income in the past 12 months at or above poverty level: Other family: Male householder no wife present: With related children of the householder under 18 years</t>
  </si>
  <si>
    <t>Income in the past 12 months at or above poverty level: Other family: Male householder no spouse present: With related children of the householder under 18 years</t>
  </si>
  <si>
    <t>Estimate: Total: Income in the past 12 months at or above poverty level: Other family: Male householder no spouse present: With related children of the householder under 18 years</t>
  </si>
  <si>
    <t>B17010_032E</t>
  </si>
  <si>
    <t>Income in the past 12 months at or above poverty level: Other family: Male householder no wife present: With related children under 18 years: Under 5 years only</t>
  </si>
  <si>
    <t>Estimate: Total: Income in the past 12 months at or above poverty level: Other family: Male householder no wife present: With related children under 18 years: Under 5 years only</t>
  </si>
  <si>
    <t>B17010_032EA,B17010_032M,B17010_032MA</t>
  </si>
  <si>
    <t>Income in the past 12 months at or above poverty level: Other family: Male householder no wife present: With related children of the householder under 18 years: Under 5 years only</t>
  </si>
  <si>
    <t>Estimate: Total: Income in the past 12 months at or above poverty level: Other family: Male householder no wife present: With related children of the householder under 18 years: Under 5 years only</t>
  </si>
  <si>
    <t>Income in the past 12 months at or above poverty level: Other family: Male householder no spouse present: With related children of the householder under 18 years: Under 5 years only</t>
  </si>
  <si>
    <t>Estimate: Total: Income in the past 12 months at or above poverty level: Other family: Male householder no spouse present: With related children of the householder under 18 years: Under 5 years only</t>
  </si>
  <si>
    <t>B17010_033E</t>
  </si>
  <si>
    <t>Income in the past 12 months at or above poverty level: Other family: Male householder no wife present: With related children under 18 years: Under 5 years and 5 to 17 years</t>
  </si>
  <si>
    <t>Estimate: Total: Income in the past 12 months at or above poverty level: Other family: Male householder no wife present: With related children under 18 years: Under 5 years and 5 to 17 years</t>
  </si>
  <si>
    <t>B17010_033EA,B17010_033M,B17010_033MA</t>
  </si>
  <si>
    <t>Income in the past 12 months at or above poverty level: Other family: Male householder no wife present: With related children of the householder under 18 years: Under 5 years and 5 to 17 years</t>
  </si>
  <si>
    <t>Estimate: Total: Income in the past 12 months at or above poverty level: Other family: Male householder no wife present: With related children of the householder under 18 years: Under 5 years and 5 to 17 years</t>
  </si>
  <si>
    <t>Income in the past 12 months at or above poverty level: Other family: Male householder no spouse present: With related children of the householder under 18 years: Under 5 years and 5 to 17 years</t>
  </si>
  <si>
    <t>Estimate: Total: Income in the past 12 months at or above poverty level: Other family: Male householder no spouse present: With related children of the householder under 18 years: Under 5 years and 5 to 17 years</t>
  </si>
  <si>
    <t>B17010_034E</t>
  </si>
  <si>
    <t>Income in the past 12 months at or above poverty level: Other family: Male householder no wife present: With related children under 18 years: 5 to 17 years only</t>
  </si>
  <si>
    <t>Estimate: Total: Income in the past 12 months at or above poverty level: Other family: Male householder no wife present: With related children under 18 years: 5 to 17 years only</t>
  </si>
  <si>
    <t>B17010_034EA,B17010_034M,B17010_034MA</t>
  </si>
  <si>
    <t>Income in the past 12 months at or above poverty level: Other family: Male householder no wife present: With related children of the householder under 18 years: 5 to 17 years only</t>
  </si>
  <si>
    <t>Estimate: Total: Income in the past 12 months at or above poverty level: Other family: Male householder no wife present: With related children of the householder under 18 years: 5 to 17 years only</t>
  </si>
  <si>
    <t>Income in the past 12 months at or above poverty level: Other family: Male householder no spouse present: With related children of the householder under 18 years: 5 to 17 years only</t>
  </si>
  <si>
    <t>Estimate: Total: Income in the past 12 months at or above poverty level: Other family: Male householder no spouse present: With related children of the householder under 18 years: 5 to 17 years only</t>
  </si>
  <si>
    <t>B17010_035E</t>
  </si>
  <si>
    <t>Income in the past 12 months at or above poverty level: Other family: Male householder no wife present: No related children under 18 years</t>
  </si>
  <si>
    <t>Estimate: Total: Income in the past 12 months at or above poverty level: Other family: Male householder no wife present: No related children under 18 years</t>
  </si>
  <si>
    <t>B17010_035EA,B17010_035M,B17010_035MA</t>
  </si>
  <si>
    <t>Income in the past 12 months at or above poverty level: Other family: Male householder no wife present: No related children of the householder under 18 years</t>
  </si>
  <si>
    <t>Estimate: Total: Income in the past 12 months at or above poverty level: Other family: Male householder no wife present: No related children of the householder under 18 years</t>
  </si>
  <si>
    <t>Income in the past 12 months at or above poverty level: Other family: Male householder no spouse present: No related children of the householder under 18 years</t>
  </si>
  <si>
    <t>Estimate: Total: Income in the past 12 months at or above poverty level: Other family: Male householder no spouse present: No related children of the householder under 18 years</t>
  </si>
  <si>
    <t>B17010_036E</t>
  </si>
  <si>
    <t>Income in the past 12 months at or above poverty level: Other family: Female householder no husband present</t>
  </si>
  <si>
    <t>Estimate: Total: Income in the past 12 months at or above poverty level: Other family: Female householder no husband present</t>
  </si>
  <si>
    <t>B17010_036EA,B17010_036M,B17010_036MA</t>
  </si>
  <si>
    <t>Income in the past 12 months at or above poverty level: Other family: Female householder no spouse present</t>
  </si>
  <si>
    <t>Estimate: Total: Income in the past 12 months at or above poverty level: Other family: Female householder no spouse present</t>
  </si>
  <si>
    <t>B17010_037E</t>
  </si>
  <si>
    <t>Income in the past 12 months at or above poverty level: Other family: Female householder no husband present: With related children under 18 years</t>
  </si>
  <si>
    <t>Estimate: Total: Income in the past 12 months at or above poverty level: Other family: Female householder no husband present: With related children under 18 years</t>
  </si>
  <si>
    <t>B17010_037EA,B17010_037M,B17010_037MA</t>
  </si>
  <si>
    <t>Income in the past 12 months at or above poverty level: Other family: Female householder no husband present: With related children of the householder under 18 years</t>
  </si>
  <si>
    <t>Estimate: Total: Income in the past 12 months at or above poverty level: Other family: Female householder no husband present: With related children of the householder under 18 years</t>
  </si>
  <si>
    <t>Income in the past 12 months at or above poverty level: Other family: Female householder no spouse present: With related children of the householder under 18 years</t>
  </si>
  <si>
    <t>Estimate: Total: Income in the past 12 months at or above poverty level: Other family: Female householder no spouse present: With related children of the householder under 18 years</t>
  </si>
  <si>
    <t>B17010_038E</t>
  </si>
  <si>
    <t>Income in the past 12 months at or above poverty level: Other family: Female householder no husband present: With related children under 18 years: Under 5 years only</t>
  </si>
  <si>
    <t>Estimate: Total: Income in the past 12 months at or above poverty level: Other family: Female householder no husband present: With related children under 18 years: Under 5 years only</t>
  </si>
  <si>
    <t>B17010_038EA,B17010_038M,B17010_038MA</t>
  </si>
  <si>
    <t>Income in the past 12 months at or above poverty level: Other family: Female householder no husband present: With related children of the householder under 18 years: Under 5 years only</t>
  </si>
  <si>
    <t>Estimate: Total: Income in the past 12 months at or above poverty level: Other family: Female householder no husband present: With related children of the householder under 18 years: Under 5 years only</t>
  </si>
  <si>
    <t>Income in the past 12 months at or above poverty level: Other family: Female householder no spouse present: With related children of the householder under 18 years: Under 5 years only</t>
  </si>
  <si>
    <t>Estimate: Total: Income in the past 12 months at or above poverty level: Other family: Female householder no spouse present: With related children of the householder under 18 years: Under 5 years only</t>
  </si>
  <si>
    <t>B17010_039E</t>
  </si>
  <si>
    <t>Income in the past 12 months at or above poverty level: Other family: Female householder no husband present: With related children under 18 years: Under 5 years and 5 to 17 years</t>
  </si>
  <si>
    <t>Estimate: Total: Income in the past 12 months at or above poverty level: Other family: Female householder no husband present: With related children under 18 years: Under 5 years and 5 to 17 years</t>
  </si>
  <si>
    <t>B17010_039EA,B17010_039M,B17010_039MA</t>
  </si>
  <si>
    <t>Income in the past 12 months at or above poverty level: Other family: Female householder no husband present: With related children of the householder under 18 years: Under 5 years and 5 to 17 years</t>
  </si>
  <si>
    <t>Estimate: Total: Income in the past 12 months at or above poverty level: Other family: Female householder no husband present: With related children of the householder under 18 years: Under 5 years and 5 to 17 years</t>
  </si>
  <si>
    <t>Income in the past 12 months at or above poverty level: Other family: Female householder no spouse present: With related children of the householder under 18 years: Under 5 years and 5 to 17 years</t>
  </si>
  <si>
    <t>Estimate: Total: Income in the past 12 months at or above poverty level: Other family: Female householder no spouse present: With related children of the householder under 18 years: Under 5 years and 5 to 17 years</t>
  </si>
  <si>
    <t>B17010_040E</t>
  </si>
  <si>
    <t>Income in the past 12 months at or above poverty level: Other family: Female householder no husband present: With related children under 18 years: 5 to 17 years only</t>
  </si>
  <si>
    <t>Estimate: Total: Income in the past 12 months at or above poverty level: Other family: Female householder no husband present: With related children under 18 years: 5 to 17 years only</t>
  </si>
  <si>
    <t>B17010_040EA,B17010_040M,B17010_040MA</t>
  </si>
  <si>
    <t>Income in the past 12 months at or above poverty level: Other family: Female householder no husband present: With related children of the householder under 18 years: 5 to 17 years only</t>
  </si>
  <si>
    <t>Estimate: Total: Income in the past 12 months at or above poverty level: Other family: Female householder no husband present: With related children of the householder under 18 years: 5 to 17 years only</t>
  </si>
  <si>
    <t>Income in the past 12 months at or above poverty level: Other family: Female householder no spouse present: With related children of the householder under 18 years: 5 to 17 years only</t>
  </si>
  <si>
    <t>Estimate: Total: Income in the past 12 months at or above poverty level: Other family: Female householder no spouse present: With related children of the householder under 18 years: 5 to 17 years only</t>
  </si>
  <si>
    <t>B17010_041E</t>
  </si>
  <si>
    <t>Income in the past 12 months at or above poverty level: Other family: Female householder no husband present: No related children under 18 years</t>
  </si>
  <si>
    <t>Estimate: Total: Income in the past 12 months at or above poverty level: Other family: Female householder no husband present: No related children under 18 years</t>
  </si>
  <si>
    <t>B17010_041EA,B17010_041M,B17010_041MA</t>
  </si>
  <si>
    <t>Income in the past 12 months at or above poverty level: Other family: Female householder no husband present: No related children of the householder under 18 years</t>
  </si>
  <si>
    <t>Estimate: Total: Income in the past 12 months at or above poverty level: Other family: Female householder no husband present: No related children of the householder under 18 years</t>
  </si>
  <si>
    <t>Income in the past 12 months at or above poverty level: Other family: Female householder no spouse present: No related children of the householder under 18 years</t>
  </si>
  <si>
    <t>Estimate: Total: Income in the past 12 months at or above poverty level: Other family: Female householder no spouse present: No related children of the householder under 18 years</t>
  </si>
  <si>
    <t>B17011</t>
  </si>
  <si>
    <t>B17011_001E</t>
  </si>
  <si>
    <t>Aggregate income deficit in the past 12 months</t>
  </si>
  <si>
    <t>E21</t>
  </si>
  <si>
    <t>Aggregate Income Deficit in Dollars for Families</t>
  </si>
  <si>
    <t>Estimate: Aggregate income deficit in the past 12 months</t>
  </si>
  <si>
    <t>AGGREGATE INCOME DEFICIT (DOLLARS) IN THE PAST 12 MONTHS FOR FAMILIES BY FAMILY TYPE</t>
  </si>
  <si>
    <t>B17011_001EA,B17011_001M,B17011_001MA</t>
  </si>
  <si>
    <t>B17011_002E</t>
  </si>
  <si>
    <t>Aggregate income deficit in the past 12 months: Married-couple family</t>
  </si>
  <si>
    <t>Estimate: Aggregate income deficit in the past 12 months: Married-couple family</t>
  </si>
  <si>
    <t>B17011_002EA,B17011_002M,B17011_002MA</t>
  </si>
  <si>
    <t>B17011_003E</t>
  </si>
  <si>
    <t>Aggregate income deficit in the past 12 months: Other family</t>
  </si>
  <si>
    <t>Estimate: Aggregate income deficit in the past 12 months: Other family</t>
  </si>
  <si>
    <t>B17011_003EA,B17011_003M,B17011_003MA</t>
  </si>
  <si>
    <t>B17011_004E</t>
  </si>
  <si>
    <t>Aggregate income deficit in the past 12 months: Other family: Male householder no wife present</t>
  </si>
  <si>
    <t>Estimate: Aggregate income deficit in the past 12 months: Other family: Male householder no wife present</t>
  </si>
  <si>
    <t>B17011_004EA,B17011_004M,B17011_004MA</t>
  </si>
  <si>
    <t>Aggregate income deficit in the past 12 months: Other family: Male householder no spouse present</t>
  </si>
  <si>
    <t>Estimate: Aggregate income deficit in the past 12 months: Other family: Male householder no spouse present</t>
  </si>
  <si>
    <t>B17011_005E</t>
  </si>
  <si>
    <t>Aggregate income deficit in the past 12 months: Other family: Female householder no husband present</t>
  </si>
  <si>
    <t>Estimate: Aggregate income deficit in the past 12 months: Other family: Female householder no husband present</t>
  </si>
  <si>
    <t>B17011_005EA,B17011_005M,B17011_005MA</t>
  </si>
  <si>
    <t>Aggregate income deficit in the past 12 months: Other family: Female householder no spouse present</t>
  </si>
  <si>
    <t>Estimate: Aggregate income deficit in the past 12 months: Other family: Female householder no spouse present</t>
  </si>
  <si>
    <t>B25</t>
  </si>
  <si>
    <t>B25002</t>
  </si>
  <si>
    <t>B25002_001E</t>
  </si>
  <si>
    <t>Total Housing Units</t>
  </si>
  <si>
    <t>H01</t>
  </si>
  <si>
    <t>Housing Occupancy</t>
  </si>
  <si>
    <t>OCCUPANCY STATUS</t>
  </si>
  <si>
    <t>B25002_001EA,B25002_001M,B25002_001MA</t>
  </si>
  <si>
    <t>B25002_002E</t>
  </si>
  <si>
    <t>Occupied</t>
  </si>
  <si>
    <t>Estimate: Total: Occupied</t>
  </si>
  <si>
    <t>B25002_002EA,B25002_002M,B25002_002MA</t>
  </si>
  <si>
    <t>B25002_003E</t>
  </si>
  <si>
    <t>Vacant</t>
  </si>
  <si>
    <t>Estimate: Total: Vacant</t>
  </si>
  <si>
    <t>B25002_003EA,B25002_003M,B25002_003MA</t>
  </si>
  <si>
    <t>B25003</t>
  </si>
  <si>
    <t>B25003_001E</t>
  </si>
  <si>
    <t>H02</t>
  </si>
  <si>
    <t>Housing Tenure</t>
  </si>
  <si>
    <t>TENURE</t>
  </si>
  <si>
    <t>B25003_001EA,B25003_001M,B25003_001MA</t>
  </si>
  <si>
    <t>B25003_002E</t>
  </si>
  <si>
    <t>Owner occupied</t>
  </si>
  <si>
    <t>Estimate: Total: Owner occupied</t>
  </si>
  <si>
    <t>B25003_002EA,B25003_002M,B25003_002MA</t>
  </si>
  <si>
    <t>B25003_003E</t>
  </si>
  <si>
    <t>Renter occupied</t>
  </si>
  <si>
    <t>Estimate: Total: Renter occupied</t>
  </si>
  <si>
    <t>B25003_003EA,B25003_003M,B25003_003MA</t>
  </si>
  <si>
    <t>B25024</t>
  </si>
  <si>
    <t>B25024_001E</t>
  </si>
  <si>
    <t>H03</t>
  </si>
  <si>
    <t>Units in Structure</t>
  </si>
  <si>
    <t>UNITS IN STRUCTURE</t>
  </si>
  <si>
    <t>B25024_001EA,B25024_001M,B25024_001MA</t>
  </si>
  <si>
    <t>B25024_002E</t>
  </si>
  <si>
    <t>1 unit detached</t>
  </si>
  <si>
    <t>Estimate: Total: 1 detached</t>
  </si>
  <si>
    <t>B25024_002EA,B25024_002M,B25024_002MA</t>
  </si>
  <si>
    <t>B25024_003E</t>
  </si>
  <si>
    <t>1 unit attached</t>
  </si>
  <si>
    <t>Estimate: Total: 1 attached</t>
  </si>
  <si>
    <t>B25024_003EA,B25024_003M,B25024_003MA</t>
  </si>
  <si>
    <t>B25024_004E</t>
  </si>
  <si>
    <t>2 units</t>
  </si>
  <si>
    <t>Estimate: Total: 2</t>
  </si>
  <si>
    <t>B25024_004EA,B25024_004M,B25024_004MA</t>
  </si>
  <si>
    <t>B25024_005E</t>
  </si>
  <si>
    <t>3 or 4 units</t>
  </si>
  <si>
    <t>Estimate: Total: 3 or 4</t>
  </si>
  <si>
    <t>B25024_005EA,B25024_005M,B25024_005MA</t>
  </si>
  <si>
    <t>B25024_006E</t>
  </si>
  <si>
    <t>5 to 9 units</t>
  </si>
  <si>
    <t>Estimate: Total: 5 to 9</t>
  </si>
  <si>
    <t>B25024_006EA,B25024_006M,B25024_006MA</t>
  </si>
  <si>
    <t>B25024_007E</t>
  </si>
  <si>
    <t>10 to 19 units</t>
  </si>
  <si>
    <t>Estimate: Total: 10 to 19</t>
  </si>
  <si>
    <t>B25024_007EA,B25024_007M,B25024_007MA</t>
  </si>
  <si>
    <t>B25024_008E</t>
  </si>
  <si>
    <t>20 to 49 units</t>
  </si>
  <si>
    <t>Estimate: Total: 20 to 49</t>
  </si>
  <si>
    <t>B25024_008EA,B25024_008M,B25024_008MA</t>
  </si>
  <si>
    <t>B25024_009E</t>
  </si>
  <si>
    <t>50 or more units</t>
  </si>
  <si>
    <t>Estimate: Total: 50 or more</t>
  </si>
  <si>
    <t>B25024_009EA,B25024_009M,B25024_009MA</t>
  </si>
  <si>
    <t>B25024_010E</t>
  </si>
  <si>
    <t>Mobile home</t>
  </si>
  <si>
    <t>Estimate: Total: Mobile home</t>
  </si>
  <si>
    <t>B25024_010EA,B25024_010M,B25024_010MA</t>
  </si>
  <si>
    <t>B25024_011E</t>
  </si>
  <si>
    <t>Boat RV van etc</t>
  </si>
  <si>
    <t>Estimate: Total: Boat RV van etc</t>
  </si>
  <si>
    <t>B25024_011EA,B25024_011M,B25024_011MA</t>
  </si>
  <si>
    <t>B25033</t>
  </si>
  <si>
    <t>B25033_001E</t>
  </si>
  <si>
    <t>Total population in occupied housing units</t>
  </si>
  <si>
    <t>H04</t>
  </si>
  <si>
    <t>Population in Occupied Housing Units by Tenure</t>
  </si>
  <si>
    <t>TOTAL POPULATION IN OCCUPIED HOUSING UNITS BY TENURE BY UNITS IN STRUCTURE</t>
  </si>
  <si>
    <t>B25033_001EA,B25033_001M,B25033_001MA</t>
  </si>
  <si>
    <t>B25033_002E</t>
  </si>
  <si>
    <t>B25033_002EA,B25033_002M,B25033_002MA</t>
  </si>
  <si>
    <t>B25033_003E</t>
  </si>
  <si>
    <t>Owner occupied: 1 detached or attached</t>
  </si>
  <si>
    <t>Estimate: Total: Owner occupied: 1 detached or attached</t>
  </si>
  <si>
    <t>B25033_003EA,B25033_003M,B25033_003MA</t>
  </si>
  <si>
    <t>B25033_004E</t>
  </si>
  <si>
    <t>Owner occupied: 2 to 4</t>
  </si>
  <si>
    <t>Estimate: Total: Owner occupied: 2 to 4</t>
  </si>
  <si>
    <t>B25033_004EA,B25033_004M,B25033_004MA</t>
  </si>
  <si>
    <t>B25033_005E</t>
  </si>
  <si>
    <t>Owner occupied: 5 or more</t>
  </si>
  <si>
    <t>Estimate: Total: Owner occupied: 5 or more</t>
  </si>
  <si>
    <t>B25033_005EA,B25033_005M,B25033_005MA</t>
  </si>
  <si>
    <t>B25033_006E</t>
  </si>
  <si>
    <t>Owner occupied: Mobile home</t>
  </si>
  <si>
    <t>Estimate: Total: Owner occupied: Mobile home</t>
  </si>
  <si>
    <t>B25033_006EA,B25033_006M,B25033_006MA</t>
  </si>
  <si>
    <t>B25033_007E</t>
  </si>
  <si>
    <t>Owner occupied: Boat RV van etc</t>
  </si>
  <si>
    <t>Estimate: Total: Owner occupied: Boat RV van etc</t>
  </si>
  <si>
    <t>B25033_007EA,B25033_007M,B25033_007MA</t>
  </si>
  <si>
    <t>B25033_008E</t>
  </si>
  <si>
    <t>B25033_008EA,B25033_008M,B25033_008MA</t>
  </si>
  <si>
    <t>B25033_009E</t>
  </si>
  <si>
    <t>Renter occupied: 1 detached or attached</t>
  </si>
  <si>
    <t>Estimate: Total: Renter occupied: 1 detached or attached</t>
  </si>
  <si>
    <t>B25033_009EA,B25033_009M,B25033_009MA</t>
  </si>
  <si>
    <t>B25033_010E</t>
  </si>
  <si>
    <t>Renter occupied: 2 to 4</t>
  </si>
  <si>
    <t>Estimate: Total: Renter occupied: 2 to 4</t>
  </si>
  <si>
    <t>B25033_010EA,B25033_010M,B25033_010MA</t>
  </si>
  <si>
    <t>B25033_011E</t>
  </si>
  <si>
    <t>Renter occupied: 5 or more</t>
  </si>
  <si>
    <t>Estimate: Total: Renter occupied: 5 or more</t>
  </si>
  <si>
    <t>B25033_011EA,B25033_011M,B25033_011MA</t>
  </si>
  <si>
    <t>B25033_012E</t>
  </si>
  <si>
    <t>Renter occupied: Mobile home</t>
  </si>
  <si>
    <t>Estimate: Total: Renter occupied: Mobile home</t>
  </si>
  <si>
    <t>B25033_012EA,B25033_012M,B25033_012MA</t>
  </si>
  <si>
    <t>B25033_013E</t>
  </si>
  <si>
    <t>Renter occupied: Boat RV van etc</t>
  </si>
  <si>
    <t>Estimate: Total: Renter occupied: Boat RV van etc</t>
  </si>
  <si>
    <t>B25033_013EA,B25033_013M,B25033_013MA</t>
  </si>
  <si>
    <t>B25034</t>
  </si>
  <si>
    <t>B25034_001E</t>
  </si>
  <si>
    <t>H05</t>
  </si>
  <si>
    <t>Year Structure Built</t>
  </si>
  <si>
    <t>YEAR STRUCTURE BUILT</t>
  </si>
  <si>
    <t>B25034_001EA,B25034_001M,B25034_001MA</t>
  </si>
  <si>
    <t>B25034_002E</t>
  </si>
  <si>
    <t>Built 2005 or later</t>
  </si>
  <si>
    <t>Estimate: Total: Built 2005 or later</t>
  </si>
  <si>
    <t>B25034_002EA,B25034_002M,B25034_002MA</t>
  </si>
  <si>
    <t>2012, 2013, 2014</t>
  </si>
  <si>
    <t>Built 2010 or later</t>
  </si>
  <si>
    <t>Estimate: Total: Built 2010 or later</t>
  </si>
  <si>
    <t>2015, 2016, 2017, 2018, 2019, 2020</t>
  </si>
  <si>
    <t>Built 2014 or later</t>
  </si>
  <si>
    <t>Estimate: Total: Built 2014 or later</t>
  </si>
  <si>
    <t>2021, 2022, 2023, 2024</t>
  </si>
  <si>
    <t>Built 2020 or later</t>
  </si>
  <si>
    <t>Estimate: Total: Built 2020 or later</t>
  </si>
  <si>
    <t>B25034_003E</t>
  </si>
  <si>
    <t>Built 2000 to 2004</t>
  </si>
  <si>
    <t>Estimate: Total: Built 2000 to 2004</t>
  </si>
  <si>
    <t>B25034_003EA,B25034_003M,B25034_003MA</t>
  </si>
  <si>
    <t>Built 2000 to 2009</t>
  </si>
  <si>
    <t>Estimate: Total: Built 2000 to 2009</t>
  </si>
  <si>
    <t>Built 2010 to 2013</t>
  </si>
  <si>
    <t>Estimate: Total: Built 2010 to 2013</t>
  </si>
  <si>
    <t>Built 2010 to 2019</t>
  </si>
  <si>
    <t>Estimate: Total: Built 2010 to 2019</t>
  </si>
  <si>
    <t>B25034_004E</t>
  </si>
  <si>
    <t>Built 1990 to 1999</t>
  </si>
  <si>
    <t>Estimate: Total: Built 1990 to 1999</t>
  </si>
  <si>
    <t>B25034_004EA,B25034_004M,B25034_004MA</t>
  </si>
  <si>
    <t>B25034_005E</t>
  </si>
  <si>
    <t>Built 1980 to 1989</t>
  </si>
  <si>
    <t>Estimate: Total: Built 1980 to 1989</t>
  </si>
  <si>
    <t>B25034_005EA,B25034_005M,B25034_005MA</t>
  </si>
  <si>
    <t>B25034_006E</t>
  </si>
  <si>
    <t>Built 1970 to 1979</t>
  </si>
  <si>
    <t>Estimate: Total: Built 1970 to 1979</t>
  </si>
  <si>
    <t>B25034_006EA,B25034_006M,B25034_006MA</t>
  </si>
  <si>
    <t>B25034_007E</t>
  </si>
  <si>
    <t>Built 1960 to 1969</t>
  </si>
  <si>
    <t>Estimate: Total: Built 1960 to 1969</t>
  </si>
  <si>
    <t>B25034_007EA,B25034_007M,B25034_007MA</t>
  </si>
  <si>
    <t>B25034_008E</t>
  </si>
  <si>
    <t>Built 1950 to 1959</t>
  </si>
  <si>
    <t>Estimate: Total: Built 1950 to 1959</t>
  </si>
  <si>
    <t>B25034_008EA,B25034_008M,B25034_008MA</t>
  </si>
  <si>
    <t>B25034_009E</t>
  </si>
  <si>
    <t>Built 1940 to 1949</t>
  </si>
  <si>
    <t>Estimate: Total: Built 1940 to 1949</t>
  </si>
  <si>
    <t>B25034_009EA,B25034_009M,B25034_009MA</t>
  </si>
  <si>
    <t>B25034_010E</t>
  </si>
  <si>
    <t>Built 1939 or earlier</t>
  </si>
  <si>
    <t>Estimate: Total: Built 1939 or earlier</t>
  </si>
  <si>
    <t>B25034_010EA,B25034_010M,B25034_010MA</t>
  </si>
  <si>
    <t>B25034_011E</t>
  </si>
  <si>
    <t>B25034_011EA,B25034_011M,B25034_011MA</t>
  </si>
  <si>
    <t>B25035</t>
  </si>
  <si>
    <t>B25035_001E</t>
  </si>
  <si>
    <t>Median year structure built</t>
  </si>
  <si>
    <t>Estimate: Median year structure built</t>
  </si>
  <si>
    <t>MEDIAN YEAR STRUCTURE BUILT</t>
  </si>
  <si>
    <t>string</t>
  </si>
  <si>
    <t>B25035_001EA,B25035_001M,B25035_001MA</t>
  </si>
  <si>
    <t>B25017</t>
  </si>
  <si>
    <t>B25017_001E</t>
  </si>
  <si>
    <t>H06</t>
  </si>
  <si>
    <t>Rooms</t>
  </si>
  <si>
    <t>ROOMS</t>
  </si>
  <si>
    <t>B25017_001EA,B25017_001M,B25017_001MA</t>
  </si>
  <si>
    <t>B25017_002E</t>
  </si>
  <si>
    <t>1 room</t>
  </si>
  <si>
    <t>Estimate: Total: 1 room</t>
  </si>
  <si>
    <t>B25017_002EA,B25017_002M,B25017_002MA</t>
  </si>
  <si>
    <t>B25017_003E</t>
  </si>
  <si>
    <t>2 rooms</t>
  </si>
  <si>
    <t>Estimate: Total: 2 rooms</t>
  </si>
  <si>
    <t>B25017_003EA,B25017_003M,B25017_003MA</t>
  </si>
  <si>
    <t>B25017_004E</t>
  </si>
  <si>
    <t>3 rooms</t>
  </si>
  <si>
    <t>Estimate: Total: 3 rooms</t>
  </si>
  <si>
    <t>B25017_004EA,B25017_004M,B25017_004MA</t>
  </si>
  <si>
    <t>B25017_005E</t>
  </si>
  <si>
    <t>4 rooms</t>
  </si>
  <si>
    <t>Estimate: Total: 4 rooms</t>
  </si>
  <si>
    <t>B25017_005EA,B25017_005M,B25017_005MA</t>
  </si>
  <si>
    <t>B25017_006E</t>
  </si>
  <si>
    <t>5 rooms</t>
  </si>
  <si>
    <t>Estimate: Total: 5 rooms</t>
  </si>
  <si>
    <t>B25017_006EA,B25017_006M,B25017_006MA</t>
  </si>
  <si>
    <t>B25017_007E</t>
  </si>
  <si>
    <t>6 rooms</t>
  </si>
  <si>
    <t>Estimate: Total: 6 rooms</t>
  </si>
  <si>
    <t>B25017_007EA,B25017_007M,B25017_007MA</t>
  </si>
  <si>
    <t>B25017_008E</t>
  </si>
  <si>
    <t>7 rooms</t>
  </si>
  <si>
    <t>Estimate: Total: 7 rooms</t>
  </si>
  <si>
    <t>B25017_008EA,B25017_008M,B25017_008MA</t>
  </si>
  <si>
    <t>B25017_009E</t>
  </si>
  <si>
    <t>8 rooms</t>
  </si>
  <si>
    <t>Estimate: Total: 8 rooms</t>
  </si>
  <si>
    <t>B25017_009EA,B25017_009M,B25017_009MA</t>
  </si>
  <si>
    <t>B25017_010E</t>
  </si>
  <si>
    <t>9 or more rooms</t>
  </si>
  <si>
    <t>Estimate: Total: 9 or more rooms</t>
  </si>
  <si>
    <t>B25017_010EA,B25017_010M,B25017_010MA</t>
  </si>
  <si>
    <t>B25018</t>
  </si>
  <si>
    <t>B25018_001E</t>
  </si>
  <si>
    <t>Median number of rooms</t>
  </si>
  <si>
    <t>Estimate: Median number of rooms</t>
  </si>
  <si>
    <t>MEDIAN NUMBER OF ROOMS</t>
  </si>
  <si>
    <t>B25018_001EA,B25018_001M,B25018_001MA</t>
  </si>
  <si>
    <t>B25019</t>
  </si>
  <si>
    <t>B25019_001E</t>
  </si>
  <si>
    <t>Aggregate number of rooms</t>
  </si>
  <si>
    <t>Estimate: Aggregate number of rooms</t>
  </si>
  <si>
    <t>AGGREGATE NUMBER OF ROOMS</t>
  </si>
  <si>
    <t>B25019_001EA,B25019_001M,B25019_001MA</t>
  </si>
  <si>
    <t>B25041</t>
  </si>
  <si>
    <t>B25041_001E</t>
  </si>
  <si>
    <t>H07</t>
  </si>
  <si>
    <t>Bedrooms</t>
  </si>
  <si>
    <t>BEDROOMS</t>
  </si>
  <si>
    <t>B25041_001EA,B25041_001M,B25041_001MA</t>
  </si>
  <si>
    <t>B25041_002E</t>
  </si>
  <si>
    <t>No bedroom</t>
  </si>
  <si>
    <t>Estimate: Total: No bedroom</t>
  </si>
  <si>
    <t>B25041_002EA,B25041_002M,B25041_002MA</t>
  </si>
  <si>
    <t>B25041_003E</t>
  </si>
  <si>
    <t>1 bedroom</t>
  </si>
  <si>
    <t>Estimate: Total: 1 bedroom</t>
  </si>
  <si>
    <t>B25041_003EA,B25041_003M,B25041_003MA</t>
  </si>
  <si>
    <t>B25041_004E</t>
  </si>
  <si>
    <t>2 bedrooms</t>
  </si>
  <si>
    <t>Estimate: Total: 2 bedrooms</t>
  </si>
  <si>
    <t>B25041_004EA,B25041_004M,B25041_004MA</t>
  </si>
  <si>
    <t>B25041_005E</t>
  </si>
  <si>
    <t>3 bedrooms</t>
  </si>
  <si>
    <t>Estimate: Total: 3 bedrooms</t>
  </si>
  <si>
    <t>B25041_005EA,B25041_005M,B25041_005MA</t>
  </si>
  <si>
    <t>B25041_006E</t>
  </si>
  <si>
    <t>4 bedrooms</t>
  </si>
  <si>
    <t>Estimate: Total: 4 bedrooms</t>
  </si>
  <si>
    <t>B25041_006EA,B25041_006M,B25041_006MA</t>
  </si>
  <si>
    <t>B25041_007E</t>
  </si>
  <si>
    <t>5 or more bedrooms</t>
  </si>
  <si>
    <t>Estimate: Total: 5 or more bedrooms</t>
  </si>
  <si>
    <t>B25041_007EA,B25041_007M,B25041_007MA</t>
  </si>
  <si>
    <t>B25042</t>
  </si>
  <si>
    <t>B25042_003E</t>
  </si>
  <si>
    <t>Owner occupied: No bedroom</t>
  </si>
  <si>
    <t>Estimate: Total: Owner occupied: No bedroom</t>
  </si>
  <si>
    <t>TENURE BY BEDROOMS</t>
  </si>
  <si>
    <t>B25042_003EA,B25042_003M,B25042_003MA</t>
  </si>
  <si>
    <t>B25042_004E</t>
  </si>
  <si>
    <t>Owner occupied: 1 bedroom</t>
  </si>
  <si>
    <t>Estimate: Total: Owner occupied: 1 bedroom</t>
  </si>
  <si>
    <t>B25042_004EA,B25042_004M,B25042_004MA</t>
  </si>
  <si>
    <t>B25042_005E</t>
  </si>
  <si>
    <t>Owner occupied: 2 bedrooms</t>
  </si>
  <si>
    <t>Estimate: Total: Owner occupied: 2 bedrooms</t>
  </si>
  <si>
    <t>B25042_005EA,B25042_005M,B25042_005MA</t>
  </si>
  <si>
    <t>B25042_006E</t>
  </si>
  <si>
    <t>Owner occupied: 3 bedrooms</t>
  </si>
  <si>
    <t>Estimate: Total: Owner occupied: 3 bedrooms</t>
  </si>
  <si>
    <t>B25042_006EA,B25042_006M,B25042_006MA</t>
  </si>
  <si>
    <t>B25042_007E</t>
  </si>
  <si>
    <t>Owner occupied: 4 bedrooms</t>
  </si>
  <si>
    <t>Estimate: Total: Owner occupied: 4 bedrooms</t>
  </si>
  <si>
    <t>B25042_007EA,B25042_007M,B25042_007MA</t>
  </si>
  <si>
    <t>B25042_008E</t>
  </si>
  <si>
    <t>Owner occupied: 5 or more bedrooms</t>
  </si>
  <si>
    <t>Estimate: Total: Owner occupied: 5 or more bedrooms</t>
  </si>
  <si>
    <t>B25042_008EA,B25042_008M,B25042_008MA</t>
  </si>
  <si>
    <t>B25042_010E</t>
  </si>
  <si>
    <t>Renter occupied: No bedroom</t>
  </si>
  <si>
    <t>Estimate: Total: Renter occupied: No bedroom</t>
  </si>
  <si>
    <t>B25042_010EA,B25042_010M,B25042_010MA</t>
  </si>
  <si>
    <t>B25042_011E</t>
  </si>
  <si>
    <t>Renter occupied: 1 bedroom</t>
  </si>
  <si>
    <t>Estimate: Total: Renter occupied: 1 bedroom</t>
  </si>
  <si>
    <t>B25042_011EA,B25042_011M,B25042_011MA</t>
  </si>
  <si>
    <t>B25042_012E</t>
  </si>
  <si>
    <t>Renter occupied: 2 bedrooms</t>
  </si>
  <si>
    <t>Estimate: Total: Renter occupied: 2 bedrooms</t>
  </si>
  <si>
    <t>B25042_012EA,B25042_012M,B25042_012MA</t>
  </si>
  <si>
    <t>B25042_013E</t>
  </si>
  <si>
    <t>Renter occupied: 3 bedrooms</t>
  </si>
  <si>
    <t>Estimate: Total: Renter occupied: 3 bedrooms</t>
  </si>
  <si>
    <t>B25042_013EA,B25042_013M,B25042_013MA</t>
  </si>
  <si>
    <t>B25042_014E</t>
  </si>
  <si>
    <t>Renter occupied: 4 bedrooms</t>
  </si>
  <si>
    <t>Estimate: Total: Renter occupied: 4 bedrooms</t>
  </si>
  <si>
    <t>B25042_014EA,B25042_014M,B25042_014MA</t>
  </si>
  <si>
    <t>B25042_015E</t>
  </si>
  <si>
    <t>Renter occupied: 5 or more bedrooms</t>
  </si>
  <si>
    <t>Estimate: Total: Renter occupied: 5 or more bedrooms</t>
  </si>
  <si>
    <t>B25042_015EA,B25042_015M,B25042_015MA</t>
  </si>
  <si>
    <t>B25001</t>
  </si>
  <si>
    <t>B25001_001E</t>
  </si>
  <si>
    <t>Occupied housing units</t>
  </si>
  <si>
    <t>H08</t>
  </si>
  <si>
    <t>Housing Tenure by Householder Race</t>
  </si>
  <si>
    <t>HOUSING UNITS</t>
  </si>
  <si>
    <t>B25001_001EA,B25001_001M,B25001_001MA</t>
  </si>
  <si>
    <t>B25003A</t>
  </si>
  <si>
    <t>B25003A_001E</t>
  </si>
  <si>
    <t>Occupied housing units: White alone householder</t>
  </si>
  <si>
    <t>TENURE (WHITE ALONE HOUSEHOLDER)</t>
  </si>
  <si>
    <t>B25003A_001EA,B25003A_001M,B25003A_001MA</t>
  </si>
  <si>
    <t>B25003A_002E</t>
  </si>
  <si>
    <t>Oner occupied: White alone householder</t>
  </si>
  <si>
    <t>B25003A_002EA,B25003A_002M,B25003A_002MA</t>
  </si>
  <si>
    <t>B25003A_003E</t>
  </si>
  <si>
    <t>Renter occupied: White alone householder</t>
  </si>
  <si>
    <t>B25003A_003EA,B25003A_003M,B25003A_003MA</t>
  </si>
  <si>
    <t>B25003B</t>
  </si>
  <si>
    <t>B25003B_001E</t>
  </si>
  <si>
    <t>Occupied housing units: Black or African American alone householder</t>
  </si>
  <si>
    <t>TENURE (BLACK OR AFRICAN AMERICAN ALONE HOUSEHOLDER)</t>
  </si>
  <si>
    <t>B25003B_001EA,B25003B_001M,B25003B_001MA</t>
  </si>
  <si>
    <t>B25003B_002E</t>
  </si>
  <si>
    <t>Owner occupied: Black or African American alone householder</t>
  </si>
  <si>
    <t>B25003B_002EA,B25003B_002M,B25003B_002MA</t>
  </si>
  <si>
    <t>B25003B_003E</t>
  </si>
  <si>
    <t>Renter occupied: Black or African American alone householder</t>
  </si>
  <si>
    <t>B25003B_003EA,B25003B_003M,B25003B_003MA</t>
  </si>
  <si>
    <t>B25003C</t>
  </si>
  <si>
    <t>B25003C_001E</t>
  </si>
  <si>
    <t>Occupied housing units: American Indian and Alaska Native alone householder</t>
  </si>
  <si>
    <t>TENURE (AMERICAN INDIAN AND ALASKA NATIVE ALONE HOUSEHOLDER)</t>
  </si>
  <si>
    <t>B25003C_001EA,B25003C_001M,B25003C_001MA</t>
  </si>
  <si>
    <t>B25003C_002E</t>
  </si>
  <si>
    <t>Owner occupied: American Indian and Alaska Native alone householder</t>
  </si>
  <si>
    <t>B25003C_002EA,B25003C_002M,B25003C_002MA</t>
  </si>
  <si>
    <t>B25003C_003E</t>
  </si>
  <si>
    <t>Renter occupied: American Indian and Alaska Native alone householder</t>
  </si>
  <si>
    <t>B25003C_003EA,B25003C_003M,B25003C_003MA</t>
  </si>
  <si>
    <t>B25003D</t>
  </si>
  <si>
    <t>B25003D_001E</t>
  </si>
  <si>
    <t>Occupied housing units: Asian alone householder</t>
  </si>
  <si>
    <t>TENURE (ASIAN ALONE HOUSEHOLDER)</t>
  </si>
  <si>
    <t>B25003D_001EA,B25003D_001M,B25003D_001MA</t>
  </si>
  <si>
    <t>B25003D_002E</t>
  </si>
  <si>
    <t>Owner occupied: Asian alone householder</t>
  </si>
  <si>
    <t>B25003D_002EA,B25003D_002M,B25003D_002MA</t>
  </si>
  <si>
    <t>B25003D_003E</t>
  </si>
  <si>
    <t>Renter occupied: Asian alone householder</t>
  </si>
  <si>
    <t>B25003D_003EA,B25003D_003M,B25003D_003MA</t>
  </si>
  <si>
    <t>B25003E</t>
  </si>
  <si>
    <t>B25003E_001E</t>
  </si>
  <si>
    <t>Occupied housing units: Native Hawaiian and Other Pacific Islander householder</t>
  </si>
  <si>
    <t>TENURE (NATIVE HAWAIIAN AND OTHER PACIFIC ISLANDER ALONE HOUSEHOLDER)</t>
  </si>
  <si>
    <t>B25003E_001EA,B25003E_001M,B25003E_001MA</t>
  </si>
  <si>
    <t>B25003E_002E</t>
  </si>
  <si>
    <t>Owner occupied: Native Hawaiian and Other Pacific Islander householder</t>
  </si>
  <si>
    <t>B25003E_002EA,B25003E_002M,B25003E_002MA</t>
  </si>
  <si>
    <t>B25003E_003E</t>
  </si>
  <si>
    <t>Renter occupied: Native Hawaiian and Other Pacific Islander householder</t>
  </si>
  <si>
    <t>B25003E_003EA,B25003E_003M,B25003E_003MA</t>
  </si>
  <si>
    <t>B25003F</t>
  </si>
  <si>
    <t>B25003F_001E</t>
  </si>
  <si>
    <t>Occupied housing units: Some Other Race alone householder</t>
  </si>
  <si>
    <t>TENURE (SOME OTHER RACE ALONE HOUSEHOLDER)</t>
  </si>
  <si>
    <t>B25003F_001EA,B25003F_001M,B25003F_001MA</t>
  </si>
  <si>
    <t>B25003F_002E</t>
  </si>
  <si>
    <t>Owner occupied: Some Other Race alone householder</t>
  </si>
  <si>
    <t>B25003F_002EA,B25003F_002M,B25003F_002MA</t>
  </si>
  <si>
    <t>B25003F_003E</t>
  </si>
  <si>
    <t>Renter occupied: Some Other Race alone householder</t>
  </si>
  <si>
    <t>B25003F_003EA,B25003F_003M,B25003F_003MA</t>
  </si>
  <si>
    <t>B25003G</t>
  </si>
  <si>
    <t>B25003G_001E</t>
  </si>
  <si>
    <t>Occupied housing units: Two or More Races householder</t>
  </si>
  <si>
    <t>TENURE (TWO OR MORE RACES HOUSEHOLDER)</t>
  </si>
  <si>
    <t>B25003G_001EA,B25003G_001M,B25003G_001MA</t>
  </si>
  <si>
    <t>B25003G_002E</t>
  </si>
  <si>
    <t>Owner occupied: Two or More Races householder</t>
  </si>
  <si>
    <t>B25003G_002EA,B25003G_002M,B25003G_002MA</t>
  </si>
  <si>
    <t>B25003G_003E</t>
  </si>
  <si>
    <t>Renter occupied: Two or More Races householder</t>
  </si>
  <si>
    <t>B25003G_003EA,B25003G_003M,B25003G_003MA</t>
  </si>
  <si>
    <t>B25003H</t>
  </si>
  <si>
    <t>B25003H_001E</t>
  </si>
  <si>
    <t>Occupied housing units: White alone, not Hispanic or Latino householder</t>
  </si>
  <si>
    <t>TENURE (WHITE ALONE, NOT HISPANIC OR LATINO HOUSEHOLDER)</t>
  </si>
  <si>
    <t>B25003H_001EA,B25003H_001M,B25003H_001MA</t>
  </si>
  <si>
    <t>B25003H_002E</t>
  </si>
  <si>
    <t>Owner occupied: White alone, not Hispanic or Latino householder</t>
  </si>
  <si>
    <t>B25003H_002EA,B25003H_002M,B25003H_002MA</t>
  </si>
  <si>
    <t>B25003H_003E</t>
  </si>
  <si>
    <t>Renter occupied: White alone, not Hispanic or Latino householder</t>
  </si>
  <si>
    <t>B25003H_003EA,B25003H_003M,B25003H_003MA</t>
  </si>
  <si>
    <t>B25003I</t>
  </si>
  <si>
    <t>B25003I_001E</t>
  </si>
  <si>
    <t>Occuped housing units: Hispanic or Latino householder</t>
  </si>
  <si>
    <t>TENURE (HISPANIC OR LATINO HOUSEHOLDER)</t>
  </si>
  <si>
    <t>B25003I_001EA,B25003I_001M,B25003I_001MA</t>
  </si>
  <si>
    <t>B25003I_002E</t>
  </si>
  <si>
    <t>Owner occupied: Hispanic or Latino householder</t>
  </si>
  <si>
    <t>B25003I_002EA,B25003I_002M,B25003I_002MA</t>
  </si>
  <si>
    <t>B25003I_003E</t>
  </si>
  <si>
    <t>Renter occupied: Hispanic or Latino householder</t>
  </si>
  <si>
    <t>B25003I_003EA,B25003I_003M,B25003I_003MA</t>
  </si>
  <si>
    <t>B25007</t>
  </si>
  <si>
    <t>B25007_001E</t>
  </si>
  <si>
    <t>H09</t>
  </si>
  <si>
    <t>Housing Tenure by Householder Age</t>
  </si>
  <si>
    <t>TENURE BY AGE OF HOUSEHOLDER</t>
  </si>
  <si>
    <t>B25007_001EA,B25007_001M,B25007_001MA</t>
  </si>
  <si>
    <t>B25007_002E</t>
  </si>
  <si>
    <t>B25007_002EA,B25007_002M,B25007_002MA</t>
  </si>
  <si>
    <t>B25007_003E</t>
  </si>
  <si>
    <t>Owner occupied: Householder 15 to 24 years</t>
  </si>
  <si>
    <t>Estimate: Total: Owner occupied: Householder 15 to 24 years</t>
  </si>
  <si>
    <t>B25007_003EA,B25007_003M,B25007_003MA</t>
  </si>
  <si>
    <t>B25007_004E</t>
  </si>
  <si>
    <t>Owner occupied: Householder 25 to 34 years</t>
  </si>
  <si>
    <t>Estimate: Total: Owner occupied: Householder 25 to 34 years</t>
  </si>
  <si>
    <t>B25007_004EA,B25007_004M,B25007_004MA</t>
  </si>
  <si>
    <t>B25007_005E</t>
  </si>
  <si>
    <t>Owner occupied: Householder 35 to 44 years</t>
  </si>
  <si>
    <t>Estimate: Total: Owner occupied: Householder 35 to 44 years</t>
  </si>
  <si>
    <t>B25007_005EA,B25007_005M,B25007_005MA</t>
  </si>
  <si>
    <t>B25007_006E</t>
  </si>
  <si>
    <t>Owner occupied: Householder 45 to 54 years</t>
  </si>
  <si>
    <t>Estimate: Total: Owner occupied: Householder 45 to 54 years</t>
  </si>
  <si>
    <t>B25007_006EA,B25007_006M,B25007_006MA</t>
  </si>
  <si>
    <t>B25007_007E</t>
  </si>
  <si>
    <t>Owner occupied: Householder 55 to 59 years</t>
  </si>
  <si>
    <t>Estimate: Total: Owner occupied: Householder 55 to 59 years</t>
  </si>
  <si>
    <t>B25007_007EA,B25007_007M,B25007_007MA</t>
  </si>
  <si>
    <t>B25007_008E</t>
  </si>
  <si>
    <t>Owner occupied: Householder 60 to 64 years</t>
  </si>
  <si>
    <t>Estimate: Total: Owner occupied: Householder 60 to 64 years</t>
  </si>
  <si>
    <t>B25007_008EA,B25007_008M,B25007_008MA</t>
  </si>
  <si>
    <t>B25007_009E</t>
  </si>
  <si>
    <t>Owner occupied: Householder 65 to 74 years</t>
  </si>
  <si>
    <t>Estimate: Total: Owner occupied: Householder 65 to 74 years</t>
  </si>
  <si>
    <t>B25007_009EA,B25007_009M,B25007_009MA</t>
  </si>
  <si>
    <t>B25007_010E</t>
  </si>
  <si>
    <t>Owner occupied: Householder 75 to 84 years</t>
  </si>
  <si>
    <t>Estimate: Total: Owner occupied: Householder 75 to 84 years</t>
  </si>
  <si>
    <t>B25007_010EA,B25007_010M,B25007_010MA</t>
  </si>
  <si>
    <t>B25007_011E</t>
  </si>
  <si>
    <t>Owner occupied: Householder 85 years and over</t>
  </si>
  <si>
    <t>Estimate: Total: Owner occupied: Householder 85 years and over</t>
  </si>
  <si>
    <t>B25007_011EA,B25007_011M,B25007_011MA</t>
  </si>
  <si>
    <t>B25007_012E</t>
  </si>
  <si>
    <t>B25007_012EA,B25007_012M,B25007_012MA</t>
  </si>
  <si>
    <t>B25007_013E</t>
  </si>
  <si>
    <t>Renter occupied: Householder 15 to 24 years</t>
  </si>
  <si>
    <t>Estimate: Total: Renter occupied: Householder 15 to 24 years</t>
  </si>
  <si>
    <t>B25007_013EA,B25007_013M,B25007_013MA</t>
  </si>
  <si>
    <t>B25007_014E</t>
  </si>
  <si>
    <t>Renter occupied: Householder 25 to 34 years</t>
  </si>
  <si>
    <t>Estimate: Total: Renter occupied: Householder 25 to 34 years</t>
  </si>
  <si>
    <t>B25007_014EA,B25007_014M,B25007_014MA</t>
  </si>
  <si>
    <t>B25007_015E</t>
  </si>
  <si>
    <t>Renter occupied: Householder 35 to 44 years</t>
  </si>
  <si>
    <t>Estimate: Total: Renter occupied: Householder 35 to 44 years</t>
  </si>
  <si>
    <t>B25007_015EA,B25007_015M,B25007_015MA</t>
  </si>
  <si>
    <t>B25007_016E</t>
  </si>
  <si>
    <t>Renter occupied: Householder 45 to 54 years</t>
  </si>
  <si>
    <t>Estimate: Total: Renter occupied: Householder 45 to 54 years</t>
  </si>
  <si>
    <t>B25007_016EA,B25007_016M,B25007_016MA</t>
  </si>
  <si>
    <t>B25007_017E</t>
  </si>
  <si>
    <t>Renter occupied: Householder 55 to 59 years</t>
  </si>
  <si>
    <t>Estimate: Total: Renter occupied: Householder 55 to 59 years</t>
  </si>
  <si>
    <t>B25007_017EA,B25007_017M,B25007_017MA</t>
  </si>
  <si>
    <t>B25007_018E</t>
  </si>
  <si>
    <t>Renter occupied: Householder 60 to 64 years</t>
  </si>
  <si>
    <t>Estimate: Total: Renter occupied: Householder 60 to 64 years</t>
  </si>
  <si>
    <t>B25007_018EA,B25007_018M,B25007_018MA</t>
  </si>
  <si>
    <t>B25007_019E</t>
  </si>
  <si>
    <t>Renter occupied: Householder 65 to 74 years</t>
  </si>
  <si>
    <t>Estimate: Total: Renter occupied: Householder 65 to 74 years</t>
  </si>
  <si>
    <t>B25007_019EA,B25007_019M,B25007_019MA</t>
  </si>
  <si>
    <t>B25007_020E</t>
  </si>
  <si>
    <t>Renter occupied: Householder 75 to 84 years</t>
  </si>
  <si>
    <t>Estimate: Total: Renter occupied: Householder 75 to 84 years</t>
  </si>
  <si>
    <t>B25007_020EA,B25007_020M,B25007_020MA</t>
  </si>
  <si>
    <t>B25007_021E</t>
  </si>
  <si>
    <t>Renter occupied: Householder 85 years and over</t>
  </si>
  <si>
    <t>Estimate: Total: Renter occupied: Householder 85 years and over</t>
  </si>
  <si>
    <t>B25007_021EA,B25007_021M,B25007_021MA</t>
  </si>
  <si>
    <t>B25010</t>
  </si>
  <si>
    <t>B25010_001E</t>
  </si>
  <si>
    <t>Average household size: Total</t>
  </si>
  <si>
    <t>H10</t>
  </si>
  <si>
    <t>Average Household Size of Occupied Housing Units</t>
  </si>
  <si>
    <t>AVERAGE HOUSEHOLD SIZE OF OCCUPIED HOUSING UNITS BY TENURE</t>
  </si>
  <si>
    <t>B25010_001EA,B25010_001M,B25010_001MA</t>
  </si>
  <si>
    <t>Estimate: Average household size: Total</t>
  </si>
  <si>
    <t>B25010_002E</t>
  </si>
  <si>
    <t>Average household size: Owner occupied</t>
  </si>
  <si>
    <t>B25010_002EA,B25010_002M,B25010_002MA</t>
  </si>
  <si>
    <t>Estimate: Average household size: Total: Owner occupied</t>
  </si>
  <si>
    <t>B25010_003E</t>
  </si>
  <si>
    <t>Average household size: Renter occupied</t>
  </si>
  <si>
    <t>B25010_003EA,B25010_003M,B25010_003MA</t>
  </si>
  <si>
    <t>Estimate: Average household size: Total: Renter occupied</t>
  </si>
  <si>
    <t>B25008</t>
  </si>
  <si>
    <t>B25008_001E</t>
  </si>
  <si>
    <t>H11</t>
  </si>
  <si>
    <t>TOTAL POPULATION IN OCCUPIED HOUSING UNITS BY TENURE</t>
  </si>
  <si>
    <t>B25008_001EA,B25008_001M,B25008_001MA</t>
  </si>
  <si>
    <t>B25008_002E</t>
  </si>
  <si>
    <t>B25008_002EA,B25008_002M,B25008_002MA</t>
  </si>
  <si>
    <t>B25008_003E</t>
  </si>
  <si>
    <t>B25008_003EA,B25008_003M,B25008_003MA</t>
  </si>
  <si>
    <t>B25004</t>
  </si>
  <si>
    <t>B25004_001E</t>
  </si>
  <si>
    <t>Total vacant housing units</t>
  </si>
  <si>
    <t>H12</t>
  </si>
  <si>
    <t>Vacancy Status</t>
  </si>
  <si>
    <t>VACANCY STATUS</t>
  </si>
  <si>
    <t>B25004_001EA,B25004_001M,B25004_001MA</t>
  </si>
  <si>
    <t>B25004_002E</t>
  </si>
  <si>
    <t>For rent</t>
  </si>
  <si>
    <t>Estimate: Total: For rent</t>
  </si>
  <si>
    <t>B25004_002EA,B25004_002M,B25004_002MA</t>
  </si>
  <si>
    <t>B25004_003E</t>
  </si>
  <si>
    <t>Rented not occupied</t>
  </si>
  <si>
    <t>Estimate: Total: Rented not occupied</t>
  </si>
  <si>
    <t>B25004_003EA,B25004_003M,B25004_003MA</t>
  </si>
  <si>
    <t>B25004_004E</t>
  </si>
  <si>
    <t>For sale only</t>
  </si>
  <si>
    <t>Estimate: Total: For sale only</t>
  </si>
  <si>
    <t>B25004_004EA,B25004_004M,B25004_004MA</t>
  </si>
  <si>
    <t>B25004_005E</t>
  </si>
  <si>
    <t>Sold not occupied</t>
  </si>
  <si>
    <t>Estimate: Total: Sold not occupied</t>
  </si>
  <si>
    <t>B25004_005EA,B25004_005M,B25004_005MA</t>
  </si>
  <si>
    <t>B25004_006E</t>
  </si>
  <si>
    <t>For seasonal recreational or occasional use</t>
  </si>
  <si>
    <t>Estimate: Total: For seasonal recreational or occasional use</t>
  </si>
  <si>
    <t>B25004_006EA,B25004_006M,B25004_006MA</t>
  </si>
  <si>
    <t>B25004_007E</t>
  </si>
  <si>
    <t>For migrant workers</t>
  </si>
  <si>
    <t>Estimate: Total: For migrant workers</t>
  </si>
  <si>
    <t>B25004_007EA,B25004_007M,B25004_007MA</t>
  </si>
  <si>
    <t>B25004_008E</t>
  </si>
  <si>
    <t>Other vacant</t>
  </si>
  <si>
    <t>Estimate: Total: Other vacant</t>
  </si>
  <si>
    <t>B25004_008EA,B25004_008M,B25004_008MA</t>
  </si>
  <si>
    <t>B25006</t>
  </si>
  <si>
    <t>B25006_001E</t>
  </si>
  <si>
    <t>Occupied Housing Units</t>
  </si>
  <si>
    <t>H13</t>
  </si>
  <si>
    <t>Race of Householder</t>
  </si>
  <si>
    <t>RACE OF HOUSEHOLDER</t>
  </si>
  <si>
    <t>B25006_001EA,B25006_001M,B25006_001MA</t>
  </si>
  <si>
    <t>B25006_002E</t>
  </si>
  <si>
    <t>Householder who is White alone</t>
  </si>
  <si>
    <t>Estimate: Total: Householder who is White alone</t>
  </si>
  <si>
    <t>B25006_002EA,B25006_002M,B25006_002MA</t>
  </si>
  <si>
    <t>B25006_003E</t>
  </si>
  <si>
    <t>Householder who is Black or African American alone</t>
  </si>
  <si>
    <t>Estimate: Total: Householder who is Black or African American alone</t>
  </si>
  <si>
    <t>B25006_003EA,B25006_003M,B25006_003MA</t>
  </si>
  <si>
    <t>B25006_004E</t>
  </si>
  <si>
    <t>Householder who is American Indian and Alaska Native alone</t>
  </si>
  <si>
    <t>Estimate: Total: Householder who is American Indian and Alaska Native alone</t>
  </si>
  <si>
    <t>B25006_004EA,B25006_004M,B25006_004MA</t>
  </si>
  <si>
    <t>B25006_005E</t>
  </si>
  <si>
    <t>Householder who is Asian alone</t>
  </si>
  <si>
    <t>Estimate: Total: Householder who is Asian alone</t>
  </si>
  <si>
    <t>B25006_005EA,B25006_005M,B25006_005MA</t>
  </si>
  <si>
    <t>B25006_006E</t>
  </si>
  <si>
    <t>Householder who is Native Hawaiian and Other Pacific Islander alone</t>
  </si>
  <si>
    <t>Estimate: Total: Householder who is Native Hawaiian and Other Pacific Islander alone</t>
  </si>
  <si>
    <t>B25006_006EA,B25006_006M,B25006_006MA</t>
  </si>
  <si>
    <t>B25006_007E</t>
  </si>
  <si>
    <t>Householder who is Some other race alone</t>
  </si>
  <si>
    <t>Estimate: Total: Householder who is Some other race alone</t>
  </si>
  <si>
    <t>B25006_007EA,B25006_007M,B25006_007MA</t>
  </si>
  <si>
    <t>B25006_008E</t>
  </si>
  <si>
    <t>Householder who is Two or more races</t>
  </si>
  <si>
    <t>Estimate: Total: Householder who is Two or more races</t>
  </si>
  <si>
    <t>B25006_008EA,B25006_008M,B25006_008MA</t>
  </si>
  <si>
    <t>B25006_009E</t>
  </si>
  <si>
    <t>Householder who is Two or more races: Householder who is Two races including Some other race</t>
  </si>
  <si>
    <t>Estimate: Total: Householder who is Two or more races: Householder who is Two races including Some other race</t>
  </si>
  <si>
    <t>B25006_009EA,B25006_009M,B25006_009MA</t>
  </si>
  <si>
    <t>B25006_010E</t>
  </si>
  <si>
    <t>Householder who is Two or more races: Householder who is Two races excluding Some other race and three or more races</t>
  </si>
  <si>
    <t>Estimate: Total: Householder who is Two or more races: Householder who is Two races excluding Some other race and three or more races</t>
  </si>
  <si>
    <t>B25006_010EA,B25006_010M,B25006_010MA</t>
  </si>
  <si>
    <t>B25038</t>
  </si>
  <si>
    <t>B25038_001E</t>
  </si>
  <si>
    <t>H14</t>
  </si>
  <si>
    <t>Year Householder Moved into Unit</t>
  </si>
  <si>
    <t>TENURE BY YEAR HOUSEHOLDER MOVED INTO UNIT</t>
  </si>
  <si>
    <t>B25038_001EA,B25038_001M,B25038_001MA</t>
  </si>
  <si>
    <t>B25038_002E</t>
  </si>
  <si>
    <t>B25038_002EA,B25038_002M,B25038_002MA</t>
  </si>
  <si>
    <t>B25038_003E</t>
  </si>
  <si>
    <t>Owner occupied: Moved in 2023 or later</t>
  </si>
  <si>
    <t>Estimate: Total: Owner occupied: Moved in 2023 or later</t>
  </si>
  <si>
    <t>Tenure by Year Householder Moved Into Unit</t>
  </si>
  <si>
    <t>B25038_003EA,B25038_003M,B25038_003MA</t>
  </si>
  <si>
    <t>Owner occupied: Moved in 2005 or later</t>
  </si>
  <si>
    <t>Estimate: Total: Owner occupied: Moved in 2005 or later</t>
  </si>
  <si>
    <t>Owner occupied: Moved in 2010 or later</t>
  </si>
  <si>
    <t>Estimate: Total: Owner occupied: Moved in 2010 or later</t>
  </si>
  <si>
    <t>2015, 2016, 2017</t>
  </si>
  <si>
    <t>Owner occupied: Moved in 2015 or later</t>
  </si>
  <si>
    <t>Estimate: Total: Owner occupied: Moved in 2015 or later</t>
  </si>
  <si>
    <t>2018, 2019</t>
  </si>
  <si>
    <t>Owner occupied: Moved in 2017 or later</t>
  </si>
  <si>
    <t>Estimate: Total: Owner occupied: Moved in 2017 or later</t>
  </si>
  <si>
    <t>2020, 2021</t>
  </si>
  <si>
    <t>Owner occupied: Moved in 2019 or later</t>
  </si>
  <si>
    <t>Estimate: Total: Owner occupied: Moved in 2019 or later</t>
  </si>
  <si>
    <t>2022, 2023</t>
  </si>
  <si>
    <t>Owner occupied: Moved in 2021 or later</t>
  </si>
  <si>
    <t>Estimate: Total: Owner occupied: Moved in 2021 or later</t>
  </si>
  <si>
    <t>B25038_004E</t>
  </si>
  <si>
    <t>Owner occupied: Moved in 2020 to 2022</t>
  </si>
  <si>
    <t>Estimate: Total: Owner occupied: Moved in 2020 to 2022</t>
  </si>
  <si>
    <t>B25038_004EA,B25038_004M,B25038_004MA</t>
  </si>
  <si>
    <t>Owner occupied: Moved in 2000 to 2004</t>
  </si>
  <si>
    <t>Estimate: Total: Owner occupied: Moved in 2000 to 2004</t>
  </si>
  <si>
    <t>Owner occupied: Moved in 2000 to 2009</t>
  </si>
  <si>
    <t>Estimate: Total: Owner occupied: Moved in 2000 to 2009</t>
  </si>
  <si>
    <t>Owner occupied: Moved in 2010 to 2014</t>
  </si>
  <si>
    <t>Estimate: Total: Owner occupied: Moved in 2010 to 2014</t>
  </si>
  <si>
    <t>Owner occupied: Moved in 2015 to 2016</t>
  </si>
  <si>
    <t>Estimate: Total: Owner occupied: Moved in 2015 to 2016</t>
  </si>
  <si>
    <t>Owner occupied: Moved in 2015 to 2018</t>
  </si>
  <si>
    <t>Estimate: Total: Owner occupied: Moved in 2015 to 2018</t>
  </si>
  <si>
    <t>Owner occupied: Moved in 2018 to 2020</t>
  </si>
  <si>
    <t>Estimate: Total: Owner occupied: Moved in 2018 to 2020</t>
  </si>
  <si>
    <t>B25038_005E</t>
  </si>
  <si>
    <t>Owner occupied: Moved in 2010 to 2019</t>
  </si>
  <si>
    <t>Estimate: Total: Owner occupied: Moved in 2010 to 2019</t>
  </si>
  <si>
    <t>B25038_005EA,B25038_005M,B25038_005MA</t>
  </si>
  <si>
    <t>Owner occupied: Moved in 1990 to 1999</t>
  </si>
  <si>
    <t>Estimate: Total: Owner occupied: Moved in 1990 to 1999</t>
  </si>
  <si>
    <t>2018, 2019, 2020, 2021</t>
  </si>
  <si>
    <t>Owner occupied: Moved in 2010 to 2017</t>
  </si>
  <si>
    <t>Estimate: Total: Owner occupied: Moved in 2010 to 2017</t>
  </si>
  <si>
    <t>B25038_006E</t>
  </si>
  <si>
    <t>Owner occupied: Moved in 1980 to 1989</t>
  </si>
  <si>
    <t>Estimate: Total: Owner occupied: Moved in 1980 to 1989</t>
  </si>
  <si>
    <t>B25038_006EA,B25038_006M,B25038_006MA</t>
  </si>
  <si>
    <t>B25038_007E</t>
  </si>
  <si>
    <t>Owner occupied: Moved in 1970 to 1979</t>
  </si>
  <si>
    <t>Estimate: Total: Owner occupied: Moved in 1970 to 1979</t>
  </si>
  <si>
    <t>B25038_007EA,B25038_007M,B25038_007MA</t>
  </si>
  <si>
    <t>B25038_008E</t>
  </si>
  <si>
    <t>Owner occupied: Moved in 1969 or earlier</t>
  </si>
  <si>
    <t>Estimate: Total: Owner occupied: Moved in 1969 or earlier</t>
  </si>
  <si>
    <t>B25038_008EA,B25038_008M,B25038_008MA</t>
  </si>
  <si>
    <t>Owner occupied: Moved in 1979 or earlier</t>
  </si>
  <si>
    <t>Estimate: Total: Owner occupied: Moved in 1979 or earlier</t>
  </si>
  <si>
    <t>Owner occupied: Moved in 1989 or earlier</t>
  </si>
  <si>
    <t>Estimate: Total: Owner occupied: Moved in 1989 or earlier</t>
  </si>
  <si>
    <t>B25038_009E</t>
  </si>
  <si>
    <t>B25038_009EA,B25038_009M,B25038_009MA</t>
  </si>
  <si>
    <t>B25038_010E</t>
  </si>
  <si>
    <t>Renter occupied: Moved in 2023 or later</t>
  </si>
  <si>
    <t>Estimate: Total: Renter occupied: Moved in 2023 or later</t>
  </si>
  <si>
    <t>B25038_010EA,B25038_010M,B25038_010MA</t>
  </si>
  <si>
    <t>Renter occupied: Moved in 2005 or later</t>
  </si>
  <si>
    <t>Estimate: Total: Renter occupied: Moved in 2005 or later</t>
  </si>
  <si>
    <t>Renter occupied: Moved in 2010 or later</t>
  </si>
  <si>
    <t>Estimate: Total: Renter occupied: Moved in 2010 or later</t>
  </si>
  <si>
    <t>Renter occupied: Moved in 2015 or later</t>
  </si>
  <si>
    <t>Estimate: Total: Renter occupied: Moved in 2015 or later</t>
  </si>
  <si>
    <t>Renter occupied: Moved in 2017 or later</t>
  </si>
  <si>
    <t>Estimate: Total: Renter occupied: Moved in 2017 or later</t>
  </si>
  <si>
    <t>Renter occupied: Moved in 2019 or later</t>
  </si>
  <si>
    <t>Estimate: Total: Renter occupied: Moved in 2019 or later</t>
  </si>
  <si>
    <t>Renter occupied: Moved in 2021 or later</t>
  </si>
  <si>
    <t>Estimate: Total: Renter occupied: Moved in 2021 or later</t>
  </si>
  <si>
    <t>B25038_011E</t>
  </si>
  <si>
    <t>Renter occupied: Moved in 2020 to 2022</t>
  </si>
  <si>
    <t>Estimate: Total: Renter occupied: Moved in 2020 to 2022</t>
  </si>
  <si>
    <t>B25038_011EA,B25038_011M,B25038_011MA</t>
  </si>
  <si>
    <t>Renter occupied: Moved in 2000 to 2004</t>
  </si>
  <si>
    <t>Estimate: Total: Renter occupied: Moved in 2000 to 2004</t>
  </si>
  <si>
    <t>Renter occupied: Moved in 2000 to 2009</t>
  </si>
  <si>
    <t>Estimate: Total: Renter occupied: Moved in 2000 to 2009</t>
  </si>
  <si>
    <t>Renter occupied: Moved in 2010 to 2014</t>
  </si>
  <si>
    <t>Estimate: Total: Renter occupied: Moved in 2010 to 2014</t>
  </si>
  <si>
    <t>Renter occupied: Moved in 2015 to 2016</t>
  </si>
  <si>
    <t>Estimate: Total: Renter occupied: Moved in 2015 to 2016</t>
  </si>
  <si>
    <t>Renter occupied: Moved in 2015 to 2018</t>
  </si>
  <si>
    <t>Estimate: Total: Renter occupied: Moved in 2015 to 2018</t>
  </si>
  <si>
    <t>Renter occupied: Moved in 2018 to 2020</t>
  </si>
  <si>
    <t>Estimate: Total: Renter occupied: Moved in 2018 to 2020</t>
  </si>
  <si>
    <t>B25038_012E</t>
  </si>
  <si>
    <t>Renter occupied: Moved in 2010 to 2019</t>
  </si>
  <si>
    <t>Estimate: Total: Renter occupied: Moved in 2010 to 2019</t>
  </si>
  <si>
    <t>B25038_012EA,B25038_012M,B25038_012MA</t>
  </si>
  <si>
    <t>Renter occupied: Moved in 1990 to 1999</t>
  </si>
  <si>
    <t>Estimate: Total: Renter occupied: Moved in 1990 to 1999</t>
  </si>
  <si>
    <t>Renter occupied: Moved in 2010 to 2017</t>
  </si>
  <si>
    <t>Estimate: Total: Renter occupied: Moved in 2010 to 2017</t>
  </si>
  <si>
    <t>B25038_013E</t>
  </si>
  <si>
    <t>Renter occupied: Moved in 1980 to 1989</t>
  </si>
  <si>
    <t>Estimate: Total: Renter occupied: Moved in 1980 to 1989</t>
  </si>
  <si>
    <t>B25038_013EA,B25038_013M,B25038_013MA</t>
  </si>
  <si>
    <t>B25038_014E</t>
  </si>
  <si>
    <t>Renter occupied: Moved in 1970 to 1979</t>
  </si>
  <si>
    <t>Estimate: Total: Renter occupied: Moved in 1970 to 1979</t>
  </si>
  <si>
    <t>B25038_014EA,B25038_014M,B25038_014MA</t>
  </si>
  <si>
    <t>B25038_015E</t>
  </si>
  <si>
    <t>Renter occupied: Moved in 1969 or earlier</t>
  </si>
  <si>
    <t>Estimate: Total: Renter occupied: Moved in 1969 or earlier</t>
  </si>
  <si>
    <t>B25038_015EA,B25038_015M,B25038_015MA</t>
  </si>
  <si>
    <t>Renter occupied: Moved in 1979 or earlier</t>
  </si>
  <si>
    <t>Estimate: Total: Renter occupied: Moved in 1979 or earlier</t>
  </si>
  <si>
    <t>Renter occupied: Moved in 1989 or earlier</t>
  </si>
  <si>
    <t>Estimate: Total: Renter occupied: Moved in 1989 or earlier</t>
  </si>
  <si>
    <t>B25039</t>
  </si>
  <si>
    <t>B25039_001E</t>
  </si>
  <si>
    <t>Median year householder moved into unit: Total</t>
  </si>
  <si>
    <t>Estimate: Median year householder moved into unit: Total</t>
  </si>
  <si>
    <t>MEDIAN YEAR HOUSEHOLDER MOVED INTO UNIT BY TENURE</t>
  </si>
  <si>
    <t>B25039_001EA,B25039_001M,B25039_001MA</t>
  </si>
  <si>
    <t>B25039_002E</t>
  </si>
  <si>
    <t>Median year householder moved into unit: Owner occupied</t>
  </si>
  <si>
    <t>Estimate: Median year householder moved into unit: Owner occupied</t>
  </si>
  <si>
    <t>B25039_002EA,B25039_002M,B25039_002MA</t>
  </si>
  <si>
    <t>Estimate: Median year householder moved into unit: Total: Owner occupied</t>
  </si>
  <si>
    <t>B25039_003E</t>
  </si>
  <si>
    <t>Median year householder moved into unit: Renter occupied</t>
  </si>
  <si>
    <t>Estimate: Median year householder moved into unit: Renter occupied</t>
  </si>
  <si>
    <t>B25039_003EA,B25039_003M,B25039_003MA</t>
  </si>
  <si>
    <t>Estimate: Median year householder moved into unit: Total: Renter occupied</t>
  </si>
  <si>
    <t>B25044</t>
  </si>
  <si>
    <t>B25044_001E</t>
  </si>
  <si>
    <t>H15</t>
  </si>
  <si>
    <t>Vehicles Available</t>
  </si>
  <si>
    <t>TENURE BY VEHICLES AVAILABLE</t>
  </si>
  <si>
    <t>B25044_001EA,B25044_001M,B25044_001MA</t>
  </si>
  <si>
    <t>B25044_002E</t>
  </si>
  <si>
    <t>B25044_002EA,B25044_002M,B25044_002MA</t>
  </si>
  <si>
    <t>B25044_003E</t>
  </si>
  <si>
    <t>Owner occupied: No vehicle available</t>
  </si>
  <si>
    <t>Estimate: Total: Owner occupied: No vehicle available</t>
  </si>
  <si>
    <t>B25044_003EA,B25044_003M,B25044_003MA</t>
  </si>
  <si>
    <t>B25044_004E</t>
  </si>
  <si>
    <t>Owner occupied: 1 vehicle available</t>
  </si>
  <si>
    <t>Estimate: Total: Owner occupied: 1 vehicle available</t>
  </si>
  <si>
    <t>B25044_004EA,B25044_004M,B25044_004MA</t>
  </si>
  <si>
    <t>B25044_005E</t>
  </si>
  <si>
    <t>Owner occupied: 2 vehicles available</t>
  </si>
  <si>
    <t>Estimate: Total: Owner occupied: 2 vehicles available</t>
  </si>
  <si>
    <t>B25044_005EA,B25044_005M,B25044_005MA</t>
  </si>
  <si>
    <t>B25044_006E</t>
  </si>
  <si>
    <t>Owner occupied: 3 vehicles available</t>
  </si>
  <si>
    <t>Estimate: Total: Owner occupied: 3 vehicles available</t>
  </si>
  <si>
    <t>B25044_006EA,B25044_006M,B25044_006MA</t>
  </si>
  <si>
    <t>B25044_007E</t>
  </si>
  <si>
    <t>Owner occupied: 4 vehicles available</t>
  </si>
  <si>
    <t>Estimate: Total: Owner occupied: 4 vehicles available</t>
  </si>
  <si>
    <t>B25044_007EA,B25044_007M,B25044_007MA</t>
  </si>
  <si>
    <t>B25044_008E</t>
  </si>
  <si>
    <t>Owner occupied: 5 or more vehicles available</t>
  </si>
  <si>
    <t>Estimate: Total: Owner occupied: 5 or more vehicles available</t>
  </si>
  <si>
    <t>B25044_008EA,B25044_008M,B25044_008MA</t>
  </si>
  <si>
    <t>B25044_009E</t>
  </si>
  <si>
    <t>B25044_009EA,B25044_009M,B25044_009MA</t>
  </si>
  <si>
    <t>B25044_010E</t>
  </si>
  <si>
    <t>Renter occupied: No vehicle available</t>
  </si>
  <si>
    <t>Estimate: Total: Renter occupied: No vehicle available</t>
  </si>
  <si>
    <t>B25044_010EA,B25044_010M,B25044_010MA</t>
  </si>
  <si>
    <t>B25044_011E</t>
  </si>
  <si>
    <t>Renter occupied: 1 vehicle available</t>
  </si>
  <si>
    <t>Estimate: Total: Renter occupied: 1 vehicle available</t>
  </si>
  <si>
    <t>B25044_011EA,B25044_011M,B25044_011MA</t>
  </si>
  <si>
    <t>B25044_012E</t>
  </si>
  <si>
    <t>Renter occupied: 2 vehicles available</t>
  </si>
  <si>
    <t>Estimate: Total: Renter occupied: 2 vehicles available</t>
  </si>
  <si>
    <t>B25044_012EA,B25044_012M,B25044_012MA</t>
  </si>
  <si>
    <t>B25044_013E</t>
  </si>
  <si>
    <t>Renter occupied: 3 vehicles available</t>
  </si>
  <si>
    <t>Estimate: Total: Renter occupied: 3 vehicles available</t>
  </si>
  <si>
    <t>B25044_013EA,B25044_013M,B25044_013MA</t>
  </si>
  <si>
    <t>B25044_014E</t>
  </si>
  <si>
    <t>Renter occupied: 4 vehicles available</t>
  </si>
  <si>
    <t>Estimate: Total: Renter occupied: 4 vehicles available</t>
  </si>
  <si>
    <t>B25044_014EA,B25044_014M,B25044_014MA</t>
  </si>
  <si>
    <t>B25044_015E</t>
  </si>
  <si>
    <t>Renter occupied: 5 or more vehicles available</t>
  </si>
  <si>
    <t>Estimate: Total: Renter occupied: 5 or more vehicles available</t>
  </si>
  <si>
    <t>B25044_015EA,B25044_015M,B25044_015MA</t>
  </si>
  <si>
    <t>B25040</t>
  </si>
  <si>
    <t>B25040_001E</t>
  </si>
  <si>
    <t>H16</t>
  </si>
  <si>
    <t>House Heating Fuel</t>
  </si>
  <si>
    <t>HOUSE HEATING FUEL</t>
  </si>
  <si>
    <t>B25040_001EA,B25040_001M,B25040_001MA</t>
  </si>
  <si>
    <t>B25040_002E</t>
  </si>
  <si>
    <t>Utility gas</t>
  </si>
  <si>
    <t>Estimate: Total: Utility gas</t>
  </si>
  <si>
    <t>B25040_002EA,B25040_002M,B25040_002MA</t>
  </si>
  <si>
    <t>B25040_003E</t>
  </si>
  <si>
    <t>Bottled or tank gas propane butane etc</t>
  </si>
  <si>
    <t>Estimate: Total: Bottled or tank gas propane butane etc</t>
  </si>
  <si>
    <t>B25040_003EA,B25040_003M,B25040_003MA</t>
  </si>
  <si>
    <t>Bottled tank or LP gas</t>
  </si>
  <si>
    <t>Estimate: Total: Bottled tank or LP gas</t>
  </si>
  <si>
    <t>B25040_004E</t>
  </si>
  <si>
    <t>Electricity</t>
  </si>
  <si>
    <t>Estimate: Total: Electricity</t>
  </si>
  <si>
    <t>B25040_004EA,B25040_004M,B25040_004MA</t>
  </si>
  <si>
    <t>B25040_005E</t>
  </si>
  <si>
    <t>Fuel oil kerosene etc</t>
  </si>
  <si>
    <t>Estimate: Total: Fuel oil kerosene etc</t>
  </si>
  <si>
    <t>B25040_005EA,B25040_005M,B25040_005MA</t>
  </si>
  <si>
    <t>B25040_006E</t>
  </si>
  <si>
    <t>Coal or coke</t>
  </si>
  <si>
    <t>Estimate: Total: Coal or coke</t>
  </si>
  <si>
    <t>B25040_006EA,B25040_006M,B25040_006MA</t>
  </si>
  <si>
    <t>B25040_007E</t>
  </si>
  <si>
    <t>Wood</t>
  </si>
  <si>
    <t>Estimate: Total: Wood</t>
  </si>
  <si>
    <t>B25040_007EA,B25040_007M,B25040_007MA</t>
  </si>
  <si>
    <t>B25040_008E</t>
  </si>
  <si>
    <t>Solar energy</t>
  </si>
  <si>
    <t>Estimate: Total: Solar energy</t>
  </si>
  <si>
    <t>B25040_008EA,B25040_008M,B25040_008MA</t>
  </si>
  <si>
    <t>B25040_009E</t>
  </si>
  <si>
    <t>Other fuel</t>
  </si>
  <si>
    <t>Estimate: Total: Other fuel</t>
  </si>
  <si>
    <t>B25040_009EA,B25040_009M,B25040_009MA</t>
  </si>
  <si>
    <t>B25040_010E</t>
  </si>
  <si>
    <t>No fuel used</t>
  </si>
  <si>
    <t>Estimate: Total: No fuel used</t>
  </si>
  <si>
    <t>B25040_010EA,B25040_010M,B25040_010MA</t>
  </si>
  <si>
    <t>B25016</t>
  </si>
  <si>
    <t>B25016_001E</t>
  </si>
  <si>
    <t>H17</t>
  </si>
  <si>
    <t>Selected Characteristics</t>
  </si>
  <si>
    <t>TENURE BY PLUMBING FACILITIES BY OCCUPANTS PER ROOM</t>
  </si>
  <si>
    <t>B25016_001EA,B25016_001M,B25016_001MA</t>
  </si>
  <si>
    <t>B25016_002E</t>
  </si>
  <si>
    <t>B25016_002EA,B25016_002M,B25016_002MA</t>
  </si>
  <si>
    <t>B25016_003E</t>
  </si>
  <si>
    <t>Owner occupied: Complete plumbing facilities</t>
  </si>
  <si>
    <t>Estimate: Total: Owner occupied: Complete plumbing facilities</t>
  </si>
  <si>
    <t>B25016_003EA,B25016_003M,B25016_003MA</t>
  </si>
  <si>
    <t>B25016_007E</t>
  </si>
  <si>
    <t>Owner occupied: Lacking complete plumbing facilities</t>
  </si>
  <si>
    <t>Estimate: Total: Owner occupied: Lacking complete plumbing facilities</t>
  </si>
  <si>
    <t>B25016_007EA,B25016_007M,B25016_007MA</t>
  </si>
  <si>
    <t>B25016_012E</t>
  </si>
  <si>
    <t>Renter occupied: Complete plumbing facilities</t>
  </si>
  <si>
    <t>Estimate: Total: Renter occupied: Complete plumbing facilities</t>
  </si>
  <si>
    <t>B25016_012EA,B25016_012M,B25016_012MA</t>
  </si>
  <si>
    <t>B25016_016E</t>
  </si>
  <si>
    <t>Renter occupied: Lacking complete plumbing facilities</t>
  </si>
  <si>
    <t>Estimate: Total: Renter occupied: Lacking complete plumbing facilities</t>
  </si>
  <si>
    <t>B25016_016EA,B25016_016M,B25016_016MA</t>
  </si>
  <si>
    <t>B25043</t>
  </si>
  <si>
    <t>B25043_003E</t>
  </si>
  <si>
    <t>Owner occupied: With telephone service available</t>
  </si>
  <si>
    <t>Estimate: Total: Owner occupied: With telephone service available</t>
  </si>
  <si>
    <t>TENURE BY TELEPHONE SERVICE AVAILABLE BY AGE OF HOUSEHOLDER</t>
  </si>
  <si>
    <t>B25043_003EA,B25043_003M,B25043_003MA</t>
  </si>
  <si>
    <t>B25043_007E</t>
  </si>
  <si>
    <t>Owner occupied: No telephone service available</t>
  </si>
  <si>
    <t>Estimate: Total: Owner occupied: No telephone service available</t>
  </si>
  <si>
    <t>B25043_007EA,B25043_007M,B25043_007MA</t>
  </si>
  <si>
    <t>B25043_012E</t>
  </si>
  <si>
    <t>Renter occupied: With telephone service available</t>
  </si>
  <si>
    <t>Estimate: Total: Renter occupied: With telephone service available</t>
  </si>
  <si>
    <t>B25043_012EA,B25043_012M,B25043_012MA</t>
  </si>
  <si>
    <t>B25043_016E</t>
  </si>
  <si>
    <t>Renter occupied: No telephone service available</t>
  </si>
  <si>
    <t>Estimate: Total: Renter occupied: No telephone service available</t>
  </si>
  <si>
    <t>B25043_016EA,B25043_016M,B25043_016MA</t>
  </si>
  <si>
    <t>B25045</t>
  </si>
  <si>
    <t>B25045_003E</t>
  </si>
  <si>
    <t>TENURE BY VEHICLES AVAILABLE BY AGE OF HOUSEHOLDER</t>
  </si>
  <si>
    <t>B25045_003EA,B25045_003M,B25045_003MA</t>
  </si>
  <si>
    <t>B25045_007E</t>
  </si>
  <si>
    <t>Owner occupied: 1 or more vehicles available</t>
  </si>
  <si>
    <t>Estimate: Total: Owner occupied: 1 or more vehicles available</t>
  </si>
  <si>
    <t>B25045_007EA,B25045_007M,B25045_007MA</t>
  </si>
  <si>
    <t>B25045_012E</t>
  </si>
  <si>
    <t>B25045_012EA,B25045_012M,B25045_012MA</t>
  </si>
  <si>
    <t>B25045_016E</t>
  </si>
  <si>
    <t>Renter occupied: 1 or more vehicles available</t>
  </si>
  <si>
    <t>Estimate: Total: Renter occupied: 1 or more vehicles available</t>
  </si>
  <si>
    <t>B25045_016EA,B25045_016M,B25045_016MA</t>
  </si>
  <si>
    <t>B25046</t>
  </si>
  <si>
    <t>B25046_002E</t>
  </si>
  <si>
    <t>Aggregate number of vehicles available: Owner occupied</t>
  </si>
  <si>
    <t>Estimate: Aggregate number of vehicles available: Owner occupied</t>
  </si>
  <si>
    <t>AGGREGATE NUMBER OF VEHICLES AVAILABLE BY TENURE</t>
  </si>
  <si>
    <t>B25046_002EA,B25046_002M,B25046_002MA</t>
  </si>
  <si>
    <t>B25046_003E</t>
  </si>
  <si>
    <t>Aggregate number of vehicles available: Renter occupied</t>
  </si>
  <si>
    <t>Estimate: Aggregate number of vehicles available: Renter occupied</t>
  </si>
  <si>
    <t>B25046_003EA,B25046_003M,B25046_003MA</t>
  </si>
  <si>
    <t>B25053</t>
  </si>
  <si>
    <t>B25053_003E</t>
  </si>
  <si>
    <t>Owner occupied: Complete kitchen facilities</t>
  </si>
  <si>
    <t>Estimate: Total: Owner occupied: Complete kitchen facilities</t>
  </si>
  <si>
    <t>TENURE BY KITCHEN FACILITIES</t>
  </si>
  <si>
    <t>B25053_003EA,B25053_003M,B25053_003MA</t>
  </si>
  <si>
    <t>B25053_004E</t>
  </si>
  <si>
    <t>Owner occupied: Lacking complete kitchen facilities</t>
  </si>
  <si>
    <t>Estimate: Total: Owner occupied: Lacking complete kitchen facilities</t>
  </si>
  <si>
    <t>B25053_004EA,B25053_004M,B25053_004MA</t>
  </si>
  <si>
    <t>B25053_006E</t>
  </si>
  <si>
    <t>Renter occupied: Complete kitchen facilities</t>
  </si>
  <si>
    <t>Estimate: Total: Renter occupied: Complete kitchen facilities</t>
  </si>
  <si>
    <t>B25053_006EA,B25053_006M,B25053_006MA</t>
  </si>
  <si>
    <t>B25053_007E</t>
  </si>
  <si>
    <t>Renter occupied: Lacking complete kitchen facilities</t>
  </si>
  <si>
    <t>Estimate: Total: Renter occupied: Lacking complete kitchen facilities</t>
  </si>
  <si>
    <t>B25053_007EA,B25053_007M,B25053_007MA</t>
  </si>
  <si>
    <t>B25014</t>
  </si>
  <si>
    <t>B25014_001E</t>
  </si>
  <si>
    <t>H18</t>
  </si>
  <si>
    <t>Occupants per Room</t>
  </si>
  <si>
    <t>TENURE BY OCCUPANTS PER ROOM</t>
  </si>
  <si>
    <t>B25014_001EA,B25014_001M,B25014_001MA</t>
  </si>
  <si>
    <t>B25014_002E</t>
  </si>
  <si>
    <t>B25014_002EA,B25014_002M,B25014_002MA</t>
  </si>
  <si>
    <t>B25014_003E</t>
  </si>
  <si>
    <t>Owner occupied: 0.5 or less occupants per room</t>
  </si>
  <si>
    <t>Estimate: Total: Owner occupied: 050 or less occupants per room</t>
  </si>
  <si>
    <t>B25014_003EA,B25014_003M,B25014_003MA</t>
  </si>
  <si>
    <t>B25014_004E</t>
  </si>
  <si>
    <t>Owner occupied: 0.51 to 1.00 occupants per room</t>
  </si>
  <si>
    <t>Estimate: Total: Owner occupied: 051 to 100 occupants per room</t>
  </si>
  <si>
    <t>B25014_004EA,B25014_004M,B25014_004MA</t>
  </si>
  <si>
    <t>B25014_005E</t>
  </si>
  <si>
    <t>Owner occupied: 1.01 to 1,50 occupants per room</t>
  </si>
  <si>
    <t>Estimate: Total: Owner occupied: 101 to 150 occupants per room</t>
  </si>
  <si>
    <t>B25014_005EA,B25014_005M,B25014_005MA</t>
  </si>
  <si>
    <t>B25014_006E</t>
  </si>
  <si>
    <t>Owner occupied: 1.51 to 2.00 occupants per room</t>
  </si>
  <si>
    <t>Estimate: Total: Owner occupied: 151 to 200 occupants per room</t>
  </si>
  <si>
    <t>B25014_006EA,B25014_006M,B25014_006MA</t>
  </si>
  <si>
    <t>B25014_007E</t>
  </si>
  <si>
    <t>Owner occupied: 2.01 or more occupants per room</t>
  </si>
  <si>
    <t>Estimate: Total: Owner occupied: 201 or more occupants per room</t>
  </si>
  <si>
    <t>B25014_007EA,B25014_007M,B25014_007MA</t>
  </si>
  <si>
    <t>B25014_008E</t>
  </si>
  <si>
    <t>B25014_008EA,B25014_008M,B25014_008MA</t>
  </si>
  <si>
    <t>B25014_009E</t>
  </si>
  <si>
    <t>Renter occupied: 0.50 or less occupants per room</t>
  </si>
  <si>
    <t>Estimate: Total: Renter occupied: 050 or less occupants per room</t>
  </si>
  <si>
    <t>B25014_009EA,B25014_009M,B25014_009MA</t>
  </si>
  <si>
    <t>B25014_010E</t>
  </si>
  <si>
    <t>Renter occupied: 0.51 to 1.00 occupants per room</t>
  </si>
  <si>
    <t>Estimate: Total: Renter occupied: 051 to 100 occupants per room</t>
  </si>
  <si>
    <t>B25014_010EA,B25014_010M,B25014_010MA</t>
  </si>
  <si>
    <t>B25014_011E</t>
  </si>
  <si>
    <t>Renter occupied: 1.01 to 1.50 occupants per room</t>
  </si>
  <si>
    <t>Estimate: Total: Renter occupied: 101 to 150 occupants per room</t>
  </si>
  <si>
    <t>B25014_011EA,B25014_011M,B25014_011MA</t>
  </si>
  <si>
    <t>B25014_012E</t>
  </si>
  <si>
    <t>Renter occupied: 1.51 to 2.00 occupants per room</t>
  </si>
  <si>
    <t>Estimate: Total: Renter occupied: 151 to 200 occupants per room</t>
  </si>
  <si>
    <t>B25014_012EA,B25014_012M,B25014_012MA</t>
  </si>
  <si>
    <t>B25014_013E</t>
  </si>
  <si>
    <t>Renter occupied: 2.01 or more occupants per room</t>
  </si>
  <si>
    <t>Estimate: Total: Renter occupied: 201 or more occupants per room</t>
  </si>
  <si>
    <t>B25014_013EA,B25014_013M,B25014_013MA</t>
  </si>
  <si>
    <t>B25075</t>
  </si>
  <si>
    <t>B25075_001E</t>
  </si>
  <si>
    <t>Owner-occupied units</t>
  </si>
  <si>
    <t>H19</t>
  </si>
  <si>
    <t>Housing Value</t>
  </si>
  <si>
    <t>VALUE</t>
  </si>
  <si>
    <t>B25075_001EA,B25075_001M,B25075_001MA</t>
  </si>
  <si>
    <t>B25075_002E</t>
  </si>
  <si>
    <t>B25075_002EA,B25075_002M,B25075_002MA</t>
  </si>
  <si>
    <t>B25075_003E</t>
  </si>
  <si>
    <t>B25075_003EA,B25075_003M,B25075_003MA</t>
  </si>
  <si>
    <t>B25075_004E</t>
  </si>
  <si>
    <t>B25075_004EA,B25075_004M,B25075_004MA</t>
  </si>
  <si>
    <t>B25075_005E</t>
  </si>
  <si>
    <t>B25075_005EA,B25075_005M,B25075_005MA</t>
  </si>
  <si>
    <t>B25075_006E</t>
  </si>
  <si>
    <t>B25075_006EA,B25075_006M,B25075_006MA</t>
  </si>
  <si>
    <t>B25075_007E</t>
  </si>
  <si>
    <t>B25075_007EA,B25075_007M,B25075_007MA</t>
  </si>
  <si>
    <t>B25075_008E</t>
  </si>
  <si>
    <t>B25075_008EA,B25075_008M,B25075_008MA</t>
  </si>
  <si>
    <t>B25075_009E</t>
  </si>
  <si>
    <t>$40,000 to $49,999</t>
  </si>
  <si>
    <t>Estimate: Total: 40000 to 49999</t>
  </si>
  <si>
    <t>B25075_009EA,B25075_009M,B25075_009MA</t>
  </si>
  <si>
    <t>B25075_010E</t>
  </si>
  <si>
    <t>B25075_010EA,B25075_010M,B25075_010MA</t>
  </si>
  <si>
    <t>B25075_011E</t>
  </si>
  <si>
    <t>$60,000 to $69,999</t>
  </si>
  <si>
    <t>Estimate: Total: 60000 to 69999</t>
  </si>
  <si>
    <t>B25075_011EA,B25075_011M,B25075_011MA</t>
  </si>
  <si>
    <t>B25075_012E</t>
  </si>
  <si>
    <t>$70,000 to $79,999</t>
  </si>
  <si>
    <t>Estimate: Total: 70000 to 79999</t>
  </si>
  <si>
    <t>B25075_012EA,B25075_012M,B25075_012MA</t>
  </si>
  <si>
    <t>B25075_013E</t>
  </si>
  <si>
    <t>$80,000 to $89,999</t>
  </si>
  <si>
    <t>Estimate: Total: 80000 to 89999</t>
  </si>
  <si>
    <t>B25075_013EA,B25075_013M,B25075_013MA</t>
  </si>
  <si>
    <t>B25075_014E</t>
  </si>
  <si>
    <t>$90,000 to $99,999</t>
  </si>
  <si>
    <t>Estimate: Total: 90000 to 99999</t>
  </si>
  <si>
    <t>B25075_014EA,B25075_014M,B25075_014MA</t>
  </si>
  <si>
    <t>B25075_015E</t>
  </si>
  <si>
    <t>B25075_015EA,B25075_015M,B25075_015MA</t>
  </si>
  <si>
    <t>B25075_016E</t>
  </si>
  <si>
    <t>B25075_016EA,B25075_016M,B25075_016MA</t>
  </si>
  <si>
    <t>B25075_017E</t>
  </si>
  <si>
    <t>$150,000 to $174,999</t>
  </si>
  <si>
    <t>Estimate: Total: 150000 to 174999</t>
  </si>
  <si>
    <t>B25075_017EA,B25075_017M,B25075_017MA</t>
  </si>
  <si>
    <t>B25075_018E</t>
  </si>
  <si>
    <t>$175,000 to $199,999</t>
  </si>
  <si>
    <t>Estimate: Total: 175000 to 199999</t>
  </si>
  <si>
    <t>B25075_018EA,B25075_018M,B25075_018MA</t>
  </si>
  <si>
    <t>B25075_019E</t>
  </si>
  <si>
    <t>$200,000 to $249,999</t>
  </si>
  <si>
    <t>Estimate: Total: 200000 to 249999</t>
  </si>
  <si>
    <t>B25075_019EA,B25075_019M,B25075_019MA</t>
  </si>
  <si>
    <t>B25075_020E</t>
  </si>
  <si>
    <t>$250,000 to $299,999</t>
  </si>
  <si>
    <t>Estimate: Total: 250000 to 299999</t>
  </si>
  <si>
    <t>B25075_020EA,B25075_020M,B25075_020MA</t>
  </si>
  <si>
    <t>B25075_021E</t>
  </si>
  <si>
    <t>$300,000 to $399,999</t>
  </si>
  <si>
    <t>Estimate: Total: 300000 to 399999</t>
  </si>
  <si>
    <t>B25075_021EA,B25075_021M,B25075_021MA</t>
  </si>
  <si>
    <t>B25075_022E</t>
  </si>
  <si>
    <t>$400,000 to $499,999</t>
  </si>
  <si>
    <t>Estimate: Total: 400000 to 499999</t>
  </si>
  <si>
    <t>B25075_022EA,B25075_022M,B25075_022MA</t>
  </si>
  <si>
    <t>B25075_023E</t>
  </si>
  <si>
    <t>$500,000 to $749,999</t>
  </si>
  <si>
    <t>Estimate: Total: 500000 to 749999</t>
  </si>
  <si>
    <t>B25075_023EA,B25075_023M,B25075_023MA</t>
  </si>
  <si>
    <t>B25075_024E</t>
  </si>
  <si>
    <t>$750,000 to $999,999</t>
  </si>
  <si>
    <t>Estimate: Total: 750000 to 999999</t>
  </si>
  <si>
    <t>B25075_024EA,B25075_024M,B25075_024MA</t>
  </si>
  <si>
    <t>B25075_025E</t>
  </si>
  <si>
    <t>$1,000,000 or more</t>
  </si>
  <si>
    <t>Estimate: Total: 1000000 or more</t>
  </si>
  <si>
    <t>B25075_025EA,B25075_025M,B25075_025MA</t>
  </si>
  <si>
    <t>$1,000,000 to $1,499,999</t>
  </si>
  <si>
    <t>Estimate: Total: 1000000 to 1499999</t>
  </si>
  <si>
    <t>B25075_026E</t>
  </si>
  <si>
    <t>$1,500,000 to $1,999,999</t>
  </si>
  <si>
    <t>Estimate: Total: 1500000 to 1999999</t>
  </si>
  <si>
    <t>B25075_026EA,B25075_026M,B25075_026MA</t>
  </si>
  <si>
    <t>B25075_027E</t>
  </si>
  <si>
    <t>$2,000,000 or more</t>
  </si>
  <si>
    <t>Estimate: Total: 2000000 or more</t>
  </si>
  <si>
    <t>B25075_027EA,B25075_027M,B25075_027MA</t>
  </si>
  <si>
    <t>B25076</t>
  </si>
  <si>
    <t>B25076_001E</t>
  </si>
  <si>
    <t>Lower value quartile dollars</t>
  </si>
  <si>
    <t>Estimate: Lower value quartile dollars</t>
  </si>
  <si>
    <t>LOWER VALUE QUARTILE (DOLLARS)</t>
  </si>
  <si>
    <t>B25076_001EA,B25076_001M,B25076_001MA</t>
  </si>
  <si>
    <t>B25077</t>
  </si>
  <si>
    <t>B25077_001E</t>
  </si>
  <si>
    <t>Median value dollars</t>
  </si>
  <si>
    <t>Estimate: Median value dollars</t>
  </si>
  <si>
    <t>MEDIAN VALUE (DOLLARS)</t>
  </si>
  <si>
    <t>B25077_001EA,B25077_001M,B25077_001MA</t>
  </si>
  <si>
    <t>B25078</t>
  </si>
  <si>
    <t>B25078_001E</t>
  </si>
  <si>
    <t>Upper value quartile dollars</t>
  </si>
  <si>
    <t>Estimate: Upper value quartile dollars</t>
  </si>
  <si>
    <t>UPPER VALUE QUARTILE (DOLLARS)</t>
  </si>
  <si>
    <t>B25078_001EA,B25078_001M,B25078_001MA</t>
  </si>
  <si>
    <t>B25080</t>
  </si>
  <si>
    <t>B25080_001E</t>
  </si>
  <si>
    <t>Aggregate value dollars</t>
  </si>
  <si>
    <t>Estimate: Aggregate value dollars</t>
  </si>
  <si>
    <t>AGGREGATE VALUE (DOLLARS) BY UNITS IN STRUCTURE</t>
  </si>
  <si>
    <t>B25080_001EA,B25080_001M,B25080_001MA</t>
  </si>
  <si>
    <t>B25082</t>
  </si>
  <si>
    <t>B25082_002E</t>
  </si>
  <si>
    <t>Aggregate value dollars: Housing units with a mortgage dollars</t>
  </si>
  <si>
    <t>Estimate: Aggregate value dollars: Housing units with a mortgage dollars</t>
  </si>
  <si>
    <t>AGGREGATE VALUE (DOLLARS) BY MORTGAGE STATUS</t>
  </si>
  <si>
    <t>B25082_002EA,B25082_002M,B25082_002MA</t>
  </si>
  <si>
    <t>B25082_003E</t>
  </si>
  <si>
    <t>Aggregate value dollars: Housing units without a mortgage dollars</t>
  </si>
  <si>
    <t>Estimate: Aggregate value dollars: Housing units without a mortgage dollars</t>
  </si>
  <si>
    <t>B25082_003EA,B25082_003M,B25082_003MA</t>
  </si>
  <si>
    <t>B25083</t>
  </si>
  <si>
    <t>B25083_001E</t>
  </si>
  <si>
    <t>Median value dollars for mobile homes</t>
  </si>
  <si>
    <t>MEDIAN VALUE (DOLLARS) FOR MOBILE HOMES</t>
  </si>
  <si>
    <t>B25083_001EA,B25083_001M,B25083_001MA</t>
  </si>
  <si>
    <t>B25085</t>
  </si>
  <si>
    <t>B25085_001E</t>
  </si>
  <si>
    <t>Total vacant for-sale only and sold, not occupied housing units</t>
  </si>
  <si>
    <t>H20</t>
  </si>
  <si>
    <t>Price Asked</t>
  </si>
  <si>
    <t>PRICE ASKED</t>
  </si>
  <si>
    <t>B25085_001EA,B25085_001M,B25085_001MA</t>
  </si>
  <si>
    <t>B25085_002E</t>
  </si>
  <si>
    <t>B25085_002EA,B25085_002M,B25085_002MA</t>
  </si>
  <si>
    <t>B25085_003E</t>
  </si>
  <si>
    <t>B25085_003EA,B25085_003M,B25085_003MA</t>
  </si>
  <si>
    <t>B25085_004E</t>
  </si>
  <si>
    <t>B25085_004EA,B25085_004M,B25085_004MA</t>
  </si>
  <si>
    <t>B25085_005E</t>
  </si>
  <si>
    <t>B25085_005EA,B25085_005M,B25085_005MA</t>
  </si>
  <si>
    <t>B25085_006E</t>
  </si>
  <si>
    <t>$25000 to $29,999</t>
  </si>
  <si>
    <t>B25085_006EA,B25085_006M,B25085_006MA</t>
  </si>
  <si>
    <t>B25085_007E</t>
  </si>
  <si>
    <t>B25085_007EA,B25085_007M,B25085_007MA</t>
  </si>
  <si>
    <t>B25085_008E</t>
  </si>
  <si>
    <t>B25085_008EA,B25085_008M,B25085_008MA</t>
  </si>
  <si>
    <t>B25085_009E</t>
  </si>
  <si>
    <t>B25085_009EA,B25085_009M,B25085_009MA</t>
  </si>
  <si>
    <t>B25085_010E</t>
  </si>
  <si>
    <t>B25085_010EA,B25085_010M,B25085_010MA</t>
  </si>
  <si>
    <t>B25085_011E</t>
  </si>
  <si>
    <t>B25085_011EA,B25085_011M,B25085_011MA</t>
  </si>
  <si>
    <t>B25085_012E</t>
  </si>
  <si>
    <t>B25085_012EA,B25085_012M,B25085_012MA</t>
  </si>
  <si>
    <t>B25085_013E</t>
  </si>
  <si>
    <t>B25085_013EA,B25085_013M,B25085_013MA</t>
  </si>
  <si>
    <t>B25085_014E</t>
  </si>
  <si>
    <t>B25085_014EA,B25085_014M,B25085_014MA</t>
  </si>
  <si>
    <t>B25085_015E</t>
  </si>
  <si>
    <t>B25085_015EA,B25085_015M,B25085_015MA</t>
  </si>
  <si>
    <t>B25085_016E</t>
  </si>
  <si>
    <t>B25085_016EA,B25085_016M,B25085_016MA</t>
  </si>
  <si>
    <t>B25085_017E</t>
  </si>
  <si>
    <t>B25085_017EA,B25085_017M,B25085_017MA</t>
  </si>
  <si>
    <t>B25085_018E</t>
  </si>
  <si>
    <t>B25085_018EA,B25085_018M,B25085_018MA</t>
  </si>
  <si>
    <t>B25085_019E</t>
  </si>
  <si>
    <t>B25085_019EA,B25085_019M,B25085_019MA</t>
  </si>
  <si>
    <t>B25085_020E</t>
  </si>
  <si>
    <t>B25085_020EA,B25085_020M,B25085_020MA</t>
  </si>
  <si>
    <t>B25085_021E</t>
  </si>
  <si>
    <t>B25085_021EA,B25085_021M,B25085_021MA</t>
  </si>
  <si>
    <t>B25085_022E</t>
  </si>
  <si>
    <t>B25085_022EA,B25085_022M,B25085_022MA</t>
  </si>
  <si>
    <t>B25085_023E</t>
  </si>
  <si>
    <t>B25085_023EA,B25085_023M,B25085_023MA</t>
  </si>
  <si>
    <t>B25085_024E</t>
  </si>
  <si>
    <t>B25085_024EA,B25085_024M,B25085_024MA</t>
  </si>
  <si>
    <t>B25085_025E</t>
  </si>
  <si>
    <t>B25085_025EA,B25085_025M,B25085_025MA</t>
  </si>
  <si>
    <t>B25085_026E</t>
  </si>
  <si>
    <t>B25085_026EA,B25085_026M,B25085_026MA</t>
  </si>
  <si>
    <t>B25085_027E</t>
  </si>
  <si>
    <t>B25085_027EA,B25085_027M,B25085_027MA</t>
  </si>
  <si>
    <t>B25086</t>
  </si>
  <si>
    <t>B25086_001E</t>
  </si>
  <si>
    <t>Aggregate price asked dollars</t>
  </si>
  <si>
    <t>Estimate: Aggregate price asked dollars</t>
  </si>
  <si>
    <t>AGGREGATE PRICE ASKED (DOLLARS)</t>
  </si>
  <si>
    <t>B25086_001EA,B25086_001M,B25086_001MA</t>
  </si>
  <si>
    <t>B25081</t>
  </si>
  <si>
    <t>B25081_001E</t>
  </si>
  <si>
    <t>H21</t>
  </si>
  <si>
    <t>Mortgage Status</t>
  </si>
  <si>
    <t>MORTGAGE STATUS</t>
  </si>
  <si>
    <t>B25081_001EA,B25081_001M,B25081_001MA</t>
  </si>
  <si>
    <t>B25081_002E</t>
  </si>
  <si>
    <t>Housing units with a mortgage</t>
  </si>
  <si>
    <t>Estimate: Total: Housing units with a mortgage</t>
  </si>
  <si>
    <t>B25081_002EA,B25081_002M,B25081_002MA</t>
  </si>
  <si>
    <t>2010, 2011, 2012, 2013, 2014, 2015, 2016, 2017, 2018, 2019</t>
  </si>
  <si>
    <t>B25081_003E</t>
  </si>
  <si>
    <t>Housing units with a mortgage: With either a second mortgage or home equity loan but not both</t>
  </si>
  <si>
    <t>Estimate: Total: Housing units with a mortgage: With either a second mortgage or home equity loan but not both</t>
  </si>
  <si>
    <t>B25081_003EA,B25081_003M,B25081_003MA</t>
  </si>
  <si>
    <t>2020, 2021, 2022, 2023, 2024</t>
  </si>
  <si>
    <t>Housing units with a mortgage: Housing units with no second mortgage and no home equity loan</t>
  </si>
  <si>
    <t>Estimate: Total: Housing units with a mortgage: Housing units with no second mortgage and no home equity loan</t>
  </si>
  <si>
    <t>B25081_004E</t>
  </si>
  <si>
    <t>Housing units with a mortgage: With either a second mortgage or home equity loan but not both: Second mortgage only</t>
  </si>
  <si>
    <t>Estimate: Total: Housing units with a mortgage: With either a second mortgage or home equity loan but not both: Second mortgage only</t>
  </si>
  <si>
    <t>B25081_004EA,B25081_004M,B25081_004MA</t>
  </si>
  <si>
    <t>Housing units with a mortgage: Housing units with multiple mortgages</t>
  </si>
  <si>
    <t>Estimate: Total: Housing units with a mortgage: Housing units with multiple mortgages</t>
  </si>
  <si>
    <t>B25081_005E</t>
  </si>
  <si>
    <t>Housing units with a mortgage: With either a second mortgage or home equity loan but not both: Home equity loan only</t>
  </si>
  <si>
    <t>Estimate: Total: Housing units with a mortgage: With either a second mortgage or home equity loan but not both: Home equity loan only</t>
  </si>
  <si>
    <t>B25081_005EA,B25081_005M,B25081_005MA</t>
  </si>
  <si>
    <t>Housing units with a mortgage: Housing units with multiple mortgages: Mortgage with both second mortgage and home equity loan</t>
  </si>
  <si>
    <t>Estimate: Total: Housing units with a mortgage: Housing units with multiple mortgages: Mortgage with both second mortgage and home equity loan</t>
  </si>
  <si>
    <t>B25081_006E</t>
  </si>
  <si>
    <t>Housing units with a mortgage: Both second mortgage and home equity loan</t>
  </si>
  <si>
    <t>Estimate: Total: Housing units with a mortgage: Both second mortgage and home equity loan</t>
  </si>
  <si>
    <t>B25081_006EA,B25081_006M,B25081_006MA</t>
  </si>
  <si>
    <t>Housing units with a mortgage: Housing units with multiple mortgages: Mortgage with only home equity loan</t>
  </si>
  <si>
    <t>Estimate: Total: Housing units with a mortgage: Housing units with multiple mortgages: Mortgage with only home equity loan</t>
  </si>
  <si>
    <t>B25081_007E</t>
  </si>
  <si>
    <t>Housing units with a mortgage: No second mortgage and no home equity loan</t>
  </si>
  <si>
    <t>Estimate: Total: Housing units with a mortgage: No second mortgage and no home equity loan</t>
  </si>
  <si>
    <t>B25081_007EA,B25081_007M,B25081_007MA</t>
  </si>
  <si>
    <t>Housing units with a mortgage: Housing units with multiple mortgages: Mortgage with only second mortgage</t>
  </si>
  <si>
    <t>Estimate: Total: Housing units with a mortgage: Housing units with multiple mortgages: Mortgage with only second mortgage</t>
  </si>
  <si>
    <t>B25081_008E</t>
  </si>
  <si>
    <t>Housing units without a mortgage</t>
  </si>
  <si>
    <t>Estimate: Total: Housing units without a mortgage</t>
  </si>
  <si>
    <t>B25081_008EA,B25081_008M,B25081_008MA</t>
  </si>
  <si>
    <t>Housing units with a mortgage: Home equity loan without a primary mortgage</t>
  </si>
  <si>
    <t>Estimate: Total: Housing units with a mortgage: Home equity loan without a primary mortgage</t>
  </si>
  <si>
    <t>B25081_009E</t>
  </si>
  <si>
    <t>B25081_009EA,B25081_009M,B25081_009MA</t>
  </si>
  <si>
    <t>B25082_001E</t>
  </si>
  <si>
    <t>B25082_001EA,B25082_001M,B25082_001MA</t>
  </si>
  <si>
    <t>B25087</t>
  </si>
  <si>
    <t>B25087_001E</t>
  </si>
  <si>
    <t>Owner-occupied housing units</t>
  </si>
  <si>
    <t>H22</t>
  </si>
  <si>
    <t>Selected Monthly Owner Costs</t>
  </si>
  <si>
    <t>MORTGAGE STATUS AND SELECTED MONTHLY OWNER COSTS</t>
  </si>
  <si>
    <t>B25087_001EA,B25087_001M,B25087_001MA</t>
  </si>
  <si>
    <t>B25087_002E</t>
  </si>
  <si>
    <t>B25087_002EA,B25087_002M,B25087_002MA</t>
  </si>
  <si>
    <t>B25087_003E</t>
  </si>
  <si>
    <t>Housing units with a mortgage: Less than $200</t>
  </si>
  <si>
    <t>Estimate: Total: Housing units with a mortgage: Less than 200</t>
  </si>
  <si>
    <t>B25087_003EA,B25087_003M,B25087_003MA</t>
  </si>
  <si>
    <t>B25087_004E</t>
  </si>
  <si>
    <t>Housing units with a mortgage: $200 to $299</t>
  </si>
  <si>
    <t>Estimate: Total: Housing units with a mortgage: 200 to 299</t>
  </si>
  <si>
    <t>B25087_004EA,B25087_004M,B25087_004MA</t>
  </si>
  <si>
    <t>B25087_005E</t>
  </si>
  <si>
    <t>Housing units with a mortgage: $300 to $399</t>
  </si>
  <si>
    <t>Estimate: Total: Housing units with a mortgage: 300 to 399</t>
  </si>
  <si>
    <t>B25087_005EA,B25087_005M,B25087_005MA</t>
  </si>
  <si>
    <t>B25087_006E</t>
  </si>
  <si>
    <t>Housing units with a mortgage: $400 to $499</t>
  </si>
  <si>
    <t>Estimate: Total: Housing units with a mortgage: 400 to 499</t>
  </si>
  <si>
    <t>B25087_006EA,B25087_006M,B25087_006MA</t>
  </si>
  <si>
    <t>B25087_007E</t>
  </si>
  <si>
    <t>Housing units with a mortgage: $500 to $599</t>
  </si>
  <si>
    <t>Estimate: Total: Housing units with a mortgage: 500 to 599</t>
  </si>
  <si>
    <t>B25087_007EA,B25087_007M,B25087_007MA</t>
  </si>
  <si>
    <t>B25087_008E</t>
  </si>
  <si>
    <t>Housing units with a mortgage: $600 to $699</t>
  </si>
  <si>
    <t>Estimate: Total: Housing units with a mortgage: 600 to 699</t>
  </si>
  <si>
    <t>B25087_008EA,B25087_008M,B25087_008MA</t>
  </si>
  <si>
    <t>B25087_009E</t>
  </si>
  <si>
    <t>Housing units with a mortgage: $700 to $799</t>
  </si>
  <si>
    <t>Estimate: Total: Housing units with a mortgage: 700 to 799</t>
  </si>
  <si>
    <t>B25087_009EA,B25087_009M,B25087_009MA</t>
  </si>
  <si>
    <t>B25087_010E</t>
  </si>
  <si>
    <t>Housing units with a mortgage: $800 to $899</t>
  </si>
  <si>
    <t>Estimate: Total: Housing units with a mortgage: 800 to 899</t>
  </si>
  <si>
    <t>B25087_010EA,B25087_010M,B25087_010MA</t>
  </si>
  <si>
    <t>B25087_011E</t>
  </si>
  <si>
    <t>Housing units with a mortgage: $900 to $999</t>
  </si>
  <si>
    <t>Estimate: Total: Housing units with a mortgage: 900 to 999</t>
  </si>
  <si>
    <t>B25087_011EA,B25087_011M,B25087_011MA</t>
  </si>
  <si>
    <t>B25087_012E</t>
  </si>
  <si>
    <t>Housing units with a mortgage: $1,000 to $1,249</t>
  </si>
  <si>
    <t>Estimate: Total: Housing units with a mortgage: 1000 to 1249</t>
  </si>
  <si>
    <t>B25087_012EA,B25087_012M,B25087_012MA</t>
  </si>
  <si>
    <t>B25087_013E</t>
  </si>
  <si>
    <t>Housing units with a mortgage: $1,250 to $1,499</t>
  </si>
  <si>
    <t>Estimate: Total: Housing units with a mortgage: 1250 to 1499</t>
  </si>
  <si>
    <t>B25087_013EA,B25087_013M,B25087_013MA</t>
  </si>
  <si>
    <t>B25087_014E</t>
  </si>
  <si>
    <t>Housing units with a mortgage: $1,500 to $1,999</t>
  </si>
  <si>
    <t>Estimate: Total: Housing units with a mortgage: 1500 to 1999</t>
  </si>
  <si>
    <t>B25087_014EA,B25087_014M,B25087_014MA</t>
  </si>
  <si>
    <t>B25087_015E</t>
  </si>
  <si>
    <t>Housing units with a mortgage: $2,000 to $2,499</t>
  </si>
  <si>
    <t>Estimate: Total: Housing units with a mortgage: 2000 to 2499</t>
  </si>
  <si>
    <t>B25087_015EA,B25087_015M,B25087_015MA</t>
  </si>
  <si>
    <t>B25087_016E</t>
  </si>
  <si>
    <t>Housing units with a mortgage: $2,500 to $2,999</t>
  </si>
  <si>
    <t>Estimate: Total: Housing units with a mortgage: 2500 to 2999</t>
  </si>
  <si>
    <t>B25087_016EA,B25087_016M,B25087_016MA</t>
  </si>
  <si>
    <t>B25087_017E</t>
  </si>
  <si>
    <t>Housing units with a mortgage: $3,000 or more</t>
  </si>
  <si>
    <t>Estimate: Total: Housing units with a mortgage: 3000 or more</t>
  </si>
  <si>
    <t>B25087_017EA,B25087_017M,B25087_017MA</t>
  </si>
  <si>
    <t>Housing units with a mortgage: $3,000 to $3,499</t>
  </si>
  <si>
    <t>Estimate: Total: Housing units with a mortgage: 3000 to 3499</t>
  </si>
  <si>
    <t>B25087_018E</t>
  </si>
  <si>
    <t>B25087_018EA,B25087_018M,B25087_018MA</t>
  </si>
  <si>
    <t>Housing units with a mortgage: $3,500 to $3,999</t>
  </si>
  <si>
    <t>Estimate: Total: Housing units with a mortgage: 3500 to 3999</t>
  </si>
  <si>
    <t>B25087_019E</t>
  </si>
  <si>
    <t>Housing units without a mortgage: Less than $100</t>
  </si>
  <si>
    <t>Estimate: Total: Housing units without a mortgage: Less than 100</t>
  </si>
  <si>
    <t>B25087_019EA,B25087_019M,B25087_019MA</t>
  </si>
  <si>
    <t>Housing units with a mortgage: $4,000 or more</t>
  </si>
  <si>
    <t>Estimate: Total: Housing units with a mortgage: 4000 or more</t>
  </si>
  <si>
    <t>B25087_020E</t>
  </si>
  <si>
    <t>Housing units without a mortgage: $100 to $149</t>
  </si>
  <si>
    <t>Estimate: Total: Housing units without a mortgage: 100 to 149</t>
  </si>
  <si>
    <t>B25087_020EA,B25087_020M,B25087_020MA</t>
  </si>
  <si>
    <t>B25087_021E</t>
  </si>
  <si>
    <t>Housing units without a mortgage: $150 to $199</t>
  </si>
  <si>
    <t>Estimate: Total: Housing units without a mortgage: 150 to 199</t>
  </si>
  <si>
    <t>B25087_021EA,B25087_021M,B25087_021MA</t>
  </si>
  <si>
    <t>B25087_022E</t>
  </si>
  <si>
    <t>Housing units without a mortgage: $200 to $249</t>
  </si>
  <si>
    <t>Estimate: Total: Housing units without a mortgage: 200 to 249</t>
  </si>
  <si>
    <t>B25087_022EA,B25087_022M,B25087_022MA</t>
  </si>
  <si>
    <t>B25087_023E</t>
  </si>
  <si>
    <t>Housing units without a mortgage: $250 to $299</t>
  </si>
  <si>
    <t>Estimate: Total: Housing units without a mortgage: 250 to 299</t>
  </si>
  <si>
    <t>B25087_023EA,B25087_023M,B25087_023MA</t>
  </si>
  <si>
    <t>B25087_024E</t>
  </si>
  <si>
    <t>Housing units without a mortgage: $300 to $349</t>
  </si>
  <si>
    <t>Estimate: Total: Housing units without a mortgage: 300 to 349</t>
  </si>
  <si>
    <t>B25087_024EA,B25087_024M,B25087_024MA</t>
  </si>
  <si>
    <t>B25087_025E</t>
  </si>
  <si>
    <t>Housing units without a mortgage: $350 to $399</t>
  </si>
  <si>
    <t>Estimate: Total: Housing units without a mortgage: 350 to 399</t>
  </si>
  <si>
    <t>B25087_025EA,B25087_025M,B25087_025MA</t>
  </si>
  <si>
    <t>B25087_026E</t>
  </si>
  <si>
    <t>Housing units without a mortgage: $400 to $499</t>
  </si>
  <si>
    <t>Estimate: Total: Housing units without a mortgage: 400 to 499</t>
  </si>
  <si>
    <t>B25087_026EA,B25087_026M,B25087_026MA</t>
  </si>
  <si>
    <t>B25087_027E</t>
  </si>
  <si>
    <t>Housing units without a mortgage: $500 to $599</t>
  </si>
  <si>
    <t>Estimate: Total: Housing units without a mortgage: 500 to 599</t>
  </si>
  <si>
    <t>B25087_027EA,B25087_027M,B25087_027MA</t>
  </si>
  <si>
    <t>B25087_028E</t>
  </si>
  <si>
    <t>Housing units without a mortgage: $600 to $699</t>
  </si>
  <si>
    <t>Estimate: Total: Housing units without a mortgage: 600 to 699</t>
  </si>
  <si>
    <t>B25087_028EA,B25087_028M,B25087_028MA</t>
  </si>
  <si>
    <t>B25087_029E</t>
  </si>
  <si>
    <t>Housing units without a mortgage: $700 or more</t>
  </si>
  <si>
    <t>Estimate: Total: Housing units without a mortgage: 700 or more</t>
  </si>
  <si>
    <t>B25087_029EA,B25087_029M,B25087_029MA</t>
  </si>
  <si>
    <t>B25087_030E</t>
  </si>
  <si>
    <t>B25087_030EA,B25087_030M,B25087_030MA</t>
  </si>
  <si>
    <t>B25087_031E</t>
  </si>
  <si>
    <t>Housing units without a mortgage: $700 to $799</t>
  </si>
  <si>
    <t>Estimate: Total: Housing units without a mortgage: 700 to 799</t>
  </si>
  <si>
    <t>B25087_031EA,B25087_031M,B25087_031MA</t>
  </si>
  <si>
    <t>B25087_032E</t>
  </si>
  <si>
    <t>Housing units without a mortgage: $800 to $899</t>
  </si>
  <si>
    <t>Estimate: Total: Housing units without a mortgage: 800 to 899</t>
  </si>
  <si>
    <t>B25087_032EA,B25087_032M,B25087_032MA</t>
  </si>
  <si>
    <t>B25087_033E</t>
  </si>
  <si>
    <t>Housing units without a mortgage: $900 to $999</t>
  </si>
  <si>
    <t>Estimate: Total: Housing units without a mortgage: 900 to 999</t>
  </si>
  <si>
    <t>B25087_033EA,B25087_033M,B25087_033MA</t>
  </si>
  <si>
    <t>B25087_034E</t>
  </si>
  <si>
    <t>Housing units without a mortgage: $1,000 to $1,099</t>
  </si>
  <si>
    <t>Estimate: Total: Housing units without a mortgage: 1000 to 1099</t>
  </si>
  <si>
    <t>B25087_034EA,B25087_034M,B25087_034MA</t>
  </si>
  <si>
    <t>B25087_035E</t>
  </si>
  <si>
    <t>Housing units without a mortgage: $1,100 to $1,199</t>
  </si>
  <si>
    <t>Estimate: Total: Housing units without a mortgage: 1100 to 1199</t>
  </si>
  <si>
    <t>B25087_035EA,B25087_035M,B25087_035MA</t>
  </si>
  <si>
    <t>B25087_036E</t>
  </si>
  <si>
    <t>Housing units without a mortgage: $1,200 to $1,299</t>
  </si>
  <si>
    <t>Estimate: Total: Housing units without a mortgage: 1200 to 1299</t>
  </si>
  <si>
    <t>B25087_036EA,B25087_036M,B25087_036MA</t>
  </si>
  <si>
    <t>B25087_037E</t>
  </si>
  <si>
    <t>Housing units without a mortgage: $1,300 to $1,399</t>
  </si>
  <si>
    <t>Estimate: Total: Housing units without a mortgage: 1300 to 1399</t>
  </si>
  <si>
    <t>B25087_037EA,B25087_037M,B25087_037MA</t>
  </si>
  <si>
    <t>B25087_038E</t>
  </si>
  <si>
    <t>Housing units without a mortgage: $1,400 to $1,499</t>
  </si>
  <si>
    <t>Estimate: Total: Housing units without a mortgage: 1400 to 1499</t>
  </si>
  <si>
    <t>B25087_038EA,B25087_038M,B25087_038MA</t>
  </si>
  <si>
    <t>B25087_039E</t>
  </si>
  <si>
    <t>Housing units without a mortgage: $1,500 or more</t>
  </si>
  <si>
    <t>Estimate: Total: Housing units without a mortgage: 1500 or more</t>
  </si>
  <si>
    <t>B25087_039EA,B25087_039M,B25087_039MA</t>
  </si>
  <si>
    <t>B25088</t>
  </si>
  <si>
    <t>B25088_001E</t>
  </si>
  <si>
    <t>Median selected monthly owner costs dollars: Total</t>
  </si>
  <si>
    <t>Estimate: Median selected monthly owner costs dollars: Total</t>
  </si>
  <si>
    <t>MEDIAN SELECTED MONTHLY OWNER COSTS (DOLLARS) BY MORTGAGE STATUS</t>
  </si>
  <si>
    <t>B25088_001EA,B25088_001M,B25088_001MA</t>
  </si>
  <si>
    <t>B25088_002E</t>
  </si>
  <si>
    <t>Median selected monthly owner costs dollars: Housing units with a mortgage dollars</t>
  </si>
  <si>
    <t>Estimate: Median selected monthly owner costs dollars: Housing units with a mortgage dollars</t>
  </si>
  <si>
    <t>B25088_002EA,B25088_002M,B25088_002MA</t>
  </si>
  <si>
    <t>B25088_003E</t>
  </si>
  <si>
    <t>Median selected monthly owner costs dollars: Housing units without a mortgage dollars</t>
  </si>
  <si>
    <t>Estimate: Median selected monthly owner costs dollars: Housing units without a mortgage dollars</t>
  </si>
  <si>
    <t>B25088_003EA,B25088_003M,B25088_003MA</t>
  </si>
  <si>
    <t>B25089</t>
  </si>
  <si>
    <t>B25089_001E</t>
  </si>
  <si>
    <t>Aggregate selected monthly owner costs dollars</t>
  </si>
  <si>
    <t>Estimate: Aggregate selected monthly owner costs dollars</t>
  </si>
  <si>
    <t>AGGREGATE SELECTED MONTHLY OWNER COSTS (DOLLARS) BY MORTGAGE STATUS</t>
  </si>
  <si>
    <t>B25089_001EA,B25089_001M,B25089_001MA</t>
  </si>
  <si>
    <t>B25089_002E</t>
  </si>
  <si>
    <t>Aggregate selected monthly owner costs dollars: Housing units with a mortgage dollars</t>
  </si>
  <si>
    <t>Estimate: Aggregate selected monthly owner costs dollars: Housing units with a mortgage dollars</t>
  </si>
  <si>
    <t>B25089_002EA,B25089_002M,B25089_002MA</t>
  </si>
  <si>
    <t>B25089_003E</t>
  </si>
  <si>
    <t>Aggregate selected monthly owner costs dollars: Housing units without a mortgage dollars</t>
  </si>
  <si>
    <t>Estimate: Aggregate selected monthly owner costs dollars: Housing units without a mortgage dollars</t>
  </si>
  <si>
    <t>B25089_003EA,B25089_003M,B25089_003MA</t>
  </si>
  <si>
    <t>B25090</t>
  </si>
  <si>
    <t>B25090_001E</t>
  </si>
  <si>
    <t>Aggregate real estate taxes paid dollars</t>
  </si>
  <si>
    <t>Estimate: Aggregate real estate taxes paid dollars</t>
  </si>
  <si>
    <t>MORTGAGE STATUS BY AGGREGATE REAL ESTATE TAXES PAID (DOLLARS)</t>
  </si>
  <si>
    <t>B25090_001EA,B25090_001M,B25090_001MA</t>
  </si>
  <si>
    <t>B25090_002E</t>
  </si>
  <si>
    <t>Aggregate real estate taxes paid dollars: Aggregate real estate taxes paid for units with a mortgage dollars</t>
  </si>
  <si>
    <t>Estimate: Aggregate real estate taxes paid dollars: Aggregate real estate taxes paid for units with a mortgage dollars</t>
  </si>
  <si>
    <t>B25090_002EA,B25090_002M,B25090_002MA</t>
  </si>
  <si>
    <t>B25090_003E</t>
  </si>
  <si>
    <t>Aggregate real estate taxes paid dollars: Aggregate real estate taxes paid for units without a mortgage dollars</t>
  </si>
  <si>
    <t>Estimate: Aggregate real estate taxes paid dollars: Aggregate real estate taxes paid for units without a mortgage dollars</t>
  </si>
  <si>
    <t>B25090_003EA,B25090_003M,B25090_003MA</t>
  </si>
  <si>
    <t>B25091</t>
  </si>
  <si>
    <t>B25091_001E</t>
  </si>
  <si>
    <t>H23</t>
  </si>
  <si>
    <t>Selected Monthly Owner Costs as Percentage of Household Income</t>
  </si>
  <si>
    <t>MORTGAGE STATUS BY SELECTED MONTHLY OWNER COSTS AS A PERCENTAGE OF HOUSEHOLD INCOME IN THE PAST 12 MONTHS</t>
  </si>
  <si>
    <t>B25091_001EA,B25091_001M,B25091_001MA</t>
  </si>
  <si>
    <t>B25091_002E</t>
  </si>
  <si>
    <t>B25091_002EA,B25091_002M,B25091_002MA</t>
  </si>
  <si>
    <t>B25091_003E</t>
  </si>
  <si>
    <t>Housing units with a mortgage: Less than 10.0 percent</t>
  </si>
  <si>
    <t>Estimate: Total: Housing units with a mortgage: Less than 100 percent</t>
  </si>
  <si>
    <t>B25091_003EA,B25091_003M,B25091_003MA</t>
  </si>
  <si>
    <t>B25091_004E</t>
  </si>
  <si>
    <t>Housing units with a mortgage: 10.0 to 14.9 percent</t>
  </si>
  <si>
    <t>Estimate: Total: Housing units with a mortgage: 100 to 149 percent</t>
  </si>
  <si>
    <t>B25091_004EA,B25091_004M,B25091_004MA</t>
  </si>
  <si>
    <t>B25091_005E</t>
  </si>
  <si>
    <t>Housing units with a mortgage: 15.0 to 19.9 percent</t>
  </si>
  <si>
    <t>Estimate: Total: Housing units with a mortgage: 150 to 199 percent</t>
  </si>
  <si>
    <t>B25091_005EA,B25091_005M,B25091_005MA</t>
  </si>
  <si>
    <t>B25091_006E</t>
  </si>
  <si>
    <t>Housing units with a mortgage: 20.0 to 24.9 percent</t>
  </si>
  <si>
    <t>Estimate: Total: Housing units with a mortgage: 200 to 249 percent</t>
  </si>
  <si>
    <t>B25091_006EA,B25091_006M,B25091_006MA</t>
  </si>
  <si>
    <t>B25091_007E</t>
  </si>
  <si>
    <t>Housing units with a mortgage: 25.0 to 29.9 percent</t>
  </si>
  <si>
    <t>Estimate: Total: Housing units with a mortgage: 250 to 299 percent</t>
  </si>
  <si>
    <t>B25091_007EA,B25091_007M,B25091_007MA</t>
  </si>
  <si>
    <t>B25091_008E</t>
  </si>
  <si>
    <t>Housing units with a mortgage: 30.0 to 34.9 percent</t>
  </si>
  <si>
    <t>Estimate: Total: Housing units with a mortgage: 300 to 349 percent</t>
  </si>
  <si>
    <t>B25091_008EA,B25091_008M,B25091_008MA</t>
  </si>
  <si>
    <t>B25091_009E</t>
  </si>
  <si>
    <t>Housing units with a mortgage: 35.0 to 39.9 percent</t>
  </si>
  <si>
    <t>Estimate: Total: Housing units with a mortgage: 350 to 399 percent</t>
  </si>
  <si>
    <t>B25091_009EA,B25091_009M,B25091_009MA</t>
  </si>
  <si>
    <t>B25091_010E</t>
  </si>
  <si>
    <t>Housing units with a mortgage: 40.0 to 49.9 percent</t>
  </si>
  <si>
    <t>Estimate: Total: Housing units with a mortgage: 400 to 499 percent</t>
  </si>
  <si>
    <t>B25091_010EA,B25091_010M,B25091_010MA</t>
  </si>
  <si>
    <t>B25091_011E</t>
  </si>
  <si>
    <t>Housing units with a mortgage: 50.0 percent or more</t>
  </si>
  <si>
    <t>Estimate: Total: Housing units with a mortgage: 500 percent or more</t>
  </si>
  <si>
    <t>B25091_011EA,B25091_011M,B25091_011MA</t>
  </si>
  <si>
    <t>B25091_012E</t>
  </si>
  <si>
    <t>Housing units with a mortgage: Not computed</t>
  </si>
  <si>
    <t>Estimate: Total: Housing units with a mortgage: Not computed</t>
  </si>
  <si>
    <t>B25091_012EA,B25091_012M,B25091_012MA</t>
  </si>
  <si>
    <t>B25091_013E</t>
  </si>
  <si>
    <t>B25091_013EA,B25091_013M,B25091_013MA</t>
  </si>
  <si>
    <t>B25091_014E</t>
  </si>
  <si>
    <t>Housing units without a mortgage: Less than 10.0 percent</t>
  </si>
  <si>
    <t>Estimate: Total: Housing units without a mortgage: Less than 100 percent</t>
  </si>
  <si>
    <t>B25091_014EA,B25091_014M,B25091_014MA</t>
  </si>
  <si>
    <t>B25091_015E</t>
  </si>
  <si>
    <t>Housing units without a mortgage: 10.0 to 14.9 percent</t>
  </si>
  <si>
    <t>Estimate: Total: Housing units without a mortgage: 100 to 149 percent</t>
  </si>
  <si>
    <t>B25091_015EA,B25091_015M,B25091_015MA</t>
  </si>
  <si>
    <t>B25091_016E</t>
  </si>
  <si>
    <t>Housing units without a mortgage: 15.0 to 19.9 percent</t>
  </si>
  <si>
    <t>Estimate: Total: Housing units without a mortgage: 150 to 199 percent</t>
  </si>
  <si>
    <t>B25091_016EA,B25091_016M,B25091_016MA</t>
  </si>
  <si>
    <t>B25091_017E</t>
  </si>
  <si>
    <t>Housing units without a mortgage: 20.0 to 24.9 percent</t>
  </si>
  <si>
    <t>Estimate: Total: Housing units without a mortgage: 200 to 249 percent</t>
  </si>
  <si>
    <t>B25091_017EA,B25091_017M,B25091_017MA</t>
  </si>
  <si>
    <t>B25091_018E</t>
  </si>
  <si>
    <t>Housing units without a mortgage: 25.0 to 29.9 percent</t>
  </si>
  <si>
    <t>Estimate: Total: Housing units without a mortgage: 250 to 299 percent</t>
  </si>
  <si>
    <t>B25091_018EA,B25091_018M,B25091_018MA</t>
  </si>
  <si>
    <t>B25091_019E</t>
  </si>
  <si>
    <t>Housing units without a mortgage: 30.0 to 34.9 percent</t>
  </si>
  <si>
    <t>Estimate: Total: Housing units without a mortgage: 300 to 349 percent</t>
  </si>
  <si>
    <t>B25091_019EA,B25091_019M,B25091_019MA</t>
  </si>
  <si>
    <t>B25091_020E</t>
  </si>
  <si>
    <t>Housing units without a mortgage: 35.0 to 39.9 percent</t>
  </si>
  <si>
    <t>Estimate: Total: Housing units without a mortgage: 350 to 399 percent</t>
  </si>
  <si>
    <t>B25091_020EA,B25091_020M,B25091_020MA</t>
  </si>
  <si>
    <t>B25091_021E</t>
  </si>
  <si>
    <t>Housing units without a mortgage: 40.0 to 49.9 percent</t>
  </si>
  <si>
    <t>Estimate: Total: Housing units without a mortgage: 400 to 499 percent</t>
  </si>
  <si>
    <t>B25091_021EA,B25091_021M,B25091_021MA</t>
  </si>
  <si>
    <t>B25091_022E</t>
  </si>
  <si>
    <t>Housing units without a mortgage: 50.0 percent or more</t>
  </si>
  <si>
    <t>Estimate: Total: Housing units without a mortgage: 500 percent or more</t>
  </si>
  <si>
    <t>B25091_022EA,B25091_022M,B25091_022MA</t>
  </si>
  <si>
    <t>B25091_023E</t>
  </si>
  <si>
    <t>Housing units without a mortgage: Not computed</t>
  </si>
  <si>
    <t>Estimate: Total: Housing units without a mortgage: Not computed</t>
  </si>
  <si>
    <t>B25091_023EA,B25091_023M,B25091_023MA</t>
  </si>
  <si>
    <t>B25092</t>
  </si>
  <si>
    <t>B25092_001E</t>
  </si>
  <si>
    <t>Median selected monthly owner costs as a percentage of household income in the past 12 months: Total</t>
  </si>
  <si>
    <t>Estimate: Median selected monthly owner costs as a percentage of household income in the past 12 months: Total</t>
  </si>
  <si>
    <t>MEDIAN SELECTED MONTHLY OWNER COSTS AS A PERCENTAGE OF HOUSEHOLD INCOME IN THE PAST 12 MONTHS</t>
  </si>
  <si>
    <t>B25092_001EA,B25092_001M,B25092_001MA</t>
  </si>
  <si>
    <t>B25092_002E</t>
  </si>
  <si>
    <t>Median selected monthly owner costs as a percentage of household income in the past 12 months: Housing units with a mortgage</t>
  </si>
  <si>
    <t>Estimate: Median selected monthly owner costs as a percentage of household income in the past 12 months: Housing units with a mortgage</t>
  </si>
  <si>
    <t>B25092_002EA,B25092_002M,B25092_002MA</t>
  </si>
  <si>
    <t>B25092_003E</t>
  </si>
  <si>
    <t>Median selected monthly owner costs as a percentage of household income in the past 12 months: Housing units without a mortgage</t>
  </si>
  <si>
    <t>Estimate: Median selected monthly owner costs as a percentage of household income in the past 12 months: Housing units without a mortgage</t>
  </si>
  <si>
    <t>B25092_003EA,B25092_003M,B25092_003MA</t>
  </si>
  <si>
    <t>B25056</t>
  </si>
  <si>
    <t>B25056_001E</t>
  </si>
  <si>
    <t>Renter-occupied housing units</t>
  </si>
  <si>
    <t>H24</t>
  </si>
  <si>
    <t>Contract Rent Distribution</t>
  </si>
  <si>
    <t>CONTRACT RENT</t>
  </si>
  <si>
    <t>B25056_001EA,B25056_001M,B25056_001MA</t>
  </si>
  <si>
    <t>B25056_002E</t>
  </si>
  <si>
    <t>With cash rent</t>
  </si>
  <si>
    <t>Estimate: Total: With cash rent</t>
  </si>
  <si>
    <t>B25056_002EA,B25056_002M,B25056_002MA</t>
  </si>
  <si>
    <t>B25056_003E</t>
  </si>
  <si>
    <t>With cash rent: Less than $100</t>
  </si>
  <si>
    <t>Estimate: Total: With cash rent: Less than 100</t>
  </si>
  <si>
    <t>B25056_003EA,B25056_003M,B25056_003MA</t>
  </si>
  <si>
    <t>B25056_004E</t>
  </si>
  <si>
    <t>With cash rent: $100 to $149</t>
  </si>
  <si>
    <t>Estimate: Total: With cash rent: 100 to 149</t>
  </si>
  <si>
    <t>B25056_004EA,B25056_004M,B25056_004MA</t>
  </si>
  <si>
    <t>B25056_005E</t>
  </si>
  <si>
    <t>With cash rent: $150 to $199</t>
  </si>
  <si>
    <t>Estimate: Total: With cash rent: 150 to 199</t>
  </si>
  <si>
    <t>B25056_005EA,B25056_005M,B25056_005MA</t>
  </si>
  <si>
    <t>B25056_006E</t>
  </si>
  <si>
    <t>With cash rent: $200 to $249</t>
  </si>
  <si>
    <t>Estimate: Total: With cash rent: 200 to 249</t>
  </si>
  <si>
    <t>B25056_006EA,B25056_006M,B25056_006MA</t>
  </si>
  <si>
    <t>B25056_007E</t>
  </si>
  <si>
    <t>With cash rent: $250 to $299</t>
  </si>
  <si>
    <t>Estimate: Total: With cash rent: 250 to 299</t>
  </si>
  <si>
    <t>B25056_007EA,B25056_007M,B25056_007MA</t>
  </si>
  <si>
    <t>B25056_008E</t>
  </si>
  <si>
    <t>With cash rent: $300 to $349</t>
  </si>
  <si>
    <t>Estimate: Total: With cash rent: 300 to 349</t>
  </si>
  <si>
    <t>B25056_008EA,B25056_008M,B25056_008MA</t>
  </si>
  <si>
    <t>B25056_009E</t>
  </si>
  <si>
    <t>With cash rent: $350 to $399</t>
  </si>
  <si>
    <t>Estimate: Total: With cash rent: 350 to 399</t>
  </si>
  <si>
    <t>B25056_009EA,B25056_009M,B25056_009MA</t>
  </si>
  <si>
    <t>B25056_010E</t>
  </si>
  <si>
    <t>With cash rent: $400 to $449</t>
  </si>
  <si>
    <t>Estimate: Total: With cash rent: 400 to 449</t>
  </si>
  <si>
    <t>B25056_010EA,B25056_010M,B25056_010MA</t>
  </si>
  <si>
    <t>B25056_011E</t>
  </si>
  <si>
    <t>With cash rent: $450 to $499</t>
  </si>
  <si>
    <t>Estimate: Total: With cash rent: 450 to 499</t>
  </si>
  <si>
    <t>B25056_011EA,B25056_011M,B25056_011MA</t>
  </si>
  <si>
    <t>B25056_012E</t>
  </si>
  <si>
    <t>With cash rent: $500 to $549</t>
  </si>
  <si>
    <t>Estimate: Total: With cash rent: 500 to 549</t>
  </si>
  <si>
    <t>B25056_012EA,B25056_012M,B25056_012MA</t>
  </si>
  <si>
    <t>B25056_013E</t>
  </si>
  <si>
    <t>With cash rent: $550 to $599</t>
  </si>
  <si>
    <t>Estimate: Total: With cash rent: 550 to 599</t>
  </si>
  <si>
    <t>B25056_013EA,B25056_013M,B25056_013MA</t>
  </si>
  <si>
    <t>B25056_014E</t>
  </si>
  <si>
    <t>With cash rent: $600 to $649</t>
  </si>
  <si>
    <t>Estimate: Total: With cash rent: 600 to 649</t>
  </si>
  <si>
    <t>B25056_014EA,B25056_014M,B25056_014MA</t>
  </si>
  <si>
    <t>B25056_015E</t>
  </si>
  <si>
    <t>With cash rent: $650 to $699</t>
  </si>
  <si>
    <t>Estimate: Total: With cash rent: 650 to 699</t>
  </si>
  <si>
    <t>B25056_015EA,B25056_015M,B25056_015MA</t>
  </si>
  <si>
    <t>B25056_016E</t>
  </si>
  <si>
    <t>With cash rent: $700 to $749</t>
  </si>
  <si>
    <t>Estimate: Total: With cash rent: 700 to 749</t>
  </si>
  <si>
    <t>B25056_016EA,B25056_016M,B25056_016MA</t>
  </si>
  <si>
    <t>B25056_017E</t>
  </si>
  <si>
    <t>With cash rent: $750 to $799</t>
  </si>
  <si>
    <t>Estimate: Total: With cash rent: 750 to 799</t>
  </si>
  <si>
    <t>B25056_017EA,B25056_017M,B25056_017MA</t>
  </si>
  <si>
    <t>B25056_018E</t>
  </si>
  <si>
    <t>With cash rent: $800 to $899</t>
  </si>
  <si>
    <t>Estimate: Total: With cash rent: 800 to 899</t>
  </si>
  <si>
    <t>B25056_018EA,B25056_018M,B25056_018MA</t>
  </si>
  <si>
    <t>B25056_019E</t>
  </si>
  <si>
    <t>With cash rent: $900 to $999</t>
  </si>
  <si>
    <t>Estimate: Total: With cash rent: 900 to 999</t>
  </si>
  <si>
    <t>B25056_019EA,B25056_019M,B25056_019MA</t>
  </si>
  <si>
    <t>B25056_020E</t>
  </si>
  <si>
    <t>With cash rent: $1,000 to $1,249</t>
  </si>
  <si>
    <t>Estimate: Total: With cash rent: 1000 to 1249</t>
  </si>
  <si>
    <t>B25056_020EA,B25056_020M,B25056_020MA</t>
  </si>
  <si>
    <t>B25056_021E</t>
  </si>
  <si>
    <t>With cash rent: $1,250 to $1,499</t>
  </si>
  <si>
    <t>Estimate: Total: With cash rent: 1250 to 1499</t>
  </si>
  <si>
    <t>B25056_021EA,B25056_021M,B25056_021MA</t>
  </si>
  <si>
    <t>B25056_022E</t>
  </si>
  <si>
    <t>With cash rent: $1,500 to $1,999</t>
  </si>
  <si>
    <t>Estimate: Total: With cash rent: 1500 to 1999</t>
  </si>
  <si>
    <t>B25056_022EA,B25056_022M,B25056_022MA</t>
  </si>
  <si>
    <t>B25056_023E</t>
  </si>
  <si>
    <t>With cash rent: $2,000 or more</t>
  </si>
  <si>
    <t>Estimate: Total: With cash rent: 2000 or more</t>
  </si>
  <si>
    <t>B25056_023EA,B25056_023M,B25056_023MA</t>
  </si>
  <si>
    <t>With cash rent: $2,000 to $2,499</t>
  </si>
  <si>
    <t>Estimate: Total: With cash rent: 2000 to 2499</t>
  </si>
  <si>
    <t>B25056_024E</t>
  </si>
  <si>
    <t>No cash rent</t>
  </si>
  <si>
    <t>Estimate: Total: No cash rent</t>
  </si>
  <si>
    <t>B25056_024EA,B25056_024M,B25056_024MA</t>
  </si>
  <si>
    <t>With cash rent: $2,500 to $2,999</t>
  </si>
  <si>
    <t>Estimate: Total: With cash rent: 2500 to 2999</t>
  </si>
  <si>
    <t>B25056_025E</t>
  </si>
  <si>
    <t>With cash rent: $3,000 to $3,499</t>
  </si>
  <si>
    <t>Estimate: Total: With cash rent: 3000 to 3499</t>
  </si>
  <si>
    <t>B25056_025EA,B25056_025M,B25056_025MA</t>
  </si>
  <si>
    <t>B25056_026E</t>
  </si>
  <si>
    <t>With cash rent: $3,500 or more</t>
  </si>
  <si>
    <t>Estimate: Total: With cash rent: 3500 or more</t>
  </si>
  <si>
    <t>B25056_026EA,B25056_026M,B25056_026MA</t>
  </si>
  <si>
    <t>B25056_027E</t>
  </si>
  <si>
    <t>B25056_027EA,B25056_027M,B25056_027MA</t>
  </si>
  <si>
    <t>B25057</t>
  </si>
  <si>
    <t>B25057_001E</t>
  </si>
  <si>
    <t>Lower contract rent quartile</t>
  </si>
  <si>
    <t>Estimate: Lower contract rent quartile</t>
  </si>
  <si>
    <t>LOWER CONTRACT RENT QUARTILE (DOLLARS)</t>
  </si>
  <si>
    <t>B25057_001EA,B25057_001M,B25057_001MA</t>
  </si>
  <si>
    <t>B25058</t>
  </si>
  <si>
    <t>B25058_001E</t>
  </si>
  <si>
    <t>Median contract rent</t>
  </si>
  <si>
    <t>Estimate: Median contract rent</t>
  </si>
  <si>
    <t>MEDIAN CONTRACT RENT (DOLLARS)</t>
  </si>
  <si>
    <t>B25058_001EA,B25058_001M,B25058_001MA</t>
  </si>
  <si>
    <t>B25059</t>
  </si>
  <si>
    <t>B25059_001E</t>
  </si>
  <si>
    <t>Upper contract rent quartile</t>
  </si>
  <si>
    <t>Estimate: Upper contract rent quartile</t>
  </si>
  <si>
    <t>UPPER CONTRACT RENT QUARTILE (DOLLARS)</t>
  </si>
  <si>
    <t>B25059_001EA,B25059_001M,B25059_001MA</t>
  </si>
  <si>
    <t>B25060</t>
  </si>
  <si>
    <t>B25060_001E</t>
  </si>
  <si>
    <t>Aggregate contract rent</t>
  </si>
  <si>
    <t>Estimate: Aggregate contract rent</t>
  </si>
  <si>
    <t>AGGREGATE CONTRACT RENT (DOLLARS)</t>
  </si>
  <si>
    <t>B25060_001EA,B25060_001M,B25060_001MA</t>
  </si>
  <si>
    <t>B25063</t>
  </si>
  <si>
    <t>B25063_001E</t>
  </si>
  <si>
    <t>Occupied units paying rent</t>
  </si>
  <si>
    <t>H25</t>
  </si>
  <si>
    <t>Gross Rent</t>
  </si>
  <si>
    <t>GROSS RENT</t>
  </si>
  <si>
    <t>B25063_001EA,B25063_001M,B25063_001MA</t>
  </si>
  <si>
    <t>B25063_002E</t>
  </si>
  <si>
    <t>B25063_002EA,B25063_002M,B25063_002MA</t>
  </si>
  <si>
    <t>B25063_003E</t>
  </si>
  <si>
    <t>B25063_003EA,B25063_003M,B25063_003MA</t>
  </si>
  <si>
    <t>B25063_004E</t>
  </si>
  <si>
    <t>B25063_004EA,B25063_004M,B25063_004MA</t>
  </si>
  <si>
    <t>B25063_005E</t>
  </si>
  <si>
    <t>B25063_005EA,B25063_005M,B25063_005MA</t>
  </si>
  <si>
    <t>B25063_006E</t>
  </si>
  <si>
    <t>B25063_006EA,B25063_006M,B25063_006MA</t>
  </si>
  <si>
    <t>B25063_007E</t>
  </si>
  <si>
    <t>B25063_007EA,B25063_007M,B25063_007MA</t>
  </si>
  <si>
    <t>B25063_008E</t>
  </si>
  <si>
    <t>B25063_008EA,B25063_008M,B25063_008MA</t>
  </si>
  <si>
    <t>B25063_009E</t>
  </si>
  <si>
    <t>B25063_009EA,B25063_009M,B25063_009MA</t>
  </si>
  <si>
    <t>B25063_010E</t>
  </si>
  <si>
    <t>B25063_010EA,B25063_010M,B25063_010MA</t>
  </si>
  <si>
    <t>B25063_011E</t>
  </si>
  <si>
    <t>B25063_011EA,B25063_011M,B25063_011MA</t>
  </si>
  <si>
    <t>B25063_012E</t>
  </si>
  <si>
    <t>B25063_012EA,B25063_012M,B25063_012MA</t>
  </si>
  <si>
    <t>B25063_013E</t>
  </si>
  <si>
    <t>B25063_013EA,B25063_013M,B25063_013MA</t>
  </si>
  <si>
    <t>B25063_014E</t>
  </si>
  <si>
    <t>B25063_014EA,B25063_014M,B25063_014MA</t>
  </si>
  <si>
    <t>B25063_015E</t>
  </si>
  <si>
    <t>B25063_015EA,B25063_015M,B25063_015MA</t>
  </si>
  <si>
    <t>B25063_016E</t>
  </si>
  <si>
    <t>B25063_016EA,B25063_016M,B25063_016MA</t>
  </si>
  <si>
    <t>B25063_017E</t>
  </si>
  <si>
    <t>B25063_017EA,B25063_017M,B25063_017MA</t>
  </si>
  <si>
    <t>B25063_018E</t>
  </si>
  <si>
    <t>B25063_018EA,B25063_018M,B25063_018MA</t>
  </si>
  <si>
    <t>B25063_019E</t>
  </si>
  <si>
    <t>B25063_019EA,B25063_019M,B25063_019MA</t>
  </si>
  <si>
    <t>B25063_020E</t>
  </si>
  <si>
    <t>B25063_020EA,B25063_020M,B25063_020MA</t>
  </si>
  <si>
    <t>B25063_021E</t>
  </si>
  <si>
    <t>B25063_021EA,B25063_021M,B25063_021MA</t>
  </si>
  <si>
    <t>B25063_022E</t>
  </si>
  <si>
    <t>B25063_022EA,B25063_022M,B25063_022MA</t>
  </si>
  <si>
    <t>B25063_023E</t>
  </si>
  <si>
    <t>B25063_023EA,B25063_023M,B25063_023MA</t>
  </si>
  <si>
    <t>B25063_024E</t>
  </si>
  <si>
    <t>B25063_024EA,B25063_024M,B25063_024MA</t>
  </si>
  <si>
    <t>B25063_025E</t>
  </si>
  <si>
    <t>B25063_025EA,B25063_025M,B25063_025MA</t>
  </si>
  <si>
    <t>B25063_026E</t>
  </si>
  <si>
    <t>B25063_026EA,B25063_026M,B25063_026MA</t>
  </si>
  <si>
    <t>B25063_027E</t>
  </si>
  <si>
    <t>B25063_027EA,B25063_027M,B25063_027MA</t>
  </si>
  <si>
    <t>B25064</t>
  </si>
  <si>
    <t>B25064_001E</t>
  </si>
  <si>
    <t>Median gross rent</t>
  </si>
  <si>
    <t>Estimate: Median gross rent</t>
  </si>
  <si>
    <t>MEDIAN GROSS RENT (DOLLARS)</t>
  </si>
  <si>
    <t>B25064_001EA,B25064_001M,B25064_001MA</t>
  </si>
  <si>
    <t>B25065</t>
  </si>
  <si>
    <t>B25065_001E</t>
  </si>
  <si>
    <t>Aggregate gross rent</t>
  </si>
  <si>
    <t>Estimate: Aggregate gross rent</t>
  </si>
  <si>
    <t>AGGREGATE GROSS RENT (DOLLARS)</t>
  </si>
  <si>
    <t>B25065_001EA,B25065_001M,B25065_001MA</t>
  </si>
  <si>
    <t>B25066</t>
  </si>
  <si>
    <t>B25066_002E</t>
  </si>
  <si>
    <t>Aggregate gross rent: 1 detached or attached unit</t>
  </si>
  <si>
    <t>Estimate: Aggregate gross rent: 1 detached or attached</t>
  </si>
  <si>
    <t>AGGREGATE GROSS RENT (DOLLARS) BY UNITS IN STRUCTURE</t>
  </si>
  <si>
    <t>B25066_002EA,B25066_002M,B25066_002MA</t>
  </si>
  <si>
    <t>B25066_003E</t>
  </si>
  <si>
    <t>Aggregate gross rent: 2 to 4 units</t>
  </si>
  <si>
    <t>Estimate: Aggregate gross rent: 2 to 4</t>
  </si>
  <si>
    <t>B25066_003EA,B25066_003M,B25066_003MA</t>
  </si>
  <si>
    <t>B25066_004E</t>
  </si>
  <si>
    <t>Aggregate gross rent: 5 to 19 units</t>
  </si>
  <si>
    <t>Estimate: Aggregate gross rent: 5 to 19</t>
  </si>
  <si>
    <t>B25066_004EA,B25066_004M,B25066_004MA</t>
  </si>
  <si>
    <t>B25066_005E</t>
  </si>
  <si>
    <t>Aggregate gross rent: 20 to 49 units</t>
  </si>
  <si>
    <t>Estimate: Aggregate gross rent: 20 to 49</t>
  </si>
  <si>
    <t>B25066_005EA,B25066_005M,B25066_005MA</t>
  </si>
  <si>
    <t>B25066_006E</t>
  </si>
  <si>
    <t>Aggregate gross rent: 50 or more units</t>
  </si>
  <si>
    <t>Estimate: Aggregate gross rent: 50 or more</t>
  </si>
  <si>
    <t>B25066_006EA,B25066_006M,B25066_006MA</t>
  </si>
  <si>
    <t>B25066_007E</t>
  </si>
  <si>
    <t>Aggregate gross rent: Mobile home</t>
  </si>
  <si>
    <t>Estimate: Aggregate gross rent: Mobile home</t>
  </si>
  <si>
    <t>B25066_007EA,B25066_007M,B25066_007MA</t>
  </si>
  <si>
    <t>B25066_008E</t>
  </si>
  <si>
    <t>Aggregate gross rent: Boat RV van etc</t>
  </si>
  <si>
    <t>Estimate: Aggregate gross rent: Boat RV van etc</t>
  </si>
  <si>
    <t>B25066_008EA,B25066_008M,B25066_008MA</t>
  </si>
  <si>
    <t>B25067</t>
  </si>
  <si>
    <t>B25067_002E</t>
  </si>
  <si>
    <t>Aggregate gross rent: Meals included in rent</t>
  </si>
  <si>
    <t>Estimate: Aggregate gross rent: Meals included in rent</t>
  </si>
  <si>
    <t>AGGREGATE GROSS RENT (DOLLARS) BY MEALS INCLUDED IN RENT</t>
  </si>
  <si>
    <t>B25067_002EA,B25067_002M,B25067_002MA</t>
  </si>
  <si>
    <t>B25067_003E</t>
  </si>
  <si>
    <t>Aggregate gross rent: No meals included in rent</t>
  </si>
  <si>
    <t>Estimate: Aggregate gross rent: No meals included in rent</t>
  </si>
  <si>
    <t>B25067_003EA,B25067_003M,B25067_003MA</t>
  </si>
  <si>
    <t>B25070</t>
  </si>
  <si>
    <t>B25070_001E</t>
  </si>
  <si>
    <t>H26</t>
  </si>
  <si>
    <t>Gross Rent Percentage of Household Income</t>
  </si>
  <si>
    <t>GROSS RENT AS A PERCENTAGE OF HOUSEHOLD INCOME IN THE PAST 12 MONTHS</t>
  </si>
  <si>
    <t>B25070_001EA,B25070_001M,B25070_001MA</t>
  </si>
  <si>
    <t>B25070_002E</t>
  </si>
  <si>
    <t>Less than 10.0 percent</t>
  </si>
  <si>
    <t>Estimate: Total: Less than 100 percent</t>
  </si>
  <si>
    <t>B25070_002EA,B25070_002M,B25070_002MA</t>
  </si>
  <si>
    <t>B25070_003E</t>
  </si>
  <si>
    <t>10.0 to 14.9 percent</t>
  </si>
  <si>
    <t>Estimate: Total: 100 to 149 percent</t>
  </si>
  <si>
    <t>B25070_003EA,B25070_003M,B25070_003MA</t>
  </si>
  <si>
    <t>B25070_004E</t>
  </si>
  <si>
    <t>15.0 to 19.9 percent</t>
  </si>
  <si>
    <t>Estimate: Total: 150 to 199 percent</t>
  </si>
  <si>
    <t>B25070_004EA,B25070_004M,B25070_004MA</t>
  </si>
  <si>
    <t>B25070_005E</t>
  </si>
  <si>
    <t>20.0 to 24.9 percent</t>
  </si>
  <si>
    <t>Estimate: Total: 200 to 249 percent</t>
  </si>
  <si>
    <t>B25070_005EA,B25070_005M,B25070_005MA</t>
  </si>
  <si>
    <t>B25070_006E</t>
  </si>
  <si>
    <t>25.0 to 29.9 percent</t>
  </si>
  <si>
    <t>Estimate: Total: 250 to 299 percent</t>
  </si>
  <si>
    <t>B25070_006EA,B25070_006M,B25070_006MA</t>
  </si>
  <si>
    <t>B25070_007E</t>
  </si>
  <si>
    <t>30.0 to 34.9 percent</t>
  </si>
  <si>
    <t>Estimate: Total: 300 to 349 percent</t>
  </si>
  <si>
    <t>B25070_007EA,B25070_007M,B25070_007MA</t>
  </si>
  <si>
    <t>B25070_008E</t>
  </si>
  <si>
    <t>35.0 to 39.9 percent</t>
  </si>
  <si>
    <t>Estimate: Total: 350 to 399 percent</t>
  </si>
  <si>
    <t>B25070_008EA,B25070_008M,B25070_008MA</t>
  </si>
  <si>
    <t>B25070_009E</t>
  </si>
  <si>
    <t>40.0 to 49.9 percent</t>
  </si>
  <si>
    <t>Estimate: Total: 400 to 499 percent</t>
  </si>
  <si>
    <t>B25070_009EA,B25070_009M,B25070_009MA</t>
  </si>
  <si>
    <t>B25070_010E</t>
  </si>
  <si>
    <t>50.0 percent or more</t>
  </si>
  <si>
    <t>Estimate: Total: 500 percent or more</t>
  </si>
  <si>
    <t>B25070_010EA,B25070_010M,B25070_010MA</t>
  </si>
  <si>
    <t>B25070_011E</t>
  </si>
  <si>
    <t>Not computed</t>
  </si>
  <si>
    <t>Estimate: Total: Not computed</t>
  </si>
  <si>
    <t>B25070_011EA,B25070_011M,B25070_011MA</t>
  </si>
  <si>
    <t>B25071</t>
  </si>
  <si>
    <t>B25071_001E</t>
  </si>
  <si>
    <t>Median gross rent as a percentage of household income</t>
  </si>
  <si>
    <t>Estimate: Median gross rent as a percentage of household income</t>
  </si>
  <si>
    <t>MEDIAN GROSS RENT AS A PERCENTAGE OF HOUSEHOLD INCOME IN THE PAST 12 MONTHS (DOLLARS)</t>
  </si>
  <si>
    <t>B25071_001EA,B25071_001M,B25071_001MA</t>
  </si>
  <si>
    <t>Household received Food Stamps-SNAP in the past 12 months</t>
  </si>
  <si>
    <t>Household received Food Stamps-SNAP in the past 12 months: At least one person in household 60 years or over</t>
  </si>
  <si>
    <t>Household received Food Stamps-SNAP in the past 12 months: No people in household 60 years or over</t>
  </si>
  <si>
    <t>Household did not receive Food Stamps-SNAP in the past 12 months</t>
  </si>
  <si>
    <t>Household did not receive Food Stamps-SNAP in the past 12 months: At least one person in household 60 years or over</t>
  </si>
  <si>
    <t>Household did not receive Food Stamps-SNAP in the past 12 months: No people in household 60 years or over</t>
  </si>
  <si>
    <t>Household received Food Stamps-SNAP in the past 12 months: With children under 18 years</t>
  </si>
  <si>
    <t>Household received Food Stamps-SNAP in the past 12 months: No children under 18 years</t>
  </si>
  <si>
    <t>Household received Food Stamps-SNAP in the past 12 months: Income in the past 12 months below poverty level</t>
  </si>
  <si>
    <t>Household received Food Stamps-SNAP in the past 12 months: Income in the past 12 months at or above poverty level</t>
  </si>
  <si>
    <t>Under 0.50</t>
  </si>
  <si>
    <t>0.50 to 0.99</t>
  </si>
  <si>
    <t>1.00 to 1.24</t>
  </si>
  <si>
    <t>1.25 to 1.49</t>
  </si>
  <si>
    <t>1.50 to 1.84</t>
  </si>
  <si>
    <t>1.85 to 1.99</t>
  </si>
  <si>
    <t>2.00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</si>
</sst>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FFC000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2654EC-4856-4954-AC7C-7DCFE95442C2}" name="Table1" displayName="Table1" ref="A1:AG2873" totalsRowShown="0">
  <autoFilter ref="A1:AG2873" xr:uid="{D9A9961C-838B-44E4-9404-DC3709FFA7BE}"/>
  <sortState xmlns:xlrd2="http://schemas.microsoft.com/office/spreadsheetml/2017/richdata2" ref="A2:AG2873">
    <sortCondition ref="H1:H2873"/>
  </sortState>
  <tableColumns count="33">
    <tableColumn id="1" xr3:uid="{169758C8-604D-4B6A-BD56-68B08C5C5917}" name="years"/>
    <tableColumn id="2" xr3:uid="{117E39A2-549E-4578-AF09-40E4DE6C789E}" name="year_count"/>
    <tableColumn id="3" xr3:uid="{B9308F9B-AEAD-47A6-BDA9-4A0D40DE03E9}" name="all_years"/>
    <tableColumn id="4" xr3:uid="{6E6CFCB5-DBEB-4F29-87D8-512F7A8DCA9B}" name="table"/>
    <tableColumn id="5" xr3:uid="{35F8DE18-2D3D-4CB9-91CD-8C94D4047994}" name="group"/>
    <tableColumn id="6" xr3:uid="{A86ABB47-5030-4899-8667-2794127EFA0C}" name="variable"/>
    <tableColumn id="7" xr3:uid="{5BF7D16D-0874-4594-8B70-B9868DC12A81}" name="alias"/>
    <tableColumn id="8" xr3:uid="{144D6792-4D91-4106-8385-D59594683BCF}" name="oid"/>
    <tableColumn id="9" xr3:uid="{5679AB62-93B0-4BCB-913F-3B80087263F1}" name="used">
      <calculatedColumnFormula>IF(ISBLANK(Table1[[#This Row],[oid]]),"FALSE","TRUE")</calculatedColumnFormula>
    </tableColumn>
    <tableColumn id="10" xr3:uid="{D8097CD3-8530-444C-A974-0A168D3F3449}" name="level" dataDxfId="3">
      <calculatedColumnFormula array="1">_xlfn.SWITCH(LEFT(Table1[[#This Row],[section]],1), "D", "Demographic", "S", "Social", "E", "Economic", "H", "Housing", "")</calculatedColumnFormula>
    </tableColumn>
    <tableColumn id="11" xr3:uid="{573F2233-05DF-4217-A6A5-292336209AF7}" name="section"/>
    <tableColumn id="12" xr3:uid="{28B3922D-2DA8-4F34-8CF3-907263C7E8D7}" name="section_name"/>
    <tableColumn id="13" xr3:uid="{2A144D4E-2D59-48FA-B1C6-21AB2AD140A9}" name="markdown" dataDxfId="2">
      <calculatedColumnFormula>IF(Table1[[#This Row],[used]], _xlfn.CONCAT("🆔 ", Table1[[#This Row],[variable]], ": ",Table1[[#This Row],[alias]]), "")</calculatedColumnFormula>
    </tableColumn>
    <tableColumn id="14" xr3:uid="{D958651C-6BB6-48C5-B4A1-7CE8BDB60E29}" name="note"/>
    <tableColumn id="15" xr3:uid="{492E2966-56AB-4563-95B4-83E9AED692FB}" name="label"/>
    <tableColumn id="16" xr3:uid="{F8B5C127-2E3A-4EDF-A9D2-25A101182896}" name="concept"/>
    <tableColumn id="17" xr3:uid="{69259289-E250-44D8-ACCA-D38A85D1BEE7}" name="type"/>
    <tableColumn id="18" xr3:uid="{6C532964-E3CB-4EEB-8E25-2F29CBE25448}" name="attributes"/>
    <tableColumn id="19" xr3:uid="{46D5C03F-D99A-4C76-94CE-D8B3A71C9F29}" name="2010"/>
    <tableColumn id="20" xr3:uid="{C0E862C2-B2F3-47CA-A225-7BFA5F4BE581}" name="2011"/>
    <tableColumn id="21" xr3:uid="{77D5A12E-627B-41BB-97F2-64DAE7362D37}" name="2012"/>
    <tableColumn id="22" xr3:uid="{EAF89013-1842-41D5-A694-6F53AAD0A063}" name="2013"/>
    <tableColumn id="23" xr3:uid="{6CCBDF27-5A44-4B2B-AEA7-3954EB35EB33}" name="2014"/>
    <tableColumn id="24" xr3:uid="{2B724ED8-3629-4F67-9C64-BA72752C6917}" name="2015"/>
    <tableColumn id="25" xr3:uid="{F5934324-EE09-4C5F-BB46-566CEC590315}" name="2016"/>
    <tableColumn id="26" xr3:uid="{4F3F6812-9749-4905-A96E-9814D386C063}" name="2017"/>
    <tableColumn id="27" xr3:uid="{D85BEAB5-B92B-42EA-BB3C-712BB89C1D98}" name="2018"/>
    <tableColumn id="28" xr3:uid="{D26E2740-22BC-4BBF-A976-981E3849C9EF}" name="2019"/>
    <tableColumn id="29" xr3:uid="{2640411B-CF5B-4704-A799-68F11299AF97}" name="2020"/>
    <tableColumn id="30" xr3:uid="{BCCF21EB-373C-4713-B01A-9B3D68EE8F21}" name="2021"/>
    <tableColumn id="31" xr3:uid="{3B3232EE-8A16-44A6-8741-71F8622DA411}" name="2022"/>
    <tableColumn id="32" xr3:uid="{55273217-B4F7-41C7-9D7A-27AF21DA2E0A}" name="2023"/>
    <tableColumn id="33" xr3:uid="{80519325-EE1D-4BC4-B4E1-7470C90F8E29}" name="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5F1E-F509-4509-B0EE-BDAB99D28C29}">
  <dimension ref="A1:AG2873"/>
  <sheetViews>
    <sheetView tabSelected="1" topLeftCell="F2087" workbookViewId="0">
      <selection activeCell="G2108" sqref="G2108"/>
    </sheetView>
  </sheetViews>
  <sheetFormatPr defaultRowHeight="15" x14ac:dyDescent="0.25"/>
  <cols>
    <col min="1" max="1" width="77.28515625" bestFit="1" customWidth="1"/>
    <col min="2" max="2" width="13" customWidth="1"/>
    <col min="3" max="3" width="11" customWidth="1"/>
    <col min="6" max="6" width="15.7109375" bestFit="1" customWidth="1"/>
    <col min="7" max="7" width="93.28515625" customWidth="1"/>
    <col min="10" max="10" width="14.42578125" customWidth="1"/>
    <col min="11" max="11" width="9.5703125" customWidth="1"/>
    <col min="12" max="12" width="36.7109375" customWidth="1"/>
    <col min="13" max="13" width="35" customWidth="1"/>
    <col min="15" max="15" width="30.28515625" customWidth="1"/>
    <col min="16" max="16" width="64.28515625" customWidth="1"/>
    <col min="18" max="18" width="11.710937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>
        <v>15</v>
      </c>
      <c r="C2" t="b">
        <v>1</v>
      </c>
      <c r="D2" t="s">
        <v>34</v>
      </c>
      <c r="E2" t="s">
        <v>35</v>
      </c>
      <c r="F2" t="s">
        <v>36</v>
      </c>
      <c r="G2" t="s">
        <v>37</v>
      </c>
      <c r="H2">
        <v>1</v>
      </c>
      <c r="I2" t="str">
        <f>IF(ISBLANK(Table1[[#This Row],[oid]]),"FALSE","TRUE")</f>
        <v>TRUE</v>
      </c>
      <c r="J2" t="str" cm="1">
        <f t="array" ref="J2">_xlfn.SWITCH(LEFT(Table1[[#This Row],[section]],1), "D", "Demographic", "S", "Social", "E", "Economic", "H", "Housing", "")</f>
        <v>Demographic</v>
      </c>
      <c r="K2" t="s">
        <v>38</v>
      </c>
      <c r="L2" t="s">
        <v>37</v>
      </c>
      <c r="M2" t="str">
        <f>IF(Table1[[#This Row],[used]], _xlfn.CONCAT("🆔 ", Table1[[#This Row],[variable]], ": ",Table1[[#This Row],[alias]]), "")</f>
        <v>🆔 B01003_001E: Total Population</v>
      </c>
      <c r="O2" t="s">
        <v>39</v>
      </c>
      <c r="P2" t="s">
        <v>40</v>
      </c>
      <c r="Q2" t="s">
        <v>41</v>
      </c>
      <c r="R2" t="s">
        <v>42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</row>
    <row r="3" spans="1:33" x14ac:dyDescent="0.25">
      <c r="A3" t="s">
        <v>33</v>
      </c>
      <c r="B3">
        <v>15</v>
      </c>
      <c r="C3" t="b">
        <v>1</v>
      </c>
      <c r="D3" t="s">
        <v>34</v>
      </c>
      <c r="E3" t="s">
        <v>43</v>
      </c>
      <c r="F3" t="s">
        <v>44</v>
      </c>
      <c r="G3" t="s">
        <v>45</v>
      </c>
      <c r="H3">
        <v>2</v>
      </c>
      <c r="I3" t="str">
        <f>IF(ISBLANK(Table1[[#This Row],[oid]]),"FALSE","TRUE")</f>
        <v>TRUE</v>
      </c>
      <c r="J3" t="str" cm="1">
        <f t="array" ref="J3">_xlfn.SWITCH(LEFT(Table1[[#This Row],[section]],1), "D", "Demographic", "S", "Social", "E", "Economic", "H", "Housing", "")</f>
        <v>Demographic</v>
      </c>
      <c r="K3" t="s">
        <v>46</v>
      </c>
      <c r="L3" t="s">
        <v>47</v>
      </c>
      <c r="M3" t="str">
        <f>IF(Table1[[#This Row],[used]], _xlfn.CONCAT("🆔 ", Table1[[#This Row],[variable]], ": ",Table1[[#This Row],[alias]]), "")</f>
        <v>🆔 B01001_001E: Total Population (Sex and Age)</v>
      </c>
      <c r="O3" t="s">
        <v>39</v>
      </c>
      <c r="P3" t="s">
        <v>48</v>
      </c>
      <c r="Q3" t="s">
        <v>41</v>
      </c>
      <c r="R3" t="s">
        <v>49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</row>
    <row r="4" spans="1:33" x14ac:dyDescent="0.25">
      <c r="A4" t="s">
        <v>33</v>
      </c>
      <c r="B4">
        <v>15</v>
      </c>
      <c r="C4" t="b">
        <v>1</v>
      </c>
      <c r="D4" t="s">
        <v>34</v>
      </c>
      <c r="E4" t="s">
        <v>43</v>
      </c>
      <c r="F4" t="s">
        <v>50</v>
      </c>
      <c r="G4" t="s">
        <v>51</v>
      </c>
      <c r="H4">
        <v>3</v>
      </c>
      <c r="I4" t="str">
        <f>IF(ISBLANK(Table1[[#This Row],[oid]]),"FALSE","TRUE")</f>
        <v>TRUE</v>
      </c>
      <c r="J4" t="str" cm="1">
        <f t="array" ref="J4">_xlfn.SWITCH(LEFT(Table1[[#This Row],[section]],1), "D", "Demographic", "S", "Social", "E", "Economic", "H", "Housing", "")</f>
        <v>Demographic</v>
      </c>
      <c r="K4" t="s">
        <v>46</v>
      </c>
      <c r="L4" t="s">
        <v>47</v>
      </c>
      <c r="M4" t="str">
        <f>IF(Table1[[#This Row],[used]], _xlfn.CONCAT("🆔 ", Table1[[#This Row],[variable]], ": ",Table1[[#This Row],[alias]]), "")</f>
        <v>🆔 B01001_002E: Male</v>
      </c>
      <c r="O4" t="s">
        <v>52</v>
      </c>
      <c r="P4" t="s">
        <v>48</v>
      </c>
      <c r="Q4" t="s">
        <v>41</v>
      </c>
      <c r="R4" t="s">
        <v>53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</row>
    <row r="5" spans="1:33" x14ac:dyDescent="0.25">
      <c r="A5" t="s">
        <v>33</v>
      </c>
      <c r="B5">
        <v>15</v>
      </c>
      <c r="C5" t="b">
        <v>1</v>
      </c>
      <c r="D5" t="s">
        <v>34</v>
      </c>
      <c r="E5" t="s">
        <v>43</v>
      </c>
      <c r="F5" t="s">
        <v>54</v>
      </c>
      <c r="G5" t="s">
        <v>55</v>
      </c>
      <c r="H5">
        <v>4</v>
      </c>
      <c r="I5" t="str">
        <f>IF(ISBLANK(Table1[[#This Row],[oid]]),"FALSE","TRUE")</f>
        <v>TRUE</v>
      </c>
      <c r="J5" t="str" cm="1">
        <f t="array" ref="J5">_xlfn.SWITCH(LEFT(Table1[[#This Row],[section]],1), "D", "Demographic", "S", "Social", "E", "Economic", "H", "Housing", "")</f>
        <v>Demographic</v>
      </c>
      <c r="K5" t="s">
        <v>46</v>
      </c>
      <c r="L5" t="s">
        <v>47</v>
      </c>
      <c r="M5" t="str">
        <f>IF(Table1[[#This Row],[used]], _xlfn.CONCAT("🆔 ", Table1[[#This Row],[variable]], ": ",Table1[[#This Row],[alias]]), "")</f>
        <v>🆔 B01001_026E: Female</v>
      </c>
      <c r="O5" t="s">
        <v>56</v>
      </c>
      <c r="P5" t="s">
        <v>48</v>
      </c>
      <c r="Q5" t="s">
        <v>41</v>
      </c>
      <c r="R5" t="s">
        <v>57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</row>
    <row r="6" spans="1:33" x14ac:dyDescent="0.25">
      <c r="A6" t="s">
        <v>33</v>
      </c>
      <c r="B6">
        <v>15</v>
      </c>
      <c r="C6" t="b">
        <v>1</v>
      </c>
      <c r="D6" t="s">
        <v>34</v>
      </c>
      <c r="E6" t="s">
        <v>43</v>
      </c>
      <c r="F6" t="s">
        <v>58</v>
      </c>
      <c r="G6" t="s">
        <v>59</v>
      </c>
      <c r="H6">
        <v>5</v>
      </c>
      <c r="I6" t="str">
        <f>IF(ISBLANK(Table1[[#This Row],[oid]]),"FALSE","TRUE")</f>
        <v>TRUE</v>
      </c>
      <c r="J6" t="str" cm="1">
        <f t="array" ref="J6">_xlfn.SWITCH(LEFT(Table1[[#This Row],[section]],1), "D", "Demographic", "S", "Social", "E", "Economic", "H", "Housing", "")</f>
        <v>Demographic</v>
      </c>
      <c r="K6" t="s">
        <v>46</v>
      </c>
      <c r="L6" t="s">
        <v>47</v>
      </c>
      <c r="M6" t="str">
        <f>IF(Table1[[#This Row],[used]], _xlfn.CONCAT("🆔 ", Table1[[#This Row],[variable]], ": ",Table1[[#This Row],[alias]]), "")</f>
        <v>🆔 B01001_003E: Male: Under 5 years</v>
      </c>
      <c r="O6" t="s">
        <v>60</v>
      </c>
      <c r="P6" t="s">
        <v>48</v>
      </c>
      <c r="Q6" t="s">
        <v>41</v>
      </c>
      <c r="R6" t="s">
        <v>61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</row>
    <row r="7" spans="1:33" x14ac:dyDescent="0.25">
      <c r="A7" t="s">
        <v>33</v>
      </c>
      <c r="B7">
        <v>15</v>
      </c>
      <c r="C7" t="b">
        <v>1</v>
      </c>
      <c r="D7" t="s">
        <v>34</v>
      </c>
      <c r="E7" t="s">
        <v>43</v>
      </c>
      <c r="F7" t="s">
        <v>62</v>
      </c>
      <c r="G7" t="s">
        <v>63</v>
      </c>
      <c r="H7">
        <v>6</v>
      </c>
      <c r="I7" t="str">
        <f>IF(ISBLANK(Table1[[#This Row],[oid]]),"FALSE","TRUE")</f>
        <v>TRUE</v>
      </c>
      <c r="J7" t="str" cm="1">
        <f t="array" ref="J7">_xlfn.SWITCH(LEFT(Table1[[#This Row],[section]],1), "D", "Demographic", "S", "Social", "E", "Economic", "H", "Housing", "")</f>
        <v>Demographic</v>
      </c>
      <c r="K7" t="s">
        <v>46</v>
      </c>
      <c r="L7" t="s">
        <v>47</v>
      </c>
      <c r="M7" t="str">
        <f>IF(Table1[[#This Row],[used]], _xlfn.CONCAT("🆔 ", Table1[[#This Row],[variable]], ": ",Table1[[#This Row],[alias]]), "")</f>
        <v>🆔 B01001_004E: Male: 5 to 9 years</v>
      </c>
      <c r="O7" t="s">
        <v>64</v>
      </c>
      <c r="P7" t="s">
        <v>48</v>
      </c>
      <c r="Q7" t="s">
        <v>41</v>
      </c>
      <c r="R7" t="s">
        <v>65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</row>
    <row r="8" spans="1:33" x14ac:dyDescent="0.25">
      <c r="A8" t="s">
        <v>33</v>
      </c>
      <c r="B8">
        <v>15</v>
      </c>
      <c r="C8" t="b">
        <v>1</v>
      </c>
      <c r="D8" t="s">
        <v>34</v>
      </c>
      <c r="E8" t="s">
        <v>43</v>
      </c>
      <c r="F8" t="s">
        <v>66</v>
      </c>
      <c r="G8" t="s">
        <v>67</v>
      </c>
      <c r="H8">
        <v>7</v>
      </c>
      <c r="I8" t="str">
        <f>IF(ISBLANK(Table1[[#This Row],[oid]]),"FALSE","TRUE")</f>
        <v>TRUE</v>
      </c>
      <c r="J8" t="str" cm="1">
        <f t="array" ref="J8">_xlfn.SWITCH(LEFT(Table1[[#This Row],[section]],1), "D", "Demographic", "S", "Social", "E", "Economic", "H", "Housing", "")</f>
        <v>Demographic</v>
      </c>
      <c r="K8" t="s">
        <v>46</v>
      </c>
      <c r="L8" t="s">
        <v>47</v>
      </c>
      <c r="M8" t="str">
        <f>IF(Table1[[#This Row],[used]], _xlfn.CONCAT("🆔 ", Table1[[#This Row],[variable]], ": ",Table1[[#This Row],[alias]]), "")</f>
        <v>🆔 B01001_005E: Male: 10 to 14 years</v>
      </c>
      <c r="O8" t="s">
        <v>68</v>
      </c>
      <c r="P8" t="s">
        <v>48</v>
      </c>
      <c r="Q8" t="s">
        <v>41</v>
      </c>
      <c r="R8" t="s">
        <v>69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</row>
    <row r="9" spans="1:33" x14ac:dyDescent="0.25">
      <c r="A9" t="s">
        <v>33</v>
      </c>
      <c r="B9">
        <v>15</v>
      </c>
      <c r="C9" t="b">
        <v>1</v>
      </c>
      <c r="D9" t="s">
        <v>34</v>
      </c>
      <c r="E9" t="s">
        <v>43</v>
      </c>
      <c r="F9" t="s">
        <v>70</v>
      </c>
      <c r="G9" t="s">
        <v>71</v>
      </c>
      <c r="H9">
        <v>8</v>
      </c>
      <c r="I9" t="str">
        <f>IF(ISBLANK(Table1[[#This Row],[oid]]),"FALSE","TRUE")</f>
        <v>TRUE</v>
      </c>
      <c r="J9" t="str" cm="1">
        <f t="array" ref="J9">_xlfn.SWITCH(LEFT(Table1[[#This Row],[section]],1), "D", "Demographic", "S", "Social", "E", "Economic", "H", "Housing", "")</f>
        <v>Demographic</v>
      </c>
      <c r="K9" t="s">
        <v>46</v>
      </c>
      <c r="L9" t="s">
        <v>47</v>
      </c>
      <c r="M9" t="str">
        <f>IF(Table1[[#This Row],[used]], _xlfn.CONCAT("🆔 ", Table1[[#This Row],[variable]], ": ",Table1[[#This Row],[alias]]), "")</f>
        <v>🆔 B01001_006E: Male: 15 to 17 years</v>
      </c>
      <c r="O9" t="s">
        <v>72</v>
      </c>
      <c r="P9" t="s">
        <v>48</v>
      </c>
      <c r="Q9" t="s">
        <v>41</v>
      </c>
      <c r="R9" t="s">
        <v>73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</row>
    <row r="10" spans="1:33" x14ac:dyDescent="0.25">
      <c r="A10" t="s">
        <v>33</v>
      </c>
      <c r="B10">
        <v>15</v>
      </c>
      <c r="C10" t="b">
        <v>1</v>
      </c>
      <c r="D10" t="s">
        <v>34</v>
      </c>
      <c r="E10" t="s">
        <v>43</v>
      </c>
      <c r="F10" t="s">
        <v>74</v>
      </c>
      <c r="G10" t="s">
        <v>75</v>
      </c>
      <c r="H10">
        <v>9</v>
      </c>
      <c r="I10" t="str">
        <f>IF(ISBLANK(Table1[[#This Row],[oid]]),"FALSE","TRUE")</f>
        <v>TRUE</v>
      </c>
      <c r="J10" t="str" cm="1">
        <f t="array" ref="J10">_xlfn.SWITCH(LEFT(Table1[[#This Row],[section]],1), "D", "Demographic", "S", "Social", "E", "Economic", "H", "Housing", "")</f>
        <v>Demographic</v>
      </c>
      <c r="K10" t="s">
        <v>46</v>
      </c>
      <c r="L10" t="s">
        <v>47</v>
      </c>
      <c r="M10" t="str">
        <f>IF(Table1[[#This Row],[used]], _xlfn.CONCAT("🆔 ", Table1[[#This Row],[variable]], ": ",Table1[[#This Row],[alias]]), "")</f>
        <v>🆔 B01001_007E: Male: 18 and 19 years</v>
      </c>
      <c r="O10" t="s">
        <v>76</v>
      </c>
      <c r="P10" t="s">
        <v>48</v>
      </c>
      <c r="Q10" t="s">
        <v>41</v>
      </c>
      <c r="R10" t="s">
        <v>77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</row>
    <row r="11" spans="1:33" x14ac:dyDescent="0.25">
      <c r="A11" t="s">
        <v>33</v>
      </c>
      <c r="B11">
        <v>15</v>
      </c>
      <c r="C11" t="b">
        <v>1</v>
      </c>
      <c r="D11" t="s">
        <v>34</v>
      </c>
      <c r="E11" t="s">
        <v>43</v>
      </c>
      <c r="F11" t="s">
        <v>78</v>
      </c>
      <c r="G11" t="s">
        <v>79</v>
      </c>
      <c r="H11">
        <v>10</v>
      </c>
      <c r="I11" t="str">
        <f>IF(ISBLANK(Table1[[#This Row],[oid]]),"FALSE","TRUE")</f>
        <v>TRUE</v>
      </c>
      <c r="J11" t="str" cm="1">
        <f t="array" ref="J11">_xlfn.SWITCH(LEFT(Table1[[#This Row],[section]],1), "D", "Demographic", "S", "Social", "E", "Economic", "H", "Housing", "")</f>
        <v>Demographic</v>
      </c>
      <c r="K11" t="s">
        <v>46</v>
      </c>
      <c r="L11" t="s">
        <v>47</v>
      </c>
      <c r="M11" t="str">
        <f>IF(Table1[[#This Row],[used]], _xlfn.CONCAT("🆔 ", Table1[[#This Row],[variable]], ": ",Table1[[#This Row],[alias]]), "")</f>
        <v>🆔 B01001_008E: Male: 20 years</v>
      </c>
      <c r="O11" t="s">
        <v>80</v>
      </c>
      <c r="P11" t="s">
        <v>48</v>
      </c>
      <c r="Q11" t="s">
        <v>41</v>
      </c>
      <c r="R11" t="s">
        <v>81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</row>
    <row r="12" spans="1:33" x14ac:dyDescent="0.25">
      <c r="A12" t="s">
        <v>33</v>
      </c>
      <c r="B12">
        <v>15</v>
      </c>
      <c r="C12" t="b">
        <v>1</v>
      </c>
      <c r="D12" t="s">
        <v>34</v>
      </c>
      <c r="E12" t="s">
        <v>43</v>
      </c>
      <c r="F12" t="s">
        <v>82</v>
      </c>
      <c r="G12" t="s">
        <v>83</v>
      </c>
      <c r="H12">
        <v>11</v>
      </c>
      <c r="I12" t="str">
        <f>IF(ISBLANK(Table1[[#This Row],[oid]]),"FALSE","TRUE")</f>
        <v>TRUE</v>
      </c>
      <c r="J12" t="str" cm="1">
        <f t="array" ref="J12">_xlfn.SWITCH(LEFT(Table1[[#This Row],[section]],1), "D", "Demographic", "S", "Social", "E", "Economic", "H", "Housing", "")</f>
        <v>Demographic</v>
      </c>
      <c r="K12" t="s">
        <v>46</v>
      </c>
      <c r="L12" t="s">
        <v>47</v>
      </c>
      <c r="M12" t="str">
        <f>IF(Table1[[#This Row],[used]], _xlfn.CONCAT("🆔 ", Table1[[#This Row],[variable]], ": ",Table1[[#This Row],[alias]]), "")</f>
        <v>🆔 B01001_009E: Male: 21 years</v>
      </c>
      <c r="O12" t="s">
        <v>84</v>
      </c>
      <c r="P12" t="s">
        <v>48</v>
      </c>
      <c r="Q12" t="s">
        <v>41</v>
      </c>
      <c r="R12" t="s">
        <v>85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</row>
    <row r="13" spans="1:33" x14ac:dyDescent="0.25">
      <c r="A13" t="s">
        <v>33</v>
      </c>
      <c r="B13">
        <v>15</v>
      </c>
      <c r="C13" t="b">
        <v>1</v>
      </c>
      <c r="D13" t="s">
        <v>34</v>
      </c>
      <c r="E13" t="s">
        <v>43</v>
      </c>
      <c r="F13" t="s">
        <v>86</v>
      </c>
      <c r="G13" t="s">
        <v>87</v>
      </c>
      <c r="H13">
        <v>12</v>
      </c>
      <c r="I13" t="str">
        <f>IF(ISBLANK(Table1[[#This Row],[oid]]),"FALSE","TRUE")</f>
        <v>TRUE</v>
      </c>
      <c r="J13" t="str" cm="1">
        <f t="array" ref="J13">_xlfn.SWITCH(LEFT(Table1[[#This Row],[section]],1), "D", "Demographic", "S", "Social", "E", "Economic", "H", "Housing", "")</f>
        <v>Demographic</v>
      </c>
      <c r="K13" t="s">
        <v>46</v>
      </c>
      <c r="L13" t="s">
        <v>47</v>
      </c>
      <c r="M13" t="str">
        <f>IF(Table1[[#This Row],[used]], _xlfn.CONCAT("🆔 ", Table1[[#This Row],[variable]], ": ",Table1[[#This Row],[alias]]), "")</f>
        <v>🆔 B01001_010E: Male: 22 to 24 years</v>
      </c>
      <c r="O13" t="s">
        <v>88</v>
      </c>
      <c r="P13" t="s">
        <v>48</v>
      </c>
      <c r="Q13" t="s">
        <v>41</v>
      </c>
      <c r="R13" t="s">
        <v>89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</row>
    <row r="14" spans="1:33" x14ac:dyDescent="0.25">
      <c r="A14" t="s">
        <v>33</v>
      </c>
      <c r="B14">
        <v>15</v>
      </c>
      <c r="C14" t="b">
        <v>1</v>
      </c>
      <c r="D14" t="s">
        <v>34</v>
      </c>
      <c r="E14" t="s">
        <v>43</v>
      </c>
      <c r="F14" t="s">
        <v>90</v>
      </c>
      <c r="G14" t="s">
        <v>91</v>
      </c>
      <c r="H14">
        <v>13</v>
      </c>
      <c r="I14" t="str">
        <f>IF(ISBLANK(Table1[[#This Row],[oid]]),"FALSE","TRUE")</f>
        <v>TRUE</v>
      </c>
      <c r="J14" t="str" cm="1">
        <f t="array" ref="J14">_xlfn.SWITCH(LEFT(Table1[[#This Row],[section]],1), "D", "Demographic", "S", "Social", "E", "Economic", "H", "Housing", "")</f>
        <v>Demographic</v>
      </c>
      <c r="K14" t="s">
        <v>46</v>
      </c>
      <c r="L14" t="s">
        <v>47</v>
      </c>
      <c r="M14" t="str">
        <f>IF(Table1[[#This Row],[used]], _xlfn.CONCAT("🆔 ", Table1[[#This Row],[variable]], ": ",Table1[[#This Row],[alias]]), "")</f>
        <v>🆔 B01001_011E: Male: 25 to 29 years</v>
      </c>
      <c r="O14" t="s">
        <v>92</v>
      </c>
      <c r="P14" t="s">
        <v>48</v>
      </c>
      <c r="Q14" t="s">
        <v>41</v>
      </c>
      <c r="R14" t="s">
        <v>93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</row>
    <row r="15" spans="1:33" x14ac:dyDescent="0.25">
      <c r="A15" t="s">
        <v>33</v>
      </c>
      <c r="B15">
        <v>15</v>
      </c>
      <c r="C15" t="b">
        <v>1</v>
      </c>
      <c r="D15" t="s">
        <v>34</v>
      </c>
      <c r="E15" t="s">
        <v>43</v>
      </c>
      <c r="F15" t="s">
        <v>94</v>
      </c>
      <c r="G15" t="s">
        <v>95</v>
      </c>
      <c r="H15">
        <v>14</v>
      </c>
      <c r="I15" t="str">
        <f>IF(ISBLANK(Table1[[#This Row],[oid]]),"FALSE","TRUE")</f>
        <v>TRUE</v>
      </c>
      <c r="J15" t="str" cm="1">
        <f t="array" ref="J15">_xlfn.SWITCH(LEFT(Table1[[#This Row],[section]],1), "D", "Demographic", "S", "Social", "E", "Economic", "H", "Housing", "")</f>
        <v>Demographic</v>
      </c>
      <c r="K15" t="s">
        <v>46</v>
      </c>
      <c r="L15" t="s">
        <v>47</v>
      </c>
      <c r="M15" t="str">
        <f>IF(Table1[[#This Row],[used]], _xlfn.CONCAT("🆔 ", Table1[[#This Row],[variable]], ": ",Table1[[#This Row],[alias]]), "")</f>
        <v>🆔 B01001_012E: Male: 30 to 34 years</v>
      </c>
      <c r="O15" t="s">
        <v>96</v>
      </c>
      <c r="P15" t="s">
        <v>48</v>
      </c>
      <c r="Q15" t="s">
        <v>41</v>
      </c>
      <c r="R15" t="s">
        <v>97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</row>
    <row r="16" spans="1:33" x14ac:dyDescent="0.25">
      <c r="A16" t="s">
        <v>33</v>
      </c>
      <c r="B16">
        <v>15</v>
      </c>
      <c r="C16" t="b">
        <v>1</v>
      </c>
      <c r="D16" t="s">
        <v>34</v>
      </c>
      <c r="E16" t="s">
        <v>43</v>
      </c>
      <c r="F16" t="s">
        <v>98</v>
      </c>
      <c r="G16" t="s">
        <v>99</v>
      </c>
      <c r="H16">
        <v>15</v>
      </c>
      <c r="I16" t="str">
        <f>IF(ISBLANK(Table1[[#This Row],[oid]]),"FALSE","TRUE")</f>
        <v>TRUE</v>
      </c>
      <c r="J16" t="str" cm="1">
        <f t="array" ref="J16">_xlfn.SWITCH(LEFT(Table1[[#This Row],[section]],1), "D", "Demographic", "S", "Social", "E", "Economic", "H", "Housing", "")</f>
        <v>Demographic</v>
      </c>
      <c r="K16" t="s">
        <v>46</v>
      </c>
      <c r="L16" t="s">
        <v>47</v>
      </c>
      <c r="M16" t="str">
        <f>IF(Table1[[#This Row],[used]], _xlfn.CONCAT("🆔 ", Table1[[#This Row],[variable]], ": ",Table1[[#This Row],[alias]]), "")</f>
        <v>🆔 B01001_013E: Male: 35 to 39 years</v>
      </c>
      <c r="O16" t="s">
        <v>100</v>
      </c>
      <c r="P16" t="s">
        <v>48</v>
      </c>
      <c r="Q16" t="s">
        <v>41</v>
      </c>
      <c r="R16" t="s">
        <v>101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</row>
    <row r="17" spans="1:33" x14ac:dyDescent="0.25">
      <c r="A17" t="s">
        <v>33</v>
      </c>
      <c r="B17">
        <v>15</v>
      </c>
      <c r="C17" t="b">
        <v>1</v>
      </c>
      <c r="D17" t="s">
        <v>34</v>
      </c>
      <c r="E17" t="s">
        <v>43</v>
      </c>
      <c r="F17" t="s">
        <v>102</v>
      </c>
      <c r="G17" t="s">
        <v>103</v>
      </c>
      <c r="H17">
        <v>16</v>
      </c>
      <c r="I17" t="str">
        <f>IF(ISBLANK(Table1[[#This Row],[oid]]),"FALSE","TRUE")</f>
        <v>TRUE</v>
      </c>
      <c r="J17" t="str" cm="1">
        <f t="array" ref="J17">_xlfn.SWITCH(LEFT(Table1[[#This Row],[section]],1), "D", "Demographic", "S", "Social", "E", "Economic", "H", "Housing", "")</f>
        <v>Demographic</v>
      </c>
      <c r="K17" t="s">
        <v>46</v>
      </c>
      <c r="L17" t="s">
        <v>47</v>
      </c>
      <c r="M17" t="str">
        <f>IF(Table1[[#This Row],[used]], _xlfn.CONCAT("🆔 ", Table1[[#This Row],[variable]], ": ",Table1[[#This Row],[alias]]), "")</f>
        <v>🆔 B01001_014E: Male: 40 to 44 years</v>
      </c>
      <c r="O17" t="s">
        <v>104</v>
      </c>
      <c r="P17" t="s">
        <v>48</v>
      </c>
      <c r="Q17" t="s">
        <v>41</v>
      </c>
      <c r="R17" t="s">
        <v>105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</row>
    <row r="18" spans="1:33" x14ac:dyDescent="0.25">
      <c r="A18" t="s">
        <v>33</v>
      </c>
      <c r="B18">
        <v>15</v>
      </c>
      <c r="C18" t="b">
        <v>1</v>
      </c>
      <c r="D18" t="s">
        <v>34</v>
      </c>
      <c r="E18" t="s">
        <v>43</v>
      </c>
      <c r="F18" t="s">
        <v>106</v>
      </c>
      <c r="G18" t="s">
        <v>107</v>
      </c>
      <c r="H18">
        <v>17</v>
      </c>
      <c r="I18" t="str">
        <f>IF(ISBLANK(Table1[[#This Row],[oid]]),"FALSE","TRUE")</f>
        <v>TRUE</v>
      </c>
      <c r="J18" t="str" cm="1">
        <f t="array" ref="J18">_xlfn.SWITCH(LEFT(Table1[[#This Row],[section]],1), "D", "Demographic", "S", "Social", "E", "Economic", "H", "Housing", "")</f>
        <v>Demographic</v>
      </c>
      <c r="K18" t="s">
        <v>46</v>
      </c>
      <c r="L18" t="s">
        <v>47</v>
      </c>
      <c r="M18" t="str">
        <f>IF(Table1[[#This Row],[used]], _xlfn.CONCAT("🆔 ", Table1[[#This Row],[variable]], ": ",Table1[[#This Row],[alias]]), "")</f>
        <v>🆔 B01001_015E: Male: 45 to 49 years</v>
      </c>
      <c r="O18" t="s">
        <v>108</v>
      </c>
      <c r="P18" t="s">
        <v>48</v>
      </c>
      <c r="Q18" t="s">
        <v>41</v>
      </c>
      <c r="R18" t="s">
        <v>109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</row>
    <row r="19" spans="1:33" x14ac:dyDescent="0.25">
      <c r="A19" t="s">
        <v>33</v>
      </c>
      <c r="B19">
        <v>15</v>
      </c>
      <c r="C19" t="b">
        <v>1</v>
      </c>
      <c r="D19" t="s">
        <v>34</v>
      </c>
      <c r="E19" t="s">
        <v>43</v>
      </c>
      <c r="F19" t="s">
        <v>110</v>
      </c>
      <c r="G19" t="s">
        <v>111</v>
      </c>
      <c r="H19">
        <v>18</v>
      </c>
      <c r="I19" t="str">
        <f>IF(ISBLANK(Table1[[#This Row],[oid]]),"FALSE","TRUE")</f>
        <v>TRUE</v>
      </c>
      <c r="J19" t="str" cm="1">
        <f t="array" ref="J19">_xlfn.SWITCH(LEFT(Table1[[#This Row],[section]],1), "D", "Demographic", "S", "Social", "E", "Economic", "H", "Housing", "")</f>
        <v>Demographic</v>
      </c>
      <c r="K19" t="s">
        <v>46</v>
      </c>
      <c r="L19" t="s">
        <v>47</v>
      </c>
      <c r="M19" t="str">
        <f>IF(Table1[[#This Row],[used]], _xlfn.CONCAT("🆔 ", Table1[[#This Row],[variable]], ": ",Table1[[#This Row],[alias]]), "")</f>
        <v>🆔 B01001_016E: Male: 50 to 54 years</v>
      </c>
      <c r="O19" t="s">
        <v>112</v>
      </c>
      <c r="P19" t="s">
        <v>48</v>
      </c>
      <c r="Q19" t="s">
        <v>41</v>
      </c>
      <c r="R19" t="s">
        <v>113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</row>
    <row r="20" spans="1:33" x14ac:dyDescent="0.25">
      <c r="A20" t="s">
        <v>33</v>
      </c>
      <c r="B20">
        <v>15</v>
      </c>
      <c r="C20" t="b">
        <v>1</v>
      </c>
      <c r="D20" t="s">
        <v>34</v>
      </c>
      <c r="E20" t="s">
        <v>43</v>
      </c>
      <c r="F20" t="s">
        <v>114</v>
      </c>
      <c r="G20" t="s">
        <v>115</v>
      </c>
      <c r="H20">
        <v>19</v>
      </c>
      <c r="I20" t="str">
        <f>IF(ISBLANK(Table1[[#This Row],[oid]]),"FALSE","TRUE")</f>
        <v>TRUE</v>
      </c>
      <c r="J20" t="str" cm="1">
        <f t="array" ref="J20">_xlfn.SWITCH(LEFT(Table1[[#This Row],[section]],1), "D", "Demographic", "S", "Social", "E", "Economic", "H", "Housing", "")</f>
        <v>Demographic</v>
      </c>
      <c r="K20" t="s">
        <v>46</v>
      </c>
      <c r="L20" t="s">
        <v>47</v>
      </c>
      <c r="M20" t="str">
        <f>IF(Table1[[#This Row],[used]], _xlfn.CONCAT("🆔 ", Table1[[#This Row],[variable]], ": ",Table1[[#This Row],[alias]]), "")</f>
        <v>🆔 B01001_017E: Male: 55 to 59 years</v>
      </c>
      <c r="O20" t="s">
        <v>116</v>
      </c>
      <c r="P20" t="s">
        <v>48</v>
      </c>
      <c r="Q20" t="s">
        <v>41</v>
      </c>
      <c r="R20" t="s">
        <v>117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</row>
    <row r="21" spans="1:33" x14ac:dyDescent="0.25">
      <c r="A21" t="s">
        <v>33</v>
      </c>
      <c r="B21">
        <v>15</v>
      </c>
      <c r="C21" t="b">
        <v>1</v>
      </c>
      <c r="D21" t="s">
        <v>34</v>
      </c>
      <c r="E21" t="s">
        <v>43</v>
      </c>
      <c r="F21" t="s">
        <v>118</v>
      </c>
      <c r="G21" t="s">
        <v>119</v>
      </c>
      <c r="H21">
        <v>20</v>
      </c>
      <c r="I21" t="str">
        <f>IF(ISBLANK(Table1[[#This Row],[oid]]),"FALSE","TRUE")</f>
        <v>TRUE</v>
      </c>
      <c r="J21" t="str" cm="1">
        <f t="array" ref="J21">_xlfn.SWITCH(LEFT(Table1[[#This Row],[section]],1), "D", "Demographic", "S", "Social", "E", "Economic", "H", "Housing", "")</f>
        <v>Demographic</v>
      </c>
      <c r="K21" t="s">
        <v>46</v>
      </c>
      <c r="L21" t="s">
        <v>47</v>
      </c>
      <c r="M21" t="str">
        <f>IF(Table1[[#This Row],[used]], _xlfn.CONCAT("🆔 ", Table1[[#This Row],[variable]], ": ",Table1[[#This Row],[alias]]), "")</f>
        <v>🆔 B01001_018E: Male: 60 and 61 years</v>
      </c>
      <c r="O21" t="s">
        <v>120</v>
      </c>
      <c r="P21" t="s">
        <v>48</v>
      </c>
      <c r="Q21" t="s">
        <v>41</v>
      </c>
      <c r="R21" t="s">
        <v>121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</row>
    <row r="22" spans="1:33" x14ac:dyDescent="0.25">
      <c r="A22" t="s">
        <v>33</v>
      </c>
      <c r="B22">
        <v>15</v>
      </c>
      <c r="C22" t="b">
        <v>1</v>
      </c>
      <c r="D22" t="s">
        <v>34</v>
      </c>
      <c r="E22" t="s">
        <v>43</v>
      </c>
      <c r="F22" t="s">
        <v>122</v>
      </c>
      <c r="G22" t="s">
        <v>123</v>
      </c>
      <c r="H22">
        <v>21</v>
      </c>
      <c r="I22" t="str">
        <f>IF(ISBLANK(Table1[[#This Row],[oid]]),"FALSE","TRUE")</f>
        <v>TRUE</v>
      </c>
      <c r="J22" t="str" cm="1">
        <f t="array" ref="J22">_xlfn.SWITCH(LEFT(Table1[[#This Row],[section]],1), "D", "Demographic", "S", "Social", "E", "Economic", "H", "Housing", "")</f>
        <v>Demographic</v>
      </c>
      <c r="K22" t="s">
        <v>46</v>
      </c>
      <c r="L22" t="s">
        <v>47</v>
      </c>
      <c r="M22" t="str">
        <f>IF(Table1[[#This Row],[used]], _xlfn.CONCAT("🆔 ", Table1[[#This Row],[variable]], ": ",Table1[[#This Row],[alias]]), "")</f>
        <v>🆔 B01001_019E: Male: 62 to 64 years</v>
      </c>
      <c r="O22" t="s">
        <v>124</v>
      </c>
      <c r="P22" t="s">
        <v>48</v>
      </c>
      <c r="Q22" t="s">
        <v>41</v>
      </c>
      <c r="R22" t="s">
        <v>125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</row>
    <row r="23" spans="1:33" x14ac:dyDescent="0.25">
      <c r="A23" t="s">
        <v>33</v>
      </c>
      <c r="B23">
        <v>15</v>
      </c>
      <c r="C23" t="b">
        <v>1</v>
      </c>
      <c r="D23" t="s">
        <v>34</v>
      </c>
      <c r="E23" t="s">
        <v>43</v>
      </c>
      <c r="F23" t="s">
        <v>126</v>
      </c>
      <c r="G23" t="s">
        <v>127</v>
      </c>
      <c r="H23">
        <v>22</v>
      </c>
      <c r="I23" t="str">
        <f>IF(ISBLANK(Table1[[#This Row],[oid]]),"FALSE","TRUE")</f>
        <v>TRUE</v>
      </c>
      <c r="J23" t="str" cm="1">
        <f t="array" ref="J23">_xlfn.SWITCH(LEFT(Table1[[#This Row],[section]],1), "D", "Demographic", "S", "Social", "E", "Economic", "H", "Housing", "")</f>
        <v>Demographic</v>
      </c>
      <c r="K23" t="s">
        <v>46</v>
      </c>
      <c r="L23" t="s">
        <v>47</v>
      </c>
      <c r="M23" t="str">
        <f>IF(Table1[[#This Row],[used]], _xlfn.CONCAT("🆔 ", Table1[[#This Row],[variable]], ": ",Table1[[#This Row],[alias]]), "")</f>
        <v>🆔 B01001_020E: Male: 65 and 66 years</v>
      </c>
      <c r="O23" t="s">
        <v>128</v>
      </c>
      <c r="P23" t="s">
        <v>48</v>
      </c>
      <c r="Q23" t="s">
        <v>41</v>
      </c>
      <c r="R23" t="s">
        <v>129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</row>
    <row r="24" spans="1:33" x14ac:dyDescent="0.25">
      <c r="A24" t="s">
        <v>33</v>
      </c>
      <c r="B24">
        <v>15</v>
      </c>
      <c r="C24" t="b">
        <v>1</v>
      </c>
      <c r="D24" t="s">
        <v>34</v>
      </c>
      <c r="E24" t="s">
        <v>43</v>
      </c>
      <c r="F24" t="s">
        <v>130</v>
      </c>
      <c r="G24" t="s">
        <v>131</v>
      </c>
      <c r="H24">
        <v>23</v>
      </c>
      <c r="I24" t="str">
        <f>IF(ISBLANK(Table1[[#This Row],[oid]]),"FALSE","TRUE")</f>
        <v>TRUE</v>
      </c>
      <c r="J24" t="str" cm="1">
        <f t="array" ref="J24">_xlfn.SWITCH(LEFT(Table1[[#This Row],[section]],1), "D", "Demographic", "S", "Social", "E", "Economic", "H", "Housing", "")</f>
        <v>Demographic</v>
      </c>
      <c r="K24" t="s">
        <v>46</v>
      </c>
      <c r="L24" t="s">
        <v>47</v>
      </c>
      <c r="M24" t="str">
        <f>IF(Table1[[#This Row],[used]], _xlfn.CONCAT("🆔 ", Table1[[#This Row],[variable]], ": ",Table1[[#This Row],[alias]]), "")</f>
        <v>🆔 B01001_021E: Male: 67 to 69 years</v>
      </c>
      <c r="O24" t="s">
        <v>132</v>
      </c>
      <c r="P24" t="s">
        <v>48</v>
      </c>
      <c r="Q24" t="s">
        <v>41</v>
      </c>
      <c r="R24" t="s">
        <v>133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</row>
    <row r="25" spans="1:33" x14ac:dyDescent="0.25">
      <c r="A25" t="s">
        <v>33</v>
      </c>
      <c r="B25">
        <v>15</v>
      </c>
      <c r="C25" t="b">
        <v>1</v>
      </c>
      <c r="D25" t="s">
        <v>34</v>
      </c>
      <c r="E25" t="s">
        <v>43</v>
      </c>
      <c r="F25" t="s">
        <v>134</v>
      </c>
      <c r="G25" t="s">
        <v>135</v>
      </c>
      <c r="H25">
        <v>24</v>
      </c>
      <c r="I25" t="str">
        <f>IF(ISBLANK(Table1[[#This Row],[oid]]),"FALSE","TRUE")</f>
        <v>TRUE</v>
      </c>
      <c r="J25" t="str" cm="1">
        <f t="array" ref="J25">_xlfn.SWITCH(LEFT(Table1[[#This Row],[section]],1), "D", "Demographic", "S", "Social", "E", "Economic", "H", "Housing", "")</f>
        <v>Demographic</v>
      </c>
      <c r="K25" t="s">
        <v>46</v>
      </c>
      <c r="L25" t="s">
        <v>47</v>
      </c>
      <c r="M25" t="str">
        <f>IF(Table1[[#This Row],[used]], _xlfn.CONCAT("🆔 ", Table1[[#This Row],[variable]], ": ",Table1[[#This Row],[alias]]), "")</f>
        <v>🆔 B01001_022E: Male: 70 to 74 years</v>
      </c>
      <c r="O25" t="s">
        <v>136</v>
      </c>
      <c r="P25" t="s">
        <v>48</v>
      </c>
      <c r="Q25" t="s">
        <v>41</v>
      </c>
      <c r="R25" t="s">
        <v>137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</row>
    <row r="26" spans="1:33" x14ac:dyDescent="0.25">
      <c r="A26" t="s">
        <v>33</v>
      </c>
      <c r="B26">
        <v>15</v>
      </c>
      <c r="C26" t="b">
        <v>1</v>
      </c>
      <c r="D26" t="s">
        <v>34</v>
      </c>
      <c r="E26" t="s">
        <v>43</v>
      </c>
      <c r="F26" t="s">
        <v>138</v>
      </c>
      <c r="G26" t="s">
        <v>139</v>
      </c>
      <c r="H26">
        <v>25</v>
      </c>
      <c r="I26" t="str">
        <f>IF(ISBLANK(Table1[[#This Row],[oid]]),"FALSE","TRUE")</f>
        <v>TRUE</v>
      </c>
      <c r="J26" t="str" cm="1">
        <f t="array" ref="J26">_xlfn.SWITCH(LEFT(Table1[[#This Row],[section]],1), "D", "Demographic", "S", "Social", "E", "Economic", "H", "Housing", "")</f>
        <v>Demographic</v>
      </c>
      <c r="K26" t="s">
        <v>46</v>
      </c>
      <c r="L26" t="s">
        <v>47</v>
      </c>
      <c r="M26" t="str">
        <f>IF(Table1[[#This Row],[used]], _xlfn.CONCAT("🆔 ", Table1[[#This Row],[variable]], ": ",Table1[[#This Row],[alias]]), "")</f>
        <v>🆔 B01001_023E: Male: 75 to 79 years</v>
      </c>
      <c r="O26" t="s">
        <v>140</v>
      </c>
      <c r="P26" t="s">
        <v>48</v>
      </c>
      <c r="Q26" t="s">
        <v>41</v>
      </c>
      <c r="R26" t="s">
        <v>141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</row>
    <row r="27" spans="1:33" x14ac:dyDescent="0.25">
      <c r="A27" t="s">
        <v>33</v>
      </c>
      <c r="B27">
        <v>15</v>
      </c>
      <c r="C27" t="b">
        <v>1</v>
      </c>
      <c r="D27" t="s">
        <v>34</v>
      </c>
      <c r="E27" t="s">
        <v>43</v>
      </c>
      <c r="F27" t="s">
        <v>142</v>
      </c>
      <c r="G27" t="s">
        <v>143</v>
      </c>
      <c r="H27">
        <v>26</v>
      </c>
      <c r="I27" t="str">
        <f>IF(ISBLANK(Table1[[#This Row],[oid]]),"FALSE","TRUE")</f>
        <v>TRUE</v>
      </c>
      <c r="J27" t="str" cm="1">
        <f t="array" ref="J27">_xlfn.SWITCH(LEFT(Table1[[#This Row],[section]],1), "D", "Demographic", "S", "Social", "E", "Economic", "H", "Housing", "")</f>
        <v>Demographic</v>
      </c>
      <c r="K27" t="s">
        <v>46</v>
      </c>
      <c r="L27" t="s">
        <v>47</v>
      </c>
      <c r="M27" t="str">
        <f>IF(Table1[[#This Row],[used]], _xlfn.CONCAT("🆔 ", Table1[[#This Row],[variable]], ": ",Table1[[#This Row],[alias]]), "")</f>
        <v>🆔 B01001_024E: Male: 80 to 84 years</v>
      </c>
      <c r="O27" t="s">
        <v>144</v>
      </c>
      <c r="P27" t="s">
        <v>48</v>
      </c>
      <c r="Q27" t="s">
        <v>41</v>
      </c>
      <c r="R27" t="s">
        <v>145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</row>
    <row r="28" spans="1:33" x14ac:dyDescent="0.25">
      <c r="A28" t="s">
        <v>33</v>
      </c>
      <c r="B28">
        <v>15</v>
      </c>
      <c r="C28" t="b">
        <v>1</v>
      </c>
      <c r="D28" t="s">
        <v>34</v>
      </c>
      <c r="E28" t="s">
        <v>43</v>
      </c>
      <c r="F28" t="s">
        <v>146</v>
      </c>
      <c r="G28" t="s">
        <v>147</v>
      </c>
      <c r="H28">
        <v>27</v>
      </c>
      <c r="I28" t="str">
        <f>IF(ISBLANK(Table1[[#This Row],[oid]]),"FALSE","TRUE")</f>
        <v>TRUE</v>
      </c>
      <c r="J28" t="str" cm="1">
        <f t="array" ref="J28">_xlfn.SWITCH(LEFT(Table1[[#This Row],[section]],1), "D", "Demographic", "S", "Social", "E", "Economic", "H", "Housing", "")</f>
        <v>Demographic</v>
      </c>
      <c r="K28" t="s">
        <v>46</v>
      </c>
      <c r="L28" t="s">
        <v>47</v>
      </c>
      <c r="M28" t="str">
        <f>IF(Table1[[#This Row],[used]], _xlfn.CONCAT("🆔 ", Table1[[#This Row],[variable]], ": ",Table1[[#This Row],[alias]]), "")</f>
        <v>🆔 B01001_025E: Male: 85 years and over</v>
      </c>
      <c r="O28" t="s">
        <v>148</v>
      </c>
      <c r="P28" t="s">
        <v>48</v>
      </c>
      <c r="Q28" t="s">
        <v>41</v>
      </c>
      <c r="R28" t="s">
        <v>149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</row>
    <row r="29" spans="1:33" x14ac:dyDescent="0.25">
      <c r="A29" t="s">
        <v>33</v>
      </c>
      <c r="B29">
        <v>15</v>
      </c>
      <c r="C29" t="b">
        <v>1</v>
      </c>
      <c r="D29" t="s">
        <v>34</v>
      </c>
      <c r="E29" t="s">
        <v>43</v>
      </c>
      <c r="F29" t="s">
        <v>150</v>
      </c>
      <c r="G29" t="s">
        <v>151</v>
      </c>
      <c r="H29">
        <v>28</v>
      </c>
      <c r="I29" t="str">
        <f>IF(ISBLANK(Table1[[#This Row],[oid]]),"FALSE","TRUE")</f>
        <v>TRUE</v>
      </c>
      <c r="J29" t="str" cm="1">
        <f t="array" ref="J29">_xlfn.SWITCH(LEFT(Table1[[#This Row],[section]],1), "D", "Demographic", "S", "Social", "E", "Economic", "H", "Housing", "")</f>
        <v>Demographic</v>
      </c>
      <c r="K29" t="s">
        <v>46</v>
      </c>
      <c r="L29" t="s">
        <v>47</v>
      </c>
      <c r="M29" t="str">
        <f>IF(Table1[[#This Row],[used]], _xlfn.CONCAT("🆔 ", Table1[[#This Row],[variable]], ": ",Table1[[#This Row],[alias]]), "")</f>
        <v>🆔 B01001_027E: Female: Under 5 years</v>
      </c>
      <c r="O29" t="s">
        <v>152</v>
      </c>
      <c r="P29" t="s">
        <v>48</v>
      </c>
      <c r="Q29" t="s">
        <v>41</v>
      </c>
      <c r="R29" t="s">
        <v>153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</row>
    <row r="30" spans="1:33" x14ac:dyDescent="0.25">
      <c r="A30" t="s">
        <v>33</v>
      </c>
      <c r="B30">
        <v>15</v>
      </c>
      <c r="C30" t="b">
        <v>1</v>
      </c>
      <c r="D30" t="s">
        <v>34</v>
      </c>
      <c r="E30" t="s">
        <v>43</v>
      </c>
      <c r="F30" t="s">
        <v>154</v>
      </c>
      <c r="G30" t="s">
        <v>155</v>
      </c>
      <c r="H30">
        <v>29</v>
      </c>
      <c r="I30" t="str">
        <f>IF(ISBLANK(Table1[[#This Row],[oid]]),"FALSE","TRUE")</f>
        <v>TRUE</v>
      </c>
      <c r="J30" t="str" cm="1">
        <f t="array" ref="J30">_xlfn.SWITCH(LEFT(Table1[[#This Row],[section]],1), "D", "Demographic", "S", "Social", "E", "Economic", "H", "Housing", "")</f>
        <v>Demographic</v>
      </c>
      <c r="K30" t="s">
        <v>46</v>
      </c>
      <c r="L30" t="s">
        <v>47</v>
      </c>
      <c r="M30" t="str">
        <f>IF(Table1[[#This Row],[used]], _xlfn.CONCAT("🆔 ", Table1[[#This Row],[variable]], ": ",Table1[[#This Row],[alias]]), "")</f>
        <v>🆔 B01001_028E: Female: 5 to 9 years</v>
      </c>
      <c r="O30" t="s">
        <v>156</v>
      </c>
      <c r="P30" t="s">
        <v>48</v>
      </c>
      <c r="Q30" t="s">
        <v>41</v>
      </c>
      <c r="R30" t="s">
        <v>157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</row>
    <row r="31" spans="1:33" x14ac:dyDescent="0.25">
      <c r="A31" t="s">
        <v>33</v>
      </c>
      <c r="B31">
        <v>15</v>
      </c>
      <c r="C31" t="b">
        <v>1</v>
      </c>
      <c r="D31" t="s">
        <v>34</v>
      </c>
      <c r="E31" t="s">
        <v>43</v>
      </c>
      <c r="F31" t="s">
        <v>158</v>
      </c>
      <c r="G31" t="s">
        <v>159</v>
      </c>
      <c r="H31">
        <v>30</v>
      </c>
      <c r="I31" t="str">
        <f>IF(ISBLANK(Table1[[#This Row],[oid]]),"FALSE","TRUE")</f>
        <v>TRUE</v>
      </c>
      <c r="J31" t="str" cm="1">
        <f t="array" ref="J31">_xlfn.SWITCH(LEFT(Table1[[#This Row],[section]],1), "D", "Demographic", "S", "Social", "E", "Economic", "H", "Housing", "")</f>
        <v>Demographic</v>
      </c>
      <c r="K31" t="s">
        <v>46</v>
      </c>
      <c r="L31" t="s">
        <v>47</v>
      </c>
      <c r="M31" t="str">
        <f>IF(Table1[[#This Row],[used]], _xlfn.CONCAT("🆔 ", Table1[[#This Row],[variable]], ": ",Table1[[#This Row],[alias]]), "")</f>
        <v>🆔 B01001_029E: Female: 10 to 14 years</v>
      </c>
      <c r="O31" t="s">
        <v>160</v>
      </c>
      <c r="P31" t="s">
        <v>48</v>
      </c>
      <c r="Q31" t="s">
        <v>41</v>
      </c>
      <c r="R31" t="s">
        <v>161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</row>
    <row r="32" spans="1:33" x14ac:dyDescent="0.25">
      <c r="A32" t="s">
        <v>33</v>
      </c>
      <c r="B32">
        <v>15</v>
      </c>
      <c r="C32" t="b">
        <v>1</v>
      </c>
      <c r="D32" t="s">
        <v>34</v>
      </c>
      <c r="E32" t="s">
        <v>43</v>
      </c>
      <c r="F32" t="s">
        <v>162</v>
      </c>
      <c r="G32" t="s">
        <v>163</v>
      </c>
      <c r="H32">
        <v>31</v>
      </c>
      <c r="I32" t="str">
        <f>IF(ISBLANK(Table1[[#This Row],[oid]]),"FALSE","TRUE")</f>
        <v>TRUE</v>
      </c>
      <c r="J32" t="str" cm="1">
        <f t="array" ref="J32">_xlfn.SWITCH(LEFT(Table1[[#This Row],[section]],1), "D", "Demographic", "S", "Social", "E", "Economic", "H", "Housing", "")</f>
        <v>Demographic</v>
      </c>
      <c r="K32" t="s">
        <v>46</v>
      </c>
      <c r="L32" t="s">
        <v>47</v>
      </c>
      <c r="M32" t="str">
        <f>IF(Table1[[#This Row],[used]], _xlfn.CONCAT("🆔 ", Table1[[#This Row],[variable]], ": ",Table1[[#This Row],[alias]]), "")</f>
        <v>🆔 B01001_030E: Female: 15 to 17 years</v>
      </c>
      <c r="O32" t="s">
        <v>164</v>
      </c>
      <c r="P32" t="s">
        <v>48</v>
      </c>
      <c r="Q32" t="s">
        <v>41</v>
      </c>
      <c r="R32" t="s">
        <v>165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</row>
    <row r="33" spans="1:33" x14ac:dyDescent="0.25">
      <c r="A33" t="s">
        <v>33</v>
      </c>
      <c r="B33">
        <v>15</v>
      </c>
      <c r="C33" t="b">
        <v>1</v>
      </c>
      <c r="D33" t="s">
        <v>34</v>
      </c>
      <c r="E33" t="s">
        <v>43</v>
      </c>
      <c r="F33" t="s">
        <v>166</v>
      </c>
      <c r="G33" t="s">
        <v>167</v>
      </c>
      <c r="H33">
        <v>32</v>
      </c>
      <c r="I33" t="str">
        <f>IF(ISBLANK(Table1[[#This Row],[oid]]),"FALSE","TRUE")</f>
        <v>TRUE</v>
      </c>
      <c r="J33" t="str" cm="1">
        <f t="array" ref="J33">_xlfn.SWITCH(LEFT(Table1[[#This Row],[section]],1), "D", "Demographic", "S", "Social", "E", "Economic", "H", "Housing", "")</f>
        <v>Demographic</v>
      </c>
      <c r="K33" t="s">
        <v>46</v>
      </c>
      <c r="L33" t="s">
        <v>47</v>
      </c>
      <c r="M33" t="str">
        <f>IF(Table1[[#This Row],[used]], _xlfn.CONCAT("🆔 ", Table1[[#This Row],[variable]], ": ",Table1[[#This Row],[alias]]), "")</f>
        <v>🆔 B01001_031E: Female: 18 and 19 years</v>
      </c>
      <c r="O33" t="s">
        <v>168</v>
      </c>
      <c r="P33" t="s">
        <v>48</v>
      </c>
      <c r="Q33" t="s">
        <v>41</v>
      </c>
      <c r="R33" t="s">
        <v>169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</row>
    <row r="34" spans="1:33" x14ac:dyDescent="0.25">
      <c r="A34" t="s">
        <v>33</v>
      </c>
      <c r="B34">
        <v>15</v>
      </c>
      <c r="C34" t="b">
        <v>1</v>
      </c>
      <c r="D34" t="s">
        <v>34</v>
      </c>
      <c r="E34" t="s">
        <v>43</v>
      </c>
      <c r="F34" t="s">
        <v>170</v>
      </c>
      <c r="G34" t="s">
        <v>171</v>
      </c>
      <c r="H34">
        <v>33</v>
      </c>
      <c r="I34" t="str">
        <f>IF(ISBLANK(Table1[[#This Row],[oid]]),"FALSE","TRUE")</f>
        <v>TRUE</v>
      </c>
      <c r="J34" t="str" cm="1">
        <f t="array" ref="J34">_xlfn.SWITCH(LEFT(Table1[[#This Row],[section]],1), "D", "Demographic", "S", "Social", "E", "Economic", "H", "Housing", "")</f>
        <v>Demographic</v>
      </c>
      <c r="K34" t="s">
        <v>46</v>
      </c>
      <c r="L34" t="s">
        <v>47</v>
      </c>
      <c r="M34" t="str">
        <f>IF(Table1[[#This Row],[used]], _xlfn.CONCAT("🆔 ", Table1[[#This Row],[variable]], ": ",Table1[[#This Row],[alias]]), "")</f>
        <v>🆔 B01001_032E: Female: 20 years</v>
      </c>
      <c r="O34" t="s">
        <v>172</v>
      </c>
      <c r="P34" t="s">
        <v>48</v>
      </c>
      <c r="Q34" t="s">
        <v>41</v>
      </c>
      <c r="R34" t="s">
        <v>173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</row>
    <row r="35" spans="1:33" x14ac:dyDescent="0.25">
      <c r="A35" t="s">
        <v>33</v>
      </c>
      <c r="B35">
        <v>15</v>
      </c>
      <c r="C35" t="b">
        <v>1</v>
      </c>
      <c r="D35" t="s">
        <v>34</v>
      </c>
      <c r="E35" t="s">
        <v>43</v>
      </c>
      <c r="F35" t="s">
        <v>174</v>
      </c>
      <c r="G35" t="s">
        <v>175</v>
      </c>
      <c r="H35">
        <v>34</v>
      </c>
      <c r="I35" t="str">
        <f>IF(ISBLANK(Table1[[#This Row],[oid]]),"FALSE","TRUE")</f>
        <v>TRUE</v>
      </c>
      <c r="J35" t="str" cm="1">
        <f t="array" ref="J35">_xlfn.SWITCH(LEFT(Table1[[#This Row],[section]],1), "D", "Demographic", "S", "Social", "E", "Economic", "H", "Housing", "")</f>
        <v>Demographic</v>
      </c>
      <c r="K35" t="s">
        <v>46</v>
      </c>
      <c r="L35" t="s">
        <v>47</v>
      </c>
      <c r="M35" t="str">
        <f>IF(Table1[[#This Row],[used]], _xlfn.CONCAT("🆔 ", Table1[[#This Row],[variable]], ": ",Table1[[#This Row],[alias]]), "")</f>
        <v>🆔 B01001_033E: Female: 21 years</v>
      </c>
      <c r="O35" t="s">
        <v>176</v>
      </c>
      <c r="P35" t="s">
        <v>48</v>
      </c>
      <c r="Q35" t="s">
        <v>41</v>
      </c>
      <c r="R35" t="s">
        <v>177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</row>
    <row r="36" spans="1:33" x14ac:dyDescent="0.25">
      <c r="A36" t="s">
        <v>33</v>
      </c>
      <c r="B36">
        <v>15</v>
      </c>
      <c r="C36" t="b">
        <v>1</v>
      </c>
      <c r="D36" t="s">
        <v>34</v>
      </c>
      <c r="E36" t="s">
        <v>43</v>
      </c>
      <c r="F36" t="s">
        <v>178</v>
      </c>
      <c r="G36" t="s">
        <v>179</v>
      </c>
      <c r="H36">
        <v>35</v>
      </c>
      <c r="I36" t="str">
        <f>IF(ISBLANK(Table1[[#This Row],[oid]]),"FALSE","TRUE")</f>
        <v>TRUE</v>
      </c>
      <c r="J36" t="str" cm="1">
        <f t="array" ref="J36">_xlfn.SWITCH(LEFT(Table1[[#This Row],[section]],1), "D", "Demographic", "S", "Social", "E", "Economic", "H", "Housing", "")</f>
        <v>Demographic</v>
      </c>
      <c r="K36" t="s">
        <v>46</v>
      </c>
      <c r="L36" t="s">
        <v>47</v>
      </c>
      <c r="M36" t="str">
        <f>IF(Table1[[#This Row],[used]], _xlfn.CONCAT("🆔 ", Table1[[#This Row],[variable]], ": ",Table1[[#This Row],[alias]]), "")</f>
        <v>🆔 B01001_034E: Female: 22 to 24 years</v>
      </c>
      <c r="O36" t="s">
        <v>180</v>
      </c>
      <c r="P36" t="s">
        <v>48</v>
      </c>
      <c r="Q36" t="s">
        <v>41</v>
      </c>
      <c r="R36" t="s">
        <v>181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</row>
    <row r="37" spans="1:33" x14ac:dyDescent="0.25">
      <c r="A37" t="s">
        <v>33</v>
      </c>
      <c r="B37">
        <v>15</v>
      </c>
      <c r="C37" t="b">
        <v>1</v>
      </c>
      <c r="D37" t="s">
        <v>34</v>
      </c>
      <c r="E37" t="s">
        <v>43</v>
      </c>
      <c r="F37" t="s">
        <v>182</v>
      </c>
      <c r="G37" t="s">
        <v>183</v>
      </c>
      <c r="H37">
        <v>36</v>
      </c>
      <c r="I37" t="str">
        <f>IF(ISBLANK(Table1[[#This Row],[oid]]),"FALSE","TRUE")</f>
        <v>TRUE</v>
      </c>
      <c r="J37" t="str" cm="1">
        <f t="array" ref="J37">_xlfn.SWITCH(LEFT(Table1[[#This Row],[section]],1), "D", "Demographic", "S", "Social", "E", "Economic", "H", "Housing", "")</f>
        <v>Demographic</v>
      </c>
      <c r="K37" t="s">
        <v>46</v>
      </c>
      <c r="L37" t="s">
        <v>47</v>
      </c>
      <c r="M37" t="str">
        <f>IF(Table1[[#This Row],[used]], _xlfn.CONCAT("🆔 ", Table1[[#This Row],[variable]], ": ",Table1[[#This Row],[alias]]), "")</f>
        <v>🆔 B01001_035E: Female: 25 to 29 years</v>
      </c>
      <c r="O37" t="s">
        <v>184</v>
      </c>
      <c r="P37" t="s">
        <v>48</v>
      </c>
      <c r="Q37" t="s">
        <v>41</v>
      </c>
      <c r="R37" t="s">
        <v>185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</row>
    <row r="38" spans="1:33" x14ac:dyDescent="0.25">
      <c r="A38" t="s">
        <v>33</v>
      </c>
      <c r="B38">
        <v>15</v>
      </c>
      <c r="C38" t="b">
        <v>1</v>
      </c>
      <c r="D38" t="s">
        <v>34</v>
      </c>
      <c r="E38" t="s">
        <v>43</v>
      </c>
      <c r="F38" t="s">
        <v>186</v>
      </c>
      <c r="G38" t="s">
        <v>187</v>
      </c>
      <c r="H38">
        <v>37</v>
      </c>
      <c r="I38" t="str">
        <f>IF(ISBLANK(Table1[[#This Row],[oid]]),"FALSE","TRUE")</f>
        <v>TRUE</v>
      </c>
      <c r="J38" t="str" cm="1">
        <f t="array" ref="J38">_xlfn.SWITCH(LEFT(Table1[[#This Row],[section]],1), "D", "Demographic", "S", "Social", "E", "Economic", "H", "Housing", "")</f>
        <v>Demographic</v>
      </c>
      <c r="K38" t="s">
        <v>46</v>
      </c>
      <c r="L38" t="s">
        <v>47</v>
      </c>
      <c r="M38" t="str">
        <f>IF(Table1[[#This Row],[used]], _xlfn.CONCAT("🆔 ", Table1[[#This Row],[variable]], ": ",Table1[[#This Row],[alias]]), "")</f>
        <v>🆔 B01001_036E: Female: 30 to 34 years</v>
      </c>
      <c r="O38" t="s">
        <v>188</v>
      </c>
      <c r="P38" t="s">
        <v>48</v>
      </c>
      <c r="Q38" t="s">
        <v>41</v>
      </c>
      <c r="R38" t="s">
        <v>189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</row>
    <row r="39" spans="1:33" x14ac:dyDescent="0.25">
      <c r="A39" t="s">
        <v>33</v>
      </c>
      <c r="B39">
        <v>15</v>
      </c>
      <c r="C39" t="b">
        <v>1</v>
      </c>
      <c r="D39" t="s">
        <v>34</v>
      </c>
      <c r="E39" t="s">
        <v>43</v>
      </c>
      <c r="F39" t="s">
        <v>190</v>
      </c>
      <c r="G39" t="s">
        <v>191</v>
      </c>
      <c r="H39">
        <v>38</v>
      </c>
      <c r="I39" t="str">
        <f>IF(ISBLANK(Table1[[#This Row],[oid]]),"FALSE","TRUE")</f>
        <v>TRUE</v>
      </c>
      <c r="J39" t="str" cm="1">
        <f t="array" ref="J39">_xlfn.SWITCH(LEFT(Table1[[#This Row],[section]],1), "D", "Demographic", "S", "Social", "E", "Economic", "H", "Housing", "")</f>
        <v>Demographic</v>
      </c>
      <c r="K39" t="s">
        <v>46</v>
      </c>
      <c r="L39" t="s">
        <v>47</v>
      </c>
      <c r="M39" t="str">
        <f>IF(Table1[[#This Row],[used]], _xlfn.CONCAT("🆔 ", Table1[[#This Row],[variable]], ": ",Table1[[#This Row],[alias]]), "")</f>
        <v>🆔 B01001_037E: Female: 35 to 39 years</v>
      </c>
      <c r="O39" t="s">
        <v>192</v>
      </c>
      <c r="P39" t="s">
        <v>48</v>
      </c>
      <c r="Q39" t="s">
        <v>41</v>
      </c>
      <c r="R39" t="s">
        <v>193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</row>
    <row r="40" spans="1:33" x14ac:dyDescent="0.25">
      <c r="A40" t="s">
        <v>33</v>
      </c>
      <c r="B40">
        <v>15</v>
      </c>
      <c r="C40" t="b">
        <v>1</v>
      </c>
      <c r="D40" t="s">
        <v>34</v>
      </c>
      <c r="E40" t="s">
        <v>43</v>
      </c>
      <c r="F40" t="s">
        <v>194</v>
      </c>
      <c r="G40" t="s">
        <v>195</v>
      </c>
      <c r="H40">
        <v>39</v>
      </c>
      <c r="I40" t="str">
        <f>IF(ISBLANK(Table1[[#This Row],[oid]]),"FALSE","TRUE")</f>
        <v>TRUE</v>
      </c>
      <c r="J40" t="str" cm="1">
        <f t="array" ref="J40">_xlfn.SWITCH(LEFT(Table1[[#This Row],[section]],1), "D", "Demographic", "S", "Social", "E", "Economic", "H", "Housing", "")</f>
        <v>Demographic</v>
      </c>
      <c r="K40" t="s">
        <v>46</v>
      </c>
      <c r="L40" t="s">
        <v>47</v>
      </c>
      <c r="M40" t="str">
        <f>IF(Table1[[#This Row],[used]], _xlfn.CONCAT("🆔 ", Table1[[#This Row],[variable]], ": ",Table1[[#This Row],[alias]]), "")</f>
        <v>🆔 B01001_038E: Female: 40 to 44 years</v>
      </c>
      <c r="O40" t="s">
        <v>196</v>
      </c>
      <c r="P40" t="s">
        <v>48</v>
      </c>
      <c r="Q40" t="s">
        <v>41</v>
      </c>
      <c r="R40" t="s">
        <v>197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</row>
    <row r="41" spans="1:33" x14ac:dyDescent="0.25">
      <c r="A41" t="s">
        <v>33</v>
      </c>
      <c r="B41">
        <v>15</v>
      </c>
      <c r="C41" t="b">
        <v>1</v>
      </c>
      <c r="D41" t="s">
        <v>34</v>
      </c>
      <c r="E41" t="s">
        <v>43</v>
      </c>
      <c r="F41" t="s">
        <v>198</v>
      </c>
      <c r="G41" t="s">
        <v>199</v>
      </c>
      <c r="H41">
        <v>40</v>
      </c>
      <c r="I41" t="str">
        <f>IF(ISBLANK(Table1[[#This Row],[oid]]),"FALSE","TRUE")</f>
        <v>TRUE</v>
      </c>
      <c r="J41" t="str" cm="1">
        <f t="array" ref="J41">_xlfn.SWITCH(LEFT(Table1[[#This Row],[section]],1), "D", "Demographic", "S", "Social", "E", "Economic", "H", "Housing", "")</f>
        <v>Demographic</v>
      </c>
      <c r="K41" t="s">
        <v>46</v>
      </c>
      <c r="L41" t="s">
        <v>47</v>
      </c>
      <c r="M41" t="str">
        <f>IF(Table1[[#This Row],[used]], _xlfn.CONCAT("🆔 ", Table1[[#This Row],[variable]], ": ",Table1[[#This Row],[alias]]), "")</f>
        <v>🆔 B01001_039E: Female: 45 to 49 years</v>
      </c>
      <c r="O41" t="s">
        <v>200</v>
      </c>
      <c r="P41" t="s">
        <v>48</v>
      </c>
      <c r="Q41" t="s">
        <v>41</v>
      </c>
      <c r="R41" t="s">
        <v>201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</row>
    <row r="42" spans="1:33" x14ac:dyDescent="0.25">
      <c r="A42" t="s">
        <v>33</v>
      </c>
      <c r="B42">
        <v>15</v>
      </c>
      <c r="C42" t="b">
        <v>1</v>
      </c>
      <c r="D42" t="s">
        <v>34</v>
      </c>
      <c r="E42" t="s">
        <v>43</v>
      </c>
      <c r="F42" t="s">
        <v>202</v>
      </c>
      <c r="G42" t="s">
        <v>203</v>
      </c>
      <c r="H42">
        <v>41</v>
      </c>
      <c r="I42" t="str">
        <f>IF(ISBLANK(Table1[[#This Row],[oid]]),"FALSE","TRUE")</f>
        <v>TRUE</v>
      </c>
      <c r="J42" t="str" cm="1">
        <f t="array" ref="J42">_xlfn.SWITCH(LEFT(Table1[[#This Row],[section]],1), "D", "Demographic", "S", "Social", "E", "Economic", "H", "Housing", "")</f>
        <v>Demographic</v>
      </c>
      <c r="K42" t="s">
        <v>46</v>
      </c>
      <c r="L42" t="s">
        <v>47</v>
      </c>
      <c r="M42" t="str">
        <f>IF(Table1[[#This Row],[used]], _xlfn.CONCAT("🆔 ", Table1[[#This Row],[variable]], ": ",Table1[[#This Row],[alias]]), "")</f>
        <v>🆔 B01001_040E: Female: 50 to 54 years</v>
      </c>
      <c r="O42" t="s">
        <v>204</v>
      </c>
      <c r="P42" t="s">
        <v>48</v>
      </c>
      <c r="Q42" t="s">
        <v>41</v>
      </c>
      <c r="R42" t="s">
        <v>205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</row>
    <row r="43" spans="1:33" x14ac:dyDescent="0.25">
      <c r="A43" t="s">
        <v>33</v>
      </c>
      <c r="B43">
        <v>15</v>
      </c>
      <c r="C43" t="b">
        <v>1</v>
      </c>
      <c r="D43" t="s">
        <v>34</v>
      </c>
      <c r="E43" t="s">
        <v>43</v>
      </c>
      <c r="F43" t="s">
        <v>206</v>
      </c>
      <c r="G43" t="s">
        <v>207</v>
      </c>
      <c r="H43">
        <v>42</v>
      </c>
      <c r="I43" t="str">
        <f>IF(ISBLANK(Table1[[#This Row],[oid]]),"FALSE","TRUE")</f>
        <v>TRUE</v>
      </c>
      <c r="J43" t="str" cm="1">
        <f t="array" ref="J43">_xlfn.SWITCH(LEFT(Table1[[#This Row],[section]],1), "D", "Demographic", "S", "Social", "E", "Economic", "H", "Housing", "")</f>
        <v>Demographic</v>
      </c>
      <c r="K43" t="s">
        <v>46</v>
      </c>
      <c r="L43" t="s">
        <v>47</v>
      </c>
      <c r="M43" t="str">
        <f>IF(Table1[[#This Row],[used]], _xlfn.CONCAT("🆔 ", Table1[[#This Row],[variable]], ": ",Table1[[#This Row],[alias]]), "")</f>
        <v>🆔 B01001_041E: Female: 55 to 59 years</v>
      </c>
      <c r="O43" t="s">
        <v>208</v>
      </c>
      <c r="P43" t="s">
        <v>48</v>
      </c>
      <c r="Q43" t="s">
        <v>41</v>
      </c>
      <c r="R43" t="s">
        <v>209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</row>
    <row r="44" spans="1:33" x14ac:dyDescent="0.25">
      <c r="A44" t="s">
        <v>33</v>
      </c>
      <c r="B44">
        <v>15</v>
      </c>
      <c r="C44" t="b">
        <v>1</v>
      </c>
      <c r="D44" t="s">
        <v>34</v>
      </c>
      <c r="E44" t="s">
        <v>43</v>
      </c>
      <c r="F44" t="s">
        <v>210</v>
      </c>
      <c r="G44" t="s">
        <v>211</v>
      </c>
      <c r="H44">
        <v>43</v>
      </c>
      <c r="I44" t="str">
        <f>IF(ISBLANK(Table1[[#This Row],[oid]]),"FALSE","TRUE")</f>
        <v>TRUE</v>
      </c>
      <c r="J44" t="str" cm="1">
        <f t="array" ref="J44">_xlfn.SWITCH(LEFT(Table1[[#This Row],[section]],1), "D", "Demographic", "S", "Social", "E", "Economic", "H", "Housing", "")</f>
        <v>Demographic</v>
      </c>
      <c r="K44" t="s">
        <v>46</v>
      </c>
      <c r="L44" t="s">
        <v>47</v>
      </c>
      <c r="M44" t="str">
        <f>IF(Table1[[#This Row],[used]], _xlfn.CONCAT("🆔 ", Table1[[#This Row],[variable]], ": ",Table1[[#This Row],[alias]]), "")</f>
        <v>🆔 B01001_042E: Female: 60 and 61 years</v>
      </c>
      <c r="O44" t="s">
        <v>212</v>
      </c>
      <c r="P44" t="s">
        <v>48</v>
      </c>
      <c r="Q44" t="s">
        <v>41</v>
      </c>
      <c r="R44" t="s">
        <v>213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</row>
    <row r="45" spans="1:33" x14ac:dyDescent="0.25">
      <c r="A45" t="s">
        <v>33</v>
      </c>
      <c r="B45">
        <v>15</v>
      </c>
      <c r="C45" t="b">
        <v>1</v>
      </c>
      <c r="D45" t="s">
        <v>34</v>
      </c>
      <c r="E45" t="s">
        <v>43</v>
      </c>
      <c r="F45" t="s">
        <v>214</v>
      </c>
      <c r="G45" t="s">
        <v>215</v>
      </c>
      <c r="H45">
        <v>44</v>
      </c>
      <c r="I45" t="str">
        <f>IF(ISBLANK(Table1[[#This Row],[oid]]),"FALSE","TRUE")</f>
        <v>TRUE</v>
      </c>
      <c r="J45" t="str" cm="1">
        <f t="array" ref="J45">_xlfn.SWITCH(LEFT(Table1[[#This Row],[section]],1), "D", "Demographic", "S", "Social", "E", "Economic", "H", "Housing", "")</f>
        <v>Demographic</v>
      </c>
      <c r="K45" t="s">
        <v>46</v>
      </c>
      <c r="L45" t="s">
        <v>47</v>
      </c>
      <c r="M45" t="str">
        <f>IF(Table1[[#This Row],[used]], _xlfn.CONCAT("🆔 ", Table1[[#This Row],[variable]], ": ",Table1[[#This Row],[alias]]), "")</f>
        <v>🆔 B01001_043E: Female: 62 to 64 years</v>
      </c>
      <c r="O45" t="s">
        <v>216</v>
      </c>
      <c r="P45" t="s">
        <v>48</v>
      </c>
      <c r="Q45" t="s">
        <v>41</v>
      </c>
      <c r="R45" t="s">
        <v>217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</row>
    <row r="46" spans="1:33" x14ac:dyDescent="0.25">
      <c r="A46" t="s">
        <v>33</v>
      </c>
      <c r="B46">
        <v>15</v>
      </c>
      <c r="C46" t="b">
        <v>1</v>
      </c>
      <c r="D46" t="s">
        <v>34</v>
      </c>
      <c r="E46" t="s">
        <v>43</v>
      </c>
      <c r="F46" t="s">
        <v>218</v>
      </c>
      <c r="G46" t="s">
        <v>219</v>
      </c>
      <c r="H46">
        <v>45</v>
      </c>
      <c r="I46" t="str">
        <f>IF(ISBLANK(Table1[[#This Row],[oid]]),"FALSE","TRUE")</f>
        <v>TRUE</v>
      </c>
      <c r="J46" t="str" cm="1">
        <f t="array" ref="J46">_xlfn.SWITCH(LEFT(Table1[[#This Row],[section]],1), "D", "Demographic", "S", "Social", "E", "Economic", "H", "Housing", "")</f>
        <v>Demographic</v>
      </c>
      <c r="K46" t="s">
        <v>46</v>
      </c>
      <c r="L46" t="s">
        <v>47</v>
      </c>
      <c r="M46" t="str">
        <f>IF(Table1[[#This Row],[used]], _xlfn.CONCAT("🆔 ", Table1[[#This Row],[variable]], ": ",Table1[[#This Row],[alias]]), "")</f>
        <v>🆔 B01001_044E: Female: 65 and 66 years</v>
      </c>
      <c r="O46" t="s">
        <v>220</v>
      </c>
      <c r="P46" t="s">
        <v>48</v>
      </c>
      <c r="Q46" t="s">
        <v>41</v>
      </c>
      <c r="R46" t="s">
        <v>221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</row>
    <row r="47" spans="1:33" x14ac:dyDescent="0.25">
      <c r="A47" t="s">
        <v>33</v>
      </c>
      <c r="B47">
        <v>15</v>
      </c>
      <c r="C47" t="b">
        <v>1</v>
      </c>
      <c r="D47" t="s">
        <v>34</v>
      </c>
      <c r="E47" t="s">
        <v>43</v>
      </c>
      <c r="F47" t="s">
        <v>222</v>
      </c>
      <c r="G47" t="s">
        <v>223</v>
      </c>
      <c r="H47">
        <v>46</v>
      </c>
      <c r="I47" t="str">
        <f>IF(ISBLANK(Table1[[#This Row],[oid]]),"FALSE","TRUE")</f>
        <v>TRUE</v>
      </c>
      <c r="J47" t="str" cm="1">
        <f t="array" ref="J47">_xlfn.SWITCH(LEFT(Table1[[#This Row],[section]],1), "D", "Demographic", "S", "Social", "E", "Economic", "H", "Housing", "")</f>
        <v>Demographic</v>
      </c>
      <c r="K47" t="s">
        <v>46</v>
      </c>
      <c r="L47" t="s">
        <v>47</v>
      </c>
      <c r="M47" t="str">
        <f>IF(Table1[[#This Row],[used]], _xlfn.CONCAT("🆔 ", Table1[[#This Row],[variable]], ": ",Table1[[#This Row],[alias]]), "")</f>
        <v>🆔 B01001_045E: Female: 67 to 69 years</v>
      </c>
      <c r="O47" t="s">
        <v>224</v>
      </c>
      <c r="P47" t="s">
        <v>48</v>
      </c>
      <c r="Q47" t="s">
        <v>41</v>
      </c>
      <c r="R47" t="s">
        <v>225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</row>
    <row r="48" spans="1:33" x14ac:dyDescent="0.25">
      <c r="A48" t="s">
        <v>33</v>
      </c>
      <c r="B48">
        <v>15</v>
      </c>
      <c r="C48" t="b">
        <v>1</v>
      </c>
      <c r="D48" t="s">
        <v>34</v>
      </c>
      <c r="E48" t="s">
        <v>43</v>
      </c>
      <c r="F48" t="s">
        <v>226</v>
      </c>
      <c r="G48" t="s">
        <v>227</v>
      </c>
      <c r="H48">
        <v>47</v>
      </c>
      <c r="I48" t="str">
        <f>IF(ISBLANK(Table1[[#This Row],[oid]]),"FALSE","TRUE")</f>
        <v>TRUE</v>
      </c>
      <c r="J48" t="str" cm="1">
        <f t="array" ref="J48">_xlfn.SWITCH(LEFT(Table1[[#This Row],[section]],1), "D", "Demographic", "S", "Social", "E", "Economic", "H", "Housing", "")</f>
        <v>Demographic</v>
      </c>
      <c r="K48" t="s">
        <v>46</v>
      </c>
      <c r="L48" t="s">
        <v>47</v>
      </c>
      <c r="M48" t="str">
        <f>IF(Table1[[#This Row],[used]], _xlfn.CONCAT("🆔 ", Table1[[#This Row],[variable]], ": ",Table1[[#This Row],[alias]]), "")</f>
        <v>🆔 B01001_046E: Female: 70 to 74 years</v>
      </c>
      <c r="O48" t="s">
        <v>228</v>
      </c>
      <c r="P48" t="s">
        <v>48</v>
      </c>
      <c r="Q48" t="s">
        <v>41</v>
      </c>
      <c r="R48" t="s">
        <v>229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</row>
    <row r="49" spans="1:33" x14ac:dyDescent="0.25">
      <c r="A49" t="s">
        <v>33</v>
      </c>
      <c r="B49">
        <v>15</v>
      </c>
      <c r="C49" t="b">
        <v>1</v>
      </c>
      <c r="D49" t="s">
        <v>34</v>
      </c>
      <c r="E49" t="s">
        <v>43</v>
      </c>
      <c r="F49" t="s">
        <v>230</v>
      </c>
      <c r="G49" t="s">
        <v>231</v>
      </c>
      <c r="H49">
        <v>48</v>
      </c>
      <c r="I49" t="str">
        <f>IF(ISBLANK(Table1[[#This Row],[oid]]),"FALSE","TRUE")</f>
        <v>TRUE</v>
      </c>
      <c r="J49" t="str" cm="1">
        <f t="array" ref="J49">_xlfn.SWITCH(LEFT(Table1[[#This Row],[section]],1), "D", "Demographic", "S", "Social", "E", "Economic", "H", "Housing", "")</f>
        <v>Demographic</v>
      </c>
      <c r="K49" t="s">
        <v>46</v>
      </c>
      <c r="L49" t="s">
        <v>47</v>
      </c>
      <c r="M49" t="str">
        <f>IF(Table1[[#This Row],[used]], _xlfn.CONCAT("🆔 ", Table1[[#This Row],[variable]], ": ",Table1[[#This Row],[alias]]), "")</f>
        <v>🆔 B01001_047E: Female: 75 to 79 years</v>
      </c>
      <c r="O49" t="s">
        <v>232</v>
      </c>
      <c r="P49" t="s">
        <v>48</v>
      </c>
      <c r="Q49" t="s">
        <v>41</v>
      </c>
      <c r="R49" t="s">
        <v>233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</row>
    <row r="50" spans="1:33" x14ac:dyDescent="0.25">
      <c r="A50" t="s">
        <v>33</v>
      </c>
      <c r="B50">
        <v>15</v>
      </c>
      <c r="C50" t="b">
        <v>1</v>
      </c>
      <c r="D50" t="s">
        <v>34</v>
      </c>
      <c r="E50" t="s">
        <v>43</v>
      </c>
      <c r="F50" t="s">
        <v>234</v>
      </c>
      <c r="G50" t="s">
        <v>235</v>
      </c>
      <c r="H50">
        <v>49</v>
      </c>
      <c r="I50" t="str">
        <f>IF(ISBLANK(Table1[[#This Row],[oid]]),"FALSE","TRUE")</f>
        <v>TRUE</v>
      </c>
      <c r="J50" t="str" cm="1">
        <f t="array" ref="J50">_xlfn.SWITCH(LEFT(Table1[[#This Row],[section]],1), "D", "Demographic", "S", "Social", "E", "Economic", "H", "Housing", "")</f>
        <v>Demographic</v>
      </c>
      <c r="K50" t="s">
        <v>46</v>
      </c>
      <c r="L50" t="s">
        <v>47</v>
      </c>
      <c r="M50" t="str">
        <f>IF(Table1[[#This Row],[used]], _xlfn.CONCAT("🆔 ", Table1[[#This Row],[variable]], ": ",Table1[[#This Row],[alias]]), "")</f>
        <v>🆔 B01001_048E: Female: 80 to 84 years</v>
      </c>
      <c r="O50" t="s">
        <v>236</v>
      </c>
      <c r="P50" t="s">
        <v>48</v>
      </c>
      <c r="Q50" t="s">
        <v>41</v>
      </c>
      <c r="R50" t="s">
        <v>237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  <c r="Z50" t="b">
        <v>1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</row>
    <row r="51" spans="1:33" x14ac:dyDescent="0.25">
      <c r="A51" t="s">
        <v>33</v>
      </c>
      <c r="B51">
        <v>15</v>
      </c>
      <c r="C51" t="b">
        <v>1</v>
      </c>
      <c r="D51" t="s">
        <v>34</v>
      </c>
      <c r="E51" t="s">
        <v>43</v>
      </c>
      <c r="F51" t="s">
        <v>238</v>
      </c>
      <c r="G51" t="s">
        <v>239</v>
      </c>
      <c r="H51">
        <v>50</v>
      </c>
      <c r="I51" t="str">
        <f>IF(ISBLANK(Table1[[#This Row],[oid]]),"FALSE","TRUE")</f>
        <v>TRUE</v>
      </c>
      <c r="J51" t="str" cm="1">
        <f t="array" ref="J51">_xlfn.SWITCH(LEFT(Table1[[#This Row],[section]],1), "D", "Demographic", "S", "Social", "E", "Economic", "H", "Housing", "")</f>
        <v>Demographic</v>
      </c>
      <c r="K51" t="s">
        <v>46</v>
      </c>
      <c r="L51" t="s">
        <v>47</v>
      </c>
      <c r="M51" t="str">
        <f>IF(Table1[[#This Row],[used]], _xlfn.CONCAT("🆔 ", Table1[[#This Row],[variable]], ": ",Table1[[#This Row],[alias]]), "")</f>
        <v>🆔 B01001_049E: Female: 85 years and over</v>
      </c>
      <c r="O51" t="s">
        <v>240</v>
      </c>
      <c r="P51" t="s">
        <v>48</v>
      </c>
      <c r="Q51" t="s">
        <v>41</v>
      </c>
      <c r="R51" t="s">
        <v>241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</row>
    <row r="52" spans="1:33" x14ac:dyDescent="0.25">
      <c r="A52" t="s">
        <v>33</v>
      </c>
      <c r="B52">
        <v>15</v>
      </c>
      <c r="C52" t="b">
        <v>1</v>
      </c>
      <c r="D52" t="s">
        <v>34</v>
      </c>
      <c r="E52" t="s">
        <v>242</v>
      </c>
      <c r="F52" t="s">
        <v>243</v>
      </c>
      <c r="G52" t="s">
        <v>244</v>
      </c>
      <c r="H52">
        <v>51</v>
      </c>
      <c r="I52" t="str">
        <f>IF(ISBLANK(Table1[[#This Row],[oid]]),"FALSE","TRUE")</f>
        <v>TRUE</v>
      </c>
      <c r="J52" t="str" cm="1">
        <f t="array" ref="J52">_xlfn.SWITCH(LEFT(Table1[[#This Row],[section]],1), "D", "Demographic", "S", "Social", "E", "Economic", "H", "Housing", "")</f>
        <v>Demographic</v>
      </c>
      <c r="K52" t="s">
        <v>245</v>
      </c>
      <c r="L52" t="s">
        <v>246</v>
      </c>
      <c r="M52" t="str">
        <f>IF(Table1[[#This Row],[used]], _xlfn.CONCAT("🆔 ", Table1[[#This Row],[variable]], ": ",Table1[[#This Row],[alias]]), "")</f>
        <v>🆔 B01002_001E: Total Population (Median Age)</v>
      </c>
      <c r="O52" t="s">
        <v>247</v>
      </c>
      <c r="P52" t="s">
        <v>248</v>
      </c>
      <c r="Q52" t="s">
        <v>249</v>
      </c>
      <c r="R52" t="s">
        <v>250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  <c r="Z52" t="b">
        <v>1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</row>
    <row r="53" spans="1:33" x14ac:dyDescent="0.25">
      <c r="A53" t="s">
        <v>33</v>
      </c>
      <c r="B53">
        <v>15</v>
      </c>
      <c r="C53" t="b">
        <v>1</v>
      </c>
      <c r="D53" t="s">
        <v>34</v>
      </c>
      <c r="E53" t="s">
        <v>242</v>
      </c>
      <c r="F53" t="s">
        <v>251</v>
      </c>
      <c r="G53" t="s">
        <v>252</v>
      </c>
      <c r="H53">
        <v>52</v>
      </c>
      <c r="I53" t="str">
        <f>IF(ISBLANK(Table1[[#This Row],[oid]]),"FALSE","TRUE")</f>
        <v>TRUE</v>
      </c>
      <c r="J53" t="str" cm="1">
        <f t="array" ref="J53">_xlfn.SWITCH(LEFT(Table1[[#This Row],[section]],1), "D", "Demographic", "S", "Social", "E", "Economic", "H", "Housing", "")</f>
        <v>Demographic</v>
      </c>
      <c r="K53" t="s">
        <v>245</v>
      </c>
      <c r="L53" t="s">
        <v>246</v>
      </c>
      <c r="M53" t="str">
        <f>IF(Table1[[#This Row],[used]], _xlfn.CONCAT("🆔 ", Table1[[#This Row],[variable]], ": ",Table1[[#This Row],[alias]]), "")</f>
        <v>🆔 B01002_002E: Median age: Male</v>
      </c>
      <c r="O53" t="s">
        <v>253</v>
      </c>
      <c r="P53" t="s">
        <v>248</v>
      </c>
      <c r="Q53" t="s">
        <v>249</v>
      </c>
      <c r="R53" t="s">
        <v>254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  <c r="X53" t="b">
        <v>1</v>
      </c>
      <c r="Y53" t="b">
        <v>1</v>
      </c>
      <c r="Z53" t="b">
        <v>1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</row>
    <row r="54" spans="1:33" x14ac:dyDescent="0.25">
      <c r="A54" t="s">
        <v>33</v>
      </c>
      <c r="B54">
        <v>15</v>
      </c>
      <c r="C54" t="b">
        <v>1</v>
      </c>
      <c r="D54" t="s">
        <v>34</v>
      </c>
      <c r="E54" t="s">
        <v>242</v>
      </c>
      <c r="F54" t="s">
        <v>255</v>
      </c>
      <c r="G54" t="s">
        <v>256</v>
      </c>
      <c r="H54">
        <v>53</v>
      </c>
      <c r="I54" t="str">
        <f>IF(ISBLANK(Table1[[#This Row],[oid]]),"FALSE","TRUE")</f>
        <v>TRUE</v>
      </c>
      <c r="J54" t="str" cm="1">
        <f t="array" ref="J54">_xlfn.SWITCH(LEFT(Table1[[#This Row],[section]],1), "D", "Demographic", "S", "Social", "E", "Economic", "H", "Housing", "")</f>
        <v>Demographic</v>
      </c>
      <c r="K54" t="s">
        <v>245</v>
      </c>
      <c r="L54" t="s">
        <v>246</v>
      </c>
      <c r="M54" t="str">
        <f>IF(Table1[[#This Row],[used]], _xlfn.CONCAT("🆔 ", Table1[[#This Row],[variable]], ": ",Table1[[#This Row],[alias]]), "")</f>
        <v>🆔 B01002_003E: Median age: Female</v>
      </c>
      <c r="O54" t="s">
        <v>257</v>
      </c>
      <c r="P54" t="s">
        <v>248</v>
      </c>
      <c r="Q54" t="s">
        <v>249</v>
      </c>
      <c r="R54" t="s">
        <v>258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</row>
    <row r="55" spans="1:33" x14ac:dyDescent="0.25">
      <c r="A55" t="s">
        <v>33</v>
      </c>
      <c r="B55">
        <v>15</v>
      </c>
      <c r="C55" t="b">
        <v>1</v>
      </c>
      <c r="D55" t="s">
        <v>34</v>
      </c>
      <c r="E55" t="s">
        <v>259</v>
      </c>
      <c r="F55" t="s">
        <v>260</v>
      </c>
      <c r="G55" t="s">
        <v>261</v>
      </c>
      <c r="H55">
        <v>54</v>
      </c>
      <c r="I55" t="str">
        <f>IF(ISBLANK(Table1[[#This Row],[oid]]),"FALSE","TRUE")</f>
        <v>TRUE</v>
      </c>
      <c r="J55" t="str" cm="1">
        <f t="array" ref="J55">_xlfn.SWITCH(LEFT(Table1[[#This Row],[section]],1), "D", "Demographic", "S", "Social", "E", "Economic", "H", "Housing", "")</f>
        <v>Demographic</v>
      </c>
      <c r="K55" t="s">
        <v>245</v>
      </c>
      <c r="L55" t="s">
        <v>246</v>
      </c>
      <c r="M55" t="str">
        <f>IF(Table1[[#This Row],[used]], _xlfn.CONCAT("🆔 ", Table1[[#This Row],[variable]], ": ",Table1[[#This Row],[alias]]), "")</f>
        <v>🆔 B01002A_001E: Median age: White alone</v>
      </c>
      <c r="O55" t="s">
        <v>247</v>
      </c>
      <c r="P55" t="s">
        <v>262</v>
      </c>
      <c r="Q55" t="s">
        <v>249</v>
      </c>
      <c r="R55" t="s">
        <v>263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</row>
    <row r="56" spans="1:33" x14ac:dyDescent="0.25">
      <c r="A56" t="s">
        <v>33</v>
      </c>
      <c r="B56">
        <v>15</v>
      </c>
      <c r="C56" t="b">
        <v>1</v>
      </c>
      <c r="D56" t="s">
        <v>34</v>
      </c>
      <c r="E56" t="s">
        <v>264</v>
      </c>
      <c r="F56" t="s">
        <v>265</v>
      </c>
      <c r="G56" t="s">
        <v>266</v>
      </c>
      <c r="H56">
        <v>55</v>
      </c>
      <c r="I56" t="str">
        <f>IF(ISBLANK(Table1[[#This Row],[oid]]),"FALSE","TRUE")</f>
        <v>TRUE</v>
      </c>
      <c r="J56" t="str" cm="1">
        <f t="array" ref="J56">_xlfn.SWITCH(LEFT(Table1[[#This Row],[section]],1), "D", "Demographic", "S", "Social", "E", "Economic", "H", "Housing", "")</f>
        <v>Demographic</v>
      </c>
      <c r="K56" t="s">
        <v>245</v>
      </c>
      <c r="L56" t="s">
        <v>246</v>
      </c>
      <c r="M56" t="str">
        <f>IF(Table1[[#This Row],[used]], _xlfn.CONCAT("🆔 ", Table1[[#This Row],[variable]], ": ",Table1[[#This Row],[alias]]), "")</f>
        <v>🆔 B01002B_001E: Median age: Black or African American alone</v>
      </c>
      <c r="O56" t="s">
        <v>247</v>
      </c>
      <c r="P56" t="s">
        <v>267</v>
      </c>
      <c r="Q56" t="s">
        <v>249</v>
      </c>
      <c r="R56" t="s">
        <v>268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  <c r="X56" t="b">
        <v>1</v>
      </c>
      <c r="Y56" t="b">
        <v>1</v>
      </c>
      <c r="Z56" t="b">
        <v>1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</row>
    <row r="57" spans="1:33" x14ac:dyDescent="0.25">
      <c r="A57" t="s">
        <v>33</v>
      </c>
      <c r="B57">
        <v>15</v>
      </c>
      <c r="C57" t="b">
        <v>1</v>
      </c>
      <c r="D57" t="s">
        <v>34</v>
      </c>
      <c r="E57" t="s">
        <v>269</v>
      </c>
      <c r="F57" t="s">
        <v>270</v>
      </c>
      <c r="G57" t="s">
        <v>271</v>
      </c>
      <c r="H57">
        <v>56</v>
      </c>
      <c r="I57" t="str">
        <f>IF(ISBLANK(Table1[[#This Row],[oid]]),"FALSE","TRUE")</f>
        <v>TRUE</v>
      </c>
      <c r="J57" t="str" cm="1">
        <f t="array" ref="J57">_xlfn.SWITCH(LEFT(Table1[[#This Row],[section]],1), "D", "Demographic", "S", "Social", "E", "Economic", "H", "Housing", "")</f>
        <v>Demographic</v>
      </c>
      <c r="K57" t="s">
        <v>245</v>
      </c>
      <c r="L57" t="s">
        <v>246</v>
      </c>
      <c r="M57" t="str">
        <f>IF(Table1[[#This Row],[used]], _xlfn.CONCAT("🆔 ", Table1[[#This Row],[variable]], ": ",Table1[[#This Row],[alias]]), "")</f>
        <v>🆔 B01002C_001E: Median age: American Indian and Alaska Native alone</v>
      </c>
      <c r="O57" t="s">
        <v>247</v>
      </c>
      <c r="P57" t="s">
        <v>272</v>
      </c>
      <c r="Q57" t="s">
        <v>249</v>
      </c>
      <c r="R57" t="s">
        <v>273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</row>
    <row r="58" spans="1:33" x14ac:dyDescent="0.25">
      <c r="A58" t="s">
        <v>33</v>
      </c>
      <c r="B58">
        <v>15</v>
      </c>
      <c r="C58" t="b">
        <v>1</v>
      </c>
      <c r="D58" t="s">
        <v>34</v>
      </c>
      <c r="E58" t="s">
        <v>274</v>
      </c>
      <c r="F58" t="s">
        <v>275</v>
      </c>
      <c r="G58" t="s">
        <v>276</v>
      </c>
      <c r="H58">
        <v>57</v>
      </c>
      <c r="I58" t="str">
        <f>IF(ISBLANK(Table1[[#This Row],[oid]]),"FALSE","TRUE")</f>
        <v>TRUE</v>
      </c>
      <c r="J58" t="str" cm="1">
        <f t="array" ref="J58">_xlfn.SWITCH(LEFT(Table1[[#This Row],[section]],1), "D", "Demographic", "S", "Social", "E", "Economic", "H", "Housing", "")</f>
        <v>Demographic</v>
      </c>
      <c r="K58" t="s">
        <v>245</v>
      </c>
      <c r="L58" t="s">
        <v>246</v>
      </c>
      <c r="M58" t="str">
        <f>IF(Table1[[#This Row],[used]], _xlfn.CONCAT("🆔 ", Table1[[#This Row],[variable]], ": ",Table1[[#This Row],[alias]]), "")</f>
        <v>🆔 B01002D_001E: Median age: Asian alone</v>
      </c>
      <c r="O58" t="s">
        <v>247</v>
      </c>
      <c r="P58" t="s">
        <v>277</v>
      </c>
      <c r="Q58" t="s">
        <v>249</v>
      </c>
      <c r="R58" t="s">
        <v>278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</row>
    <row r="59" spans="1:33" x14ac:dyDescent="0.25">
      <c r="A59" t="s">
        <v>33</v>
      </c>
      <c r="B59">
        <v>15</v>
      </c>
      <c r="C59" t="b">
        <v>1</v>
      </c>
      <c r="D59" t="s">
        <v>34</v>
      </c>
      <c r="E59" t="s">
        <v>279</v>
      </c>
      <c r="F59" t="s">
        <v>280</v>
      </c>
      <c r="G59" t="s">
        <v>281</v>
      </c>
      <c r="H59">
        <v>58</v>
      </c>
      <c r="I59" t="str">
        <f>IF(ISBLANK(Table1[[#This Row],[oid]]),"FALSE","TRUE")</f>
        <v>TRUE</v>
      </c>
      <c r="J59" t="str" cm="1">
        <f t="array" ref="J59">_xlfn.SWITCH(LEFT(Table1[[#This Row],[section]],1), "D", "Demographic", "S", "Social", "E", "Economic", "H", "Housing", "")</f>
        <v>Demographic</v>
      </c>
      <c r="K59" t="s">
        <v>245</v>
      </c>
      <c r="L59" t="s">
        <v>246</v>
      </c>
      <c r="M59" t="str">
        <f>IF(Table1[[#This Row],[used]], _xlfn.CONCAT("🆔 ", Table1[[#This Row],[variable]], ": ",Table1[[#This Row],[alias]]), "")</f>
        <v>🆔 B01002E_001E: Median age: Native Hawaiian and Other Pacific Islander alone</v>
      </c>
      <c r="O59" t="s">
        <v>247</v>
      </c>
      <c r="P59" t="s">
        <v>282</v>
      </c>
      <c r="Q59" t="s">
        <v>249</v>
      </c>
      <c r="R59" t="s">
        <v>283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  <c r="X59" t="b">
        <v>1</v>
      </c>
      <c r="Y59" t="b">
        <v>1</v>
      </c>
      <c r="Z59" t="b">
        <v>1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</row>
    <row r="60" spans="1:33" x14ac:dyDescent="0.25">
      <c r="A60" t="s">
        <v>33</v>
      </c>
      <c r="B60">
        <v>15</v>
      </c>
      <c r="C60" t="b">
        <v>1</v>
      </c>
      <c r="D60" t="s">
        <v>34</v>
      </c>
      <c r="E60" t="s">
        <v>284</v>
      </c>
      <c r="F60" t="s">
        <v>285</v>
      </c>
      <c r="G60" t="s">
        <v>286</v>
      </c>
      <c r="H60">
        <v>59</v>
      </c>
      <c r="I60" t="str">
        <f>IF(ISBLANK(Table1[[#This Row],[oid]]),"FALSE","TRUE")</f>
        <v>TRUE</v>
      </c>
      <c r="J60" t="str" cm="1">
        <f t="array" ref="J60">_xlfn.SWITCH(LEFT(Table1[[#This Row],[section]],1), "D", "Demographic", "S", "Social", "E", "Economic", "H", "Housing", "")</f>
        <v>Demographic</v>
      </c>
      <c r="K60" t="s">
        <v>245</v>
      </c>
      <c r="L60" t="s">
        <v>246</v>
      </c>
      <c r="M60" t="str">
        <f>IF(Table1[[#This Row],[used]], _xlfn.CONCAT("🆔 ", Table1[[#This Row],[variable]], ": ",Table1[[#This Row],[alias]]), "")</f>
        <v>🆔 B01002F_001E: Median age: Some Other Race alone</v>
      </c>
      <c r="O60" t="s">
        <v>247</v>
      </c>
      <c r="P60" t="s">
        <v>287</v>
      </c>
      <c r="Q60" t="s">
        <v>249</v>
      </c>
      <c r="R60" t="s">
        <v>288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  <c r="X60" t="b">
        <v>1</v>
      </c>
      <c r="Y60" t="b">
        <v>1</v>
      </c>
      <c r="Z60" t="b">
        <v>1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</row>
    <row r="61" spans="1:33" x14ac:dyDescent="0.25">
      <c r="A61" t="s">
        <v>33</v>
      </c>
      <c r="B61">
        <v>15</v>
      </c>
      <c r="C61" t="b">
        <v>1</v>
      </c>
      <c r="D61" t="s">
        <v>34</v>
      </c>
      <c r="E61" t="s">
        <v>289</v>
      </c>
      <c r="F61" t="s">
        <v>290</v>
      </c>
      <c r="G61" t="s">
        <v>291</v>
      </c>
      <c r="H61">
        <v>60</v>
      </c>
      <c r="I61" t="str">
        <f>IF(ISBLANK(Table1[[#This Row],[oid]]),"FALSE","TRUE")</f>
        <v>TRUE</v>
      </c>
      <c r="J61" t="str" cm="1">
        <f t="array" ref="J61">_xlfn.SWITCH(LEFT(Table1[[#This Row],[section]],1), "D", "Demographic", "S", "Social", "E", "Economic", "H", "Housing", "")</f>
        <v>Demographic</v>
      </c>
      <c r="K61" t="s">
        <v>245</v>
      </c>
      <c r="L61" t="s">
        <v>246</v>
      </c>
      <c r="M61" t="str">
        <f>IF(Table1[[#This Row],[used]], _xlfn.CONCAT("🆔 ", Table1[[#This Row],[variable]], ": ",Table1[[#This Row],[alias]]), "")</f>
        <v>🆔 B01002G_001E: Median age: Two or More Races</v>
      </c>
      <c r="O61" t="s">
        <v>247</v>
      </c>
      <c r="P61" t="s">
        <v>292</v>
      </c>
      <c r="Q61" t="s">
        <v>249</v>
      </c>
      <c r="R61" t="s">
        <v>293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</row>
    <row r="62" spans="1:33" x14ac:dyDescent="0.25">
      <c r="A62" t="s">
        <v>33</v>
      </c>
      <c r="B62">
        <v>15</v>
      </c>
      <c r="C62" t="b">
        <v>1</v>
      </c>
      <c r="D62" t="s">
        <v>34</v>
      </c>
      <c r="E62" t="s">
        <v>294</v>
      </c>
      <c r="F62" t="s">
        <v>295</v>
      </c>
      <c r="G62" t="s">
        <v>296</v>
      </c>
      <c r="H62">
        <v>61</v>
      </c>
      <c r="I62" t="str">
        <f>IF(ISBLANK(Table1[[#This Row],[oid]]),"FALSE","TRUE")</f>
        <v>TRUE</v>
      </c>
      <c r="J62" t="str" cm="1">
        <f t="array" ref="J62">_xlfn.SWITCH(LEFT(Table1[[#This Row],[section]],1), "D", "Demographic", "S", "Social", "E", "Economic", "H", "Housing", "")</f>
        <v>Demographic</v>
      </c>
      <c r="K62" t="s">
        <v>245</v>
      </c>
      <c r="L62" t="s">
        <v>246</v>
      </c>
      <c r="M62" t="str">
        <f>IF(Table1[[#This Row],[used]], _xlfn.CONCAT("🆔 ", Table1[[#This Row],[variable]], ": ",Table1[[#This Row],[alias]]), "")</f>
        <v>🆔 B01002H_001E: Median age: White alone, not Hispanic or Latino</v>
      </c>
      <c r="O62" t="s">
        <v>247</v>
      </c>
      <c r="P62" t="s">
        <v>297</v>
      </c>
      <c r="Q62" t="s">
        <v>249</v>
      </c>
      <c r="R62" t="s">
        <v>298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  <c r="X62" t="b">
        <v>1</v>
      </c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</row>
    <row r="63" spans="1:33" x14ac:dyDescent="0.25">
      <c r="A63" t="s">
        <v>33</v>
      </c>
      <c r="B63">
        <v>15</v>
      </c>
      <c r="C63" t="b">
        <v>1</v>
      </c>
      <c r="D63" t="s">
        <v>34</v>
      </c>
      <c r="E63" t="s">
        <v>299</v>
      </c>
      <c r="F63" t="s">
        <v>300</v>
      </c>
      <c r="G63" t="s">
        <v>301</v>
      </c>
      <c r="H63">
        <v>62</v>
      </c>
      <c r="I63" t="str">
        <f>IF(ISBLANK(Table1[[#This Row],[oid]]),"FALSE","TRUE")</f>
        <v>TRUE</v>
      </c>
      <c r="J63" t="str" cm="1">
        <f t="array" ref="J63">_xlfn.SWITCH(LEFT(Table1[[#This Row],[section]],1), "D", "Demographic", "S", "Social", "E", "Economic", "H", "Housing", "")</f>
        <v>Demographic</v>
      </c>
      <c r="K63" t="s">
        <v>245</v>
      </c>
      <c r="L63" t="s">
        <v>246</v>
      </c>
      <c r="M63" t="str">
        <f>IF(Table1[[#This Row],[used]], _xlfn.CONCAT("🆔 ", Table1[[#This Row],[variable]], ": ",Table1[[#This Row],[alias]]), "")</f>
        <v>🆔 B01002I_001E: Median age: Hispanic or Latino</v>
      </c>
      <c r="O63" t="s">
        <v>247</v>
      </c>
      <c r="P63" t="s">
        <v>302</v>
      </c>
      <c r="Q63" t="s">
        <v>249</v>
      </c>
      <c r="R63" t="s">
        <v>303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  <c r="X63" t="b">
        <v>1</v>
      </c>
      <c r="Y63" t="b">
        <v>1</v>
      </c>
      <c r="Z63" t="b">
        <v>1</v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</row>
    <row r="64" spans="1:33" x14ac:dyDescent="0.25">
      <c r="A64" t="s">
        <v>33</v>
      </c>
      <c r="B64">
        <v>15</v>
      </c>
      <c r="C64" t="b">
        <v>1</v>
      </c>
      <c r="D64" t="s">
        <v>304</v>
      </c>
      <c r="E64" t="s">
        <v>305</v>
      </c>
      <c r="F64" t="s">
        <v>306</v>
      </c>
      <c r="G64" t="s">
        <v>307</v>
      </c>
      <c r="H64">
        <v>63</v>
      </c>
      <c r="I64" t="str">
        <f>IF(ISBLANK(Table1[[#This Row],[oid]]),"FALSE","TRUE")</f>
        <v>TRUE</v>
      </c>
      <c r="J64" t="str" cm="1">
        <f t="array" ref="J64">_xlfn.SWITCH(LEFT(Table1[[#This Row],[section]],1), "D", "Demographic", "S", "Social", "E", "Economic", "H", "Housing", "")</f>
        <v>Demographic</v>
      </c>
      <c r="K64" t="s">
        <v>308</v>
      </c>
      <c r="L64" t="s">
        <v>309</v>
      </c>
      <c r="M64" t="str">
        <f>IF(Table1[[#This Row],[used]], _xlfn.CONCAT("🆔 ", Table1[[#This Row],[variable]], ": ",Table1[[#This Row],[alias]]), "")</f>
        <v>🆔 B02001_001E: Total Population (Race)</v>
      </c>
      <c r="O64" t="s">
        <v>39</v>
      </c>
      <c r="P64" t="s">
        <v>310</v>
      </c>
      <c r="Q64" t="s">
        <v>41</v>
      </c>
      <c r="R64" t="s">
        <v>311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  <c r="X64" t="b">
        <v>1</v>
      </c>
      <c r="Y64" t="b">
        <v>1</v>
      </c>
      <c r="Z64" t="b">
        <v>1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</row>
    <row r="65" spans="1:33" x14ac:dyDescent="0.25">
      <c r="A65" t="s">
        <v>33</v>
      </c>
      <c r="B65">
        <v>15</v>
      </c>
      <c r="C65" t="b">
        <v>1</v>
      </c>
      <c r="D65" t="s">
        <v>304</v>
      </c>
      <c r="E65" t="s">
        <v>305</v>
      </c>
      <c r="F65" t="s">
        <v>312</v>
      </c>
      <c r="G65" t="s">
        <v>313</v>
      </c>
      <c r="H65">
        <v>64</v>
      </c>
      <c r="I65" t="str">
        <f>IF(ISBLANK(Table1[[#This Row],[oid]]),"FALSE","TRUE")</f>
        <v>TRUE</v>
      </c>
      <c r="J65" t="str" cm="1">
        <f t="array" ref="J65">_xlfn.SWITCH(LEFT(Table1[[#This Row],[section]],1), "D", "Demographic", "S", "Social", "E", "Economic", "H", "Housing", "")</f>
        <v>Demographic</v>
      </c>
      <c r="K65" t="s">
        <v>308</v>
      </c>
      <c r="L65" t="s">
        <v>309</v>
      </c>
      <c r="M65" t="str">
        <f>IF(Table1[[#This Row],[used]], _xlfn.CONCAT("🆔 ", Table1[[#This Row],[variable]], ": ",Table1[[#This Row],[alias]]), "")</f>
        <v>🆔 B02001_002E: White alone</v>
      </c>
      <c r="O65" t="s">
        <v>314</v>
      </c>
      <c r="P65" t="s">
        <v>310</v>
      </c>
      <c r="Q65" t="s">
        <v>41</v>
      </c>
      <c r="R65" t="s">
        <v>315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  <c r="X65" t="b">
        <v>1</v>
      </c>
      <c r="Y65" t="b">
        <v>1</v>
      </c>
      <c r="Z65" t="b">
        <v>1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</row>
    <row r="66" spans="1:33" x14ac:dyDescent="0.25">
      <c r="A66" t="s">
        <v>33</v>
      </c>
      <c r="B66">
        <v>15</v>
      </c>
      <c r="C66" t="b">
        <v>1</v>
      </c>
      <c r="D66" t="s">
        <v>304</v>
      </c>
      <c r="E66" t="s">
        <v>305</v>
      </c>
      <c r="F66" t="s">
        <v>316</v>
      </c>
      <c r="G66" t="s">
        <v>317</v>
      </c>
      <c r="H66">
        <v>65</v>
      </c>
      <c r="I66" t="str">
        <f>IF(ISBLANK(Table1[[#This Row],[oid]]),"FALSE","TRUE")</f>
        <v>TRUE</v>
      </c>
      <c r="J66" t="str" cm="1">
        <f t="array" ref="J66">_xlfn.SWITCH(LEFT(Table1[[#This Row],[section]],1), "D", "Demographic", "S", "Social", "E", "Economic", "H", "Housing", "")</f>
        <v>Demographic</v>
      </c>
      <c r="K66" t="s">
        <v>308</v>
      </c>
      <c r="L66" t="s">
        <v>309</v>
      </c>
      <c r="M66" t="str">
        <f>IF(Table1[[#This Row],[used]], _xlfn.CONCAT("🆔 ", Table1[[#This Row],[variable]], ": ",Table1[[#This Row],[alias]]), "")</f>
        <v>🆔 B02001_003E: Black or African American alone</v>
      </c>
      <c r="O66" t="s">
        <v>318</v>
      </c>
      <c r="P66" t="s">
        <v>310</v>
      </c>
      <c r="Q66" t="s">
        <v>41</v>
      </c>
      <c r="R66" t="s">
        <v>319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</row>
    <row r="67" spans="1:33" x14ac:dyDescent="0.25">
      <c r="A67" t="s">
        <v>33</v>
      </c>
      <c r="B67">
        <v>15</v>
      </c>
      <c r="C67" t="b">
        <v>1</v>
      </c>
      <c r="D67" t="s">
        <v>304</v>
      </c>
      <c r="E67" t="s">
        <v>305</v>
      </c>
      <c r="F67" t="s">
        <v>320</v>
      </c>
      <c r="G67" t="s">
        <v>321</v>
      </c>
      <c r="H67">
        <v>66</v>
      </c>
      <c r="I67" t="str">
        <f>IF(ISBLANK(Table1[[#This Row],[oid]]),"FALSE","TRUE")</f>
        <v>TRUE</v>
      </c>
      <c r="J67" t="str" cm="1">
        <f t="array" ref="J67">_xlfn.SWITCH(LEFT(Table1[[#This Row],[section]],1), "D", "Demographic", "S", "Social", "E", "Economic", "H", "Housing", "")</f>
        <v>Demographic</v>
      </c>
      <c r="K67" t="s">
        <v>308</v>
      </c>
      <c r="L67" t="s">
        <v>309</v>
      </c>
      <c r="M67" t="str">
        <f>IF(Table1[[#This Row],[used]], _xlfn.CONCAT("🆔 ", Table1[[#This Row],[variable]], ": ",Table1[[#This Row],[alias]]), "")</f>
        <v>🆔 B02001_004E: American Indian and Alaska Native alone</v>
      </c>
      <c r="O67" t="s">
        <v>322</v>
      </c>
      <c r="P67" t="s">
        <v>310</v>
      </c>
      <c r="Q67" t="s">
        <v>41</v>
      </c>
      <c r="R67" t="s">
        <v>323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  <c r="X67" t="b">
        <v>1</v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</row>
    <row r="68" spans="1:33" x14ac:dyDescent="0.25">
      <c r="A68" t="s">
        <v>33</v>
      </c>
      <c r="B68">
        <v>15</v>
      </c>
      <c r="C68" t="b">
        <v>1</v>
      </c>
      <c r="D68" t="s">
        <v>304</v>
      </c>
      <c r="E68" t="s">
        <v>305</v>
      </c>
      <c r="F68" t="s">
        <v>324</v>
      </c>
      <c r="G68" t="s">
        <v>325</v>
      </c>
      <c r="H68">
        <v>67</v>
      </c>
      <c r="I68" t="str">
        <f>IF(ISBLANK(Table1[[#This Row],[oid]]),"FALSE","TRUE")</f>
        <v>TRUE</v>
      </c>
      <c r="J68" t="str" cm="1">
        <f t="array" ref="J68">_xlfn.SWITCH(LEFT(Table1[[#This Row],[section]],1), "D", "Demographic", "S", "Social", "E", "Economic", "H", "Housing", "")</f>
        <v>Demographic</v>
      </c>
      <c r="K68" t="s">
        <v>308</v>
      </c>
      <c r="L68" t="s">
        <v>309</v>
      </c>
      <c r="M68" t="str">
        <f>IF(Table1[[#This Row],[used]], _xlfn.CONCAT("🆔 ", Table1[[#This Row],[variable]], ": ",Table1[[#This Row],[alias]]), "")</f>
        <v>🆔 B02001_005E: Asian alone</v>
      </c>
      <c r="O68" t="s">
        <v>326</v>
      </c>
      <c r="P68" t="s">
        <v>310</v>
      </c>
      <c r="Q68" t="s">
        <v>41</v>
      </c>
      <c r="R68" t="s">
        <v>327</v>
      </c>
      <c r="S68" t="b">
        <v>1</v>
      </c>
      <c r="T68" t="b">
        <v>1</v>
      </c>
      <c r="U68" t="b">
        <v>1</v>
      </c>
      <c r="V68" t="b">
        <v>1</v>
      </c>
      <c r="W68" t="b">
        <v>1</v>
      </c>
      <c r="X68" t="b">
        <v>1</v>
      </c>
      <c r="Y68" t="b">
        <v>1</v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</row>
    <row r="69" spans="1:33" x14ac:dyDescent="0.25">
      <c r="A69" t="s">
        <v>33</v>
      </c>
      <c r="B69">
        <v>15</v>
      </c>
      <c r="C69" t="b">
        <v>1</v>
      </c>
      <c r="D69" t="s">
        <v>304</v>
      </c>
      <c r="E69" t="s">
        <v>305</v>
      </c>
      <c r="F69" t="s">
        <v>328</v>
      </c>
      <c r="G69" t="s">
        <v>329</v>
      </c>
      <c r="H69">
        <v>68</v>
      </c>
      <c r="I69" t="str">
        <f>IF(ISBLANK(Table1[[#This Row],[oid]]),"FALSE","TRUE")</f>
        <v>TRUE</v>
      </c>
      <c r="J69" t="str" cm="1">
        <f t="array" ref="J69">_xlfn.SWITCH(LEFT(Table1[[#This Row],[section]],1), "D", "Demographic", "S", "Social", "E", "Economic", "H", "Housing", "")</f>
        <v>Demographic</v>
      </c>
      <c r="K69" t="s">
        <v>308</v>
      </c>
      <c r="L69" t="s">
        <v>309</v>
      </c>
      <c r="M69" t="str">
        <f>IF(Table1[[#This Row],[used]], _xlfn.CONCAT("🆔 ", Table1[[#This Row],[variable]], ": ",Table1[[#This Row],[alias]]), "")</f>
        <v>🆔 B02001_006E: Native Hawaiian and Other Pacific Islander alone</v>
      </c>
      <c r="O69" t="s">
        <v>330</v>
      </c>
      <c r="P69" t="s">
        <v>310</v>
      </c>
      <c r="Q69" t="s">
        <v>41</v>
      </c>
      <c r="R69" t="s">
        <v>331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  <c r="X69" t="b">
        <v>1</v>
      </c>
      <c r="Y69" t="b">
        <v>1</v>
      </c>
      <c r="Z69" t="b">
        <v>1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</row>
    <row r="70" spans="1:33" x14ac:dyDescent="0.25">
      <c r="A70" t="s">
        <v>33</v>
      </c>
      <c r="B70">
        <v>15</v>
      </c>
      <c r="C70" t="b">
        <v>1</v>
      </c>
      <c r="D70" t="s">
        <v>304</v>
      </c>
      <c r="E70" t="s">
        <v>305</v>
      </c>
      <c r="F70" t="s">
        <v>332</v>
      </c>
      <c r="G70" t="s">
        <v>333</v>
      </c>
      <c r="H70">
        <v>69</v>
      </c>
      <c r="I70" t="str">
        <f>IF(ISBLANK(Table1[[#This Row],[oid]]),"FALSE","TRUE")</f>
        <v>TRUE</v>
      </c>
      <c r="J70" t="str" cm="1">
        <f t="array" ref="J70">_xlfn.SWITCH(LEFT(Table1[[#This Row],[section]],1), "D", "Demographic", "S", "Social", "E", "Economic", "H", "Housing", "")</f>
        <v>Demographic</v>
      </c>
      <c r="K70" t="s">
        <v>308</v>
      </c>
      <c r="L70" t="s">
        <v>309</v>
      </c>
      <c r="M70" t="str">
        <f>IF(Table1[[#This Row],[used]], _xlfn.CONCAT("🆔 ", Table1[[#This Row],[variable]], ": ",Table1[[#This Row],[alias]]), "")</f>
        <v>🆔 B02001_007E: Some other race alone</v>
      </c>
      <c r="O70" t="s">
        <v>334</v>
      </c>
      <c r="P70" t="s">
        <v>310</v>
      </c>
      <c r="Q70" t="s">
        <v>41</v>
      </c>
      <c r="R70" t="s">
        <v>335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  <c r="Z70" t="b">
        <v>1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</row>
    <row r="71" spans="1:33" x14ac:dyDescent="0.25">
      <c r="A71" t="s">
        <v>33</v>
      </c>
      <c r="B71">
        <v>15</v>
      </c>
      <c r="C71" t="b">
        <v>1</v>
      </c>
      <c r="D71" t="s">
        <v>304</v>
      </c>
      <c r="E71" t="s">
        <v>305</v>
      </c>
      <c r="F71" t="s">
        <v>336</v>
      </c>
      <c r="G71" t="s">
        <v>337</v>
      </c>
      <c r="H71">
        <v>70</v>
      </c>
      <c r="I71" t="str">
        <f>IF(ISBLANK(Table1[[#This Row],[oid]]),"FALSE","TRUE")</f>
        <v>TRUE</v>
      </c>
      <c r="J71" t="str" cm="1">
        <f t="array" ref="J71">_xlfn.SWITCH(LEFT(Table1[[#This Row],[section]],1), "D", "Demographic", "S", "Social", "E", "Economic", "H", "Housing", "")</f>
        <v>Demographic</v>
      </c>
      <c r="K71" t="s">
        <v>308</v>
      </c>
      <c r="L71" t="s">
        <v>309</v>
      </c>
      <c r="M71" t="str">
        <f>IF(Table1[[#This Row],[used]], _xlfn.CONCAT("🆔 ", Table1[[#This Row],[variable]], ": ",Table1[[#This Row],[alias]]), "")</f>
        <v>🆔 B02001_008E: Two or more races</v>
      </c>
      <c r="O71" t="s">
        <v>338</v>
      </c>
      <c r="P71" t="s">
        <v>310</v>
      </c>
      <c r="Q71" t="s">
        <v>41</v>
      </c>
      <c r="R71" t="s">
        <v>339</v>
      </c>
      <c r="S71" t="b">
        <v>1</v>
      </c>
      <c r="T71" t="b">
        <v>1</v>
      </c>
      <c r="U71" t="b">
        <v>1</v>
      </c>
      <c r="V71" t="b">
        <v>1</v>
      </c>
      <c r="W71" t="b">
        <v>1</v>
      </c>
      <c r="X71" t="b">
        <v>1</v>
      </c>
      <c r="Y71" t="b">
        <v>1</v>
      </c>
      <c r="Z71" t="b">
        <v>1</v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</row>
    <row r="72" spans="1:33" x14ac:dyDescent="0.25">
      <c r="A72" t="s">
        <v>33</v>
      </c>
      <c r="B72">
        <v>15</v>
      </c>
      <c r="C72" t="b">
        <v>1</v>
      </c>
      <c r="D72" t="s">
        <v>304</v>
      </c>
      <c r="E72" t="s">
        <v>305</v>
      </c>
      <c r="F72" t="s">
        <v>340</v>
      </c>
      <c r="G72" t="s">
        <v>341</v>
      </c>
      <c r="H72">
        <v>71</v>
      </c>
      <c r="I72" t="str">
        <f>IF(ISBLANK(Table1[[#This Row],[oid]]),"FALSE","TRUE")</f>
        <v>TRUE</v>
      </c>
      <c r="J72" t="str" cm="1">
        <f t="array" ref="J72">_xlfn.SWITCH(LEFT(Table1[[#This Row],[section]],1), "D", "Demographic", "S", "Social", "E", "Economic", "H", "Housing", "")</f>
        <v>Demographic</v>
      </c>
      <c r="K72" t="s">
        <v>308</v>
      </c>
      <c r="L72" t="s">
        <v>309</v>
      </c>
      <c r="M72" t="str">
        <f>IF(Table1[[#This Row],[used]], _xlfn.CONCAT("🆔 ", Table1[[#This Row],[variable]], ": ",Table1[[#This Row],[alias]]), "")</f>
        <v>🆔 B02001_009E: Two or more races: Two races including Some other race</v>
      </c>
      <c r="O72" t="s">
        <v>342</v>
      </c>
      <c r="P72" t="s">
        <v>310</v>
      </c>
      <c r="Q72" t="s">
        <v>41</v>
      </c>
      <c r="R72" t="s">
        <v>343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  <c r="Z72" t="b">
        <v>1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</row>
    <row r="73" spans="1:33" x14ac:dyDescent="0.25">
      <c r="A73" t="s">
        <v>33</v>
      </c>
      <c r="B73">
        <v>15</v>
      </c>
      <c r="C73" t="b">
        <v>1</v>
      </c>
      <c r="D73" t="s">
        <v>304</v>
      </c>
      <c r="E73" t="s">
        <v>305</v>
      </c>
      <c r="F73" t="s">
        <v>344</v>
      </c>
      <c r="G73" t="s">
        <v>345</v>
      </c>
      <c r="H73">
        <v>72</v>
      </c>
      <c r="I73" t="str">
        <f>IF(ISBLANK(Table1[[#This Row],[oid]]),"FALSE","TRUE")</f>
        <v>TRUE</v>
      </c>
      <c r="J73" t="str" cm="1">
        <f t="array" ref="J73">_xlfn.SWITCH(LEFT(Table1[[#This Row],[section]],1), "D", "Demographic", "S", "Social", "E", "Economic", "H", "Housing", "")</f>
        <v>Demographic</v>
      </c>
      <c r="K73" t="s">
        <v>308</v>
      </c>
      <c r="L73" t="s">
        <v>309</v>
      </c>
      <c r="M73" t="str">
        <f>IF(Table1[[#This Row],[used]], _xlfn.CONCAT("🆔 ", Table1[[#This Row],[variable]], ": ",Table1[[#This Row],[alias]]), "")</f>
        <v>🆔 B02001_010E: Two or more races: Two races excluding Some other race and three or more races</v>
      </c>
      <c r="O73" t="s">
        <v>346</v>
      </c>
      <c r="P73" t="s">
        <v>310</v>
      </c>
      <c r="Q73" t="s">
        <v>41</v>
      </c>
      <c r="R73" t="s">
        <v>347</v>
      </c>
      <c r="S73" t="b">
        <v>1</v>
      </c>
      <c r="T73" t="b">
        <v>1</v>
      </c>
      <c r="U73" t="b">
        <v>1</v>
      </c>
      <c r="V73" t="b">
        <v>1</v>
      </c>
      <c r="W73" t="b">
        <v>1</v>
      </c>
      <c r="X73" t="b">
        <v>1</v>
      </c>
      <c r="Y73" t="b">
        <v>1</v>
      </c>
      <c r="Z73" t="b">
        <v>1</v>
      </c>
      <c r="AA73" t="b">
        <v>1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</row>
    <row r="74" spans="1:33" x14ac:dyDescent="0.25">
      <c r="A74" t="s">
        <v>33</v>
      </c>
      <c r="B74">
        <v>15</v>
      </c>
      <c r="C74" t="b">
        <v>1</v>
      </c>
      <c r="D74" t="s">
        <v>304</v>
      </c>
      <c r="E74" t="s">
        <v>348</v>
      </c>
      <c r="F74" t="s">
        <v>349</v>
      </c>
      <c r="G74" t="s">
        <v>350</v>
      </c>
      <c r="H74">
        <v>73</v>
      </c>
      <c r="I74" t="str">
        <f>IF(ISBLANK(Table1[[#This Row],[oid]]),"FALSE","TRUE")</f>
        <v>TRUE</v>
      </c>
      <c r="J74" t="str" cm="1">
        <f t="array" ref="J74">_xlfn.SWITCH(LEFT(Table1[[#This Row],[section]],1), "D", "Demographic", "S", "Social", "E", "Economic", "H", "Housing", "")</f>
        <v>Demographic</v>
      </c>
      <c r="K74" t="s">
        <v>351</v>
      </c>
      <c r="L74" t="s">
        <v>352</v>
      </c>
      <c r="M74" t="str">
        <f>IF(Table1[[#This Row],[used]], _xlfn.CONCAT("🆔 ", Table1[[#This Row],[variable]], ": ",Table1[[#This Row],[alias]]), "")</f>
        <v>🆔 B02008_001E: White</v>
      </c>
      <c r="O74" t="s">
        <v>39</v>
      </c>
      <c r="P74" t="s">
        <v>353</v>
      </c>
      <c r="Q74" t="s">
        <v>41</v>
      </c>
      <c r="R74" t="s">
        <v>354</v>
      </c>
      <c r="S74" t="b">
        <v>1</v>
      </c>
      <c r="T74" t="b">
        <v>1</v>
      </c>
      <c r="U74" t="b">
        <v>1</v>
      </c>
      <c r="V74" t="b">
        <v>1</v>
      </c>
      <c r="W74" t="b">
        <v>1</v>
      </c>
      <c r="X74" t="b">
        <v>1</v>
      </c>
      <c r="Y74" t="b">
        <v>1</v>
      </c>
      <c r="Z74" t="b">
        <v>1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</row>
    <row r="75" spans="1:33" x14ac:dyDescent="0.25">
      <c r="A75" t="s">
        <v>33</v>
      </c>
      <c r="B75">
        <v>15</v>
      </c>
      <c r="C75" t="b">
        <v>1</v>
      </c>
      <c r="D75" t="s">
        <v>304</v>
      </c>
      <c r="E75" t="s">
        <v>355</v>
      </c>
      <c r="F75" t="s">
        <v>356</v>
      </c>
      <c r="G75" t="s">
        <v>357</v>
      </c>
      <c r="H75">
        <v>74</v>
      </c>
      <c r="I75" t="str">
        <f>IF(ISBLANK(Table1[[#This Row],[oid]]),"FALSE","TRUE")</f>
        <v>TRUE</v>
      </c>
      <c r="J75" t="str" cm="1">
        <f t="array" ref="J75">_xlfn.SWITCH(LEFT(Table1[[#This Row],[section]],1), "D", "Demographic", "S", "Social", "E", "Economic", "H", "Housing", "")</f>
        <v>Demographic</v>
      </c>
      <c r="K75" t="s">
        <v>351</v>
      </c>
      <c r="L75" t="s">
        <v>352</v>
      </c>
      <c r="M75" t="str">
        <f>IF(Table1[[#This Row],[used]], _xlfn.CONCAT("🆔 ", Table1[[#This Row],[variable]], ": ",Table1[[#This Row],[alias]]), "")</f>
        <v>🆔 B02009_001E: Black or African American</v>
      </c>
      <c r="O75" t="s">
        <v>39</v>
      </c>
      <c r="P75" t="s">
        <v>358</v>
      </c>
      <c r="Q75" t="s">
        <v>41</v>
      </c>
      <c r="R75" t="s">
        <v>359</v>
      </c>
      <c r="S75" t="b">
        <v>1</v>
      </c>
      <c r="T75" t="b">
        <v>1</v>
      </c>
      <c r="U75" t="b">
        <v>1</v>
      </c>
      <c r="V75" t="b">
        <v>1</v>
      </c>
      <c r="W75" t="b">
        <v>1</v>
      </c>
      <c r="X75" t="b">
        <v>1</v>
      </c>
      <c r="Y75" t="b">
        <v>1</v>
      </c>
      <c r="Z75" t="b">
        <v>1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</row>
    <row r="76" spans="1:33" x14ac:dyDescent="0.25">
      <c r="A76" t="s">
        <v>33</v>
      </c>
      <c r="B76">
        <v>15</v>
      </c>
      <c r="C76" t="b">
        <v>1</v>
      </c>
      <c r="D76" t="s">
        <v>304</v>
      </c>
      <c r="E76" t="s">
        <v>360</v>
      </c>
      <c r="F76" t="s">
        <v>361</v>
      </c>
      <c r="G76" t="s">
        <v>362</v>
      </c>
      <c r="H76">
        <v>75</v>
      </c>
      <c r="I76" t="str">
        <f>IF(ISBLANK(Table1[[#This Row],[oid]]),"FALSE","TRUE")</f>
        <v>TRUE</v>
      </c>
      <c r="J76" t="str" cm="1">
        <f t="array" ref="J76">_xlfn.SWITCH(LEFT(Table1[[#This Row],[section]],1), "D", "Demographic", "S", "Social", "E", "Economic", "H", "Housing", "")</f>
        <v>Demographic</v>
      </c>
      <c r="K76" t="s">
        <v>351</v>
      </c>
      <c r="L76" t="s">
        <v>352</v>
      </c>
      <c r="M76" t="str">
        <f>IF(Table1[[#This Row],[used]], _xlfn.CONCAT("🆔 ", Table1[[#This Row],[variable]], ": ",Table1[[#This Row],[alias]]), "")</f>
        <v>🆔 B02010_001E: American Indian and Alaska Native</v>
      </c>
      <c r="O76" t="s">
        <v>39</v>
      </c>
      <c r="P76" t="s">
        <v>363</v>
      </c>
      <c r="Q76" t="s">
        <v>41</v>
      </c>
      <c r="R76" t="s">
        <v>364</v>
      </c>
      <c r="S76" t="b">
        <v>1</v>
      </c>
      <c r="T76" t="b">
        <v>1</v>
      </c>
      <c r="U76" t="b">
        <v>1</v>
      </c>
      <c r="V76" t="b">
        <v>1</v>
      </c>
      <c r="W76" t="b">
        <v>1</v>
      </c>
      <c r="X76" t="b">
        <v>1</v>
      </c>
      <c r="Y76" t="b">
        <v>1</v>
      </c>
      <c r="Z76" t="b">
        <v>1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</row>
    <row r="77" spans="1:33" x14ac:dyDescent="0.25">
      <c r="A77" t="s">
        <v>33</v>
      </c>
      <c r="B77">
        <v>15</v>
      </c>
      <c r="C77" t="b">
        <v>1</v>
      </c>
      <c r="D77" t="s">
        <v>304</v>
      </c>
      <c r="E77" t="s">
        <v>365</v>
      </c>
      <c r="F77" t="s">
        <v>366</v>
      </c>
      <c r="G77" t="s">
        <v>367</v>
      </c>
      <c r="H77">
        <v>76</v>
      </c>
      <c r="I77" t="str">
        <f>IF(ISBLANK(Table1[[#This Row],[oid]]),"FALSE","TRUE")</f>
        <v>TRUE</v>
      </c>
      <c r="J77" t="str" cm="1">
        <f t="array" ref="J77">_xlfn.SWITCH(LEFT(Table1[[#This Row],[section]],1), "D", "Demographic", "S", "Social", "E", "Economic", "H", "Housing", "")</f>
        <v>Demographic</v>
      </c>
      <c r="K77" t="s">
        <v>351</v>
      </c>
      <c r="L77" t="s">
        <v>352</v>
      </c>
      <c r="M77" t="str">
        <f>IF(Table1[[#This Row],[used]], _xlfn.CONCAT("🆔 ", Table1[[#This Row],[variable]], ": ",Table1[[#This Row],[alias]]), "")</f>
        <v>🆔 B02011_001E: Asian</v>
      </c>
      <c r="O77" t="s">
        <v>39</v>
      </c>
      <c r="P77" t="s">
        <v>368</v>
      </c>
      <c r="Q77" t="s">
        <v>41</v>
      </c>
      <c r="R77" t="s">
        <v>369</v>
      </c>
      <c r="S77" t="b">
        <v>1</v>
      </c>
      <c r="T77" t="b">
        <v>1</v>
      </c>
      <c r="U77" t="b">
        <v>1</v>
      </c>
      <c r="V77" t="b">
        <v>1</v>
      </c>
      <c r="W77" t="b">
        <v>1</v>
      </c>
      <c r="X77" t="b">
        <v>1</v>
      </c>
      <c r="Y77" t="b">
        <v>1</v>
      </c>
      <c r="Z77" t="b">
        <v>1</v>
      </c>
      <c r="AA77" t="b">
        <v>1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</row>
    <row r="78" spans="1:33" x14ac:dyDescent="0.25">
      <c r="A78" t="s">
        <v>33</v>
      </c>
      <c r="B78">
        <v>15</v>
      </c>
      <c r="C78" t="b">
        <v>1</v>
      </c>
      <c r="D78" t="s">
        <v>304</v>
      </c>
      <c r="E78" t="s">
        <v>370</v>
      </c>
      <c r="F78" t="s">
        <v>371</v>
      </c>
      <c r="G78" t="s">
        <v>372</v>
      </c>
      <c r="H78">
        <v>77</v>
      </c>
      <c r="I78" t="str">
        <f>IF(ISBLANK(Table1[[#This Row],[oid]]),"FALSE","TRUE")</f>
        <v>TRUE</v>
      </c>
      <c r="J78" t="str" cm="1">
        <f t="array" ref="J78">_xlfn.SWITCH(LEFT(Table1[[#This Row],[section]],1), "D", "Demographic", "S", "Social", "E", "Economic", "H", "Housing", "")</f>
        <v>Demographic</v>
      </c>
      <c r="K78" t="s">
        <v>351</v>
      </c>
      <c r="L78" t="s">
        <v>352</v>
      </c>
      <c r="M78" t="str">
        <f>IF(Table1[[#This Row],[used]], _xlfn.CONCAT("🆔 ", Table1[[#This Row],[variable]], ": ",Table1[[#This Row],[alias]]), "")</f>
        <v>🆔 B02012_001E: Native Hawaiian and Other Pacific Islander</v>
      </c>
      <c r="O78" t="s">
        <v>39</v>
      </c>
      <c r="P78" t="s">
        <v>373</v>
      </c>
      <c r="Q78" t="s">
        <v>41</v>
      </c>
      <c r="R78" t="s">
        <v>374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  <c r="Z78" t="b">
        <v>1</v>
      </c>
      <c r="AA78" t="b">
        <v>1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1</v>
      </c>
    </row>
    <row r="79" spans="1:33" x14ac:dyDescent="0.25">
      <c r="A79" t="s">
        <v>33</v>
      </c>
      <c r="B79">
        <v>15</v>
      </c>
      <c r="C79" t="b">
        <v>1</v>
      </c>
      <c r="D79" t="s">
        <v>304</v>
      </c>
      <c r="E79" t="s">
        <v>375</v>
      </c>
      <c r="F79" t="s">
        <v>376</v>
      </c>
      <c r="G79" t="s">
        <v>377</v>
      </c>
      <c r="H79">
        <v>78</v>
      </c>
      <c r="I79" t="str">
        <f>IF(ISBLANK(Table1[[#This Row],[oid]]),"FALSE","TRUE")</f>
        <v>TRUE</v>
      </c>
      <c r="J79" t="str" cm="1">
        <f t="array" ref="J79">_xlfn.SWITCH(LEFT(Table1[[#This Row],[section]],1), "D", "Demographic", "S", "Social", "E", "Economic", "H", "Housing", "")</f>
        <v>Demographic</v>
      </c>
      <c r="K79" t="s">
        <v>351</v>
      </c>
      <c r="L79" t="s">
        <v>352</v>
      </c>
      <c r="M79" t="str">
        <f>IF(Table1[[#This Row],[used]], _xlfn.CONCAT("🆔 ", Table1[[#This Row],[variable]], ": ",Table1[[#This Row],[alias]]), "")</f>
        <v>🆔 B02013_001E: Some Other Race</v>
      </c>
      <c r="O79" t="s">
        <v>39</v>
      </c>
      <c r="P79" t="s">
        <v>378</v>
      </c>
      <c r="Q79" t="s">
        <v>41</v>
      </c>
      <c r="R79" t="s">
        <v>379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  <c r="X79" t="b">
        <v>1</v>
      </c>
      <c r="Y79" t="b">
        <v>1</v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</row>
    <row r="80" spans="1:33" x14ac:dyDescent="0.25">
      <c r="A80" t="s">
        <v>33</v>
      </c>
      <c r="B80">
        <v>15</v>
      </c>
      <c r="C80" t="b">
        <v>1</v>
      </c>
      <c r="D80" t="s">
        <v>380</v>
      </c>
      <c r="E80" t="s">
        <v>381</v>
      </c>
      <c r="F80" t="s">
        <v>382</v>
      </c>
      <c r="G80" t="s">
        <v>383</v>
      </c>
      <c r="H80">
        <v>79</v>
      </c>
      <c r="I80" t="str">
        <f>IF(ISBLANK(Table1[[#This Row],[oid]]),"FALSE","TRUE")</f>
        <v>TRUE</v>
      </c>
      <c r="J80" t="str" cm="1">
        <f t="array" ref="J80">_xlfn.SWITCH(LEFT(Table1[[#This Row],[section]],1), "D", "Demographic", "S", "Social", "E", "Economic", "H", "Housing", "")</f>
        <v>Demographic</v>
      </c>
      <c r="K80" t="s">
        <v>384</v>
      </c>
      <c r="L80" t="s">
        <v>385</v>
      </c>
      <c r="M80" t="str">
        <f>IF(Table1[[#This Row],[used]], _xlfn.CONCAT("🆔 ", Table1[[#This Row],[variable]], ": ",Table1[[#This Row],[alias]]), "")</f>
        <v>🆔 B03003_001E: Total Population (Hispanic or Latino)</v>
      </c>
      <c r="O80" t="s">
        <v>39</v>
      </c>
      <c r="P80" t="s">
        <v>386</v>
      </c>
      <c r="Q80" t="s">
        <v>41</v>
      </c>
      <c r="R80" t="s">
        <v>387</v>
      </c>
      <c r="S80" t="b">
        <v>1</v>
      </c>
      <c r="T80" t="b">
        <v>1</v>
      </c>
      <c r="U80" t="b">
        <v>1</v>
      </c>
      <c r="V80" t="b">
        <v>1</v>
      </c>
      <c r="W80" t="b">
        <v>1</v>
      </c>
      <c r="X80" t="b">
        <v>1</v>
      </c>
      <c r="Y80" t="b">
        <v>1</v>
      </c>
      <c r="Z80" t="b">
        <v>1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</row>
    <row r="81" spans="1:33" x14ac:dyDescent="0.25">
      <c r="A81" t="s">
        <v>33</v>
      </c>
      <c r="B81">
        <v>15</v>
      </c>
      <c r="C81" t="b">
        <v>1</v>
      </c>
      <c r="D81" t="s">
        <v>380</v>
      </c>
      <c r="E81" t="s">
        <v>381</v>
      </c>
      <c r="F81" t="s">
        <v>388</v>
      </c>
      <c r="G81" t="s">
        <v>389</v>
      </c>
      <c r="H81">
        <v>80</v>
      </c>
      <c r="I81" t="str">
        <f>IF(ISBLANK(Table1[[#This Row],[oid]]),"FALSE","TRUE")</f>
        <v>TRUE</v>
      </c>
      <c r="J81" t="str" cm="1">
        <f t="array" ref="J81">_xlfn.SWITCH(LEFT(Table1[[#This Row],[section]],1), "D", "Demographic", "S", "Social", "E", "Economic", "H", "Housing", "")</f>
        <v>Demographic</v>
      </c>
      <c r="K81" t="s">
        <v>384</v>
      </c>
      <c r="L81" t="s">
        <v>385</v>
      </c>
      <c r="M81" t="str">
        <f>IF(Table1[[#This Row],[used]], _xlfn.CONCAT("🆔 ", Table1[[#This Row],[variable]], ": ",Table1[[#This Row],[alias]]), "")</f>
        <v>🆔 B03003_002E: Not Hispanic or Latino</v>
      </c>
      <c r="O81" t="s">
        <v>390</v>
      </c>
      <c r="P81" t="s">
        <v>386</v>
      </c>
      <c r="Q81" t="s">
        <v>41</v>
      </c>
      <c r="R81" t="s">
        <v>391</v>
      </c>
      <c r="S81" t="b">
        <v>1</v>
      </c>
      <c r="T81" t="b">
        <v>1</v>
      </c>
      <c r="U81" t="b">
        <v>1</v>
      </c>
      <c r="V81" t="b">
        <v>1</v>
      </c>
      <c r="W81" t="b">
        <v>1</v>
      </c>
      <c r="X81" t="b">
        <v>1</v>
      </c>
      <c r="Y81" t="b">
        <v>1</v>
      </c>
      <c r="Z81" t="b">
        <v>1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</row>
    <row r="82" spans="1:33" x14ac:dyDescent="0.25">
      <c r="A82" t="s">
        <v>33</v>
      </c>
      <c r="B82">
        <v>15</v>
      </c>
      <c r="C82" t="b">
        <v>1</v>
      </c>
      <c r="D82" t="s">
        <v>380</v>
      </c>
      <c r="E82" t="s">
        <v>381</v>
      </c>
      <c r="F82" t="s">
        <v>392</v>
      </c>
      <c r="G82" t="s">
        <v>385</v>
      </c>
      <c r="H82">
        <v>81</v>
      </c>
      <c r="I82" t="str">
        <f>IF(ISBLANK(Table1[[#This Row],[oid]]),"FALSE","TRUE")</f>
        <v>TRUE</v>
      </c>
      <c r="J82" t="str" cm="1">
        <f t="array" ref="J82">_xlfn.SWITCH(LEFT(Table1[[#This Row],[section]],1), "D", "Demographic", "S", "Social", "E", "Economic", "H", "Housing", "")</f>
        <v>Demographic</v>
      </c>
      <c r="K82" t="s">
        <v>384</v>
      </c>
      <c r="L82" t="s">
        <v>385</v>
      </c>
      <c r="M82" t="str">
        <f>IF(Table1[[#This Row],[used]], _xlfn.CONCAT("🆔 ", Table1[[#This Row],[variable]], ": ",Table1[[#This Row],[alias]]), "")</f>
        <v>🆔 B03003_003E: Hispanic or Latino</v>
      </c>
      <c r="O82" t="s">
        <v>393</v>
      </c>
      <c r="P82" t="s">
        <v>386</v>
      </c>
      <c r="Q82" t="s">
        <v>41</v>
      </c>
      <c r="R82" t="s">
        <v>394</v>
      </c>
      <c r="S82" t="b">
        <v>1</v>
      </c>
      <c r="T82" t="b">
        <v>1</v>
      </c>
      <c r="U82" t="b">
        <v>1</v>
      </c>
      <c r="V82" t="b">
        <v>1</v>
      </c>
      <c r="W82" t="b">
        <v>1</v>
      </c>
      <c r="X82" t="b">
        <v>1</v>
      </c>
      <c r="Y82" t="b">
        <v>1</v>
      </c>
      <c r="Z82" t="b">
        <v>1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1</v>
      </c>
    </row>
    <row r="83" spans="1:33" x14ac:dyDescent="0.25">
      <c r="A83" t="s">
        <v>33</v>
      </c>
      <c r="B83">
        <v>15</v>
      </c>
      <c r="C83" t="b">
        <v>1</v>
      </c>
      <c r="D83" t="s">
        <v>380</v>
      </c>
      <c r="E83" t="s">
        <v>395</v>
      </c>
      <c r="F83" t="s">
        <v>396</v>
      </c>
      <c r="G83" t="s">
        <v>397</v>
      </c>
      <c r="H83">
        <v>82</v>
      </c>
      <c r="I83" t="str">
        <f>IF(ISBLANK(Table1[[#This Row],[oid]]),"FALSE","TRUE")</f>
        <v>TRUE</v>
      </c>
      <c r="J83" t="str" cm="1">
        <f t="array" ref="J83">_xlfn.SWITCH(LEFT(Table1[[#This Row],[section]],1), "D", "Demographic", "S", "Social", "E", "Economic", "H", "Housing", "")</f>
        <v>Demographic</v>
      </c>
      <c r="K83" t="s">
        <v>384</v>
      </c>
      <c r="L83" t="s">
        <v>385</v>
      </c>
      <c r="M83" t="str">
        <f>IF(Table1[[#This Row],[used]], _xlfn.CONCAT("🆔 ", Table1[[#This Row],[variable]], ": ",Table1[[#This Row],[alias]]), "")</f>
        <v>🆔 B03002_003E: Not Hispanic or Latino: White alone</v>
      </c>
      <c r="O83" t="s">
        <v>398</v>
      </c>
      <c r="P83" t="s">
        <v>399</v>
      </c>
      <c r="Q83" t="s">
        <v>41</v>
      </c>
      <c r="R83" t="s">
        <v>400</v>
      </c>
      <c r="S83" t="b">
        <v>1</v>
      </c>
      <c r="T83" t="b">
        <v>1</v>
      </c>
      <c r="U83" t="b">
        <v>1</v>
      </c>
      <c r="V83" t="b">
        <v>1</v>
      </c>
      <c r="W83" t="b">
        <v>1</v>
      </c>
      <c r="X83" t="b">
        <v>1</v>
      </c>
      <c r="Y83" t="b">
        <v>1</v>
      </c>
      <c r="Z83" t="b">
        <v>1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</row>
    <row r="84" spans="1:33" x14ac:dyDescent="0.25">
      <c r="A84" t="s">
        <v>33</v>
      </c>
      <c r="B84">
        <v>15</v>
      </c>
      <c r="C84" t="b">
        <v>1</v>
      </c>
      <c r="D84" t="s">
        <v>380</v>
      </c>
      <c r="E84" t="s">
        <v>395</v>
      </c>
      <c r="F84" t="s">
        <v>401</v>
      </c>
      <c r="G84" t="s">
        <v>402</v>
      </c>
      <c r="H84">
        <v>83</v>
      </c>
      <c r="I84" t="str">
        <f>IF(ISBLANK(Table1[[#This Row],[oid]]),"FALSE","TRUE")</f>
        <v>TRUE</v>
      </c>
      <c r="J84" t="str" cm="1">
        <f t="array" ref="J84">_xlfn.SWITCH(LEFT(Table1[[#This Row],[section]],1), "D", "Demographic", "S", "Social", "E", "Economic", "H", "Housing", "")</f>
        <v>Demographic</v>
      </c>
      <c r="K84" t="s">
        <v>384</v>
      </c>
      <c r="L84" t="s">
        <v>385</v>
      </c>
      <c r="M84" t="str">
        <f>IF(Table1[[#This Row],[used]], _xlfn.CONCAT("🆔 ", Table1[[#This Row],[variable]], ": ",Table1[[#This Row],[alias]]), "")</f>
        <v>🆔 B03002_004E: Not Hispanic or Latino: Black or African American alone</v>
      </c>
      <c r="O84" t="s">
        <v>403</v>
      </c>
      <c r="P84" t="s">
        <v>399</v>
      </c>
      <c r="Q84" t="s">
        <v>41</v>
      </c>
      <c r="R84" t="s">
        <v>404</v>
      </c>
      <c r="S84" t="b">
        <v>1</v>
      </c>
      <c r="T84" t="b">
        <v>1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  <c r="Z84" t="b">
        <v>1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1</v>
      </c>
    </row>
    <row r="85" spans="1:33" x14ac:dyDescent="0.25">
      <c r="A85" t="s">
        <v>33</v>
      </c>
      <c r="B85">
        <v>15</v>
      </c>
      <c r="C85" t="b">
        <v>1</v>
      </c>
      <c r="D85" t="s">
        <v>380</v>
      </c>
      <c r="E85" t="s">
        <v>395</v>
      </c>
      <c r="F85" t="s">
        <v>405</v>
      </c>
      <c r="G85" t="s">
        <v>406</v>
      </c>
      <c r="H85">
        <v>84</v>
      </c>
      <c r="I85" t="str">
        <f>IF(ISBLANK(Table1[[#This Row],[oid]]),"FALSE","TRUE")</f>
        <v>TRUE</v>
      </c>
      <c r="J85" t="str" cm="1">
        <f t="array" ref="J85">_xlfn.SWITCH(LEFT(Table1[[#This Row],[section]],1), "D", "Demographic", "S", "Social", "E", "Economic", "H", "Housing", "")</f>
        <v>Demographic</v>
      </c>
      <c r="K85" t="s">
        <v>384</v>
      </c>
      <c r="L85" t="s">
        <v>385</v>
      </c>
      <c r="M85" t="str">
        <f>IF(Table1[[#This Row],[used]], _xlfn.CONCAT("🆔 ", Table1[[#This Row],[variable]], ": ",Table1[[#This Row],[alias]]), "")</f>
        <v>🆔 B03002_005E: Not Hispanic or Latino: American Indian and Alaska Native alone</v>
      </c>
      <c r="O85" t="s">
        <v>407</v>
      </c>
      <c r="P85" t="s">
        <v>399</v>
      </c>
      <c r="Q85" t="s">
        <v>41</v>
      </c>
      <c r="R85" t="s">
        <v>408</v>
      </c>
      <c r="S85" t="b">
        <v>1</v>
      </c>
      <c r="T85" t="b">
        <v>1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  <c r="Z85" t="b">
        <v>1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1</v>
      </c>
    </row>
    <row r="86" spans="1:33" x14ac:dyDescent="0.25">
      <c r="A86" t="s">
        <v>33</v>
      </c>
      <c r="B86">
        <v>15</v>
      </c>
      <c r="C86" t="b">
        <v>1</v>
      </c>
      <c r="D86" t="s">
        <v>380</v>
      </c>
      <c r="E86" t="s">
        <v>395</v>
      </c>
      <c r="F86" t="s">
        <v>409</v>
      </c>
      <c r="G86" t="s">
        <v>410</v>
      </c>
      <c r="H86">
        <v>85</v>
      </c>
      <c r="I86" t="str">
        <f>IF(ISBLANK(Table1[[#This Row],[oid]]),"FALSE","TRUE")</f>
        <v>TRUE</v>
      </c>
      <c r="J86" t="str" cm="1">
        <f t="array" ref="J86">_xlfn.SWITCH(LEFT(Table1[[#This Row],[section]],1), "D", "Demographic", "S", "Social", "E", "Economic", "H", "Housing", "")</f>
        <v>Demographic</v>
      </c>
      <c r="K86" t="s">
        <v>384</v>
      </c>
      <c r="L86" t="s">
        <v>385</v>
      </c>
      <c r="M86" t="str">
        <f>IF(Table1[[#This Row],[used]], _xlfn.CONCAT("🆔 ", Table1[[#This Row],[variable]], ": ",Table1[[#This Row],[alias]]), "")</f>
        <v>🆔 B03002_006E: Not Hispanic or Latino: Asian alone</v>
      </c>
      <c r="O86" t="s">
        <v>411</v>
      </c>
      <c r="P86" t="s">
        <v>399</v>
      </c>
      <c r="Q86" t="s">
        <v>41</v>
      </c>
      <c r="R86" t="s">
        <v>412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  <c r="X86" t="b">
        <v>1</v>
      </c>
      <c r="Y86" t="b">
        <v>1</v>
      </c>
      <c r="Z86" t="b">
        <v>1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</row>
    <row r="87" spans="1:33" x14ac:dyDescent="0.25">
      <c r="A87" t="s">
        <v>33</v>
      </c>
      <c r="B87">
        <v>15</v>
      </c>
      <c r="C87" t="b">
        <v>1</v>
      </c>
      <c r="D87" t="s">
        <v>380</v>
      </c>
      <c r="E87" t="s">
        <v>395</v>
      </c>
      <c r="F87" t="s">
        <v>413</v>
      </c>
      <c r="G87" t="s">
        <v>414</v>
      </c>
      <c r="H87">
        <v>86</v>
      </c>
      <c r="I87" t="str">
        <f>IF(ISBLANK(Table1[[#This Row],[oid]]),"FALSE","TRUE")</f>
        <v>TRUE</v>
      </c>
      <c r="J87" t="str" cm="1">
        <f t="array" ref="J87">_xlfn.SWITCH(LEFT(Table1[[#This Row],[section]],1), "D", "Demographic", "S", "Social", "E", "Economic", "H", "Housing", "")</f>
        <v>Demographic</v>
      </c>
      <c r="K87" t="s">
        <v>384</v>
      </c>
      <c r="L87" t="s">
        <v>385</v>
      </c>
      <c r="M87" t="str">
        <f>IF(Table1[[#This Row],[used]], _xlfn.CONCAT("🆔 ", Table1[[#This Row],[variable]], ": ",Table1[[#This Row],[alias]]), "")</f>
        <v>🆔 B03002_007E: Not Hispanic or Latino: Native Hawaiian and Other Pacific Islander alone</v>
      </c>
      <c r="O87" t="s">
        <v>415</v>
      </c>
      <c r="P87" t="s">
        <v>399</v>
      </c>
      <c r="Q87" t="s">
        <v>41</v>
      </c>
      <c r="R87" t="s">
        <v>416</v>
      </c>
      <c r="S87" t="b">
        <v>1</v>
      </c>
      <c r="T87" t="b">
        <v>1</v>
      </c>
      <c r="U87" t="b">
        <v>1</v>
      </c>
      <c r="V87" t="b">
        <v>1</v>
      </c>
      <c r="W87" t="b">
        <v>1</v>
      </c>
      <c r="X87" t="b">
        <v>1</v>
      </c>
      <c r="Y87" t="b">
        <v>1</v>
      </c>
      <c r="Z87" t="b">
        <v>1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1</v>
      </c>
    </row>
    <row r="88" spans="1:33" x14ac:dyDescent="0.25">
      <c r="A88" t="s">
        <v>33</v>
      </c>
      <c r="B88">
        <v>15</v>
      </c>
      <c r="C88" t="b">
        <v>1</v>
      </c>
      <c r="D88" t="s">
        <v>380</v>
      </c>
      <c r="E88" t="s">
        <v>395</v>
      </c>
      <c r="F88" t="s">
        <v>417</v>
      </c>
      <c r="G88" t="s">
        <v>418</v>
      </c>
      <c r="H88">
        <v>87</v>
      </c>
      <c r="I88" t="str">
        <f>IF(ISBLANK(Table1[[#This Row],[oid]]),"FALSE","TRUE")</f>
        <v>TRUE</v>
      </c>
      <c r="J88" t="str" cm="1">
        <f t="array" ref="J88">_xlfn.SWITCH(LEFT(Table1[[#This Row],[section]],1), "D", "Demographic", "S", "Social", "E", "Economic", "H", "Housing", "")</f>
        <v>Demographic</v>
      </c>
      <c r="K88" t="s">
        <v>384</v>
      </c>
      <c r="L88" t="s">
        <v>385</v>
      </c>
      <c r="M88" t="str">
        <f>IF(Table1[[#This Row],[used]], _xlfn.CONCAT("🆔 ", Table1[[#This Row],[variable]], ": ",Table1[[#This Row],[alias]]), "")</f>
        <v>🆔 B03002_008E: Not Hispanic or Latino: Some other race alone</v>
      </c>
      <c r="O88" t="s">
        <v>419</v>
      </c>
      <c r="P88" t="s">
        <v>399</v>
      </c>
      <c r="Q88" t="s">
        <v>41</v>
      </c>
      <c r="R88" t="s">
        <v>420</v>
      </c>
      <c r="S88" t="b">
        <v>1</v>
      </c>
      <c r="T88" t="b">
        <v>1</v>
      </c>
      <c r="U88" t="b">
        <v>1</v>
      </c>
      <c r="V88" t="b">
        <v>1</v>
      </c>
      <c r="W88" t="b">
        <v>1</v>
      </c>
      <c r="X88" t="b">
        <v>1</v>
      </c>
      <c r="Y88" t="b">
        <v>1</v>
      </c>
      <c r="Z88" t="b">
        <v>1</v>
      </c>
      <c r="AA88" t="b">
        <v>1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1</v>
      </c>
    </row>
    <row r="89" spans="1:33" x14ac:dyDescent="0.25">
      <c r="A89" t="s">
        <v>33</v>
      </c>
      <c r="B89">
        <v>15</v>
      </c>
      <c r="C89" t="b">
        <v>1</v>
      </c>
      <c r="D89" t="s">
        <v>380</v>
      </c>
      <c r="E89" t="s">
        <v>395</v>
      </c>
      <c r="F89" t="s">
        <v>421</v>
      </c>
      <c r="G89" t="s">
        <v>422</v>
      </c>
      <c r="H89">
        <v>88</v>
      </c>
      <c r="I89" t="str">
        <f>IF(ISBLANK(Table1[[#This Row],[oid]]),"FALSE","TRUE")</f>
        <v>TRUE</v>
      </c>
      <c r="J89" t="str" cm="1">
        <f t="array" ref="J89">_xlfn.SWITCH(LEFT(Table1[[#This Row],[section]],1), "D", "Demographic", "S", "Social", "E", "Economic", "H", "Housing", "")</f>
        <v>Demographic</v>
      </c>
      <c r="K89" t="s">
        <v>384</v>
      </c>
      <c r="L89" t="s">
        <v>385</v>
      </c>
      <c r="M89" t="str">
        <f>IF(Table1[[#This Row],[used]], _xlfn.CONCAT("🆔 ", Table1[[#This Row],[variable]], ": ",Table1[[#This Row],[alias]]), "")</f>
        <v>🆔 B03002_009E: Not Hispanic or Latino: Two or more races</v>
      </c>
      <c r="O89" t="s">
        <v>423</v>
      </c>
      <c r="P89" t="s">
        <v>399</v>
      </c>
      <c r="Q89" t="s">
        <v>41</v>
      </c>
      <c r="R89" t="s">
        <v>424</v>
      </c>
      <c r="S89" t="b">
        <v>1</v>
      </c>
      <c r="T89" t="b">
        <v>1</v>
      </c>
      <c r="U89" t="b">
        <v>1</v>
      </c>
      <c r="V89" t="b">
        <v>1</v>
      </c>
      <c r="W89" t="b">
        <v>1</v>
      </c>
      <c r="X89" t="b">
        <v>1</v>
      </c>
      <c r="Y89" t="b">
        <v>1</v>
      </c>
      <c r="Z89" t="b">
        <v>1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1</v>
      </c>
    </row>
    <row r="90" spans="1:33" x14ac:dyDescent="0.25">
      <c r="A90" t="s">
        <v>33</v>
      </c>
      <c r="B90">
        <v>15</v>
      </c>
      <c r="C90" t="b">
        <v>1</v>
      </c>
      <c r="D90" t="s">
        <v>380</v>
      </c>
      <c r="E90" t="s">
        <v>395</v>
      </c>
      <c r="F90" t="s">
        <v>425</v>
      </c>
      <c r="G90" t="s">
        <v>426</v>
      </c>
      <c r="H90">
        <v>89</v>
      </c>
      <c r="I90" t="str">
        <f>IF(ISBLANK(Table1[[#This Row],[oid]]),"FALSE","TRUE")</f>
        <v>TRUE</v>
      </c>
      <c r="J90" t="str" cm="1">
        <f t="array" ref="J90">_xlfn.SWITCH(LEFT(Table1[[#This Row],[section]],1), "D", "Demographic", "S", "Social", "E", "Economic", "H", "Housing", "")</f>
        <v>Demographic</v>
      </c>
      <c r="K90" t="s">
        <v>384</v>
      </c>
      <c r="L90" t="s">
        <v>385</v>
      </c>
      <c r="M90" t="str">
        <f>IF(Table1[[#This Row],[used]], _xlfn.CONCAT("🆔 ", Table1[[#This Row],[variable]], ": ",Table1[[#This Row],[alias]]), "")</f>
        <v>🆔 B03002_010E: Not Hispanic or Latino: Two or more races: Two races including Some other race</v>
      </c>
      <c r="O90" t="s">
        <v>427</v>
      </c>
      <c r="P90" t="s">
        <v>399</v>
      </c>
      <c r="Q90" t="s">
        <v>41</v>
      </c>
      <c r="R90" t="s">
        <v>428</v>
      </c>
      <c r="S90" t="b">
        <v>1</v>
      </c>
      <c r="T90" t="b">
        <v>1</v>
      </c>
      <c r="U90" t="b">
        <v>1</v>
      </c>
      <c r="V90" t="b">
        <v>1</v>
      </c>
      <c r="W90" t="b">
        <v>1</v>
      </c>
      <c r="X90" t="b">
        <v>1</v>
      </c>
      <c r="Y90" t="b">
        <v>1</v>
      </c>
      <c r="Z90" t="b">
        <v>1</v>
      </c>
      <c r="AA90" t="b">
        <v>1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1</v>
      </c>
    </row>
    <row r="91" spans="1:33" x14ac:dyDescent="0.25">
      <c r="A91" t="s">
        <v>33</v>
      </c>
      <c r="B91">
        <v>15</v>
      </c>
      <c r="C91" t="b">
        <v>1</v>
      </c>
      <c r="D91" t="s">
        <v>380</v>
      </c>
      <c r="E91" t="s">
        <v>395</v>
      </c>
      <c r="F91" t="s">
        <v>429</v>
      </c>
      <c r="G91" t="s">
        <v>430</v>
      </c>
      <c r="H91">
        <v>90</v>
      </c>
      <c r="I91" t="str">
        <f>IF(ISBLANK(Table1[[#This Row],[oid]]),"FALSE","TRUE")</f>
        <v>TRUE</v>
      </c>
      <c r="J91" t="str" cm="1">
        <f t="array" ref="J91">_xlfn.SWITCH(LEFT(Table1[[#This Row],[section]],1), "D", "Demographic", "S", "Social", "E", "Economic", "H", "Housing", "")</f>
        <v>Demographic</v>
      </c>
      <c r="K91" t="s">
        <v>384</v>
      </c>
      <c r="L91" t="s">
        <v>385</v>
      </c>
      <c r="M91" t="str">
        <f>IF(Table1[[#This Row],[used]], _xlfn.CONCAT("🆔 ", Table1[[#This Row],[variable]], ": ",Table1[[#This Row],[alias]]), "")</f>
        <v>🆔 B03002_011E: Not Hispanic or Latino: Two or more races: Two races excluding Some other race and three or more races</v>
      </c>
      <c r="O91" t="s">
        <v>431</v>
      </c>
      <c r="P91" t="s">
        <v>399</v>
      </c>
      <c r="Q91" t="s">
        <v>41</v>
      </c>
      <c r="R91" t="s">
        <v>432</v>
      </c>
      <c r="S91" t="b">
        <v>1</v>
      </c>
      <c r="T91" t="b">
        <v>1</v>
      </c>
      <c r="U91" t="b">
        <v>1</v>
      </c>
      <c r="V91" t="b">
        <v>1</v>
      </c>
      <c r="W91" t="b">
        <v>1</v>
      </c>
      <c r="X91" t="b">
        <v>1</v>
      </c>
      <c r="Y91" t="b">
        <v>1</v>
      </c>
      <c r="Z91" t="b">
        <v>1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</row>
    <row r="92" spans="1:33" x14ac:dyDescent="0.25">
      <c r="A92" t="s">
        <v>33</v>
      </c>
      <c r="B92">
        <v>15</v>
      </c>
      <c r="C92" t="b">
        <v>1</v>
      </c>
      <c r="D92" t="s">
        <v>380</v>
      </c>
      <c r="E92" t="s">
        <v>395</v>
      </c>
      <c r="F92" t="s">
        <v>433</v>
      </c>
      <c r="G92" t="s">
        <v>434</v>
      </c>
      <c r="H92">
        <v>91</v>
      </c>
      <c r="I92" t="str">
        <f>IF(ISBLANK(Table1[[#This Row],[oid]]),"FALSE","TRUE")</f>
        <v>TRUE</v>
      </c>
      <c r="J92" t="str" cm="1">
        <f t="array" ref="J92">_xlfn.SWITCH(LEFT(Table1[[#This Row],[section]],1), "D", "Demographic", "S", "Social", "E", "Economic", "H", "Housing", "")</f>
        <v>Demographic</v>
      </c>
      <c r="K92" t="s">
        <v>384</v>
      </c>
      <c r="L92" t="s">
        <v>385</v>
      </c>
      <c r="M92" t="str">
        <f>IF(Table1[[#This Row],[used]], _xlfn.CONCAT("🆔 ", Table1[[#This Row],[variable]], ": ",Table1[[#This Row],[alias]]), "")</f>
        <v>🆔 B03002_013E: Hispanic or Latino: White alone</v>
      </c>
      <c r="O92" t="s">
        <v>435</v>
      </c>
      <c r="P92" t="s">
        <v>399</v>
      </c>
      <c r="Q92" t="s">
        <v>41</v>
      </c>
      <c r="R92" t="s">
        <v>436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  <c r="X92" t="b">
        <v>1</v>
      </c>
      <c r="Y92" t="b">
        <v>1</v>
      </c>
      <c r="Z92" t="b">
        <v>1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</row>
    <row r="93" spans="1:33" x14ac:dyDescent="0.25">
      <c r="A93" t="s">
        <v>33</v>
      </c>
      <c r="B93">
        <v>15</v>
      </c>
      <c r="C93" t="b">
        <v>1</v>
      </c>
      <c r="D93" t="s">
        <v>380</v>
      </c>
      <c r="E93" t="s">
        <v>395</v>
      </c>
      <c r="F93" t="s">
        <v>437</v>
      </c>
      <c r="G93" t="s">
        <v>438</v>
      </c>
      <c r="H93">
        <v>92</v>
      </c>
      <c r="I93" t="str">
        <f>IF(ISBLANK(Table1[[#This Row],[oid]]),"FALSE","TRUE")</f>
        <v>TRUE</v>
      </c>
      <c r="J93" t="str" cm="1">
        <f t="array" ref="J93">_xlfn.SWITCH(LEFT(Table1[[#This Row],[section]],1), "D", "Demographic", "S", "Social", "E", "Economic", "H", "Housing", "")</f>
        <v>Demographic</v>
      </c>
      <c r="K93" t="s">
        <v>384</v>
      </c>
      <c r="L93" t="s">
        <v>385</v>
      </c>
      <c r="M93" t="str">
        <f>IF(Table1[[#This Row],[used]], _xlfn.CONCAT("🆔 ", Table1[[#This Row],[variable]], ": ",Table1[[#This Row],[alias]]), "")</f>
        <v>🆔 B03002_014E: Hispanic or Latino: Black or African American alone</v>
      </c>
      <c r="O93" t="s">
        <v>439</v>
      </c>
      <c r="P93" t="s">
        <v>399</v>
      </c>
      <c r="Q93" t="s">
        <v>41</v>
      </c>
      <c r="R93" t="s">
        <v>440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  <c r="X93" t="b">
        <v>1</v>
      </c>
      <c r="Y93" t="b">
        <v>1</v>
      </c>
      <c r="Z93" t="b">
        <v>1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1</v>
      </c>
    </row>
    <row r="94" spans="1:33" x14ac:dyDescent="0.25">
      <c r="A94" t="s">
        <v>33</v>
      </c>
      <c r="B94">
        <v>15</v>
      </c>
      <c r="C94" t="b">
        <v>1</v>
      </c>
      <c r="D94" t="s">
        <v>380</v>
      </c>
      <c r="E94" t="s">
        <v>395</v>
      </c>
      <c r="F94" t="s">
        <v>441</v>
      </c>
      <c r="G94" t="s">
        <v>442</v>
      </c>
      <c r="H94">
        <v>93</v>
      </c>
      <c r="I94" t="str">
        <f>IF(ISBLANK(Table1[[#This Row],[oid]]),"FALSE","TRUE")</f>
        <v>TRUE</v>
      </c>
      <c r="J94" t="str" cm="1">
        <f t="array" ref="J94">_xlfn.SWITCH(LEFT(Table1[[#This Row],[section]],1), "D", "Demographic", "S", "Social", "E", "Economic", "H", "Housing", "")</f>
        <v>Demographic</v>
      </c>
      <c r="K94" t="s">
        <v>384</v>
      </c>
      <c r="L94" t="s">
        <v>385</v>
      </c>
      <c r="M94" t="str">
        <f>IF(Table1[[#This Row],[used]], _xlfn.CONCAT("🆔 ", Table1[[#This Row],[variable]], ": ",Table1[[#This Row],[alias]]), "")</f>
        <v>🆔 B03002_015E: Hispanic or Latino: American Indian and Alaska Native alone</v>
      </c>
      <c r="O94" t="s">
        <v>443</v>
      </c>
      <c r="P94" t="s">
        <v>399</v>
      </c>
      <c r="Q94" t="s">
        <v>41</v>
      </c>
      <c r="R94" t="s">
        <v>444</v>
      </c>
      <c r="S94" t="b">
        <v>1</v>
      </c>
      <c r="T94" t="b">
        <v>1</v>
      </c>
      <c r="U94" t="b">
        <v>1</v>
      </c>
      <c r="V94" t="b">
        <v>1</v>
      </c>
      <c r="W94" t="b">
        <v>1</v>
      </c>
      <c r="X94" t="b">
        <v>1</v>
      </c>
      <c r="Y94" t="b">
        <v>1</v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</row>
    <row r="95" spans="1:33" x14ac:dyDescent="0.25">
      <c r="A95" t="s">
        <v>33</v>
      </c>
      <c r="B95">
        <v>15</v>
      </c>
      <c r="C95" t="b">
        <v>1</v>
      </c>
      <c r="D95" t="s">
        <v>380</v>
      </c>
      <c r="E95" t="s">
        <v>395</v>
      </c>
      <c r="F95" t="s">
        <v>445</v>
      </c>
      <c r="G95" t="s">
        <v>446</v>
      </c>
      <c r="H95">
        <v>94</v>
      </c>
      <c r="I95" t="str">
        <f>IF(ISBLANK(Table1[[#This Row],[oid]]),"FALSE","TRUE")</f>
        <v>TRUE</v>
      </c>
      <c r="J95" t="str" cm="1">
        <f t="array" ref="J95">_xlfn.SWITCH(LEFT(Table1[[#This Row],[section]],1), "D", "Demographic", "S", "Social", "E", "Economic", "H", "Housing", "")</f>
        <v>Demographic</v>
      </c>
      <c r="K95" t="s">
        <v>384</v>
      </c>
      <c r="L95" t="s">
        <v>385</v>
      </c>
      <c r="M95" t="str">
        <f>IF(Table1[[#This Row],[used]], _xlfn.CONCAT("🆔 ", Table1[[#This Row],[variable]], ": ",Table1[[#This Row],[alias]]), "")</f>
        <v>🆔 B03002_016E: Hispanic or Latino: Asian alone</v>
      </c>
      <c r="O95" t="s">
        <v>447</v>
      </c>
      <c r="P95" t="s">
        <v>399</v>
      </c>
      <c r="Q95" t="s">
        <v>41</v>
      </c>
      <c r="R95" t="s">
        <v>448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  <c r="Z95" t="b">
        <v>1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1</v>
      </c>
    </row>
    <row r="96" spans="1:33" x14ac:dyDescent="0.25">
      <c r="A96" t="s">
        <v>33</v>
      </c>
      <c r="B96">
        <v>15</v>
      </c>
      <c r="C96" t="b">
        <v>1</v>
      </c>
      <c r="D96" t="s">
        <v>380</v>
      </c>
      <c r="E96" t="s">
        <v>395</v>
      </c>
      <c r="F96" t="s">
        <v>449</v>
      </c>
      <c r="G96" t="s">
        <v>450</v>
      </c>
      <c r="H96">
        <v>95</v>
      </c>
      <c r="I96" t="str">
        <f>IF(ISBLANK(Table1[[#This Row],[oid]]),"FALSE","TRUE")</f>
        <v>TRUE</v>
      </c>
      <c r="J96" t="str" cm="1">
        <f t="array" ref="J96">_xlfn.SWITCH(LEFT(Table1[[#This Row],[section]],1), "D", "Demographic", "S", "Social", "E", "Economic", "H", "Housing", "")</f>
        <v>Demographic</v>
      </c>
      <c r="K96" t="s">
        <v>384</v>
      </c>
      <c r="L96" t="s">
        <v>385</v>
      </c>
      <c r="M96" t="str">
        <f>IF(Table1[[#This Row],[used]], _xlfn.CONCAT("🆔 ", Table1[[#This Row],[variable]], ": ",Table1[[#This Row],[alias]]), "")</f>
        <v>🆔 B03002_017E: Hispanic or Latino: Native Hawaiian and Other Pacific Islander alone</v>
      </c>
      <c r="O96" t="s">
        <v>451</v>
      </c>
      <c r="P96" t="s">
        <v>399</v>
      </c>
      <c r="Q96" t="s">
        <v>41</v>
      </c>
      <c r="R96" t="s">
        <v>452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 t="b">
        <v>1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1</v>
      </c>
    </row>
    <row r="97" spans="1:33" x14ac:dyDescent="0.25">
      <c r="A97" t="s">
        <v>33</v>
      </c>
      <c r="B97">
        <v>15</v>
      </c>
      <c r="C97" t="b">
        <v>1</v>
      </c>
      <c r="D97" t="s">
        <v>380</v>
      </c>
      <c r="E97" t="s">
        <v>395</v>
      </c>
      <c r="F97" t="s">
        <v>453</v>
      </c>
      <c r="G97" t="s">
        <v>454</v>
      </c>
      <c r="H97">
        <v>96</v>
      </c>
      <c r="I97" t="str">
        <f>IF(ISBLANK(Table1[[#This Row],[oid]]),"FALSE","TRUE")</f>
        <v>TRUE</v>
      </c>
      <c r="J97" t="str" cm="1">
        <f t="array" ref="J97">_xlfn.SWITCH(LEFT(Table1[[#This Row],[section]],1), "D", "Demographic", "S", "Social", "E", "Economic", "H", "Housing", "")</f>
        <v>Demographic</v>
      </c>
      <c r="K97" t="s">
        <v>384</v>
      </c>
      <c r="L97" t="s">
        <v>385</v>
      </c>
      <c r="M97" t="str">
        <f>IF(Table1[[#This Row],[used]], _xlfn.CONCAT("🆔 ", Table1[[#This Row],[variable]], ": ",Table1[[#This Row],[alias]]), "")</f>
        <v>🆔 B03002_018E: Hispanic or Latino: Some other race alone</v>
      </c>
      <c r="O97" t="s">
        <v>455</v>
      </c>
      <c r="P97" t="s">
        <v>399</v>
      </c>
      <c r="Q97" t="s">
        <v>41</v>
      </c>
      <c r="R97" t="s">
        <v>456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  <c r="X97" t="b">
        <v>1</v>
      </c>
      <c r="Y97" t="b">
        <v>1</v>
      </c>
      <c r="Z97" t="b">
        <v>1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1</v>
      </c>
    </row>
    <row r="98" spans="1:33" x14ac:dyDescent="0.25">
      <c r="A98" t="s">
        <v>33</v>
      </c>
      <c r="B98">
        <v>15</v>
      </c>
      <c r="C98" t="b">
        <v>1</v>
      </c>
      <c r="D98" t="s">
        <v>380</v>
      </c>
      <c r="E98" t="s">
        <v>395</v>
      </c>
      <c r="F98" t="s">
        <v>457</v>
      </c>
      <c r="G98" t="s">
        <v>458</v>
      </c>
      <c r="H98">
        <v>97</v>
      </c>
      <c r="I98" t="str">
        <f>IF(ISBLANK(Table1[[#This Row],[oid]]),"FALSE","TRUE")</f>
        <v>TRUE</v>
      </c>
      <c r="J98" t="str" cm="1">
        <f t="array" ref="J98">_xlfn.SWITCH(LEFT(Table1[[#This Row],[section]],1), "D", "Demographic", "S", "Social", "E", "Economic", "H", "Housing", "")</f>
        <v>Demographic</v>
      </c>
      <c r="K98" t="s">
        <v>384</v>
      </c>
      <c r="L98" t="s">
        <v>385</v>
      </c>
      <c r="M98" t="str">
        <f>IF(Table1[[#This Row],[used]], _xlfn.CONCAT("🆔 ", Table1[[#This Row],[variable]], ": ",Table1[[#This Row],[alias]]), "")</f>
        <v>🆔 B03002_019E: Hispanic or Latino: Two or more races</v>
      </c>
      <c r="O98" t="s">
        <v>459</v>
      </c>
      <c r="P98" t="s">
        <v>399</v>
      </c>
      <c r="Q98" t="s">
        <v>41</v>
      </c>
      <c r="R98" t="s">
        <v>460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  <c r="X98" t="b">
        <v>1</v>
      </c>
      <c r="Y98" t="b">
        <v>1</v>
      </c>
      <c r="Z98" t="b">
        <v>1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</row>
    <row r="99" spans="1:33" x14ac:dyDescent="0.25">
      <c r="A99" t="s">
        <v>33</v>
      </c>
      <c r="B99">
        <v>15</v>
      </c>
      <c r="C99" t="b">
        <v>1</v>
      </c>
      <c r="D99" t="s">
        <v>380</v>
      </c>
      <c r="E99" t="s">
        <v>395</v>
      </c>
      <c r="F99" t="s">
        <v>461</v>
      </c>
      <c r="G99" t="s">
        <v>462</v>
      </c>
      <c r="H99">
        <v>98</v>
      </c>
      <c r="I99" t="str">
        <f>IF(ISBLANK(Table1[[#This Row],[oid]]),"FALSE","TRUE")</f>
        <v>TRUE</v>
      </c>
      <c r="J99" t="str" cm="1">
        <f t="array" ref="J99">_xlfn.SWITCH(LEFT(Table1[[#This Row],[section]],1), "D", "Demographic", "S", "Social", "E", "Economic", "H", "Housing", "")</f>
        <v>Demographic</v>
      </c>
      <c r="K99" t="s">
        <v>384</v>
      </c>
      <c r="L99" t="s">
        <v>385</v>
      </c>
      <c r="M99" t="str">
        <f>IF(Table1[[#This Row],[used]], _xlfn.CONCAT("🆔 ", Table1[[#This Row],[variable]], ": ",Table1[[#This Row],[alias]]), "")</f>
        <v>🆔 B03002_020E: Hispanic or Latino: Two or more races: Two races including Some other race</v>
      </c>
      <c r="O99" t="s">
        <v>463</v>
      </c>
      <c r="P99" t="s">
        <v>399</v>
      </c>
      <c r="Q99" t="s">
        <v>41</v>
      </c>
      <c r="R99" t="s">
        <v>464</v>
      </c>
      <c r="S99" t="b">
        <v>1</v>
      </c>
      <c r="T99" t="b">
        <v>1</v>
      </c>
      <c r="U99" t="b">
        <v>1</v>
      </c>
      <c r="V99" t="b">
        <v>1</v>
      </c>
      <c r="W99" t="b">
        <v>1</v>
      </c>
      <c r="X99" t="b">
        <v>1</v>
      </c>
      <c r="Y99" t="b">
        <v>1</v>
      </c>
      <c r="Z99" t="b">
        <v>1</v>
      </c>
      <c r="AA99" t="b">
        <v>1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1</v>
      </c>
    </row>
    <row r="100" spans="1:33" x14ac:dyDescent="0.25">
      <c r="A100" t="s">
        <v>33</v>
      </c>
      <c r="B100">
        <v>15</v>
      </c>
      <c r="C100" t="b">
        <v>1</v>
      </c>
      <c r="D100" t="s">
        <v>380</v>
      </c>
      <c r="E100" t="s">
        <v>395</v>
      </c>
      <c r="F100" t="s">
        <v>465</v>
      </c>
      <c r="G100" t="s">
        <v>466</v>
      </c>
      <c r="H100">
        <v>99</v>
      </c>
      <c r="I100" t="str">
        <f>IF(ISBLANK(Table1[[#This Row],[oid]]),"FALSE","TRUE")</f>
        <v>TRUE</v>
      </c>
      <c r="J100" t="str" cm="1">
        <f t="array" ref="J100">_xlfn.SWITCH(LEFT(Table1[[#This Row],[section]],1), "D", "Demographic", "S", "Social", "E", "Economic", "H", "Housing", "")</f>
        <v>Demographic</v>
      </c>
      <c r="K100" t="s">
        <v>384</v>
      </c>
      <c r="L100" t="s">
        <v>385</v>
      </c>
      <c r="M100" t="str">
        <f>IF(Table1[[#This Row],[used]], _xlfn.CONCAT("🆔 ", Table1[[#This Row],[variable]], ": ",Table1[[#This Row],[alias]]), "")</f>
        <v>🆔 B03002_021E: Hispanic or Latino: Two or more races: Two races excluding Some other race and three or more races</v>
      </c>
      <c r="O100" t="s">
        <v>467</v>
      </c>
      <c r="P100" t="s">
        <v>399</v>
      </c>
      <c r="Q100" t="s">
        <v>41</v>
      </c>
      <c r="R100" t="s">
        <v>468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  <c r="X100" t="b">
        <v>1</v>
      </c>
      <c r="Y100" t="b">
        <v>1</v>
      </c>
      <c r="Z100" t="b">
        <v>1</v>
      </c>
      <c r="AA100" t="b">
        <v>1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1</v>
      </c>
    </row>
    <row r="101" spans="1:33" x14ac:dyDescent="0.25">
      <c r="A101" t="s">
        <v>33</v>
      </c>
      <c r="B101">
        <v>15</v>
      </c>
      <c r="C101" t="b">
        <v>1</v>
      </c>
      <c r="D101" t="s">
        <v>380</v>
      </c>
      <c r="E101" t="s">
        <v>469</v>
      </c>
      <c r="F101" t="s">
        <v>470</v>
      </c>
      <c r="G101" t="s">
        <v>471</v>
      </c>
      <c r="H101">
        <v>100</v>
      </c>
      <c r="I101" t="str">
        <f>IF(ISBLANK(Table1[[#This Row],[oid]]),"FALSE","TRUE")</f>
        <v>TRUE</v>
      </c>
      <c r="J101" t="str" cm="1">
        <f t="array" ref="J101">_xlfn.SWITCH(LEFT(Table1[[#This Row],[section]],1), "D", "Demographic", "S", "Social", "E", "Economic", "H", "Housing", "")</f>
        <v>Demographic</v>
      </c>
      <c r="K101" t="s">
        <v>472</v>
      </c>
      <c r="L101" t="s">
        <v>473</v>
      </c>
      <c r="M101" t="str">
        <f>IF(Table1[[#This Row],[used]], _xlfn.CONCAT("🆔 ", Table1[[#This Row],[variable]], ": ",Table1[[#This Row],[alias]]), "")</f>
        <v>🆔 B03001_001E: Total Population (Hispanic or Latino by Origin)</v>
      </c>
      <c r="O101" t="s">
        <v>39</v>
      </c>
      <c r="P101" t="s">
        <v>474</v>
      </c>
      <c r="Q101" t="s">
        <v>41</v>
      </c>
      <c r="R101" t="s">
        <v>475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  <c r="Z101" t="b">
        <v>1</v>
      </c>
      <c r="AA101" t="b">
        <v>1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1</v>
      </c>
    </row>
    <row r="102" spans="1:33" x14ac:dyDescent="0.25">
      <c r="A102" t="s">
        <v>33</v>
      </c>
      <c r="B102">
        <v>15</v>
      </c>
      <c r="C102" t="b">
        <v>1</v>
      </c>
      <c r="D102" t="s">
        <v>380</v>
      </c>
      <c r="E102" t="s">
        <v>469</v>
      </c>
      <c r="F102" t="s">
        <v>476</v>
      </c>
      <c r="G102" t="s">
        <v>389</v>
      </c>
      <c r="H102">
        <v>101</v>
      </c>
      <c r="I102" t="str">
        <f>IF(ISBLANK(Table1[[#This Row],[oid]]),"FALSE","TRUE")</f>
        <v>TRUE</v>
      </c>
      <c r="J102" t="str" cm="1">
        <f t="array" ref="J102">_xlfn.SWITCH(LEFT(Table1[[#This Row],[section]],1), "D", "Demographic", "S", "Social", "E", "Economic", "H", "Housing", "")</f>
        <v>Demographic</v>
      </c>
      <c r="K102" t="s">
        <v>472</v>
      </c>
      <c r="L102" t="s">
        <v>473</v>
      </c>
      <c r="M102" t="str">
        <f>IF(Table1[[#This Row],[used]], _xlfn.CONCAT("🆔 ", Table1[[#This Row],[variable]], ": ",Table1[[#This Row],[alias]]), "")</f>
        <v>🆔 B03001_002E: Not Hispanic or Latino</v>
      </c>
      <c r="O102" t="s">
        <v>390</v>
      </c>
      <c r="P102" t="s">
        <v>474</v>
      </c>
      <c r="Q102" t="s">
        <v>41</v>
      </c>
      <c r="R102" t="s">
        <v>477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  <c r="Z102" t="b">
        <v>1</v>
      </c>
      <c r="AA102" t="b">
        <v>1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1</v>
      </c>
    </row>
    <row r="103" spans="1:33" x14ac:dyDescent="0.25">
      <c r="A103" t="s">
        <v>33</v>
      </c>
      <c r="B103">
        <v>15</v>
      </c>
      <c r="C103" t="b">
        <v>1</v>
      </c>
      <c r="D103" t="s">
        <v>380</v>
      </c>
      <c r="E103" t="s">
        <v>469</v>
      </c>
      <c r="F103" t="s">
        <v>478</v>
      </c>
      <c r="G103" t="s">
        <v>385</v>
      </c>
      <c r="H103">
        <v>102</v>
      </c>
      <c r="I103" t="str">
        <f>IF(ISBLANK(Table1[[#This Row],[oid]]),"FALSE","TRUE")</f>
        <v>TRUE</v>
      </c>
      <c r="J103" t="str" cm="1">
        <f t="array" ref="J103">_xlfn.SWITCH(LEFT(Table1[[#This Row],[section]],1), "D", "Demographic", "S", "Social", "E", "Economic", "H", "Housing", "")</f>
        <v>Demographic</v>
      </c>
      <c r="K103" t="s">
        <v>472</v>
      </c>
      <c r="L103" t="s">
        <v>473</v>
      </c>
      <c r="M103" t="str">
        <f>IF(Table1[[#This Row],[used]], _xlfn.CONCAT("🆔 ", Table1[[#This Row],[variable]], ": ",Table1[[#This Row],[alias]]), "")</f>
        <v>🆔 B03001_003E: Hispanic or Latino</v>
      </c>
      <c r="O103" t="s">
        <v>393</v>
      </c>
      <c r="P103" t="s">
        <v>474</v>
      </c>
      <c r="Q103" t="s">
        <v>41</v>
      </c>
      <c r="R103" t="s">
        <v>479</v>
      </c>
      <c r="S103" t="b">
        <v>1</v>
      </c>
      <c r="T103" t="b">
        <v>1</v>
      </c>
      <c r="U103" t="b">
        <v>1</v>
      </c>
      <c r="V103" t="b">
        <v>1</v>
      </c>
      <c r="W103" t="b">
        <v>1</v>
      </c>
      <c r="X103" t="b">
        <v>1</v>
      </c>
      <c r="Y103" t="b">
        <v>1</v>
      </c>
      <c r="Z103" t="b">
        <v>1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</row>
    <row r="104" spans="1:33" x14ac:dyDescent="0.25">
      <c r="A104" t="s">
        <v>33</v>
      </c>
      <c r="B104">
        <v>15</v>
      </c>
      <c r="C104" t="b">
        <v>1</v>
      </c>
      <c r="D104" t="s">
        <v>380</v>
      </c>
      <c r="E104" t="s">
        <v>469</v>
      </c>
      <c r="F104" t="s">
        <v>480</v>
      </c>
      <c r="G104" t="s">
        <v>481</v>
      </c>
      <c r="H104">
        <v>103</v>
      </c>
      <c r="I104" t="str">
        <f>IF(ISBLANK(Table1[[#This Row],[oid]]),"FALSE","TRUE")</f>
        <v>TRUE</v>
      </c>
      <c r="J104" t="str" cm="1">
        <f t="array" ref="J104">_xlfn.SWITCH(LEFT(Table1[[#This Row],[section]],1), "D", "Demographic", "S", "Social", "E", "Economic", "H", "Housing", "")</f>
        <v>Demographic</v>
      </c>
      <c r="K104" t="s">
        <v>472</v>
      </c>
      <c r="L104" t="s">
        <v>473</v>
      </c>
      <c r="M104" t="str">
        <f>IF(Table1[[#This Row],[used]], _xlfn.CONCAT("🆔 ", Table1[[#This Row],[variable]], ": ",Table1[[#This Row],[alias]]), "")</f>
        <v>🆔 B03001_004E: Hispanic or Latino: Mexican</v>
      </c>
      <c r="O104" t="s">
        <v>482</v>
      </c>
      <c r="P104" t="s">
        <v>474</v>
      </c>
      <c r="Q104" t="s">
        <v>41</v>
      </c>
      <c r="R104" t="s">
        <v>483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  <c r="X104" t="b">
        <v>1</v>
      </c>
      <c r="Y104" t="b">
        <v>1</v>
      </c>
      <c r="Z104" t="b">
        <v>1</v>
      </c>
      <c r="AA104" t="b">
        <v>1</v>
      </c>
      <c r="AB104" t="b">
        <v>1</v>
      </c>
      <c r="AC104" t="b">
        <v>1</v>
      </c>
      <c r="AD104" t="b">
        <v>1</v>
      </c>
      <c r="AE104" t="b">
        <v>1</v>
      </c>
      <c r="AF104" t="b">
        <v>1</v>
      </c>
      <c r="AG104" t="b">
        <v>1</v>
      </c>
    </row>
    <row r="105" spans="1:33" x14ac:dyDescent="0.25">
      <c r="A105" t="s">
        <v>33</v>
      </c>
      <c r="B105">
        <v>15</v>
      </c>
      <c r="C105" t="b">
        <v>1</v>
      </c>
      <c r="D105" t="s">
        <v>380</v>
      </c>
      <c r="E105" t="s">
        <v>469</v>
      </c>
      <c r="F105" t="s">
        <v>484</v>
      </c>
      <c r="G105" t="s">
        <v>485</v>
      </c>
      <c r="H105">
        <v>104</v>
      </c>
      <c r="I105" t="str">
        <f>IF(ISBLANK(Table1[[#This Row],[oid]]),"FALSE","TRUE")</f>
        <v>TRUE</v>
      </c>
      <c r="J105" t="str" cm="1">
        <f t="array" ref="J105">_xlfn.SWITCH(LEFT(Table1[[#This Row],[section]],1), "D", "Demographic", "S", "Social", "E", "Economic", "H", "Housing", "")</f>
        <v>Demographic</v>
      </c>
      <c r="K105" t="s">
        <v>472</v>
      </c>
      <c r="L105" t="s">
        <v>473</v>
      </c>
      <c r="M105" t="str">
        <f>IF(Table1[[#This Row],[used]], _xlfn.CONCAT("🆔 ", Table1[[#This Row],[variable]], ": ",Table1[[#This Row],[alias]]), "")</f>
        <v>🆔 B03001_005E: Hispanic or Latino: Puerto Rican</v>
      </c>
      <c r="O105" t="s">
        <v>486</v>
      </c>
      <c r="P105" t="s">
        <v>474</v>
      </c>
      <c r="Q105" t="s">
        <v>41</v>
      </c>
      <c r="R105" t="s">
        <v>487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  <c r="X105" t="b">
        <v>1</v>
      </c>
      <c r="Y105" t="b">
        <v>1</v>
      </c>
      <c r="Z105" t="b">
        <v>1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1</v>
      </c>
      <c r="AG105" t="b">
        <v>1</v>
      </c>
    </row>
    <row r="106" spans="1:33" x14ac:dyDescent="0.25">
      <c r="A106" t="s">
        <v>33</v>
      </c>
      <c r="B106">
        <v>15</v>
      </c>
      <c r="C106" t="b">
        <v>1</v>
      </c>
      <c r="D106" t="s">
        <v>380</v>
      </c>
      <c r="E106" t="s">
        <v>469</v>
      </c>
      <c r="F106" t="s">
        <v>488</v>
      </c>
      <c r="G106" t="s">
        <v>489</v>
      </c>
      <c r="H106">
        <v>105</v>
      </c>
      <c r="I106" t="str">
        <f>IF(ISBLANK(Table1[[#This Row],[oid]]),"FALSE","TRUE")</f>
        <v>TRUE</v>
      </c>
      <c r="J106" t="str" cm="1">
        <f t="array" ref="J106">_xlfn.SWITCH(LEFT(Table1[[#This Row],[section]],1), "D", "Demographic", "S", "Social", "E", "Economic", "H", "Housing", "")</f>
        <v>Demographic</v>
      </c>
      <c r="K106" t="s">
        <v>472</v>
      </c>
      <c r="L106" t="s">
        <v>473</v>
      </c>
      <c r="M106" t="str">
        <f>IF(Table1[[#This Row],[used]], _xlfn.CONCAT("🆔 ", Table1[[#This Row],[variable]], ": ",Table1[[#This Row],[alias]]), "")</f>
        <v>🆔 B03001_006E: Hispanic or Latino: Cuban</v>
      </c>
      <c r="O106" t="s">
        <v>490</v>
      </c>
      <c r="P106" t="s">
        <v>474</v>
      </c>
      <c r="Q106" t="s">
        <v>41</v>
      </c>
      <c r="R106" t="s">
        <v>491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  <c r="X106" t="b">
        <v>1</v>
      </c>
      <c r="Y106" t="b">
        <v>1</v>
      </c>
      <c r="Z106" t="b">
        <v>1</v>
      </c>
      <c r="AA106" t="b">
        <v>1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1</v>
      </c>
    </row>
    <row r="107" spans="1:33" x14ac:dyDescent="0.25">
      <c r="A107" t="s">
        <v>33</v>
      </c>
      <c r="B107">
        <v>15</v>
      </c>
      <c r="C107" t="b">
        <v>1</v>
      </c>
      <c r="D107" t="s">
        <v>380</v>
      </c>
      <c r="E107" t="s">
        <v>469</v>
      </c>
      <c r="F107" t="s">
        <v>492</v>
      </c>
      <c r="G107" t="s">
        <v>493</v>
      </c>
      <c r="H107">
        <v>106</v>
      </c>
      <c r="I107" t="str">
        <f>IF(ISBLANK(Table1[[#This Row],[oid]]),"FALSE","TRUE")</f>
        <v>TRUE</v>
      </c>
      <c r="J107" t="str" cm="1">
        <f t="array" ref="J107">_xlfn.SWITCH(LEFT(Table1[[#This Row],[section]],1), "D", "Demographic", "S", "Social", "E", "Economic", "H", "Housing", "")</f>
        <v>Demographic</v>
      </c>
      <c r="K107" t="s">
        <v>472</v>
      </c>
      <c r="L107" t="s">
        <v>473</v>
      </c>
      <c r="M107" t="str">
        <f>IF(Table1[[#This Row],[used]], _xlfn.CONCAT("🆔 ", Table1[[#This Row],[variable]], ": ",Table1[[#This Row],[alias]]), "")</f>
        <v>🆔 B03001_007E: Hispanic or Latino: Dominican Dominican Republic</v>
      </c>
      <c r="O107" t="s">
        <v>494</v>
      </c>
      <c r="P107" t="s">
        <v>474</v>
      </c>
      <c r="Q107" t="s">
        <v>41</v>
      </c>
      <c r="R107" t="s">
        <v>495</v>
      </c>
      <c r="S107" t="b">
        <v>1</v>
      </c>
      <c r="T107" t="b">
        <v>1</v>
      </c>
      <c r="U107" t="b">
        <v>1</v>
      </c>
      <c r="V107" t="b">
        <v>1</v>
      </c>
      <c r="W107" t="b">
        <v>1</v>
      </c>
      <c r="X107" t="b">
        <v>1</v>
      </c>
      <c r="Y107" t="b">
        <v>1</v>
      </c>
      <c r="Z107" t="b">
        <v>1</v>
      </c>
      <c r="AA107" t="b">
        <v>1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1</v>
      </c>
    </row>
    <row r="108" spans="1:33" x14ac:dyDescent="0.25">
      <c r="A108" t="s">
        <v>33</v>
      </c>
      <c r="B108">
        <v>15</v>
      </c>
      <c r="C108" t="b">
        <v>1</v>
      </c>
      <c r="D108" t="s">
        <v>380</v>
      </c>
      <c r="E108" t="s">
        <v>469</v>
      </c>
      <c r="F108" t="s">
        <v>496</v>
      </c>
      <c r="G108" t="s">
        <v>497</v>
      </c>
      <c r="H108">
        <v>107</v>
      </c>
      <c r="I108" t="str">
        <f>IF(ISBLANK(Table1[[#This Row],[oid]]),"FALSE","TRUE")</f>
        <v>TRUE</v>
      </c>
      <c r="J108" t="str" cm="1">
        <f t="array" ref="J108">_xlfn.SWITCH(LEFT(Table1[[#This Row],[section]],1), "D", "Demographic", "S", "Social", "E", "Economic", "H", "Housing", "")</f>
        <v>Demographic</v>
      </c>
      <c r="K108" t="s">
        <v>472</v>
      </c>
      <c r="L108" t="s">
        <v>473</v>
      </c>
      <c r="M108" t="str">
        <f>IF(Table1[[#This Row],[used]], _xlfn.CONCAT("🆔 ", Table1[[#This Row],[variable]], ": ",Table1[[#This Row],[alias]]), "")</f>
        <v>🆔 B03001_008E: Hispanic or Latino: Central American</v>
      </c>
      <c r="O108" t="s">
        <v>498</v>
      </c>
      <c r="P108" t="s">
        <v>474</v>
      </c>
      <c r="Q108" t="s">
        <v>41</v>
      </c>
      <c r="R108" t="s">
        <v>499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  <c r="X108" t="b">
        <v>1</v>
      </c>
      <c r="Y108" t="b">
        <v>1</v>
      </c>
      <c r="Z108" t="b">
        <v>1</v>
      </c>
      <c r="AA108" t="b">
        <v>1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 t="b">
        <v>1</v>
      </c>
    </row>
    <row r="109" spans="1:33" x14ac:dyDescent="0.25">
      <c r="A109" t="s">
        <v>33</v>
      </c>
      <c r="B109">
        <v>15</v>
      </c>
      <c r="C109" t="b">
        <v>1</v>
      </c>
      <c r="D109" t="s">
        <v>380</v>
      </c>
      <c r="E109" t="s">
        <v>469</v>
      </c>
      <c r="F109" t="s">
        <v>500</v>
      </c>
      <c r="G109" t="s">
        <v>501</v>
      </c>
      <c r="H109">
        <v>108</v>
      </c>
      <c r="I109" t="str">
        <f>IF(ISBLANK(Table1[[#This Row],[oid]]),"FALSE","TRUE")</f>
        <v>TRUE</v>
      </c>
      <c r="J109" t="str" cm="1">
        <f t="array" ref="J109">_xlfn.SWITCH(LEFT(Table1[[#This Row],[section]],1), "D", "Demographic", "S", "Social", "E", "Economic", "H", "Housing", "")</f>
        <v>Demographic</v>
      </c>
      <c r="K109" t="s">
        <v>472</v>
      </c>
      <c r="L109" t="s">
        <v>473</v>
      </c>
      <c r="M109" t="str">
        <f>IF(Table1[[#This Row],[used]], _xlfn.CONCAT("🆔 ", Table1[[#This Row],[variable]], ": ",Table1[[#This Row],[alias]]), "")</f>
        <v>🆔 B03001_009E: Hispanic or Latino: Central American: Costa Rican</v>
      </c>
      <c r="O109" t="s">
        <v>502</v>
      </c>
      <c r="P109" t="s">
        <v>474</v>
      </c>
      <c r="Q109" t="s">
        <v>41</v>
      </c>
      <c r="R109" t="s">
        <v>503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  <c r="Z109" t="b">
        <v>1</v>
      </c>
      <c r="AA109" t="b">
        <v>1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1</v>
      </c>
    </row>
    <row r="110" spans="1:33" x14ac:dyDescent="0.25">
      <c r="A110" t="s">
        <v>33</v>
      </c>
      <c r="B110">
        <v>15</v>
      </c>
      <c r="C110" t="b">
        <v>1</v>
      </c>
      <c r="D110" t="s">
        <v>380</v>
      </c>
      <c r="E110" t="s">
        <v>469</v>
      </c>
      <c r="F110" t="s">
        <v>504</v>
      </c>
      <c r="G110" t="s">
        <v>505</v>
      </c>
      <c r="H110">
        <v>109</v>
      </c>
      <c r="I110" t="str">
        <f>IF(ISBLANK(Table1[[#This Row],[oid]]),"FALSE","TRUE")</f>
        <v>TRUE</v>
      </c>
      <c r="J110" t="str" cm="1">
        <f t="array" ref="J110">_xlfn.SWITCH(LEFT(Table1[[#This Row],[section]],1), "D", "Demographic", "S", "Social", "E", "Economic", "H", "Housing", "")</f>
        <v>Demographic</v>
      </c>
      <c r="K110" t="s">
        <v>472</v>
      </c>
      <c r="L110" t="s">
        <v>473</v>
      </c>
      <c r="M110" t="str">
        <f>IF(Table1[[#This Row],[used]], _xlfn.CONCAT("🆔 ", Table1[[#This Row],[variable]], ": ",Table1[[#This Row],[alias]]), "")</f>
        <v>🆔 B03001_010E: Hispanic or Latino: Central American: Guatemalan</v>
      </c>
      <c r="O110" t="s">
        <v>506</v>
      </c>
      <c r="P110" t="s">
        <v>474</v>
      </c>
      <c r="Q110" t="s">
        <v>41</v>
      </c>
      <c r="R110" t="s">
        <v>507</v>
      </c>
      <c r="S110" t="b">
        <v>1</v>
      </c>
      <c r="T110" t="b">
        <v>1</v>
      </c>
      <c r="U110" t="b">
        <v>1</v>
      </c>
      <c r="V110" t="b">
        <v>1</v>
      </c>
      <c r="W110" t="b">
        <v>1</v>
      </c>
      <c r="X110" t="b">
        <v>1</v>
      </c>
      <c r="Y110" t="b">
        <v>1</v>
      </c>
      <c r="Z110" t="b">
        <v>1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</row>
    <row r="111" spans="1:33" x14ac:dyDescent="0.25">
      <c r="A111" t="s">
        <v>33</v>
      </c>
      <c r="B111">
        <v>15</v>
      </c>
      <c r="C111" t="b">
        <v>1</v>
      </c>
      <c r="D111" t="s">
        <v>380</v>
      </c>
      <c r="E111" t="s">
        <v>469</v>
      </c>
      <c r="F111" t="s">
        <v>508</v>
      </c>
      <c r="G111" t="s">
        <v>509</v>
      </c>
      <c r="H111">
        <v>110</v>
      </c>
      <c r="I111" t="str">
        <f>IF(ISBLANK(Table1[[#This Row],[oid]]),"FALSE","TRUE")</f>
        <v>TRUE</v>
      </c>
      <c r="J111" t="str" cm="1">
        <f t="array" ref="J111">_xlfn.SWITCH(LEFT(Table1[[#This Row],[section]],1), "D", "Demographic", "S", "Social", "E", "Economic", "H", "Housing", "")</f>
        <v>Demographic</v>
      </c>
      <c r="K111" t="s">
        <v>472</v>
      </c>
      <c r="L111" t="s">
        <v>473</v>
      </c>
      <c r="M111" t="str">
        <f>IF(Table1[[#This Row],[used]], _xlfn.CONCAT("🆔 ", Table1[[#This Row],[variable]], ": ",Table1[[#This Row],[alias]]), "")</f>
        <v>🆔 B03001_011E: Hispanic or Latino: Central American: Honduran</v>
      </c>
      <c r="O111" t="s">
        <v>510</v>
      </c>
      <c r="P111" t="s">
        <v>474</v>
      </c>
      <c r="Q111" t="s">
        <v>41</v>
      </c>
      <c r="R111" t="s">
        <v>511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  <c r="X111" t="b">
        <v>1</v>
      </c>
      <c r="Y111" t="b">
        <v>1</v>
      </c>
      <c r="Z111" t="b">
        <v>1</v>
      </c>
      <c r="AA111" t="b">
        <v>1</v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 t="b">
        <v>1</v>
      </c>
    </row>
    <row r="112" spans="1:33" x14ac:dyDescent="0.25">
      <c r="A112" t="s">
        <v>33</v>
      </c>
      <c r="B112">
        <v>15</v>
      </c>
      <c r="C112" t="b">
        <v>1</v>
      </c>
      <c r="D112" t="s">
        <v>380</v>
      </c>
      <c r="E112" t="s">
        <v>469</v>
      </c>
      <c r="F112" t="s">
        <v>512</v>
      </c>
      <c r="G112" t="s">
        <v>513</v>
      </c>
      <c r="H112">
        <v>111</v>
      </c>
      <c r="I112" t="str">
        <f>IF(ISBLANK(Table1[[#This Row],[oid]]),"FALSE","TRUE")</f>
        <v>TRUE</v>
      </c>
      <c r="J112" t="str" cm="1">
        <f t="array" ref="J112">_xlfn.SWITCH(LEFT(Table1[[#This Row],[section]],1), "D", "Demographic", "S", "Social", "E", "Economic", "H", "Housing", "")</f>
        <v>Demographic</v>
      </c>
      <c r="K112" t="s">
        <v>472</v>
      </c>
      <c r="L112" t="s">
        <v>473</v>
      </c>
      <c r="M112" t="str">
        <f>IF(Table1[[#This Row],[used]], _xlfn.CONCAT("🆔 ", Table1[[#This Row],[variable]], ": ",Table1[[#This Row],[alias]]), "")</f>
        <v>🆔 B03001_012E: Hispanic or Latino: Central American: Nicaraguan</v>
      </c>
      <c r="O112" t="s">
        <v>514</v>
      </c>
      <c r="P112" t="s">
        <v>474</v>
      </c>
      <c r="Q112" t="s">
        <v>41</v>
      </c>
      <c r="R112" t="s">
        <v>515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  <c r="Z112" t="b">
        <v>1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 t="b">
        <v>1</v>
      </c>
    </row>
    <row r="113" spans="1:33" x14ac:dyDescent="0.25">
      <c r="A113" t="s">
        <v>33</v>
      </c>
      <c r="B113">
        <v>15</v>
      </c>
      <c r="C113" t="b">
        <v>1</v>
      </c>
      <c r="D113" t="s">
        <v>380</v>
      </c>
      <c r="E113" t="s">
        <v>469</v>
      </c>
      <c r="F113" t="s">
        <v>516</v>
      </c>
      <c r="G113" t="s">
        <v>517</v>
      </c>
      <c r="H113">
        <v>112</v>
      </c>
      <c r="I113" t="str">
        <f>IF(ISBLANK(Table1[[#This Row],[oid]]),"FALSE","TRUE")</f>
        <v>TRUE</v>
      </c>
      <c r="J113" t="str" cm="1">
        <f t="array" ref="J113">_xlfn.SWITCH(LEFT(Table1[[#This Row],[section]],1), "D", "Demographic", "S", "Social", "E", "Economic", "H", "Housing", "")</f>
        <v>Demographic</v>
      </c>
      <c r="K113" t="s">
        <v>472</v>
      </c>
      <c r="L113" t="s">
        <v>473</v>
      </c>
      <c r="M113" t="str">
        <f>IF(Table1[[#This Row],[used]], _xlfn.CONCAT("🆔 ", Table1[[#This Row],[variable]], ": ",Table1[[#This Row],[alias]]), "")</f>
        <v>🆔 B03001_013E: Hispanic or Latino: Central American: Panamanian</v>
      </c>
      <c r="O113" t="s">
        <v>518</v>
      </c>
      <c r="P113" t="s">
        <v>474</v>
      </c>
      <c r="Q113" t="s">
        <v>41</v>
      </c>
      <c r="R113" t="s">
        <v>519</v>
      </c>
      <c r="S113" t="b">
        <v>1</v>
      </c>
      <c r="T113" t="b">
        <v>1</v>
      </c>
      <c r="U113" t="b">
        <v>1</v>
      </c>
      <c r="V113" t="b">
        <v>1</v>
      </c>
      <c r="W113" t="b">
        <v>1</v>
      </c>
      <c r="X113" t="b">
        <v>1</v>
      </c>
      <c r="Y113" t="b">
        <v>1</v>
      </c>
      <c r="Z113" t="b">
        <v>1</v>
      </c>
      <c r="AA113" t="b">
        <v>1</v>
      </c>
      <c r="AB113" t="b">
        <v>1</v>
      </c>
      <c r="AC113" t="b">
        <v>1</v>
      </c>
      <c r="AD113" t="b">
        <v>1</v>
      </c>
      <c r="AE113" t="b">
        <v>1</v>
      </c>
      <c r="AF113" t="b">
        <v>1</v>
      </c>
      <c r="AG113" t="b">
        <v>1</v>
      </c>
    </row>
    <row r="114" spans="1:33" x14ac:dyDescent="0.25">
      <c r="A114" t="s">
        <v>33</v>
      </c>
      <c r="B114">
        <v>15</v>
      </c>
      <c r="C114" t="b">
        <v>1</v>
      </c>
      <c r="D114" t="s">
        <v>380</v>
      </c>
      <c r="E114" t="s">
        <v>469</v>
      </c>
      <c r="F114" t="s">
        <v>520</v>
      </c>
      <c r="G114" t="s">
        <v>521</v>
      </c>
      <c r="H114">
        <v>113</v>
      </c>
      <c r="I114" t="str">
        <f>IF(ISBLANK(Table1[[#This Row],[oid]]),"FALSE","TRUE")</f>
        <v>TRUE</v>
      </c>
      <c r="J114" t="str" cm="1">
        <f t="array" ref="J114">_xlfn.SWITCH(LEFT(Table1[[#This Row],[section]],1), "D", "Demographic", "S", "Social", "E", "Economic", "H", "Housing", "")</f>
        <v>Demographic</v>
      </c>
      <c r="K114" t="s">
        <v>472</v>
      </c>
      <c r="L114" t="s">
        <v>473</v>
      </c>
      <c r="M114" t="str">
        <f>IF(Table1[[#This Row],[used]], _xlfn.CONCAT("🆔 ", Table1[[#This Row],[variable]], ": ",Table1[[#This Row],[alias]]), "")</f>
        <v>🆔 B03001_014E: Hispanic or Latino: Central American: Salvadoran</v>
      </c>
      <c r="O114" t="s">
        <v>522</v>
      </c>
      <c r="P114" t="s">
        <v>474</v>
      </c>
      <c r="Q114" t="s">
        <v>41</v>
      </c>
      <c r="R114" t="s">
        <v>523</v>
      </c>
      <c r="S114" t="b">
        <v>1</v>
      </c>
      <c r="T114" t="b">
        <v>1</v>
      </c>
      <c r="U114" t="b">
        <v>1</v>
      </c>
      <c r="V114" t="b">
        <v>1</v>
      </c>
      <c r="W114" t="b">
        <v>1</v>
      </c>
      <c r="X114" t="b">
        <v>1</v>
      </c>
      <c r="Y114" t="b">
        <v>1</v>
      </c>
      <c r="Z114" t="b">
        <v>1</v>
      </c>
      <c r="AA114" t="b">
        <v>1</v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  <c r="AG114" t="b">
        <v>1</v>
      </c>
    </row>
    <row r="115" spans="1:33" x14ac:dyDescent="0.25">
      <c r="A115" t="s">
        <v>33</v>
      </c>
      <c r="B115">
        <v>15</v>
      </c>
      <c r="C115" t="b">
        <v>1</v>
      </c>
      <c r="D115" t="s">
        <v>380</v>
      </c>
      <c r="E115" t="s">
        <v>469</v>
      </c>
      <c r="F115" t="s">
        <v>524</v>
      </c>
      <c r="G115" t="s">
        <v>525</v>
      </c>
      <c r="H115">
        <v>114</v>
      </c>
      <c r="I115" t="str">
        <f>IF(ISBLANK(Table1[[#This Row],[oid]]),"FALSE","TRUE")</f>
        <v>TRUE</v>
      </c>
      <c r="J115" t="str" cm="1">
        <f t="array" ref="J115">_xlfn.SWITCH(LEFT(Table1[[#This Row],[section]],1), "D", "Demographic", "S", "Social", "E", "Economic", "H", "Housing", "")</f>
        <v>Demographic</v>
      </c>
      <c r="K115" t="s">
        <v>472</v>
      </c>
      <c r="L115" t="s">
        <v>473</v>
      </c>
      <c r="M115" t="str">
        <f>IF(Table1[[#This Row],[used]], _xlfn.CONCAT("🆔 ", Table1[[#This Row],[variable]], ": ",Table1[[#This Row],[alias]]), "")</f>
        <v>🆔 B03001_015E: Hispanic or Latino: Central American: Other Central American</v>
      </c>
      <c r="O115" t="s">
        <v>526</v>
      </c>
      <c r="P115" t="s">
        <v>474</v>
      </c>
      <c r="Q115" t="s">
        <v>41</v>
      </c>
      <c r="R115" t="s">
        <v>527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  <c r="X115" t="b">
        <v>1</v>
      </c>
      <c r="Y115" t="b">
        <v>1</v>
      </c>
      <c r="Z115" t="b">
        <v>1</v>
      </c>
      <c r="AA115" t="b">
        <v>1</v>
      </c>
      <c r="AB115" t="b">
        <v>1</v>
      </c>
      <c r="AC115" t="b">
        <v>1</v>
      </c>
      <c r="AD115" t="b">
        <v>1</v>
      </c>
      <c r="AE115" t="b">
        <v>1</v>
      </c>
      <c r="AF115" t="b">
        <v>1</v>
      </c>
      <c r="AG115" t="b">
        <v>1</v>
      </c>
    </row>
    <row r="116" spans="1:33" x14ac:dyDescent="0.25">
      <c r="A116" t="s">
        <v>33</v>
      </c>
      <c r="B116">
        <v>15</v>
      </c>
      <c r="C116" t="b">
        <v>1</v>
      </c>
      <c r="D116" t="s">
        <v>380</v>
      </c>
      <c r="E116" t="s">
        <v>469</v>
      </c>
      <c r="F116" t="s">
        <v>528</v>
      </c>
      <c r="G116" t="s">
        <v>529</v>
      </c>
      <c r="H116">
        <v>115</v>
      </c>
      <c r="I116" t="str">
        <f>IF(ISBLANK(Table1[[#This Row],[oid]]),"FALSE","TRUE")</f>
        <v>TRUE</v>
      </c>
      <c r="J116" t="str" cm="1">
        <f t="array" ref="J116">_xlfn.SWITCH(LEFT(Table1[[#This Row],[section]],1), "D", "Demographic", "S", "Social", "E", "Economic", "H", "Housing", "")</f>
        <v>Demographic</v>
      </c>
      <c r="K116" t="s">
        <v>472</v>
      </c>
      <c r="L116" t="s">
        <v>473</v>
      </c>
      <c r="M116" t="str">
        <f>IF(Table1[[#This Row],[used]], _xlfn.CONCAT("🆔 ", Table1[[#This Row],[variable]], ": ",Table1[[#This Row],[alias]]), "")</f>
        <v>🆔 B03001_016E: Hispanic or Latino: South American</v>
      </c>
      <c r="O116" t="s">
        <v>530</v>
      </c>
      <c r="P116" t="s">
        <v>474</v>
      </c>
      <c r="Q116" t="s">
        <v>41</v>
      </c>
      <c r="R116" t="s">
        <v>531</v>
      </c>
      <c r="S116" t="b">
        <v>1</v>
      </c>
      <c r="T116" t="b">
        <v>1</v>
      </c>
      <c r="U116" t="b">
        <v>1</v>
      </c>
      <c r="V116" t="b">
        <v>1</v>
      </c>
      <c r="W116" t="b">
        <v>1</v>
      </c>
      <c r="X116" t="b">
        <v>1</v>
      </c>
      <c r="Y116" t="b">
        <v>1</v>
      </c>
      <c r="Z116" t="b">
        <v>1</v>
      </c>
      <c r="AA116" t="b">
        <v>1</v>
      </c>
      <c r="AB116" t="b">
        <v>1</v>
      </c>
      <c r="AC116" t="b">
        <v>1</v>
      </c>
      <c r="AD116" t="b">
        <v>1</v>
      </c>
      <c r="AE116" t="b">
        <v>1</v>
      </c>
      <c r="AF116" t="b">
        <v>1</v>
      </c>
      <c r="AG116" t="b">
        <v>1</v>
      </c>
    </row>
    <row r="117" spans="1:33" x14ac:dyDescent="0.25">
      <c r="A117" t="s">
        <v>33</v>
      </c>
      <c r="B117">
        <v>15</v>
      </c>
      <c r="C117" t="b">
        <v>1</v>
      </c>
      <c r="D117" t="s">
        <v>380</v>
      </c>
      <c r="E117" t="s">
        <v>469</v>
      </c>
      <c r="F117" t="s">
        <v>532</v>
      </c>
      <c r="G117" t="s">
        <v>533</v>
      </c>
      <c r="H117">
        <v>116</v>
      </c>
      <c r="I117" t="str">
        <f>IF(ISBLANK(Table1[[#This Row],[oid]]),"FALSE","TRUE")</f>
        <v>TRUE</v>
      </c>
      <c r="J117" t="str" cm="1">
        <f t="array" ref="J117">_xlfn.SWITCH(LEFT(Table1[[#This Row],[section]],1), "D", "Demographic", "S", "Social", "E", "Economic", "H", "Housing", "")</f>
        <v>Demographic</v>
      </c>
      <c r="K117" t="s">
        <v>472</v>
      </c>
      <c r="L117" t="s">
        <v>473</v>
      </c>
      <c r="M117" t="str">
        <f>IF(Table1[[#This Row],[used]], _xlfn.CONCAT("🆔 ", Table1[[#This Row],[variable]], ": ",Table1[[#This Row],[alias]]), "")</f>
        <v>🆔 B03001_017E: Hispanic or Latino: South American: Argentinean</v>
      </c>
      <c r="O117" t="s">
        <v>534</v>
      </c>
      <c r="P117" t="s">
        <v>474</v>
      </c>
      <c r="Q117" t="s">
        <v>41</v>
      </c>
      <c r="R117" t="s">
        <v>535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  <c r="X117" t="b">
        <v>1</v>
      </c>
      <c r="Y117" t="b">
        <v>1</v>
      </c>
      <c r="Z117" t="b">
        <v>1</v>
      </c>
      <c r="AA117" t="b">
        <v>1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</row>
    <row r="118" spans="1:33" x14ac:dyDescent="0.25">
      <c r="A118" t="s">
        <v>33</v>
      </c>
      <c r="B118">
        <v>15</v>
      </c>
      <c r="C118" t="b">
        <v>1</v>
      </c>
      <c r="D118" t="s">
        <v>380</v>
      </c>
      <c r="E118" t="s">
        <v>469</v>
      </c>
      <c r="F118" t="s">
        <v>536</v>
      </c>
      <c r="G118" t="s">
        <v>537</v>
      </c>
      <c r="H118">
        <v>117</v>
      </c>
      <c r="I118" t="str">
        <f>IF(ISBLANK(Table1[[#This Row],[oid]]),"FALSE","TRUE")</f>
        <v>TRUE</v>
      </c>
      <c r="J118" t="str" cm="1">
        <f t="array" ref="J118">_xlfn.SWITCH(LEFT(Table1[[#This Row],[section]],1), "D", "Demographic", "S", "Social", "E", "Economic", "H", "Housing", "")</f>
        <v>Demographic</v>
      </c>
      <c r="K118" t="s">
        <v>472</v>
      </c>
      <c r="L118" t="s">
        <v>473</v>
      </c>
      <c r="M118" t="str">
        <f>IF(Table1[[#This Row],[used]], _xlfn.CONCAT("🆔 ", Table1[[#This Row],[variable]], ": ",Table1[[#This Row],[alias]]), "")</f>
        <v>🆔 B03001_018E: Hispanic or Latino: South American: Bolivian</v>
      </c>
      <c r="O118" t="s">
        <v>538</v>
      </c>
      <c r="P118" t="s">
        <v>474</v>
      </c>
      <c r="Q118" t="s">
        <v>41</v>
      </c>
      <c r="R118" t="s">
        <v>539</v>
      </c>
      <c r="S118" t="b">
        <v>1</v>
      </c>
      <c r="T118" t="b">
        <v>1</v>
      </c>
      <c r="U118" t="b">
        <v>1</v>
      </c>
      <c r="V118" t="b">
        <v>1</v>
      </c>
      <c r="W118" t="b">
        <v>1</v>
      </c>
      <c r="X118" t="b">
        <v>1</v>
      </c>
      <c r="Y118" t="b">
        <v>1</v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1</v>
      </c>
    </row>
    <row r="119" spans="1:33" x14ac:dyDescent="0.25">
      <c r="A119" t="s">
        <v>33</v>
      </c>
      <c r="B119">
        <v>15</v>
      </c>
      <c r="C119" t="b">
        <v>1</v>
      </c>
      <c r="D119" t="s">
        <v>380</v>
      </c>
      <c r="E119" t="s">
        <v>469</v>
      </c>
      <c r="F119" t="s">
        <v>540</v>
      </c>
      <c r="G119" t="s">
        <v>541</v>
      </c>
      <c r="H119">
        <v>118</v>
      </c>
      <c r="I119" t="str">
        <f>IF(ISBLANK(Table1[[#This Row],[oid]]),"FALSE","TRUE")</f>
        <v>TRUE</v>
      </c>
      <c r="J119" t="str" cm="1">
        <f t="array" ref="J119">_xlfn.SWITCH(LEFT(Table1[[#This Row],[section]],1), "D", "Demographic", "S", "Social", "E", "Economic", "H", "Housing", "")</f>
        <v>Demographic</v>
      </c>
      <c r="K119" t="s">
        <v>472</v>
      </c>
      <c r="L119" t="s">
        <v>473</v>
      </c>
      <c r="M119" t="str">
        <f>IF(Table1[[#This Row],[used]], _xlfn.CONCAT("🆔 ", Table1[[#This Row],[variable]], ": ",Table1[[#This Row],[alias]]), "")</f>
        <v>🆔 B03001_019E: Hispanic or Latino: South American: Chilean</v>
      </c>
      <c r="O119" t="s">
        <v>542</v>
      </c>
      <c r="P119" t="s">
        <v>474</v>
      </c>
      <c r="Q119" t="s">
        <v>41</v>
      </c>
      <c r="R119" t="s">
        <v>543</v>
      </c>
      <c r="S119" t="b">
        <v>1</v>
      </c>
      <c r="T119" t="b">
        <v>1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</row>
    <row r="120" spans="1:33" x14ac:dyDescent="0.25">
      <c r="A120" t="s">
        <v>33</v>
      </c>
      <c r="B120">
        <v>15</v>
      </c>
      <c r="C120" t="b">
        <v>1</v>
      </c>
      <c r="D120" t="s">
        <v>380</v>
      </c>
      <c r="E120" t="s">
        <v>469</v>
      </c>
      <c r="F120" t="s">
        <v>544</v>
      </c>
      <c r="G120" t="s">
        <v>545</v>
      </c>
      <c r="H120">
        <v>119</v>
      </c>
      <c r="I120" t="str">
        <f>IF(ISBLANK(Table1[[#This Row],[oid]]),"FALSE","TRUE")</f>
        <v>TRUE</v>
      </c>
      <c r="J120" t="str" cm="1">
        <f t="array" ref="J120">_xlfn.SWITCH(LEFT(Table1[[#This Row],[section]],1), "D", "Demographic", "S", "Social", "E", "Economic", "H", "Housing", "")</f>
        <v>Demographic</v>
      </c>
      <c r="K120" t="s">
        <v>472</v>
      </c>
      <c r="L120" t="s">
        <v>473</v>
      </c>
      <c r="M120" t="str">
        <f>IF(Table1[[#This Row],[used]], _xlfn.CONCAT("🆔 ", Table1[[#This Row],[variable]], ": ",Table1[[#This Row],[alias]]), "")</f>
        <v>🆔 B03001_020E: Hispanic or Latino: South American: Colombian</v>
      </c>
      <c r="O120" t="s">
        <v>546</v>
      </c>
      <c r="P120" t="s">
        <v>474</v>
      </c>
      <c r="Q120" t="s">
        <v>41</v>
      </c>
      <c r="R120" t="s">
        <v>547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  <c r="X120" t="b">
        <v>1</v>
      </c>
      <c r="Y120" t="b">
        <v>1</v>
      </c>
      <c r="Z120" t="b">
        <v>1</v>
      </c>
      <c r="AA120" t="b">
        <v>1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1</v>
      </c>
    </row>
    <row r="121" spans="1:33" x14ac:dyDescent="0.25">
      <c r="A121" t="s">
        <v>33</v>
      </c>
      <c r="B121">
        <v>15</v>
      </c>
      <c r="C121" t="b">
        <v>1</v>
      </c>
      <c r="D121" t="s">
        <v>380</v>
      </c>
      <c r="E121" t="s">
        <v>469</v>
      </c>
      <c r="F121" t="s">
        <v>548</v>
      </c>
      <c r="G121" t="s">
        <v>549</v>
      </c>
      <c r="H121">
        <v>120</v>
      </c>
      <c r="I121" t="str">
        <f>IF(ISBLANK(Table1[[#This Row],[oid]]),"FALSE","TRUE")</f>
        <v>TRUE</v>
      </c>
      <c r="J121" t="str" cm="1">
        <f t="array" ref="J121">_xlfn.SWITCH(LEFT(Table1[[#This Row],[section]],1), "D", "Demographic", "S", "Social", "E", "Economic", "H", "Housing", "")</f>
        <v>Demographic</v>
      </c>
      <c r="K121" t="s">
        <v>472</v>
      </c>
      <c r="L121" t="s">
        <v>473</v>
      </c>
      <c r="M121" t="str">
        <f>IF(Table1[[#This Row],[used]], _xlfn.CONCAT("🆔 ", Table1[[#This Row],[variable]], ": ",Table1[[#This Row],[alias]]), "")</f>
        <v>🆔 B03001_021E: Hispanic or Latino: South American: Ecuadorian</v>
      </c>
      <c r="O121" t="s">
        <v>550</v>
      </c>
      <c r="P121" t="s">
        <v>474</v>
      </c>
      <c r="Q121" t="s">
        <v>41</v>
      </c>
      <c r="R121" t="s">
        <v>551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  <c r="X121" t="b">
        <v>1</v>
      </c>
      <c r="Y121" t="b">
        <v>1</v>
      </c>
      <c r="Z121" t="b">
        <v>1</v>
      </c>
      <c r="AA121" t="b">
        <v>1</v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 t="b">
        <v>1</v>
      </c>
    </row>
    <row r="122" spans="1:33" x14ac:dyDescent="0.25">
      <c r="A122" t="s">
        <v>33</v>
      </c>
      <c r="B122">
        <v>15</v>
      </c>
      <c r="C122" t="b">
        <v>1</v>
      </c>
      <c r="D122" t="s">
        <v>380</v>
      </c>
      <c r="E122" t="s">
        <v>469</v>
      </c>
      <c r="F122" t="s">
        <v>552</v>
      </c>
      <c r="G122" t="s">
        <v>553</v>
      </c>
      <c r="H122">
        <v>121</v>
      </c>
      <c r="I122" t="str">
        <f>IF(ISBLANK(Table1[[#This Row],[oid]]),"FALSE","TRUE")</f>
        <v>TRUE</v>
      </c>
      <c r="J122" t="str" cm="1">
        <f t="array" ref="J122">_xlfn.SWITCH(LEFT(Table1[[#This Row],[section]],1), "D", "Demographic", "S", "Social", "E", "Economic", "H", "Housing", "")</f>
        <v>Demographic</v>
      </c>
      <c r="K122" t="s">
        <v>472</v>
      </c>
      <c r="L122" t="s">
        <v>473</v>
      </c>
      <c r="M122" t="str">
        <f>IF(Table1[[#This Row],[used]], _xlfn.CONCAT("🆔 ", Table1[[#This Row],[variable]], ": ",Table1[[#This Row],[alias]]), "")</f>
        <v>🆔 B03001_022E: Hispanic or Latino: South American: Paraguayan</v>
      </c>
      <c r="O122" t="s">
        <v>554</v>
      </c>
      <c r="P122" t="s">
        <v>474</v>
      </c>
      <c r="Q122" t="s">
        <v>41</v>
      </c>
      <c r="R122" t="s">
        <v>555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  <c r="X122" t="b">
        <v>1</v>
      </c>
      <c r="Y122" t="b">
        <v>1</v>
      </c>
      <c r="Z122" t="b">
        <v>1</v>
      </c>
      <c r="AA122" t="b">
        <v>1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1</v>
      </c>
    </row>
    <row r="123" spans="1:33" x14ac:dyDescent="0.25">
      <c r="A123" t="s">
        <v>33</v>
      </c>
      <c r="B123">
        <v>15</v>
      </c>
      <c r="C123" t="b">
        <v>1</v>
      </c>
      <c r="D123" t="s">
        <v>380</v>
      </c>
      <c r="E123" t="s">
        <v>469</v>
      </c>
      <c r="F123" t="s">
        <v>556</v>
      </c>
      <c r="G123" t="s">
        <v>557</v>
      </c>
      <c r="H123">
        <v>122</v>
      </c>
      <c r="I123" t="str">
        <f>IF(ISBLANK(Table1[[#This Row],[oid]]),"FALSE","TRUE")</f>
        <v>TRUE</v>
      </c>
      <c r="J123" t="str" cm="1">
        <f t="array" ref="J123">_xlfn.SWITCH(LEFT(Table1[[#This Row],[section]],1), "D", "Demographic", "S", "Social", "E", "Economic", "H", "Housing", "")</f>
        <v>Demographic</v>
      </c>
      <c r="K123" t="s">
        <v>472</v>
      </c>
      <c r="L123" t="s">
        <v>473</v>
      </c>
      <c r="M123" t="str">
        <f>IF(Table1[[#This Row],[used]], _xlfn.CONCAT("🆔 ", Table1[[#This Row],[variable]], ": ",Table1[[#This Row],[alias]]), "")</f>
        <v>🆔 B03001_023E: Hispanic or Latino: South American: Peruvian</v>
      </c>
      <c r="O123" t="s">
        <v>558</v>
      </c>
      <c r="P123" t="s">
        <v>474</v>
      </c>
      <c r="Q123" t="s">
        <v>41</v>
      </c>
      <c r="R123" t="s">
        <v>559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  <c r="X123" t="b">
        <v>1</v>
      </c>
      <c r="Y123" t="b">
        <v>1</v>
      </c>
      <c r="Z123" t="b">
        <v>1</v>
      </c>
      <c r="AA123" t="b">
        <v>1</v>
      </c>
      <c r="AB123" t="b">
        <v>1</v>
      </c>
      <c r="AC123" t="b">
        <v>1</v>
      </c>
      <c r="AD123" t="b">
        <v>1</v>
      </c>
      <c r="AE123" t="b">
        <v>1</v>
      </c>
      <c r="AF123" t="b">
        <v>1</v>
      </c>
      <c r="AG123" t="b">
        <v>1</v>
      </c>
    </row>
    <row r="124" spans="1:33" x14ac:dyDescent="0.25">
      <c r="A124" t="s">
        <v>33</v>
      </c>
      <c r="B124">
        <v>15</v>
      </c>
      <c r="C124" t="b">
        <v>1</v>
      </c>
      <c r="D124" t="s">
        <v>380</v>
      </c>
      <c r="E124" t="s">
        <v>469</v>
      </c>
      <c r="F124" t="s">
        <v>560</v>
      </c>
      <c r="G124" t="s">
        <v>561</v>
      </c>
      <c r="H124">
        <v>123</v>
      </c>
      <c r="I124" t="str">
        <f>IF(ISBLANK(Table1[[#This Row],[oid]]),"FALSE","TRUE")</f>
        <v>TRUE</v>
      </c>
      <c r="J124" t="str" cm="1">
        <f t="array" ref="J124">_xlfn.SWITCH(LEFT(Table1[[#This Row],[section]],1), "D", "Demographic", "S", "Social", "E", "Economic", "H", "Housing", "")</f>
        <v>Demographic</v>
      </c>
      <c r="K124" t="s">
        <v>472</v>
      </c>
      <c r="L124" t="s">
        <v>473</v>
      </c>
      <c r="M124" t="str">
        <f>IF(Table1[[#This Row],[used]], _xlfn.CONCAT("🆔 ", Table1[[#This Row],[variable]], ": ",Table1[[#This Row],[alias]]), "")</f>
        <v>🆔 B03001_024E: Hispanic or Latino: South American: Uruguayan</v>
      </c>
      <c r="O124" t="s">
        <v>562</v>
      </c>
      <c r="P124" t="s">
        <v>474</v>
      </c>
      <c r="Q124" t="s">
        <v>41</v>
      </c>
      <c r="R124" t="s">
        <v>563</v>
      </c>
      <c r="S124" t="b">
        <v>1</v>
      </c>
      <c r="T124" t="b">
        <v>1</v>
      </c>
      <c r="U124" t="b">
        <v>1</v>
      </c>
      <c r="V124" t="b">
        <v>1</v>
      </c>
      <c r="W124" t="b">
        <v>1</v>
      </c>
      <c r="X124" t="b">
        <v>1</v>
      </c>
      <c r="Y124" t="b">
        <v>1</v>
      </c>
      <c r="Z124" t="b">
        <v>1</v>
      </c>
      <c r="AA124" t="b">
        <v>1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1</v>
      </c>
    </row>
    <row r="125" spans="1:33" x14ac:dyDescent="0.25">
      <c r="A125" t="s">
        <v>33</v>
      </c>
      <c r="B125">
        <v>15</v>
      </c>
      <c r="C125" t="b">
        <v>1</v>
      </c>
      <c r="D125" t="s">
        <v>380</v>
      </c>
      <c r="E125" t="s">
        <v>469</v>
      </c>
      <c r="F125" t="s">
        <v>564</v>
      </c>
      <c r="G125" t="s">
        <v>565</v>
      </c>
      <c r="H125">
        <v>124</v>
      </c>
      <c r="I125" t="str">
        <f>IF(ISBLANK(Table1[[#This Row],[oid]]),"FALSE","TRUE")</f>
        <v>TRUE</v>
      </c>
      <c r="J125" t="str" cm="1">
        <f t="array" ref="J125">_xlfn.SWITCH(LEFT(Table1[[#This Row],[section]],1), "D", "Demographic", "S", "Social", "E", "Economic", "H", "Housing", "")</f>
        <v>Demographic</v>
      </c>
      <c r="K125" t="s">
        <v>472</v>
      </c>
      <c r="L125" t="s">
        <v>473</v>
      </c>
      <c r="M125" t="str">
        <f>IF(Table1[[#This Row],[used]], _xlfn.CONCAT("🆔 ", Table1[[#This Row],[variable]], ": ",Table1[[#This Row],[alias]]), "")</f>
        <v>🆔 B03001_025E: Hispanic or Latino: South American: Venezuelan</v>
      </c>
      <c r="O125" t="s">
        <v>566</v>
      </c>
      <c r="P125" t="s">
        <v>474</v>
      </c>
      <c r="Q125" t="s">
        <v>41</v>
      </c>
      <c r="R125" t="s">
        <v>567</v>
      </c>
      <c r="S125" t="b">
        <v>1</v>
      </c>
      <c r="T125" t="b">
        <v>1</v>
      </c>
      <c r="U125" t="b">
        <v>1</v>
      </c>
      <c r="V125" t="b">
        <v>1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b">
        <v>1</v>
      </c>
      <c r="AE125" t="b">
        <v>1</v>
      </c>
      <c r="AF125" t="b">
        <v>1</v>
      </c>
      <c r="AG125" t="b">
        <v>1</v>
      </c>
    </row>
    <row r="126" spans="1:33" x14ac:dyDescent="0.25">
      <c r="A126" t="s">
        <v>33</v>
      </c>
      <c r="B126">
        <v>15</v>
      </c>
      <c r="C126" t="b">
        <v>1</v>
      </c>
      <c r="D126" t="s">
        <v>380</v>
      </c>
      <c r="E126" t="s">
        <v>469</v>
      </c>
      <c r="F126" t="s">
        <v>568</v>
      </c>
      <c r="G126" t="s">
        <v>569</v>
      </c>
      <c r="H126">
        <v>125</v>
      </c>
      <c r="I126" t="str">
        <f>IF(ISBLANK(Table1[[#This Row],[oid]]),"FALSE","TRUE")</f>
        <v>TRUE</v>
      </c>
      <c r="J126" t="str" cm="1">
        <f t="array" ref="J126">_xlfn.SWITCH(LEFT(Table1[[#This Row],[section]],1), "D", "Demographic", "S", "Social", "E", "Economic", "H", "Housing", "")</f>
        <v>Demographic</v>
      </c>
      <c r="K126" t="s">
        <v>472</v>
      </c>
      <c r="L126" t="s">
        <v>473</v>
      </c>
      <c r="M126" t="str">
        <f>IF(Table1[[#This Row],[used]], _xlfn.CONCAT("🆔 ", Table1[[#This Row],[variable]], ": ",Table1[[#This Row],[alias]]), "")</f>
        <v>🆔 B03001_026E: Hispanic or Latino: South American: Other South American</v>
      </c>
      <c r="O126" t="s">
        <v>570</v>
      </c>
      <c r="P126" t="s">
        <v>474</v>
      </c>
      <c r="Q126" t="s">
        <v>41</v>
      </c>
      <c r="R126" t="s">
        <v>571</v>
      </c>
      <c r="S126" t="b">
        <v>1</v>
      </c>
      <c r="T126" t="b">
        <v>1</v>
      </c>
      <c r="U126" t="b">
        <v>1</v>
      </c>
      <c r="V126" t="b">
        <v>1</v>
      </c>
      <c r="W126" t="b">
        <v>1</v>
      </c>
      <c r="X126" t="b">
        <v>1</v>
      </c>
      <c r="Y126" t="b">
        <v>1</v>
      </c>
      <c r="Z126" t="b">
        <v>1</v>
      </c>
      <c r="AA126" t="b">
        <v>1</v>
      </c>
      <c r="AB126" t="b">
        <v>1</v>
      </c>
      <c r="AC126" t="b">
        <v>1</v>
      </c>
      <c r="AD126" t="b">
        <v>1</v>
      </c>
      <c r="AE126" t="b">
        <v>1</v>
      </c>
      <c r="AF126" t="b">
        <v>1</v>
      </c>
      <c r="AG126" t="b">
        <v>1</v>
      </c>
    </row>
    <row r="127" spans="1:33" x14ac:dyDescent="0.25">
      <c r="A127" t="s">
        <v>33</v>
      </c>
      <c r="B127">
        <v>15</v>
      </c>
      <c r="C127" t="b">
        <v>1</v>
      </c>
      <c r="D127" t="s">
        <v>380</v>
      </c>
      <c r="E127" t="s">
        <v>469</v>
      </c>
      <c r="F127" t="s">
        <v>572</v>
      </c>
      <c r="G127" t="s">
        <v>573</v>
      </c>
      <c r="H127">
        <v>126</v>
      </c>
      <c r="I127" t="str">
        <f>IF(ISBLANK(Table1[[#This Row],[oid]]),"FALSE","TRUE")</f>
        <v>TRUE</v>
      </c>
      <c r="J127" t="str" cm="1">
        <f t="array" ref="J127">_xlfn.SWITCH(LEFT(Table1[[#This Row],[section]],1), "D", "Demographic", "S", "Social", "E", "Economic", "H", "Housing", "")</f>
        <v>Demographic</v>
      </c>
      <c r="K127" t="s">
        <v>472</v>
      </c>
      <c r="L127" t="s">
        <v>473</v>
      </c>
      <c r="M127" t="str">
        <f>IF(Table1[[#This Row],[used]], _xlfn.CONCAT("🆔 ", Table1[[#This Row],[variable]], ": ",Table1[[#This Row],[alias]]), "")</f>
        <v>🆔 B03001_027E: Hispanic or Latino: Other Hispanic or Latino</v>
      </c>
      <c r="O127" t="s">
        <v>574</v>
      </c>
      <c r="P127" t="s">
        <v>474</v>
      </c>
      <c r="Q127" t="s">
        <v>41</v>
      </c>
      <c r="R127" t="s">
        <v>575</v>
      </c>
      <c r="S127" t="b">
        <v>1</v>
      </c>
      <c r="T127" t="b">
        <v>1</v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  <c r="Z127" t="b">
        <v>1</v>
      </c>
      <c r="AA127" t="b">
        <v>1</v>
      </c>
      <c r="AB127" t="b">
        <v>1</v>
      </c>
      <c r="AC127" t="b">
        <v>1</v>
      </c>
      <c r="AD127" t="b">
        <v>1</v>
      </c>
      <c r="AE127" t="b">
        <v>1</v>
      </c>
      <c r="AF127" t="b">
        <v>1</v>
      </c>
      <c r="AG127" t="b">
        <v>1</v>
      </c>
    </row>
    <row r="128" spans="1:33" x14ac:dyDescent="0.25">
      <c r="A128" t="s">
        <v>33</v>
      </c>
      <c r="B128">
        <v>15</v>
      </c>
      <c r="C128" t="b">
        <v>1</v>
      </c>
      <c r="D128" t="s">
        <v>380</v>
      </c>
      <c r="E128" t="s">
        <v>469</v>
      </c>
      <c r="F128" t="s">
        <v>576</v>
      </c>
      <c r="G128" t="s">
        <v>577</v>
      </c>
      <c r="H128">
        <v>127</v>
      </c>
      <c r="I128" t="str">
        <f>IF(ISBLANK(Table1[[#This Row],[oid]]),"FALSE","TRUE")</f>
        <v>TRUE</v>
      </c>
      <c r="J128" t="str" cm="1">
        <f t="array" ref="J128">_xlfn.SWITCH(LEFT(Table1[[#This Row],[section]],1), "D", "Demographic", "S", "Social", "E", "Economic", "H", "Housing", "")</f>
        <v>Demographic</v>
      </c>
      <c r="K128" t="s">
        <v>472</v>
      </c>
      <c r="L128" t="s">
        <v>473</v>
      </c>
      <c r="M128" t="str">
        <f>IF(Table1[[#This Row],[used]], _xlfn.CONCAT("🆔 ", Table1[[#This Row],[variable]], ": ",Table1[[#This Row],[alias]]), "")</f>
        <v>🆔 B03001_028E: Hispanic or Latino: Other Hispanic or Latino: Spaniard</v>
      </c>
      <c r="O128" t="s">
        <v>578</v>
      </c>
      <c r="P128" t="s">
        <v>474</v>
      </c>
      <c r="Q128" t="s">
        <v>41</v>
      </c>
      <c r="R128" t="s">
        <v>579</v>
      </c>
      <c r="S128" t="b">
        <v>1</v>
      </c>
      <c r="T128" t="b">
        <v>1</v>
      </c>
      <c r="U128" t="b">
        <v>1</v>
      </c>
      <c r="V128" t="b">
        <v>1</v>
      </c>
      <c r="W128" t="b">
        <v>1</v>
      </c>
      <c r="X128" t="b">
        <v>1</v>
      </c>
      <c r="Y128" t="b">
        <v>1</v>
      </c>
      <c r="Z128" t="b">
        <v>1</v>
      </c>
      <c r="AA128" t="b">
        <v>1</v>
      </c>
      <c r="AB128" t="b">
        <v>1</v>
      </c>
      <c r="AC128" t="b">
        <v>1</v>
      </c>
      <c r="AD128" t="b">
        <v>1</v>
      </c>
      <c r="AE128" t="b">
        <v>1</v>
      </c>
      <c r="AF128" t="b">
        <v>1</v>
      </c>
      <c r="AG128" t="b">
        <v>1</v>
      </c>
    </row>
    <row r="129" spans="1:33" x14ac:dyDescent="0.25">
      <c r="A129" t="s">
        <v>33</v>
      </c>
      <c r="B129">
        <v>15</v>
      </c>
      <c r="C129" t="b">
        <v>1</v>
      </c>
      <c r="D129" t="s">
        <v>380</v>
      </c>
      <c r="E129" t="s">
        <v>469</v>
      </c>
      <c r="F129" t="s">
        <v>580</v>
      </c>
      <c r="G129" t="s">
        <v>581</v>
      </c>
      <c r="H129">
        <v>128</v>
      </c>
      <c r="I129" t="str">
        <f>IF(ISBLANK(Table1[[#This Row],[oid]]),"FALSE","TRUE")</f>
        <v>TRUE</v>
      </c>
      <c r="J129" t="str" cm="1">
        <f t="array" ref="J129">_xlfn.SWITCH(LEFT(Table1[[#This Row],[section]],1), "D", "Demographic", "S", "Social", "E", "Economic", "H", "Housing", "")</f>
        <v>Demographic</v>
      </c>
      <c r="K129" t="s">
        <v>472</v>
      </c>
      <c r="L129" t="s">
        <v>473</v>
      </c>
      <c r="M129" t="str">
        <f>IF(Table1[[#This Row],[used]], _xlfn.CONCAT("🆔 ", Table1[[#This Row],[variable]], ": ",Table1[[#This Row],[alias]]), "")</f>
        <v>🆔 B03001_029E: Hispanic or Latino: Other Hispanic or Latino: Spanish</v>
      </c>
      <c r="O129" t="s">
        <v>582</v>
      </c>
      <c r="P129" t="s">
        <v>474</v>
      </c>
      <c r="Q129" t="s">
        <v>41</v>
      </c>
      <c r="R129" t="s">
        <v>583</v>
      </c>
      <c r="S129" t="b">
        <v>1</v>
      </c>
      <c r="T129" t="b">
        <v>1</v>
      </c>
      <c r="U129" t="b">
        <v>1</v>
      </c>
      <c r="V129" t="b">
        <v>1</v>
      </c>
      <c r="W129" t="b">
        <v>1</v>
      </c>
      <c r="X129" t="b">
        <v>1</v>
      </c>
      <c r="Y129" t="b">
        <v>1</v>
      </c>
      <c r="Z129" t="b">
        <v>1</v>
      </c>
      <c r="AA129" t="b">
        <v>1</v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 t="b">
        <v>1</v>
      </c>
    </row>
    <row r="130" spans="1:33" x14ac:dyDescent="0.25">
      <c r="A130" t="s">
        <v>33</v>
      </c>
      <c r="B130">
        <v>15</v>
      </c>
      <c r="C130" t="b">
        <v>1</v>
      </c>
      <c r="D130" t="s">
        <v>380</v>
      </c>
      <c r="E130" t="s">
        <v>469</v>
      </c>
      <c r="F130" t="s">
        <v>584</v>
      </c>
      <c r="G130" t="s">
        <v>585</v>
      </c>
      <c r="H130">
        <v>129</v>
      </c>
      <c r="I130" t="str">
        <f>IF(ISBLANK(Table1[[#This Row],[oid]]),"FALSE","TRUE")</f>
        <v>TRUE</v>
      </c>
      <c r="J130" t="str" cm="1">
        <f t="array" ref="J130">_xlfn.SWITCH(LEFT(Table1[[#This Row],[section]],1), "D", "Demographic", "S", "Social", "E", "Economic", "H", "Housing", "")</f>
        <v>Demographic</v>
      </c>
      <c r="K130" t="s">
        <v>472</v>
      </c>
      <c r="L130" t="s">
        <v>473</v>
      </c>
      <c r="M130" t="str">
        <f>IF(Table1[[#This Row],[used]], _xlfn.CONCAT("🆔 ", Table1[[#This Row],[variable]], ": ",Table1[[#This Row],[alias]]), "")</f>
        <v>🆔 B03001_030E: Hispanic or Latino: Other Hispanic or Latino: Spanish American</v>
      </c>
      <c r="O130" t="s">
        <v>586</v>
      </c>
      <c r="P130" t="s">
        <v>474</v>
      </c>
      <c r="Q130" t="s">
        <v>41</v>
      </c>
      <c r="R130" t="s">
        <v>587</v>
      </c>
      <c r="S130" t="b">
        <v>1</v>
      </c>
      <c r="T130" t="b">
        <v>1</v>
      </c>
      <c r="U130" t="b">
        <v>1</v>
      </c>
      <c r="V130" t="b">
        <v>1</v>
      </c>
      <c r="W130" t="b">
        <v>1</v>
      </c>
      <c r="X130" t="b">
        <v>1</v>
      </c>
      <c r="Y130" t="b">
        <v>1</v>
      </c>
      <c r="Z130" t="b">
        <v>1</v>
      </c>
      <c r="AA130" t="b">
        <v>1</v>
      </c>
      <c r="AB130" t="b">
        <v>1</v>
      </c>
      <c r="AC130" t="b">
        <v>1</v>
      </c>
      <c r="AD130" t="b">
        <v>1</v>
      </c>
      <c r="AE130" t="b">
        <v>1</v>
      </c>
      <c r="AF130" t="b">
        <v>1</v>
      </c>
      <c r="AG130" t="b">
        <v>1</v>
      </c>
    </row>
    <row r="131" spans="1:33" x14ac:dyDescent="0.25">
      <c r="A131" t="s">
        <v>33</v>
      </c>
      <c r="B131">
        <v>15</v>
      </c>
      <c r="C131" t="b">
        <v>1</v>
      </c>
      <c r="D131" t="s">
        <v>380</v>
      </c>
      <c r="E131" t="s">
        <v>469</v>
      </c>
      <c r="F131" t="s">
        <v>588</v>
      </c>
      <c r="G131" t="s">
        <v>589</v>
      </c>
      <c r="H131">
        <v>130</v>
      </c>
      <c r="I131" t="str">
        <f>IF(ISBLANK(Table1[[#This Row],[oid]]),"FALSE","TRUE")</f>
        <v>TRUE</v>
      </c>
      <c r="J131" t="str" cm="1">
        <f t="array" ref="J131">_xlfn.SWITCH(LEFT(Table1[[#This Row],[section]],1), "D", "Demographic", "S", "Social", "E", "Economic", "H", "Housing", "")</f>
        <v>Demographic</v>
      </c>
      <c r="K131" t="s">
        <v>472</v>
      </c>
      <c r="L131" t="s">
        <v>473</v>
      </c>
      <c r="M131" t="str">
        <f>IF(Table1[[#This Row],[used]], _xlfn.CONCAT("🆔 ", Table1[[#This Row],[variable]], ": ",Table1[[#This Row],[alias]]), "")</f>
        <v>🆔 B03001_031E: Hispanic or Latino: Other Hispanic or Latino: All other Hispanic or Latino</v>
      </c>
      <c r="O131" t="s">
        <v>590</v>
      </c>
      <c r="P131" t="s">
        <v>474</v>
      </c>
      <c r="Q131" t="s">
        <v>41</v>
      </c>
      <c r="R131" t="s">
        <v>591</v>
      </c>
      <c r="S131" t="b">
        <v>1</v>
      </c>
      <c r="T131" t="b">
        <v>1</v>
      </c>
      <c r="U131" t="b">
        <v>1</v>
      </c>
      <c r="V131" t="b">
        <v>1</v>
      </c>
      <c r="W131" t="b">
        <v>1</v>
      </c>
      <c r="X131" t="b">
        <v>1</v>
      </c>
      <c r="Y131" t="b">
        <v>1</v>
      </c>
      <c r="Z131" t="b">
        <v>1</v>
      </c>
      <c r="AA131" t="b">
        <v>1</v>
      </c>
      <c r="AB131" t="b">
        <v>1</v>
      </c>
      <c r="AC131" t="b">
        <v>1</v>
      </c>
      <c r="AD131" t="b">
        <v>1</v>
      </c>
      <c r="AE131" t="b">
        <v>1</v>
      </c>
      <c r="AF131" t="b">
        <v>1</v>
      </c>
      <c r="AG131" t="b">
        <v>1</v>
      </c>
    </row>
    <row r="132" spans="1:33" x14ac:dyDescent="0.25">
      <c r="A132" t="s">
        <v>33</v>
      </c>
      <c r="B132">
        <v>15</v>
      </c>
      <c r="C132" t="b">
        <v>1</v>
      </c>
      <c r="D132" t="s">
        <v>592</v>
      </c>
      <c r="E132" t="s">
        <v>593</v>
      </c>
      <c r="F132" t="s">
        <v>594</v>
      </c>
      <c r="G132" t="s">
        <v>595</v>
      </c>
      <c r="H132">
        <v>131</v>
      </c>
      <c r="I132" t="str">
        <f>IF(ISBLANK(Table1[[#This Row],[oid]]),"FALSE","TRUE")</f>
        <v>TRUE</v>
      </c>
      <c r="J132" t="str" cm="1">
        <f t="array" ref="J132">_xlfn.SWITCH(LEFT(Table1[[#This Row],[section]],1), "D", "Demographic", "S", "Social", "E", "Economic", "H", "Housing", "")</f>
        <v>Demographic</v>
      </c>
      <c r="K132" t="s">
        <v>596</v>
      </c>
      <c r="L132" t="s">
        <v>597</v>
      </c>
      <c r="M132" t="str">
        <f>IF(Table1[[#This Row],[used]], _xlfn.CONCAT("🆔 ", Table1[[#This Row],[variable]], ": ",Table1[[#This Row],[alias]]), "")</f>
        <v>🆔 B05003_008E: Male: 18 years and over</v>
      </c>
      <c r="O132" t="s">
        <v>598</v>
      </c>
      <c r="P132" t="s">
        <v>599</v>
      </c>
      <c r="Q132" t="s">
        <v>41</v>
      </c>
      <c r="R132" t="s">
        <v>600</v>
      </c>
      <c r="S132" t="b">
        <v>1</v>
      </c>
      <c r="T132" t="b">
        <v>1</v>
      </c>
      <c r="U132" t="b">
        <v>1</v>
      </c>
      <c r="V132" t="b">
        <v>1</v>
      </c>
      <c r="W132" t="b">
        <v>1</v>
      </c>
      <c r="X132" t="b">
        <v>1</v>
      </c>
      <c r="Y132" t="b">
        <v>1</v>
      </c>
      <c r="Z132" t="b">
        <v>1</v>
      </c>
      <c r="AA132" t="b">
        <v>1</v>
      </c>
      <c r="AB132" t="b">
        <v>1</v>
      </c>
      <c r="AC132" t="b">
        <v>1</v>
      </c>
      <c r="AD132" t="b">
        <v>1</v>
      </c>
      <c r="AE132" t="b">
        <v>1</v>
      </c>
      <c r="AF132" t="b">
        <v>1</v>
      </c>
      <c r="AG132" t="b">
        <v>1</v>
      </c>
    </row>
    <row r="133" spans="1:33" x14ac:dyDescent="0.25">
      <c r="A133" t="s">
        <v>33</v>
      </c>
      <c r="B133">
        <v>15</v>
      </c>
      <c r="C133" t="b">
        <v>1</v>
      </c>
      <c r="D133" t="s">
        <v>592</v>
      </c>
      <c r="E133" t="s">
        <v>593</v>
      </c>
      <c r="F133" t="s">
        <v>601</v>
      </c>
      <c r="G133" t="s">
        <v>602</v>
      </c>
      <c r="H133">
        <v>132</v>
      </c>
      <c r="I133" t="str">
        <f>IF(ISBLANK(Table1[[#This Row],[oid]]),"FALSE","TRUE")</f>
        <v>TRUE</v>
      </c>
      <c r="J133" t="str" cm="1">
        <f t="array" ref="J133">_xlfn.SWITCH(LEFT(Table1[[#This Row],[section]],1), "D", "Demographic", "S", "Social", "E", "Economic", "H", "Housing", "")</f>
        <v>Demographic</v>
      </c>
      <c r="K133" t="s">
        <v>596</v>
      </c>
      <c r="L133" t="s">
        <v>597</v>
      </c>
      <c r="M133" t="str">
        <f>IF(Table1[[#This Row],[used]], _xlfn.CONCAT("🆔 ", Table1[[#This Row],[variable]], ": ",Table1[[#This Row],[alias]]), "")</f>
        <v>🆔 B05003_009E: Male: 18 years and over: Native</v>
      </c>
      <c r="O133" t="s">
        <v>603</v>
      </c>
      <c r="P133" t="s">
        <v>599</v>
      </c>
      <c r="Q133" t="s">
        <v>41</v>
      </c>
      <c r="R133" t="s">
        <v>604</v>
      </c>
      <c r="S133" t="b">
        <v>1</v>
      </c>
      <c r="T133" t="b">
        <v>1</v>
      </c>
      <c r="U133" t="b">
        <v>1</v>
      </c>
      <c r="V133" t="b">
        <v>1</v>
      </c>
      <c r="W133" t="b">
        <v>1</v>
      </c>
      <c r="X133" t="b">
        <v>1</v>
      </c>
      <c r="Y133" t="b">
        <v>1</v>
      </c>
      <c r="Z133" t="b">
        <v>1</v>
      </c>
      <c r="AA133" t="b">
        <v>1</v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 t="b">
        <v>1</v>
      </c>
    </row>
    <row r="134" spans="1:33" x14ac:dyDescent="0.25">
      <c r="A134" t="s">
        <v>605</v>
      </c>
      <c r="B134">
        <v>13</v>
      </c>
      <c r="C134" t="b">
        <v>0</v>
      </c>
      <c r="D134" t="s">
        <v>592</v>
      </c>
      <c r="E134" t="s">
        <v>593</v>
      </c>
      <c r="F134" t="s">
        <v>606</v>
      </c>
      <c r="G134" t="s">
        <v>607</v>
      </c>
      <c r="H134">
        <v>133</v>
      </c>
      <c r="I134" t="str">
        <f>IF(ISBLANK(Table1[[#This Row],[oid]]),"FALSE","TRUE")</f>
        <v>TRUE</v>
      </c>
      <c r="J134" t="str" cm="1">
        <f t="array" ref="J134">_xlfn.SWITCH(LEFT(Table1[[#This Row],[section]],1), "D", "Demographic", "S", "Social", "E", "Economic", "H", "Housing", "")</f>
        <v>Demographic</v>
      </c>
      <c r="K134" t="s">
        <v>596</v>
      </c>
      <c r="L134" t="s">
        <v>597</v>
      </c>
      <c r="M134" t="str">
        <f>IF(Table1[[#This Row],[used]], _xlfn.CONCAT("🆔 ", Table1[[#This Row],[variable]], ": ",Table1[[#This Row],[alias]]), "")</f>
        <v>🆔 B05003_010E: Male: 18 years and over: Foreign born</v>
      </c>
      <c r="O134" t="s">
        <v>608</v>
      </c>
      <c r="P134" t="s">
        <v>599</v>
      </c>
      <c r="Q134" t="s">
        <v>41</v>
      </c>
      <c r="R134" t="s">
        <v>609</v>
      </c>
      <c r="S134" t="b">
        <v>1</v>
      </c>
      <c r="T134" t="b">
        <v>1</v>
      </c>
      <c r="U134" t="b">
        <v>1</v>
      </c>
      <c r="V134" t="b">
        <v>1</v>
      </c>
      <c r="W134" t="b">
        <v>1</v>
      </c>
      <c r="X134" t="b">
        <v>1</v>
      </c>
      <c r="Y134" t="b">
        <v>1</v>
      </c>
      <c r="Z134" t="b">
        <v>1</v>
      </c>
      <c r="AA134" t="b">
        <v>1</v>
      </c>
      <c r="AB134" t="b">
        <v>1</v>
      </c>
      <c r="AC134" t="b">
        <v>1</v>
      </c>
      <c r="AD134" t="b">
        <v>1</v>
      </c>
      <c r="AE134" t="b">
        <v>1</v>
      </c>
      <c r="AF134" t="b">
        <v>0</v>
      </c>
      <c r="AG134" t="b">
        <v>0</v>
      </c>
    </row>
    <row r="135" spans="1:33" x14ac:dyDescent="0.25">
      <c r="A135" t="s">
        <v>610</v>
      </c>
      <c r="B135">
        <v>2</v>
      </c>
      <c r="C135" t="b">
        <v>0</v>
      </c>
      <c r="D135" t="s">
        <v>592</v>
      </c>
      <c r="E135" t="s">
        <v>593</v>
      </c>
      <c r="F135" t="s">
        <v>606</v>
      </c>
      <c r="G135" t="s">
        <v>611</v>
      </c>
      <c r="H135">
        <v>134</v>
      </c>
      <c r="I135" t="str">
        <f>IF(ISBLANK(Table1[[#This Row],[oid]]),"FALSE","TRUE")</f>
        <v>TRUE</v>
      </c>
      <c r="J135" t="str" cm="1">
        <f t="array" ref="J135">_xlfn.SWITCH(LEFT(Table1[[#This Row],[section]],1), "D", "Demographic", "S", "Social", "E", "Economic", "H", "Housing", "")</f>
        <v>Demographic</v>
      </c>
      <c r="K135" t="s">
        <v>596</v>
      </c>
      <c r="L135" t="s">
        <v>597</v>
      </c>
      <c r="M135" t="str">
        <f>IF(Table1[[#This Row],[used]], _xlfn.CONCAT("🆔 ", Table1[[#This Row],[variable]], ": ",Table1[[#This Row],[alias]]), "")</f>
        <v>🆔 B05003_010E: Male: 18 years and over: Foreign-born</v>
      </c>
      <c r="O135" t="s">
        <v>612</v>
      </c>
      <c r="P135" t="s">
        <v>613</v>
      </c>
      <c r="Q135" t="s">
        <v>41</v>
      </c>
      <c r="R135" t="s">
        <v>609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1</v>
      </c>
    </row>
    <row r="136" spans="1:33" x14ac:dyDescent="0.25">
      <c r="A136" t="s">
        <v>605</v>
      </c>
      <c r="B136">
        <v>13</v>
      </c>
      <c r="C136" t="b">
        <v>0</v>
      </c>
      <c r="D136" t="s">
        <v>592</v>
      </c>
      <c r="E136" t="s">
        <v>593</v>
      </c>
      <c r="F136" t="s">
        <v>614</v>
      </c>
      <c r="G136" t="s">
        <v>615</v>
      </c>
      <c r="H136">
        <v>135</v>
      </c>
      <c r="I136" t="str">
        <f>IF(ISBLANK(Table1[[#This Row],[oid]]),"FALSE","TRUE")</f>
        <v>TRUE</v>
      </c>
      <c r="J136" t="str" cm="1">
        <f t="array" ref="J136">_xlfn.SWITCH(LEFT(Table1[[#This Row],[section]],1), "D", "Demographic", "S", "Social", "E", "Economic", "H", "Housing", "")</f>
        <v>Demographic</v>
      </c>
      <c r="K136" t="s">
        <v>596</v>
      </c>
      <c r="L136" t="s">
        <v>597</v>
      </c>
      <c r="M136" t="str">
        <f>IF(Table1[[#This Row],[used]], _xlfn.CONCAT("🆔 ", Table1[[#This Row],[variable]], ": ",Table1[[#This Row],[alias]]), "")</f>
        <v>🆔 B05003_011E: Male: 18 years and over: Foreign born: Naturalized US citizen</v>
      </c>
      <c r="O136" t="s">
        <v>616</v>
      </c>
      <c r="P136" t="s">
        <v>599</v>
      </c>
      <c r="Q136" t="s">
        <v>41</v>
      </c>
      <c r="R136" t="s">
        <v>617</v>
      </c>
      <c r="S136" t="b">
        <v>1</v>
      </c>
      <c r="T136" t="b">
        <v>1</v>
      </c>
      <c r="U136" t="b">
        <v>1</v>
      </c>
      <c r="V136" t="b">
        <v>1</v>
      </c>
      <c r="W136" t="b">
        <v>1</v>
      </c>
      <c r="X136" t="b">
        <v>1</v>
      </c>
      <c r="Y136" t="b">
        <v>1</v>
      </c>
      <c r="Z136" t="b">
        <v>1</v>
      </c>
      <c r="AA136" t="b">
        <v>1</v>
      </c>
      <c r="AB136" t="b">
        <v>1</v>
      </c>
      <c r="AC136" t="b">
        <v>1</v>
      </c>
      <c r="AD136" t="b">
        <v>1</v>
      </c>
      <c r="AE136" t="b">
        <v>1</v>
      </c>
      <c r="AF136" t="b">
        <v>0</v>
      </c>
      <c r="AG136" t="b">
        <v>0</v>
      </c>
    </row>
    <row r="137" spans="1:33" x14ac:dyDescent="0.25">
      <c r="A137" t="s">
        <v>610</v>
      </c>
      <c r="B137">
        <v>2</v>
      </c>
      <c r="C137" t="b">
        <v>0</v>
      </c>
      <c r="D137" t="s">
        <v>592</v>
      </c>
      <c r="E137" t="s">
        <v>593</v>
      </c>
      <c r="F137" t="s">
        <v>614</v>
      </c>
      <c r="G137" t="s">
        <v>618</v>
      </c>
      <c r="H137">
        <v>136</v>
      </c>
      <c r="I137" t="str">
        <f>IF(ISBLANK(Table1[[#This Row],[oid]]),"FALSE","TRUE")</f>
        <v>TRUE</v>
      </c>
      <c r="J137" t="str" cm="1">
        <f t="array" ref="J137">_xlfn.SWITCH(LEFT(Table1[[#This Row],[section]],1), "D", "Demographic", "S", "Social", "E", "Economic", "H", "Housing", "")</f>
        <v>Demographic</v>
      </c>
      <c r="K137" t="s">
        <v>596</v>
      </c>
      <c r="L137" t="s">
        <v>597</v>
      </c>
      <c r="M137" t="str">
        <f>IF(Table1[[#This Row],[used]], _xlfn.CONCAT("🆔 ", Table1[[#This Row],[variable]], ": ",Table1[[#This Row],[alias]]), "")</f>
        <v>🆔 B05003_011E: Male: 18 years and over: Foreign-born: Naturalized US citizen</v>
      </c>
      <c r="O137" t="s">
        <v>619</v>
      </c>
      <c r="P137" t="s">
        <v>613</v>
      </c>
      <c r="Q137" t="s">
        <v>41</v>
      </c>
      <c r="R137" t="s">
        <v>617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1</v>
      </c>
      <c r="AG137" t="b">
        <v>1</v>
      </c>
    </row>
    <row r="138" spans="1:33" x14ac:dyDescent="0.25">
      <c r="A138" t="s">
        <v>605</v>
      </c>
      <c r="B138">
        <v>13</v>
      </c>
      <c r="C138" t="b">
        <v>0</v>
      </c>
      <c r="D138" t="s">
        <v>592</v>
      </c>
      <c r="E138" t="s">
        <v>593</v>
      </c>
      <c r="F138" t="s">
        <v>620</v>
      </c>
      <c r="G138" t="s">
        <v>621</v>
      </c>
      <c r="H138">
        <v>137</v>
      </c>
      <c r="I138" t="str">
        <f>IF(ISBLANK(Table1[[#This Row],[oid]]),"FALSE","TRUE")</f>
        <v>TRUE</v>
      </c>
      <c r="J138" t="str" cm="1">
        <f t="array" ref="J138">_xlfn.SWITCH(LEFT(Table1[[#This Row],[section]],1), "D", "Demographic", "S", "Social", "E", "Economic", "H", "Housing", "")</f>
        <v>Demographic</v>
      </c>
      <c r="K138" t="s">
        <v>596</v>
      </c>
      <c r="L138" t="s">
        <v>597</v>
      </c>
      <c r="M138" t="str">
        <f>IF(Table1[[#This Row],[used]], _xlfn.CONCAT("🆔 ", Table1[[#This Row],[variable]], ": ",Table1[[#This Row],[alias]]), "")</f>
        <v>🆔 B05003_012E: Male: 18 years and over: Foreign born: Not a US citizen</v>
      </c>
      <c r="O138" t="s">
        <v>622</v>
      </c>
      <c r="P138" t="s">
        <v>599</v>
      </c>
      <c r="Q138" t="s">
        <v>41</v>
      </c>
      <c r="R138" t="s">
        <v>623</v>
      </c>
      <c r="S138" t="b">
        <v>1</v>
      </c>
      <c r="T138" t="b">
        <v>1</v>
      </c>
      <c r="U138" t="b">
        <v>1</v>
      </c>
      <c r="V138" t="b">
        <v>1</v>
      </c>
      <c r="W138" t="b">
        <v>1</v>
      </c>
      <c r="X138" t="b">
        <v>1</v>
      </c>
      <c r="Y138" t="b">
        <v>1</v>
      </c>
      <c r="Z138" t="b">
        <v>1</v>
      </c>
      <c r="AA138" t="b">
        <v>1</v>
      </c>
      <c r="AB138" t="b">
        <v>1</v>
      </c>
      <c r="AC138" t="b">
        <v>1</v>
      </c>
      <c r="AD138" t="b">
        <v>1</v>
      </c>
      <c r="AE138" t="b">
        <v>1</v>
      </c>
      <c r="AF138" t="b">
        <v>0</v>
      </c>
      <c r="AG138" t="b">
        <v>0</v>
      </c>
    </row>
    <row r="139" spans="1:33" x14ac:dyDescent="0.25">
      <c r="A139" t="s">
        <v>610</v>
      </c>
      <c r="B139">
        <v>2</v>
      </c>
      <c r="C139" t="b">
        <v>0</v>
      </c>
      <c r="D139" t="s">
        <v>592</v>
      </c>
      <c r="E139" t="s">
        <v>593</v>
      </c>
      <c r="F139" t="s">
        <v>620</v>
      </c>
      <c r="G139" t="s">
        <v>624</v>
      </c>
      <c r="H139">
        <v>138</v>
      </c>
      <c r="I139" t="str">
        <f>IF(ISBLANK(Table1[[#This Row],[oid]]),"FALSE","TRUE")</f>
        <v>TRUE</v>
      </c>
      <c r="J139" t="str" cm="1">
        <f t="array" ref="J139">_xlfn.SWITCH(LEFT(Table1[[#This Row],[section]],1), "D", "Demographic", "S", "Social", "E", "Economic", "H", "Housing", "")</f>
        <v>Demographic</v>
      </c>
      <c r="K139" t="s">
        <v>596</v>
      </c>
      <c r="L139" t="s">
        <v>597</v>
      </c>
      <c r="M139" t="str">
        <f>IF(Table1[[#This Row],[used]], _xlfn.CONCAT("🆔 ", Table1[[#This Row],[variable]], ": ",Table1[[#This Row],[alias]]), "")</f>
        <v>🆔 B05003_012E: Male: 18 years and over: Foreign-born: Not a US citizen</v>
      </c>
      <c r="O139" t="s">
        <v>625</v>
      </c>
      <c r="P139" t="s">
        <v>613</v>
      </c>
      <c r="Q139" t="s">
        <v>41</v>
      </c>
      <c r="R139" t="s">
        <v>623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1</v>
      </c>
      <c r="AG139" t="b">
        <v>1</v>
      </c>
    </row>
    <row r="140" spans="1:33" x14ac:dyDescent="0.25">
      <c r="A140" t="s">
        <v>33</v>
      </c>
      <c r="B140">
        <v>15</v>
      </c>
      <c r="C140" t="b">
        <v>1</v>
      </c>
      <c r="D140" t="s">
        <v>592</v>
      </c>
      <c r="E140" t="s">
        <v>593</v>
      </c>
      <c r="F140" t="s">
        <v>626</v>
      </c>
      <c r="G140" t="s">
        <v>627</v>
      </c>
      <c r="H140">
        <v>139</v>
      </c>
      <c r="I140" t="str">
        <f>IF(ISBLANK(Table1[[#This Row],[oid]]),"FALSE","TRUE")</f>
        <v>TRUE</v>
      </c>
      <c r="J140" t="str" cm="1">
        <f t="array" ref="J140">_xlfn.SWITCH(LEFT(Table1[[#This Row],[section]],1), "D", "Demographic", "S", "Social", "E", "Economic", "H", "Housing", "")</f>
        <v>Demographic</v>
      </c>
      <c r="K140" t="s">
        <v>596</v>
      </c>
      <c r="L140" t="s">
        <v>597</v>
      </c>
      <c r="M140" t="str">
        <f>IF(Table1[[#This Row],[used]], _xlfn.CONCAT("🆔 ", Table1[[#This Row],[variable]], ": ",Table1[[#This Row],[alias]]), "")</f>
        <v>🆔 B05003_019E: Female: 18 years and over</v>
      </c>
      <c r="O140" t="s">
        <v>628</v>
      </c>
      <c r="P140" t="s">
        <v>599</v>
      </c>
      <c r="Q140" t="s">
        <v>41</v>
      </c>
      <c r="R140" t="s">
        <v>629</v>
      </c>
      <c r="S140" t="b">
        <v>1</v>
      </c>
      <c r="T140" t="b">
        <v>1</v>
      </c>
      <c r="U140" t="b">
        <v>1</v>
      </c>
      <c r="V140" t="b">
        <v>1</v>
      </c>
      <c r="W140" t="b">
        <v>1</v>
      </c>
      <c r="X140" t="b">
        <v>1</v>
      </c>
      <c r="Y140" t="b">
        <v>1</v>
      </c>
      <c r="Z140" t="b">
        <v>1</v>
      </c>
      <c r="AA140" t="b">
        <v>1</v>
      </c>
      <c r="AB140" t="b">
        <v>1</v>
      </c>
      <c r="AC140" t="b">
        <v>1</v>
      </c>
      <c r="AD140" t="b">
        <v>1</v>
      </c>
      <c r="AE140" t="b">
        <v>1</v>
      </c>
      <c r="AF140" t="b">
        <v>1</v>
      </c>
      <c r="AG140" t="b">
        <v>1</v>
      </c>
    </row>
    <row r="141" spans="1:33" x14ac:dyDescent="0.25">
      <c r="A141" t="s">
        <v>33</v>
      </c>
      <c r="B141">
        <v>15</v>
      </c>
      <c r="C141" t="b">
        <v>1</v>
      </c>
      <c r="D141" t="s">
        <v>592</v>
      </c>
      <c r="E141" t="s">
        <v>593</v>
      </c>
      <c r="F141" t="s">
        <v>630</v>
      </c>
      <c r="G141" t="s">
        <v>631</v>
      </c>
      <c r="H141">
        <v>140</v>
      </c>
      <c r="I141" t="str">
        <f>IF(ISBLANK(Table1[[#This Row],[oid]]),"FALSE","TRUE")</f>
        <v>TRUE</v>
      </c>
      <c r="J141" t="str" cm="1">
        <f t="array" ref="J141">_xlfn.SWITCH(LEFT(Table1[[#This Row],[section]],1), "D", "Demographic", "S", "Social", "E", "Economic", "H", "Housing", "")</f>
        <v>Demographic</v>
      </c>
      <c r="K141" t="s">
        <v>596</v>
      </c>
      <c r="L141" t="s">
        <v>597</v>
      </c>
      <c r="M141" t="str">
        <f>IF(Table1[[#This Row],[used]], _xlfn.CONCAT("🆔 ", Table1[[#This Row],[variable]], ": ",Table1[[#This Row],[alias]]), "")</f>
        <v>🆔 B05003_020E: Female: 18 years and over: Native</v>
      </c>
      <c r="O141" t="s">
        <v>632</v>
      </c>
      <c r="P141" t="s">
        <v>599</v>
      </c>
      <c r="Q141" t="s">
        <v>41</v>
      </c>
      <c r="R141" t="s">
        <v>633</v>
      </c>
      <c r="S141" t="b">
        <v>1</v>
      </c>
      <c r="T141" t="b">
        <v>1</v>
      </c>
      <c r="U141" t="b">
        <v>1</v>
      </c>
      <c r="V141" t="b">
        <v>1</v>
      </c>
      <c r="W141" t="b">
        <v>1</v>
      </c>
      <c r="X141" t="b">
        <v>1</v>
      </c>
      <c r="Y141" t="b">
        <v>1</v>
      </c>
      <c r="Z141" t="b">
        <v>1</v>
      </c>
      <c r="AA141" t="b">
        <v>1</v>
      </c>
      <c r="AB141" t="b">
        <v>1</v>
      </c>
      <c r="AC141" t="b">
        <v>1</v>
      </c>
      <c r="AD141" t="b">
        <v>1</v>
      </c>
      <c r="AE141" t="b">
        <v>1</v>
      </c>
      <c r="AF141" t="b">
        <v>1</v>
      </c>
      <c r="AG141" t="b">
        <v>1</v>
      </c>
    </row>
    <row r="142" spans="1:33" x14ac:dyDescent="0.25">
      <c r="A142" t="s">
        <v>605</v>
      </c>
      <c r="B142">
        <v>13</v>
      </c>
      <c r="C142" t="b">
        <v>0</v>
      </c>
      <c r="D142" t="s">
        <v>592</v>
      </c>
      <c r="E142" t="s">
        <v>593</v>
      </c>
      <c r="F142" t="s">
        <v>634</v>
      </c>
      <c r="G142" t="s">
        <v>635</v>
      </c>
      <c r="H142">
        <v>141</v>
      </c>
      <c r="I142" t="str">
        <f>IF(ISBLANK(Table1[[#This Row],[oid]]),"FALSE","TRUE")</f>
        <v>TRUE</v>
      </c>
      <c r="J142" t="str" cm="1">
        <f t="array" ref="J142">_xlfn.SWITCH(LEFT(Table1[[#This Row],[section]],1), "D", "Demographic", "S", "Social", "E", "Economic", "H", "Housing", "")</f>
        <v>Demographic</v>
      </c>
      <c r="K142" t="s">
        <v>596</v>
      </c>
      <c r="L142" t="s">
        <v>597</v>
      </c>
      <c r="M142" t="str">
        <f>IF(Table1[[#This Row],[used]], _xlfn.CONCAT("🆔 ", Table1[[#This Row],[variable]], ": ",Table1[[#This Row],[alias]]), "")</f>
        <v>🆔 B05003_021E: Female: 18 years and over: Foreign born</v>
      </c>
      <c r="O142" t="s">
        <v>636</v>
      </c>
      <c r="P142" t="s">
        <v>599</v>
      </c>
      <c r="Q142" t="s">
        <v>41</v>
      </c>
      <c r="R142" t="s">
        <v>637</v>
      </c>
      <c r="S142" t="b">
        <v>1</v>
      </c>
      <c r="T142" t="b">
        <v>1</v>
      </c>
      <c r="U142" t="b">
        <v>1</v>
      </c>
      <c r="V142" t="b">
        <v>1</v>
      </c>
      <c r="W142" t="b">
        <v>1</v>
      </c>
      <c r="X142" t="b">
        <v>1</v>
      </c>
      <c r="Y142" t="b">
        <v>1</v>
      </c>
      <c r="Z142" t="b">
        <v>1</v>
      </c>
      <c r="AA142" t="b">
        <v>1</v>
      </c>
      <c r="AB142" t="b">
        <v>1</v>
      </c>
      <c r="AC142" t="b">
        <v>1</v>
      </c>
      <c r="AD142" t="b">
        <v>1</v>
      </c>
      <c r="AE142" t="b">
        <v>1</v>
      </c>
      <c r="AF142" t="b">
        <v>0</v>
      </c>
      <c r="AG142" t="b">
        <v>0</v>
      </c>
    </row>
    <row r="143" spans="1:33" x14ac:dyDescent="0.25">
      <c r="A143" t="s">
        <v>610</v>
      </c>
      <c r="B143">
        <v>2</v>
      </c>
      <c r="C143" t="b">
        <v>0</v>
      </c>
      <c r="D143" t="s">
        <v>592</v>
      </c>
      <c r="E143" t="s">
        <v>593</v>
      </c>
      <c r="F143" t="s">
        <v>634</v>
      </c>
      <c r="G143" t="s">
        <v>638</v>
      </c>
      <c r="H143">
        <v>142</v>
      </c>
      <c r="I143" t="str">
        <f>IF(ISBLANK(Table1[[#This Row],[oid]]),"FALSE","TRUE")</f>
        <v>TRUE</v>
      </c>
      <c r="J143" t="str" cm="1">
        <f t="array" ref="J143">_xlfn.SWITCH(LEFT(Table1[[#This Row],[section]],1), "D", "Demographic", "S", "Social", "E", "Economic", "H", "Housing", "")</f>
        <v>Demographic</v>
      </c>
      <c r="K143" t="s">
        <v>596</v>
      </c>
      <c r="L143" t="s">
        <v>597</v>
      </c>
      <c r="M143" t="str">
        <f>IF(Table1[[#This Row],[used]], _xlfn.CONCAT("🆔 ", Table1[[#This Row],[variable]], ": ",Table1[[#This Row],[alias]]), "")</f>
        <v>🆔 B05003_021E: Female: 18 years and over: Foreign-born</v>
      </c>
      <c r="O143" t="s">
        <v>639</v>
      </c>
      <c r="P143" t="s">
        <v>613</v>
      </c>
      <c r="Q143" t="s">
        <v>41</v>
      </c>
      <c r="R143" t="s">
        <v>637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1</v>
      </c>
      <c r="AG143" t="b">
        <v>1</v>
      </c>
    </row>
    <row r="144" spans="1:33" x14ac:dyDescent="0.25">
      <c r="A144" t="s">
        <v>605</v>
      </c>
      <c r="B144">
        <v>13</v>
      </c>
      <c r="C144" t="b">
        <v>0</v>
      </c>
      <c r="D144" t="s">
        <v>592</v>
      </c>
      <c r="E144" t="s">
        <v>593</v>
      </c>
      <c r="F144" t="s">
        <v>640</v>
      </c>
      <c r="G144" t="s">
        <v>641</v>
      </c>
      <c r="H144">
        <v>143</v>
      </c>
      <c r="I144" t="str">
        <f>IF(ISBLANK(Table1[[#This Row],[oid]]),"FALSE","TRUE")</f>
        <v>TRUE</v>
      </c>
      <c r="J144" t="str" cm="1">
        <f t="array" ref="J144">_xlfn.SWITCH(LEFT(Table1[[#This Row],[section]],1), "D", "Demographic", "S", "Social", "E", "Economic", "H", "Housing", "")</f>
        <v>Demographic</v>
      </c>
      <c r="K144" t="s">
        <v>596</v>
      </c>
      <c r="L144" t="s">
        <v>597</v>
      </c>
      <c r="M144" t="str">
        <f>IF(Table1[[#This Row],[used]], _xlfn.CONCAT("🆔 ", Table1[[#This Row],[variable]], ": ",Table1[[#This Row],[alias]]), "")</f>
        <v>🆔 B05003_022E: Female: 18 years and over: Foreign born: Naturalized US citizen</v>
      </c>
      <c r="O144" t="s">
        <v>642</v>
      </c>
      <c r="P144" t="s">
        <v>599</v>
      </c>
      <c r="Q144" t="s">
        <v>41</v>
      </c>
      <c r="R144" t="s">
        <v>643</v>
      </c>
      <c r="S144" t="b">
        <v>1</v>
      </c>
      <c r="T144" t="b">
        <v>1</v>
      </c>
      <c r="U144" t="b">
        <v>1</v>
      </c>
      <c r="V144" t="b">
        <v>1</v>
      </c>
      <c r="W144" t="b">
        <v>1</v>
      </c>
      <c r="X144" t="b">
        <v>1</v>
      </c>
      <c r="Y144" t="b">
        <v>1</v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0</v>
      </c>
      <c r="AG144" t="b">
        <v>0</v>
      </c>
    </row>
    <row r="145" spans="1:33" x14ac:dyDescent="0.25">
      <c r="A145" t="s">
        <v>610</v>
      </c>
      <c r="B145">
        <v>2</v>
      </c>
      <c r="C145" t="b">
        <v>0</v>
      </c>
      <c r="D145" t="s">
        <v>592</v>
      </c>
      <c r="E145" t="s">
        <v>593</v>
      </c>
      <c r="F145" t="s">
        <v>640</v>
      </c>
      <c r="G145" t="s">
        <v>644</v>
      </c>
      <c r="H145">
        <v>144</v>
      </c>
      <c r="I145" t="str">
        <f>IF(ISBLANK(Table1[[#This Row],[oid]]),"FALSE","TRUE")</f>
        <v>TRUE</v>
      </c>
      <c r="J145" t="str" cm="1">
        <f t="array" ref="J145">_xlfn.SWITCH(LEFT(Table1[[#This Row],[section]],1), "D", "Demographic", "S", "Social", "E", "Economic", "H", "Housing", "")</f>
        <v>Demographic</v>
      </c>
      <c r="K145" t="s">
        <v>596</v>
      </c>
      <c r="L145" t="s">
        <v>597</v>
      </c>
      <c r="M145" t="str">
        <f>IF(Table1[[#This Row],[used]], _xlfn.CONCAT("🆔 ", Table1[[#This Row],[variable]], ": ",Table1[[#This Row],[alias]]), "")</f>
        <v>🆔 B05003_022E: Female: 18 years and over: Foreign-born: Naturalized US citizen</v>
      </c>
      <c r="O145" t="s">
        <v>645</v>
      </c>
      <c r="P145" t="s">
        <v>613</v>
      </c>
      <c r="Q145" t="s">
        <v>41</v>
      </c>
      <c r="R145" t="s">
        <v>643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1</v>
      </c>
      <c r="AG145" t="b">
        <v>1</v>
      </c>
    </row>
    <row r="146" spans="1:33" x14ac:dyDescent="0.25">
      <c r="A146" t="s">
        <v>605</v>
      </c>
      <c r="B146">
        <v>13</v>
      </c>
      <c r="C146" t="b">
        <v>0</v>
      </c>
      <c r="D146" t="s">
        <v>592</v>
      </c>
      <c r="E146" t="s">
        <v>593</v>
      </c>
      <c r="F146" t="s">
        <v>646</v>
      </c>
      <c r="G146" t="s">
        <v>647</v>
      </c>
      <c r="H146">
        <v>145</v>
      </c>
      <c r="I146" t="str">
        <f>IF(ISBLANK(Table1[[#This Row],[oid]]),"FALSE","TRUE")</f>
        <v>TRUE</v>
      </c>
      <c r="J146" t="str" cm="1">
        <f t="array" ref="J146">_xlfn.SWITCH(LEFT(Table1[[#This Row],[section]],1), "D", "Demographic", "S", "Social", "E", "Economic", "H", "Housing", "")</f>
        <v>Demographic</v>
      </c>
      <c r="K146" t="s">
        <v>596</v>
      </c>
      <c r="L146" t="s">
        <v>597</v>
      </c>
      <c r="M146" t="str">
        <f>IF(Table1[[#This Row],[used]], _xlfn.CONCAT("🆔 ", Table1[[#This Row],[variable]], ": ",Table1[[#This Row],[alias]]), "")</f>
        <v>🆔 B05003_023E: Female: 18 years and over: Foreign born: Not a US citizen</v>
      </c>
      <c r="O146" t="s">
        <v>648</v>
      </c>
      <c r="P146" t="s">
        <v>599</v>
      </c>
      <c r="Q146" t="s">
        <v>41</v>
      </c>
      <c r="R146" t="s">
        <v>649</v>
      </c>
      <c r="S146" t="b">
        <v>1</v>
      </c>
      <c r="T146" t="b">
        <v>1</v>
      </c>
      <c r="U146" t="b">
        <v>1</v>
      </c>
      <c r="V146" t="b">
        <v>1</v>
      </c>
      <c r="W146" t="b">
        <v>1</v>
      </c>
      <c r="X146" t="b">
        <v>1</v>
      </c>
      <c r="Y146" t="b">
        <v>1</v>
      </c>
      <c r="Z146" t="b">
        <v>1</v>
      </c>
      <c r="AA146" t="b">
        <v>1</v>
      </c>
      <c r="AB146" t="b">
        <v>1</v>
      </c>
      <c r="AC146" t="b">
        <v>1</v>
      </c>
      <c r="AD146" t="b">
        <v>1</v>
      </c>
      <c r="AE146" t="b">
        <v>1</v>
      </c>
      <c r="AF146" t="b">
        <v>0</v>
      </c>
      <c r="AG146" t="b">
        <v>0</v>
      </c>
    </row>
    <row r="147" spans="1:33" x14ac:dyDescent="0.25">
      <c r="A147" t="s">
        <v>610</v>
      </c>
      <c r="B147">
        <v>2</v>
      </c>
      <c r="C147" t="b">
        <v>0</v>
      </c>
      <c r="D147" t="s">
        <v>592</v>
      </c>
      <c r="E147" t="s">
        <v>593</v>
      </c>
      <c r="F147" t="s">
        <v>646</v>
      </c>
      <c r="G147" t="s">
        <v>650</v>
      </c>
      <c r="H147">
        <v>146</v>
      </c>
      <c r="I147" t="str">
        <f>IF(ISBLANK(Table1[[#This Row],[oid]]),"FALSE","TRUE")</f>
        <v>TRUE</v>
      </c>
      <c r="J147" t="str" cm="1">
        <f t="array" ref="J147">_xlfn.SWITCH(LEFT(Table1[[#This Row],[section]],1), "D", "Demographic", "S", "Social", "E", "Economic", "H", "Housing", "")</f>
        <v>Demographic</v>
      </c>
      <c r="K147" t="s">
        <v>472</v>
      </c>
      <c r="L147" t="s">
        <v>597</v>
      </c>
      <c r="M147" t="str">
        <f>IF(Table1[[#This Row],[used]], _xlfn.CONCAT("🆔 ", Table1[[#This Row],[variable]], ": ",Table1[[#This Row],[alias]]), "")</f>
        <v>🆔 B05003_023E: Female: 18 years and over: Foreign-born: Not a US citizen</v>
      </c>
      <c r="O147" t="s">
        <v>651</v>
      </c>
      <c r="P147" t="s">
        <v>613</v>
      </c>
      <c r="Q147" t="s">
        <v>41</v>
      </c>
      <c r="R147" t="s">
        <v>649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1</v>
      </c>
      <c r="AG147" t="b">
        <v>1</v>
      </c>
    </row>
    <row r="148" spans="1:33" x14ac:dyDescent="0.25">
      <c r="A148" t="s">
        <v>33</v>
      </c>
      <c r="B148">
        <v>15</v>
      </c>
      <c r="C148" t="b">
        <v>1</v>
      </c>
      <c r="D148" t="s">
        <v>652</v>
      </c>
      <c r="E148" t="s">
        <v>653</v>
      </c>
      <c r="F148" t="s">
        <v>654</v>
      </c>
      <c r="G148" t="s">
        <v>655</v>
      </c>
      <c r="H148">
        <v>147</v>
      </c>
      <c r="I148" t="str">
        <f>IF(ISBLANK(Table1[[#This Row],[oid]]),"FALSE","TRUE")</f>
        <v>TRUE</v>
      </c>
      <c r="J148" t="str" cm="1">
        <f t="array" ref="J148">_xlfn.SWITCH(LEFT(Table1[[#This Row],[section]],1), "D", "Demographic", "S", "Social", "E", "Economic", "H", "Housing", "")</f>
        <v>Social</v>
      </c>
      <c r="K148" s="1" t="s">
        <v>656</v>
      </c>
      <c r="L148" s="1" t="s">
        <v>657</v>
      </c>
      <c r="M148" t="str">
        <f>IF(Table1[[#This Row],[used]], _xlfn.CONCAT("🆔 ", Table1[[#This Row],[variable]], ": ",Table1[[#This Row],[alias]]), "")</f>
        <v>🆔 B11001_001E: Total Households</v>
      </c>
      <c r="O148" t="s">
        <v>39</v>
      </c>
      <c r="P148" t="s">
        <v>658</v>
      </c>
      <c r="Q148" t="s">
        <v>41</v>
      </c>
      <c r="R148" t="s">
        <v>659</v>
      </c>
      <c r="S148" t="b">
        <v>1</v>
      </c>
      <c r="T148" t="b">
        <v>1</v>
      </c>
      <c r="U148" t="b">
        <v>1</v>
      </c>
      <c r="V148" t="b">
        <v>1</v>
      </c>
      <c r="W148" t="b">
        <v>1</v>
      </c>
      <c r="X148" t="b">
        <v>1</v>
      </c>
      <c r="Y148" t="b">
        <v>1</v>
      </c>
      <c r="Z148" t="b">
        <v>1</v>
      </c>
      <c r="AA148" t="b">
        <v>1</v>
      </c>
      <c r="AB148" t="b">
        <v>1</v>
      </c>
      <c r="AC148" t="b">
        <v>1</v>
      </c>
      <c r="AD148" t="b">
        <v>1</v>
      </c>
      <c r="AE148" t="b">
        <v>1</v>
      </c>
      <c r="AF148" t="b">
        <v>1</v>
      </c>
      <c r="AG148" t="b">
        <v>1</v>
      </c>
    </row>
    <row r="149" spans="1:33" x14ac:dyDescent="0.25">
      <c r="A149" t="s">
        <v>33</v>
      </c>
      <c r="B149">
        <v>15</v>
      </c>
      <c r="C149" t="b">
        <v>1</v>
      </c>
      <c r="D149" t="s">
        <v>652</v>
      </c>
      <c r="E149" t="s">
        <v>653</v>
      </c>
      <c r="F149" t="s">
        <v>660</v>
      </c>
      <c r="G149" t="s">
        <v>661</v>
      </c>
      <c r="H149">
        <v>148</v>
      </c>
      <c r="I149" t="str">
        <f>IF(ISBLANK(Table1[[#This Row],[oid]]),"FALSE","TRUE")</f>
        <v>TRUE</v>
      </c>
      <c r="J149" t="str" cm="1">
        <f t="array" ref="J149">_xlfn.SWITCH(LEFT(Table1[[#This Row],[section]],1), "D", "Demographic", "S", "Social", "E", "Economic", "H", "Housing", "")</f>
        <v>Social</v>
      </c>
      <c r="K149" s="1" t="s">
        <v>656</v>
      </c>
      <c r="L149" s="1" t="s">
        <v>657</v>
      </c>
      <c r="M149" t="str">
        <f>IF(Table1[[#This Row],[used]], _xlfn.CONCAT("🆔 ", Table1[[#This Row],[variable]], ": ",Table1[[#This Row],[alias]]), "")</f>
        <v>🆔 B11001_002E: Family households</v>
      </c>
      <c r="O149" t="s">
        <v>662</v>
      </c>
      <c r="P149" t="s">
        <v>658</v>
      </c>
      <c r="Q149" t="s">
        <v>41</v>
      </c>
      <c r="R149" t="s">
        <v>663</v>
      </c>
      <c r="S149" t="b">
        <v>1</v>
      </c>
      <c r="T149" t="b">
        <v>1</v>
      </c>
      <c r="U149" t="b">
        <v>1</v>
      </c>
      <c r="V149" t="b">
        <v>1</v>
      </c>
      <c r="W149" t="b">
        <v>1</v>
      </c>
      <c r="X149" t="b">
        <v>1</v>
      </c>
      <c r="Y149" t="b">
        <v>1</v>
      </c>
      <c r="Z149" t="b">
        <v>1</v>
      </c>
      <c r="AA149" t="b">
        <v>1</v>
      </c>
      <c r="AB149" t="b">
        <v>1</v>
      </c>
      <c r="AC149" t="b">
        <v>1</v>
      </c>
      <c r="AD149" t="b">
        <v>1</v>
      </c>
      <c r="AE149" t="b">
        <v>1</v>
      </c>
      <c r="AF149" t="b">
        <v>1</v>
      </c>
      <c r="AG149" t="b">
        <v>1</v>
      </c>
    </row>
    <row r="150" spans="1:33" x14ac:dyDescent="0.25">
      <c r="A150" t="s">
        <v>33</v>
      </c>
      <c r="B150">
        <v>15</v>
      </c>
      <c r="C150" t="b">
        <v>1</v>
      </c>
      <c r="D150" t="s">
        <v>652</v>
      </c>
      <c r="E150" t="s">
        <v>653</v>
      </c>
      <c r="F150" t="s">
        <v>664</v>
      </c>
      <c r="G150" t="s">
        <v>665</v>
      </c>
      <c r="H150">
        <v>149</v>
      </c>
      <c r="I150" t="str">
        <f>IF(ISBLANK(Table1[[#This Row],[oid]]),"FALSE","TRUE")</f>
        <v>TRUE</v>
      </c>
      <c r="J150" t="str" cm="1">
        <f t="array" ref="J150">_xlfn.SWITCH(LEFT(Table1[[#This Row],[section]],1), "D", "Demographic", "S", "Social", "E", "Economic", "H", "Housing", "")</f>
        <v>Social</v>
      </c>
      <c r="K150" s="1" t="s">
        <v>656</v>
      </c>
      <c r="L150" s="1" t="s">
        <v>657</v>
      </c>
      <c r="M150" t="str">
        <f>IF(Table1[[#This Row],[used]], _xlfn.CONCAT("🆔 ", Table1[[#This Row],[variable]], ": ",Table1[[#This Row],[alias]]), "")</f>
        <v>🆔 B11001_007E: Non-family households</v>
      </c>
      <c r="O150" t="s">
        <v>666</v>
      </c>
      <c r="P150" t="s">
        <v>658</v>
      </c>
      <c r="Q150" t="s">
        <v>41</v>
      </c>
      <c r="R150" t="s">
        <v>667</v>
      </c>
      <c r="S150" t="b">
        <v>1</v>
      </c>
      <c r="T150" t="b">
        <v>1</v>
      </c>
      <c r="U150" t="b">
        <v>1</v>
      </c>
      <c r="V150" t="b">
        <v>1</v>
      </c>
      <c r="W150" t="b">
        <v>1</v>
      </c>
      <c r="X150" t="b">
        <v>1</v>
      </c>
      <c r="Y150" t="b">
        <v>1</v>
      </c>
      <c r="Z150" t="b">
        <v>1</v>
      </c>
      <c r="AA150" t="b">
        <v>1</v>
      </c>
      <c r="AB150" t="b">
        <v>1</v>
      </c>
      <c r="AC150" t="b">
        <v>1</v>
      </c>
      <c r="AD150" t="b">
        <v>1</v>
      </c>
      <c r="AE150" t="b">
        <v>1</v>
      </c>
      <c r="AF150" t="b">
        <v>1</v>
      </c>
      <c r="AG150" t="b">
        <v>1</v>
      </c>
    </row>
    <row r="151" spans="1:33" x14ac:dyDescent="0.25">
      <c r="A151" t="s">
        <v>33</v>
      </c>
      <c r="B151">
        <v>15</v>
      </c>
      <c r="C151" t="b">
        <v>1</v>
      </c>
      <c r="D151" t="s">
        <v>652</v>
      </c>
      <c r="E151" t="s">
        <v>653</v>
      </c>
      <c r="F151" t="s">
        <v>668</v>
      </c>
      <c r="G151" t="s">
        <v>669</v>
      </c>
      <c r="H151">
        <v>150</v>
      </c>
      <c r="I151" t="str">
        <f>IF(ISBLANK(Table1[[#This Row],[oid]]),"FALSE","TRUE")</f>
        <v>TRUE</v>
      </c>
      <c r="J151" t="str" cm="1">
        <f t="array" ref="J151">_xlfn.SWITCH(LEFT(Table1[[#This Row],[section]],1), "D", "Demographic", "S", "Social", "E", "Economic", "H", "Housing", "")</f>
        <v>Social</v>
      </c>
      <c r="K151" s="1" t="s">
        <v>656</v>
      </c>
      <c r="L151" s="1" t="s">
        <v>657</v>
      </c>
      <c r="M151" t="str">
        <f>IF(Table1[[#This Row],[used]], _xlfn.CONCAT("🆔 ", Table1[[#This Row],[variable]], ": ",Table1[[#This Row],[alias]]), "")</f>
        <v>🆔 B11001_003E: Family households: Married-couple family</v>
      </c>
      <c r="O151" t="s">
        <v>670</v>
      </c>
      <c r="P151" t="s">
        <v>658</v>
      </c>
      <c r="Q151" t="s">
        <v>41</v>
      </c>
      <c r="R151" t="s">
        <v>671</v>
      </c>
      <c r="S151" t="b">
        <v>1</v>
      </c>
      <c r="T151" t="b">
        <v>1</v>
      </c>
      <c r="U151" t="b">
        <v>1</v>
      </c>
      <c r="V151" t="b">
        <v>1</v>
      </c>
      <c r="W151" t="b">
        <v>1</v>
      </c>
      <c r="X151" t="b">
        <v>1</v>
      </c>
      <c r="Y151" t="b">
        <v>1</v>
      </c>
      <c r="Z151" t="b">
        <v>1</v>
      </c>
      <c r="AA151" t="b">
        <v>1</v>
      </c>
      <c r="AB151" t="b">
        <v>1</v>
      </c>
      <c r="AC151" t="b">
        <v>1</v>
      </c>
      <c r="AD151" t="b">
        <v>1</v>
      </c>
      <c r="AE151" t="b">
        <v>1</v>
      </c>
      <c r="AF151" t="b">
        <v>1</v>
      </c>
      <c r="AG151" t="b">
        <v>1</v>
      </c>
    </row>
    <row r="152" spans="1:33" x14ac:dyDescent="0.25">
      <c r="A152" t="s">
        <v>33</v>
      </c>
      <c r="B152">
        <v>15</v>
      </c>
      <c r="C152" t="b">
        <v>1</v>
      </c>
      <c r="D152" t="s">
        <v>652</v>
      </c>
      <c r="E152" t="s">
        <v>653</v>
      </c>
      <c r="F152" t="s">
        <v>672</v>
      </c>
      <c r="G152" t="s">
        <v>673</v>
      </c>
      <c r="H152">
        <v>151</v>
      </c>
      <c r="I152" t="str">
        <f>IF(ISBLANK(Table1[[#This Row],[oid]]),"FALSE","TRUE")</f>
        <v>TRUE</v>
      </c>
      <c r="J152" t="str" cm="1">
        <f t="array" ref="J152">_xlfn.SWITCH(LEFT(Table1[[#This Row],[section]],1), "D", "Demographic", "S", "Social", "E", "Economic", "H", "Housing", "")</f>
        <v>Social</v>
      </c>
      <c r="K152" s="1" t="s">
        <v>656</v>
      </c>
      <c r="L152" s="1" t="s">
        <v>657</v>
      </c>
      <c r="M152" t="str">
        <f>IF(Table1[[#This Row],[used]], _xlfn.CONCAT("🆔 ", Table1[[#This Row],[variable]], ": ",Table1[[#This Row],[alias]]), "")</f>
        <v>🆔 B11001_004E: Family households: Other family</v>
      </c>
      <c r="O152" t="s">
        <v>674</v>
      </c>
      <c r="P152" t="s">
        <v>658</v>
      </c>
      <c r="Q152" t="s">
        <v>41</v>
      </c>
      <c r="R152" t="s">
        <v>675</v>
      </c>
      <c r="S152" t="b">
        <v>1</v>
      </c>
      <c r="T152" t="b">
        <v>1</v>
      </c>
      <c r="U152" t="b">
        <v>1</v>
      </c>
      <c r="V152" t="b">
        <v>1</v>
      </c>
      <c r="W152" t="b">
        <v>1</v>
      </c>
      <c r="X152" t="b">
        <v>1</v>
      </c>
      <c r="Y152" t="b">
        <v>1</v>
      </c>
      <c r="Z152" t="b">
        <v>1</v>
      </c>
      <c r="AA152" t="b">
        <v>1</v>
      </c>
      <c r="AB152" t="b">
        <v>1</v>
      </c>
      <c r="AC152" t="b">
        <v>1</v>
      </c>
      <c r="AD152" t="b">
        <v>1</v>
      </c>
      <c r="AE152" t="b">
        <v>1</v>
      </c>
      <c r="AF152" t="b">
        <v>1</v>
      </c>
      <c r="AG152" t="b">
        <v>1</v>
      </c>
    </row>
    <row r="153" spans="1:33" x14ac:dyDescent="0.25">
      <c r="A153" t="s">
        <v>676</v>
      </c>
      <c r="B153">
        <v>9</v>
      </c>
      <c r="C153" t="b">
        <v>0</v>
      </c>
      <c r="D153" t="s">
        <v>652</v>
      </c>
      <c r="E153" t="s">
        <v>653</v>
      </c>
      <c r="F153" t="s">
        <v>677</v>
      </c>
      <c r="G153" t="s">
        <v>678</v>
      </c>
      <c r="H153">
        <v>152</v>
      </c>
      <c r="I153" t="str">
        <f>IF(ISBLANK(Table1[[#This Row],[oid]]),"FALSE","TRUE")</f>
        <v>TRUE</v>
      </c>
      <c r="J153" t="str" cm="1">
        <f t="array" ref="J153">_xlfn.SWITCH(LEFT(Table1[[#This Row],[section]],1), "D", "Demographic", "S", "Social", "E", "Economic", "H", "Housing", "")</f>
        <v>Social</v>
      </c>
      <c r="K153" s="1" t="s">
        <v>656</v>
      </c>
      <c r="L153" s="1" t="s">
        <v>657</v>
      </c>
      <c r="M153" t="str">
        <f>IF(Table1[[#This Row],[used]], _xlfn.CONCAT("🆔 ", Table1[[#This Row],[variable]], ": ",Table1[[#This Row],[alias]]), "")</f>
        <v>🆔 B11001_005E: Family households: Other family: Male householder no wife present</v>
      </c>
      <c r="O153" t="s">
        <v>679</v>
      </c>
      <c r="P153" t="s">
        <v>658</v>
      </c>
      <c r="Q153" t="s">
        <v>41</v>
      </c>
      <c r="R153" t="s">
        <v>680</v>
      </c>
      <c r="S153" t="b">
        <v>1</v>
      </c>
      <c r="T153" t="b">
        <v>1</v>
      </c>
      <c r="U153" t="b">
        <v>1</v>
      </c>
      <c r="V153" t="b">
        <v>1</v>
      </c>
      <c r="W153" t="b">
        <v>1</v>
      </c>
      <c r="X153" t="b">
        <v>1</v>
      </c>
      <c r="Y153" t="b">
        <v>1</v>
      </c>
      <c r="Z153" t="b">
        <v>1</v>
      </c>
      <c r="AA153" t="b">
        <v>1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</row>
    <row r="154" spans="1:33" x14ac:dyDescent="0.25">
      <c r="A154" t="s">
        <v>681</v>
      </c>
      <c r="B154">
        <v>6</v>
      </c>
      <c r="C154" t="b">
        <v>0</v>
      </c>
      <c r="D154" t="s">
        <v>652</v>
      </c>
      <c r="E154" t="s">
        <v>653</v>
      </c>
      <c r="F154" t="s">
        <v>677</v>
      </c>
      <c r="G154" t="s">
        <v>682</v>
      </c>
      <c r="H154">
        <v>153</v>
      </c>
      <c r="I154" t="str">
        <f>IF(ISBLANK(Table1[[#This Row],[oid]]),"FALSE","TRUE")</f>
        <v>TRUE</v>
      </c>
      <c r="J154" t="str" cm="1">
        <f t="array" ref="J154">_xlfn.SWITCH(LEFT(Table1[[#This Row],[section]],1), "D", "Demographic", "S", "Social", "E", "Economic", "H", "Housing", "")</f>
        <v>Social</v>
      </c>
      <c r="K154" s="1" t="s">
        <v>656</v>
      </c>
      <c r="L154" s="1" t="s">
        <v>657</v>
      </c>
      <c r="M154" t="str">
        <f>IF(Table1[[#This Row],[used]], _xlfn.CONCAT("🆔 ", Table1[[#This Row],[variable]], ": ",Table1[[#This Row],[alias]]), "")</f>
        <v>🆔 B11001_005E: Family households: Other family: Male householder no spouse present</v>
      </c>
      <c r="O154" t="s">
        <v>683</v>
      </c>
      <c r="P154" t="s">
        <v>658</v>
      </c>
      <c r="Q154" t="s">
        <v>41</v>
      </c>
      <c r="R154" t="s">
        <v>680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1</v>
      </c>
      <c r="AC154" t="b">
        <v>1</v>
      </c>
      <c r="AD154" t="b">
        <v>1</v>
      </c>
      <c r="AE154" t="b">
        <v>1</v>
      </c>
      <c r="AF154" t="b">
        <v>1</v>
      </c>
      <c r="AG154" t="b">
        <v>1</v>
      </c>
    </row>
    <row r="155" spans="1:33" x14ac:dyDescent="0.25">
      <c r="A155" t="s">
        <v>676</v>
      </c>
      <c r="B155">
        <v>9</v>
      </c>
      <c r="C155" t="b">
        <v>0</v>
      </c>
      <c r="D155" t="s">
        <v>652</v>
      </c>
      <c r="E155" t="s">
        <v>653</v>
      </c>
      <c r="F155" t="s">
        <v>684</v>
      </c>
      <c r="G155" t="s">
        <v>685</v>
      </c>
      <c r="H155">
        <v>154</v>
      </c>
      <c r="I155" t="str">
        <f>IF(ISBLANK(Table1[[#This Row],[oid]]),"FALSE","TRUE")</f>
        <v>TRUE</v>
      </c>
      <c r="J155" t="str" cm="1">
        <f t="array" ref="J155">_xlfn.SWITCH(LEFT(Table1[[#This Row],[section]],1), "D", "Demographic", "S", "Social", "E", "Economic", "H", "Housing", "")</f>
        <v>Social</v>
      </c>
      <c r="K155" s="1" t="s">
        <v>656</v>
      </c>
      <c r="L155" s="1" t="s">
        <v>657</v>
      </c>
      <c r="M155" t="str">
        <f>IF(Table1[[#This Row],[used]], _xlfn.CONCAT("🆔 ", Table1[[#This Row],[variable]], ": ",Table1[[#This Row],[alias]]), "")</f>
        <v>🆔 B11001_006E: Family households: Other family: Female householder no husband present</v>
      </c>
      <c r="O155" t="s">
        <v>686</v>
      </c>
      <c r="P155" t="s">
        <v>658</v>
      </c>
      <c r="Q155" t="s">
        <v>41</v>
      </c>
      <c r="R155" t="s">
        <v>687</v>
      </c>
      <c r="S155" t="b">
        <v>1</v>
      </c>
      <c r="T155" t="b">
        <v>1</v>
      </c>
      <c r="U155" t="b">
        <v>1</v>
      </c>
      <c r="V155" t="b">
        <v>1</v>
      </c>
      <c r="W155" t="b">
        <v>1</v>
      </c>
      <c r="X155" t="b">
        <v>1</v>
      </c>
      <c r="Y155" t="b">
        <v>1</v>
      </c>
      <c r="Z155" t="b">
        <v>1</v>
      </c>
      <c r="AA155" t="b">
        <v>1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</row>
    <row r="156" spans="1:33" x14ac:dyDescent="0.25">
      <c r="A156" t="s">
        <v>681</v>
      </c>
      <c r="B156">
        <v>6</v>
      </c>
      <c r="C156" t="b">
        <v>0</v>
      </c>
      <c r="D156" t="s">
        <v>652</v>
      </c>
      <c r="E156" t="s">
        <v>653</v>
      </c>
      <c r="F156" t="s">
        <v>684</v>
      </c>
      <c r="G156" t="s">
        <v>688</v>
      </c>
      <c r="H156">
        <v>155</v>
      </c>
      <c r="I156" t="str">
        <f>IF(ISBLANK(Table1[[#This Row],[oid]]),"FALSE","TRUE")</f>
        <v>TRUE</v>
      </c>
      <c r="J156" t="str" cm="1">
        <f t="array" ref="J156">_xlfn.SWITCH(LEFT(Table1[[#This Row],[section]],1), "D", "Demographic", "S", "Social", "E", "Economic", "H", "Housing", "")</f>
        <v>Social</v>
      </c>
      <c r="K156" s="1" t="s">
        <v>656</v>
      </c>
      <c r="L156" s="1" t="s">
        <v>657</v>
      </c>
      <c r="M156" t="str">
        <f>IF(Table1[[#This Row],[used]], _xlfn.CONCAT("🆔 ", Table1[[#This Row],[variable]], ": ",Table1[[#This Row],[alias]]), "")</f>
        <v>🆔 B11001_006E: Family households: Other family: Female householder no spouse present</v>
      </c>
      <c r="O156" t="s">
        <v>689</v>
      </c>
      <c r="P156" t="s">
        <v>658</v>
      </c>
      <c r="Q156" t="s">
        <v>41</v>
      </c>
      <c r="R156" t="s">
        <v>687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1</v>
      </c>
      <c r="AD156" t="b">
        <v>1</v>
      </c>
      <c r="AE156" t="b">
        <v>1</v>
      </c>
      <c r="AF156" t="b">
        <v>1</v>
      </c>
      <c r="AG156" t="b">
        <v>1</v>
      </c>
    </row>
    <row r="157" spans="1:33" x14ac:dyDescent="0.25">
      <c r="A157" t="s">
        <v>33</v>
      </c>
      <c r="B157">
        <v>15</v>
      </c>
      <c r="C157" t="b">
        <v>1</v>
      </c>
      <c r="D157" t="s">
        <v>652</v>
      </c>
      <c r="E157" t="s">
        <v>653</v>
      </c>
      <c r="F157" t="s">
        <v>690</v>
      </c>
      <c r="G157" t="s">
        <v>691</v>
      </c>
      <c r="H157">
        <v>156</v>
      </c>
      <c r="I157" t="str">
        <f>IF(ISBLANK(Table1[[#This Row],[oid]]),"FALSE","TRUE")</f>
        <v>TRUE</v>
      </c>
      <c r="J157" t="str" cm="1">
        <f t="array" ref="J157">_xlfn.SWITCH(LEFT(Table1[[#This Row],[section]],1), "D", "Demographic", "S", "Social", "E", "Economic", "H", "Housing", "")</f>
        <v>Social</v>
      </c>
      <c r="K157" s="1" t="s">
        <v>656</v>
      </c>
      <c r="L157" s="1" t="s">
        <v>657</v>
      </c>
      <c r="M157" t="str">
        <f>IF(Table1[[#This Row],[used]], _xlfn.CONCAT("🆔 ", Table1[[#This Row],[variable]], ": ",Table1[[#This Row],[alias]]), "")</f>
        <v>🆔 B11001_008E: Non-family households: Householder living alone</v>
      </c>
      <c r="O157" t="s">
        <v>692</v>
      </c>
      <c r="P157" t="s">
        <v>658</v>
      </c>
      <c r="Q157" t="s">
        <v>41</v>
      </c>
      <c r="R157" t="s">
        <v>693</v>
      </c>
      <c r="S157" t="b">
        <v>1</v>
      </c>
      <c r="T157" t="b">
        <v>1</v>
      </c>
      <c r="U157" t="b">
        <v>1</v>
      </c>
      <c r="V157" t="b">
        <v>1</v>
      </c>
      <c r="W157" t="b">
        <v>1</v>
      </c>
      <c r="X157" t="b">
        <v>1</v>
      </c>
      <c r="Y157" t="b">
        <v>1</v>
      </c>
      <c r="Z157" t="b">
        <v>1</v>
      </c>
      <c r="AA157" t="b">
        <v>1</v>
      </c>
      <c r="AB157" t="b">
        <v>1</v>
      </c>
      <c r="AC157" t="b">
        <v>1</v>
      </c>
      <c r="AD157" t="b">
        <v>1</v>
      </c>
      <c r="AE157" t="b">
        <v>1</v>
      </c>
      <c r="AF157" t="b">
        <v>1</v>
      </c>
      <c r="AG157" t="b">
        <v>1</v>
      </c>
    </row>
    <row r="158" spans="1:33" x14ac:dyDescent="0.25">
      <c r="A158" t="s">
        <v>33</v>
      </c>
      <c r="B158">
        <v>15</v>
      </c>
      <c r="C158" t="b">
        <v>1</v>
      </c>
      <c r="D158" t="s">
        <v>652</v>
      </c>
      <c r="E158" t="s">
        <v>653</v>
      </c>
      <c r="F158" t="s">
        <v>694</v>
      </c>
      <c r="G158" t="s">
        <v>695</v>
      </c>
      <c r="H158">
        <v>157</v>
      </c>
      <c r="I158" t="str">
        <f>IF(ISBLANK(Table1[[#This Row],[oid]]),"FALSE","TRUE")</f>
        <v>TRUE</v>
      </c>
      <c r="J158" t="str" cm="1">
        <f t="array" ref="J158">_xlfn.SWITCH(LEFT(Table1[[#This Row],[section]],1), "D", "Demographic", "S", "Social", "E", "Economic", "H", "Housing", "")</f>
        <v>Social</v>
      </c>
      <c r="K158" s="1" t="s">
        <v>656</v>
      </c>
      <c r="L158" s="1" t="s">
        <v>657</v>
      </c>
      <c r="M158" t="str">
        <f>IF(Table1[[#This Row],[used]], _xlfn.CONCAT("🆔 ", Table1[[#This Row],[variable]], ": ",Table1[[#This Row],[alias]]), "")</f>
        <v>🆔 B11001_009E: Non-family households: Householder not living alone</v>
      </c>
      <c r="O158" t="s">
        <v>696</v>
      </c>
      <c r="P158" t="s">
        <v>658</v>
      </c>
      <c r="Q158" t="s">
        <v>41</v>
      </c>
      <c r="R158" t="s">
        <v>697</v>
      </c>
      <c r="S158" t="b">
        <v>1</v>
      </c>
      <c r="T158" t="b">
        <v>1</v>
      </c>
      <c r="U158" t="b">
        <v>1</v>
      </c>
      <c r="V158" t="b">
        <v>1</v>
      </c>
      <c r="W158" t="b">
        <v>1</v>
      </c>
      <c r="X158" t="b">
        <v>1</v>
      </c>
      <c r="Y158" t="b">
        <v>1</v>
      </c>
      <c r="Z158" t="b">
        <v>1</v>
      </c>
      <c r="AA158" t="b">
        <v>1</v>
      </c>
      <c r="AB158" t="b">
        <v>1</v>
      </c>
      <c r="AC158" t="b">
        <v>1</v>
      </c>
      <c r="AD158" t="b">
        <v>1</v>
      </c>
      <c r="AE158" t="b">
        <v>1</v>
      </c>
      <c r="AF158" t="b">
        <v>1</v>
      </c>
      <c r="AG158" t="b">
        <v>1</v>
      </c>
    </row>
    <row r="159" spans="1:33" x14ac:dyDescent="0.25">
      <c r="A159" t="s">
        <v>33</v>
      </c>
      <c r="B159">
        <v>15</v>
      </c>
      <c r="C159" t="b">
        <v>1</v>
      </c>
      <c r="D159" t="s">
        <v>652</v>
      </c>
      <c r="E159" t="s">
        <v>698</v>
      </c>
      <c r="F159" t="s">
        <v>699</v>
      </c>
      <c r="G159" t="s">
        <v>700</v>
      </c>
      <c r="H159">
        <v>158</v>
      </c>
      <c r="I159" t="str">
        <f>IF(ISBLANK(Table1[[#This Row],[oid]]),"FALSE","TRUE")</f>
        <v>TRUE</v>
      </c>
      <c r="J159" t="str" cm="1">
        <f t="array" ref="J159">_xlfn.SWITCH(LEFT(Table1[[#This Row],[section]],1), "D", "Demographic", "S", "Social", "E", "Economic", "H", "Housing", "")</f>
        <v>Social</v>
      </c>
      <c r="K159" t="s">
        <v>701</v>
      </c>
      <c r="L159" t="s">
        <v>702</v>
      </c>
      <c r="M159" t="str">
        <f>IF(Table1[[#This Row],[used]], _xlfn.CONCAT("🆔 ", Table1[[#This Row],[variable]], ": ",Table1[[#This Row],[alias]]), "")</f>
        <v>🆔 B11003_001E: Total Families</v>
      </c>
      <c r="O159" t="s">
        <v>39</v>
      </c>
      <c r="P159" t="s">
        <v>703</v>
      </c>
      <c r="Q159" t="s">
        <v>41</v>
      </c>
      <c r="R159" t="s">
        <v>704</v>
      </c>
      <c r="S159" t="b">
        <v>1</v>
      </c>
      <c r="T159" t="b">
        <v>1</v>
      </c>
      <c r="U159" t="b">
        <v>1</v>
      </c>
      <c r="V159" t="b">
        <v>1</v>
      </c>
      <c r="W159" t="b">
        <v>1</v>
      </c>
      <c r="X159" t="b">
        <v>1</v>
      </c>
      <c r="Y159" t="b">
        <v>1</v>
      </c>
      <c r="Z159" t="b">
        <v>1</v>
      </c>
      <c r="AA159" t="b">
        <v>1</v>
      </c>
      <c r="AB159" t="b">
        <v>1</v>
      </c>
      <c r="AC159" t="b">
        <v>1</v>
      </c>
      <c r="AD159" t="b">
        <v>1</v>
      </c>
      <c r="AE159" t="b">
        <v>1</v>
      </c>
      <c r="AF159" t="b">
        <v>1</v>
      </c>
      <c r="AG159" t="b">
        <v>1</v>
      </c>
    </row>
    <row r="160" spans="1:33" x14ac:dyDescent="0.25">
      <c r="A160" t="s">
        <v>33</v>
      </c>
      <c r="B160">
        <v>15</v>
      </c>
      <c r="C160" t="b">
        <v>1</v>
      </c>
      <c r="D160" t="s">
        <v>652</v>
      </c>
      <c r="E160" t="s">
        <v>698</v>
      </c>
      <c r="F160" t="s">
        <v>705</v>
      </c>
      <c r="G160" t="s">
        <v>706</v>
      </c>
      <c r="H160">
        <v>159</v>
      </c>
      <c r="I160" t="str">
        <f>IF(ISBLANK(Table1[[#This Row],[oid]]),"FALSE","TRUE")</f>
        <v>TRUE</v>
      </c>
      <c r="J160" t="str" cm="1">
        <f t="array" ref="J160">_xlfn.SWITCH(LEFT(Table1[[#This Row],[section]],1), "D", "Demographic", "S", "Social", "E", "Economic", "H", "Housing", "")</f>
        <v>Social</v>
      </c>
      <c r="K160" t="s">
        <v>701</v>
      </c>
      <c r="L160" t="s">
        <v>702</v>
      </c>
      <c r="M160" t="str">
        <f>IF(Table1[[#This Row],[used]], _xlfn.CONCAT("🆔 ", Table1[[#This Row],[variable]], ": ",Table1[[#This Row],[alias]]), "")</f>
        <v>🆔 B11003_002E: Married-couple family</v>
      </c>
      <c r="O160" t="s">
        <v>707</v>
      </c>
      <c r="P160" t="s">
        <v>703</v>
      </c>
      <c r="Q160" t="s">
        <v>41</v>
      </c>
      <c r="R160" t="s">
        <v>708</v>
      </c>
      <c r="S160" t="b">
        <v>1</v>
      </c>
      <c r="T160" t="b">
        <v>1</v>
      </c>
      <c r="U160" t="b">
        <v>1</v>
      </c>
      <c r="V160" t="b">
        <v>1</v>
      </c>
      <c r="W160" t="b">
        <v>1</v>
      </c>
      <c r="X160" t="b">
        <v>1</v>
      </c>
      <c r="Y160" t="b">
        <v>1</v>
      </c>
      <c r="Z160" t="b">
        <v>1</v>
      </c>
      <c r="AA160" t="b">
        <v>1</v>
      </c>
      <c r="AB160" t="b">
        <v>1</v>
      </c>
      <c r="AC160" t="b">
        <v>1</v>
      </c>
      <c r="AD160" t="b">
        <v>1</v>
      </c>
      <c r="AE160" t="b">
        <v>1</v>
      </c>
      <c r="AF160" t="b">
        <v>1</v>
      </c>
      <c r="AG160" t="b">
        <v>1</v>
      </c>
    </row>
    <row r="161" spans="1:33" x14ac:dyDescent="0.25">
      <c r="A161" t="s">
        <v>709</v>
      </c>
      <c r="B161">
        <v>5</v>
      </c>
      <c r="C161" t="b">
        <v>0</v>
      </c>
      <c r="D161" t="s">
        <v>652</v>
      </c>
      <c r="E161" t="s">
        <v>698</v>
      </c>
      <c r="F161" t="s">
        <v>710</v>
      </c>
      <c r="G161" t="s">
        <v>711</v>
      </c>
      <c r="H161">
        <v>160</v>
      </c>
      <c r="I161" t="str">
        <f>IF(ISBLANK(Table1[[#This Row],[oid]]),"FALSE","TRUE")</f>
        <v>TRUE</v>
      </c>
      <c r="J161" t="str" cm="1">
        <f t="array" ref="J161">_xlfn.SWITCH(LEFT(Table1[[#This Row],[section]],1), "D", "Demographic", "S", "Social", "E", "Economic", "H", "Housing", "")</f>
        <v>Social</v>
      </c>
      <c r="K161" t="s">
        <v>701</v>
      </c>
      <c r="L161" t="s">
        <v>702</v>
      </c>
      <c r="M161" t="str">
        <f>IF(Table1[[#This Row],[used]], _xlfn.CONCAT("🆔 ", Table1[[#This Row],[variable]], ": ",Table1[[#This Row],[alias]]), "")</f>
        <v>🆔 B11003_003E: Married-couple family: With own children under 18 years</v>
      </c>
      <c r="O161" t="s">
        <v>712</v>
      </c>
      <c r="P161" t="s">
        <v>703</v>
      </c>
      <c r="Q161" t="s">
        <v>41</v>
      </c>
      <c r="R161" t="s">
        <v>713</v>
      </c>
      <c r="S161" t="b">
        <v>1</v>
      </c>
      <c r="T161" t="b">
        <v>1</v>
      </c>
      <c r="U161" t="b">
        <v>1</v>
      </c>
      <c r="V161" t="b">
        <v>1</v>
      </c>
      <c r="W161" t="b">
        <v>1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</row>
    <row r="162" spans="1:33" x14ac:dyDescent="0.25">
      <c r="A162" t="s">
        <v>714</v>
      </c>
      <c r="B162">
        <v>10</v>
      </c>
      <c r="C162" t="b">
        <v>0</v>
      </c>
      <c r="D162" t="s">
        <v>652</v>
      </c>
      <c r="E162" t="s">
        <v>698</v>
      </c>
      <c r="F162" t="s">
        <v>710</v>
      </c>
      <c r="G162" t="s">
        <v>715</v>
      </c>
      <c r="H162">
        <v>161</v>
      </c>
      <c r="I162" t="str">
        <f>IF(ISBLANK(Table1[[#This Row],[oid]]),"FALSE","TRUE")</f>
        <v>TRUE</v>
      </c>
      <c r="J162" t="str" cm="1">
        <f t="array" ref="J162">_xlfn.SWITCH(LEFT(Table1[[#This Row],[section]],1), "D", "Demographic", "S", "Social", "E", "Economic", "H", "Housing", "")</f>
        <v>Social</v>
      </c>
      <c r="K162" t="s">
        <v>701</v>
      </c>
      <c r="L162" t="s">
        <v>702</v>
      </c>
      <c r="M162" t="str">
        <f>IF(Table1[[#This Row],[used]], _xlfn.CONCAT("🆔 ", Table1[[#This Row],[variable]], ": ",Table1[[#This Row],[alias]]), "")</f>
        <v>🆔 B11003_003E: Married-couple family: With own children of the householder under 18 years</v>
      </c>
      <c r="O162" t="s">
        <v>716</v>
      </c>
      <c r="P162" t="s">
        <v>703</v>
      </c>
      <c r="Q162" t="s">
        <v>41</v>
      </c>
      <c r="R162" t="s">
        <v>713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1</v>
      </c>
      <c r="Y162" t="b">
        <v>1</v>
      </c>
      <c r="Z162" t="b">
        <v>1</v>
      </c>
      <c r="AA162" t="b">
        <v>1</v>
      </c>
      <c r="AB162" t="b">
        <v>1</v>
      </c>
      <c r="AC162" t="b">
        <v>1</v>
      </c>
      <c r="AD162" t="b">
        <v>1</v>
      </c>
      <c r="AE162" t="b">
        <v>1</v>
      </c>
      <c r="AF162" t="b">
        <v>1</v>
      </c>
      <c r="AG162" t="b">
        <v>1</v>
      </c>
    </row>
    <row r="163" spans="1:33" x14ac:dyDescent="0.25">
      <c r="A163" t="s">
        <v>33</v>
      </c>
      <c r="B163">
        <v>15</v>
      </c>
      <c r="C163" t="b">
        <v>1</v>
      </c>
      <c r="D163" t="s">
        <v>652</v>
      </c>
      <c r="E163" t="s">
        <v>698</v>
      </c>
      <c r="F163" t="s">
        <v>717</v>
      </c>
      <c r="G163" t="s">
        <v>718</v>
      </c>
      <c r="H163">
        <v>162</v>
      </c>
      <c r="I163" t="str">
        <f>IF(ISBLANK(Table1[[#This Row],[oid]]),"FALSE","TRUE")</f>
        <v>TRUE</v>
      </c>
      <c r="J163" t="str" cm="1">
        <f t="array" ref="J163">_xlfn.SWITCH(LEFT(Table1[[#This Row],[section]],1), "D", "Demographic", "S", "Social", "E", "Economic", "H", "Housing", "")</f>
        <v>Social</v>
      </c>
      <c r="K163" t="s">
        <v>701</v>
      </c>
      <c r="L163" t="s">
        <v>702</v>
      </c>
      <c r="M163" t="str">
        <f>IF(Table1[[#This Row],[used]], _xlfn.CONCAT("🆔 ", Table1[[#This Row],[variable]], ": ",Table1[[#This Row],[alias]]), "")</f>
        <v>🆔 B11003_008E: Other family</v>
      </c>
      <c r="O163" t="s">
        <v>719</v>
      </c>
      <c r="P163" t="s">
        <v>703</v>
      </c>
      <c r="Q163" t="s">
        <v>41</v>
      </c>
      <c r="R163" t="s">
        <v>720</v>
      </c>
      <c r="S163" t="b">
        <v>1</v>
      </c>
      <c r="T163" t="b">
        <v>1</v>
      </c>
      <c r="U163" t="b">
        <v>1</v>
      </c>
      <c r="V163" t="b">
        <v>1</v>
      </c>
      <c r="W163" t="b">
        <v>1</v>
      </c>
      <c r="X163" t="b">
        <v>1</v>
      </c>
      <c r="Y163" t="b">
        <v>1</v>
      </c>
      <c r="Z163" t="b">
        <v>1</v>
      </c>
      <c r="AA163" t="b">
        <v>1</v>
      </c>
      <c r="AB163" t="b">
        <v>1</v>
      </c>
      <c r="AC163" t="b">
        <v>1</v>
      </c>
      <c r="AD163" t="b">
        <v>1</v>
      </c>
      <c r="AE163" t="b">
        <v>1</v>
      </c>
      <c r="AF163" t="b">
        <v>1</v>
      </c>
      <c r="AG163" t="b">
        <v>1</v>
      </c>
    </row>
    <row r="164" spans="1:33" x14ac:dyDescent="0.25">
      <c r="A164" t="s">
        <v>709</v>
      </c>
      <c r="B164">
        <v>5</v>
      </c>
      <c r="C164" t="b">
        <v>0</v>
      </c>
      <c r="D164" t="s">
        <v>652</v>
      </c>
      <c r="E164" t="s">
        <v>698</v>
      </c>
      <c r="F164" t="s">
        <v>721</v>
      </c>
      <c r="G164" t="s">
        <v>722</v>
      </c>
      <c r="H164">
        <v>163</v>
      </c>
      <c r="I164" t="str">
        <f>IF(ISBLANK(Table1[[#This Row],[oid]]),"FALSE","TRUE")</f>
        <v>TRUE</v>
      </c>
      <c r="J164" t="str" cm="1">
        <f t="array" ref="J164">_xlfn.SWITCH(LEFT(Table1[[#This Row],[section]],1), "D", "Demographic", "S", "Social", "E", "Economic", "H", "Housing", "")</f>
        <v>Social</v>
      </c>
      <c r="K164" t="s">
        <v>701</v>
      </c>
      <c r="L164" t="s">
        <v>702</v>
      </c>
      <c r="M164" t="str">
        <f>IF(Table1[[#This Row],[used]], _xlfn.CONCAT("🆔 ", Table1[[#This Row],[variable]], ": ",Table1[[#This Row],[alias]]), "")</f>
        <v>🆔 B11003_004E: Married-couple family: With own children under 18 years: Under 6 years only</v>
      </c>
      <c r="O164" t="s">
        <v>723</v>
      </c>
      <c r="P164" t="s">
        <v>703</v>
      </c>
      <c r="Q164" t="s">
        <v>41</v>
      </c>
      <c r="R164" t="s">
        <v>724</v>
      </c>
      <c r="S164" t="b">
        <v>1</v>
      </c>
      <c r="T164" t="b">
        <v>1</v>
      </c>
      <c r="U164" t="b">
        <v>1</v>
      </c>
      <c r="V164" t="b">
        <v>1</v>
      </c>
      <c r="W164" t="b">
        <v>1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</row>
    <row r="165" spans="1:33" x14ac:dyDescent="0.25">
      <c r="A165" t="s">
        <v>714</v>
      </c>
      <c r="B165">
        <v>10</v>
      </c>
      <c r="C165" t="b">
        <v>0</v>
      </c>
      <c r="D165" t="s">
        <v>652</v>
      </c>
      <c r="E165" t="s">
        <v>698</v>
      </c>
      <c r="F165" t="s">
        <v>721</v>
      </c>
      <c r="G165" t="s">
        <v>725</v>
      </c>
      <c r="H165">
        <v>164</v>
      </c>
      <c r="I165" t="str">
        <f>IF(ISBLANK(Table1[[#This Row],[oid]]),"FALSE","TRUE")</f>
        <v>TRUE</v>
      </c>
      <c r="J165" t="str" cm="1">
        <f t="array" ref="J165">_xlfn.SWITCH(LEFT(Table1[[#This Row],[section]],1), "D", "Demographic", "S", "Social", "E", "Economic", "H", "Housing", "")</f>
        <v>Social</v>
      </c>
      <c r="K165" t="s">
        <v>701</v>
      </c>
      <c r="L165" t="s">
        <v>702</v>
      </c>
      <c r="M165" t="str">
        <f>IF(Table1[[#This Row],[used]], _xlfn.CONCAT("🆔 ", Table1[[#This Row],[variable]], ": ",Table1[[#This Row],[alias]]), "")</f>
        <v>🆔 B11003_004E: Married-couple family: With own children of the householder under 18 years: Under 6 years only</v>
      </c>
      <c r="O165" t="s">
        <v>726</v>
      </c>
      <c r="P165" t="s">
        <v>703</v>
      </c>
      <c r="Q165" t="s">
        <v>41</v>
      </c>
      <c r="R165" t="s">
        <v>724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1</v>
      </c>
      <c r="Y165" t="b">
        <v>1</v>
      </c>
      <c r="Z165" t="b">
        <v>1</v>
      </c>
      <c r="AA165" t="b">
        <v>1</v>
      </c>
      <c r="AB165" t="b">
        <v>1</v>
      </c>
      <c r="AC165" t="b">
        <v>1</v>
      </c>
      <c r="AD165" t="b">
        <v>1</v>
      </c>
      <c r="AE165" t="b">
        <v>1</v>
      </c>
      <c r="AF165" t="b">
        <v>1</v>
      </c>
      <c r="AG165" t="b">
        <v>1</v>
      </c>
    </row>
    <row r="166" spans="1:33" x14ac:dyDescent="0.25">
      <c r="A166" t="s">
        <v>709</v>
      </c>
      <c r="B166">
        <v>5</v>
      </c>
      <c r="C166" t="b">
        <v>0</v>
      </c>
      <c r="D166" t="s">
        <v>652</v>
      </c>
      <c r="E166" t="s">
        <v>698</v>
      </c>
      <c r="F166" t="s">
        <v>727</v>
      </c>
      <c r="G166" t="s">
        <v>728</v>
      </c>
      <c r="H166">
        <v>165</v>
      </c>
      <c r="I166" t="str">
        <f>IF(ISBLANK(Table1[[#This Row],[oid]]),"FALSE","TRUE")</f>
        <v>TRUE</v>
      </c>
      <c r="J166" t="str" cm="1">
        <f t="array" ref="J166">_xlfn.SWITCH(LEFT(Table1[[#This Row],[section]],1), "D", "Demographic", "S", "Social", "E", "Economic", "H", "Housing", "")</f>
        <v>Social</v>
      </c>
      <c r="K166" t="s">
        <v>701</v>
      </c>
      <c r="L166" t="s">
        <v>702</v>
      </c>
      <c r="M166" t="str">
        <f>IF(Table1[[#This Row],[used]], _xlfn.CONCAT("🆔 ", Table1[[#This Row],[variable]], ": ",Table1[[#This Row],[alias]]), "")</f>
        <v>🆔 B11003_005E: Married-couple family: With own children under 18 years: Under 6 years and 6 to 17 years</v>
      </c>
      <c r="O166" t="s">
        <v>729</v>
      </c>
      <c r="P166" t="s">
        <v>703</v>
      </c>
      <c r="Q166" t="s">
        <v>41</v>
      </c>
      <c r="R166" t="s">
        <v>730</v>
      </c>
      <c r="S166" t="b">
        <v>1</v>
      </c>
      <c r="T166" t="b">
        <v>1</v>
      </c>
      <c r="U166" t="b">
        <v>1</v>
      </c>
      <c r="V166" t="b">
        <v>1</v>
      </c>
      <c r="W166" t="b">
        <v>1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</row>
    <row r="167" spans="1:33" x14ac:dyDescent="0.25">
      <c r="A167" t="s">
        <v>714</v>
      </c>
      <c r="B167">
        <v>10</v>
      </c>
      <c r="C167" t="b">
        <v>0</v>
      </c>
      <c r="D167" t="s">
        <v>652</v>
      </c>
      <c r="E167" t="s">
        <v>698</v>
      </c>
      <c r="F167" t="s">
        <v>727</v>
      </c>
      <c r="G167" t="s">
        <v>731</v>
      </c>
      <c r="H167">
        <v>166</v>
      </c>
      <c r="I167" t="str">
        <f>IF(ISBLANK(Table1[[#This Row],[oid]]),"FALSE","TRUE")</f>
        <v>TRUE</v>
      </c>
      <c r="J167" t="str" cm="1">
        <f t="array" ref="J167">_xlfn.SWITCH(LEFT(Table1[[#This Row],[section]],1), "D", "Demographic", "S", "Social", "E", "Economic", "H", "Housing", "")</f>
        <v>Social</v>
      </c>
      <c r="K167" t="s">
        <v>701</v>
      </c>
      <c r="L167" t="s">
        <v>702</v>
      </c>
      <c r="M167" t="str">
        <f>IF(Table1[[#This Row],[used]], _xlfn.CONCAT("🆔 ", Table1[[#This Row],[variable]], ": ",Table1[[#This Row],[alias]]), "")</f>
        <v>🆔 B11003_005E: Married-couple family: With own children of the householder under 18 years: Under 6 years and 6 to 17 years</v>
      </c>
      <c r="O167" t="s">
        <v>732</v>
      </c>
      <c r="P167" t="s">
        <v>703</v>
      </c>
      <c r="Q167" t="s">
        <v>41</v>
      </c>
      <c r="R167" t="s">
        <v>730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1</v>
      </c>
      <c r="Y167" t="b">
        <v>1</v>
      </c>
      <c r="Z167" t="b">
        <v>1</v>
      </c>
      <c r="AA167" t="b">
        <v>1</v>
      </c>
      <c r="AB167" t="b">
        <v>1</v>
      </c>
      <c r="AC167" t="b">
        <v>1</v>
      </c>
      <c r="AD167" t="b">
        <v>1</v>
      </c>
      <c r="AE167" t="b">
        <v>1</v>
      </c>
      <c r="AF167" t="b">
        <v>1</v>
      </c>
      <c r="AG167" t="b">
        <v>1</v>
      </c>
    </row>
    <row r="168" spans="1:33" x14ac:dyDescent="0.25">
      <c r="A168" t="s">
        <v>709</v>
      </c>
      <c r="B168">
        <v>5</v>
      </c>
      <c r="C168" t="b">
        <v>0</v>
      </c>
      <c r="D168" t="s">
        <v>652</v>
      </c>
      <c r="E168" t="s">
        <v>698</v>
      </c>
      <c r="F168" t="s">
        <v>733</v>
      </c>
      <c r="G168" t="s">
        <v>734</v>
      </c>
      <c r="H168">
        <v>167</v>
      </c>
      <c r="I168" t="str">
        <f>IF(ISBLANK(Table1[[#This Row],[oid]]),"FALSE","TRUE")</f>
        <v>TRUE</v>
      </c>
      <c r="J168" t="str" cm="1">
        <f t="array" ref="J168">_xlfn.SWITCH(LEFT(Table1[[#This Row],[section]],1), "D", "Demographic", "S", "Social", "E", "Economic", "H", "Housing", "")</f>
        <v>Social</v>
      </c>
      <c r="K168" t="s">
        <v>701</v>
      </c>
      <c r="L168" t="s">
        <v>702</v>
      </c>
      <c r="M168" t="str">
        <f>IF(Table1[[#This Row],[used]], _xlfn.CONCAT("🆔 ", Table1[[#This Row],[variable]], ": ",Table1[[#This Row],[alias]]), "")</f>
        <v>🆔 B11003_006E: Married-couple family: With own children under 18 years: 6 to 17 years only</v>
      </c>
      <c r="O168" t="s">
        <v>735</v>
      </c>
      <c r="P168" t="s">
        <v>703</v>
      </c>
      <c r="Q168" t="s">
        <v>41</v>
      </c>
      <c r="R168" t="s">
        <v>736</v>
      </c>
      <c r="S168" t="b">
        <v>1</v>
      </c>
      <c r="T168" t="b">
        <v>1</v>
      </c>
      <c r="U168" t="b">
        <v>1</v>
      </c>
      <c r="V168" t="b">
        <v>1</v>
      </c>
      <c r="W168" t="b">
        <v>1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</row>
    <row r="169" spans="1:33" x14ac:dyDescent="0.25">
      <c r="A169" t="s">
        <v>714</v>
      </c>
      <c r="B169">
        <v>10</v>
      </c>
      <c r="C169" t="b">
        <v>0</v>
      </c>
      <c r="D169" t="s">
        <v>652</v>
      </c>
      <c r="E169" t="s">
        <v>698</v>
      </c>
      <c r="F169" t="s">
        <v>733</v>
      </c>
      <c r="G169" t="s">
        <v>737</v>
      </c>
      <c r="H169">
        <v>168</v>
      </c>
      <c r="I169" t="str">
        <f>IF(ISBLANK(Table1[[#This Row],[oid]]),"FALSE","TRUE")</f>
        <v>TRUE</v>
      </c>
      <c r="J169" t="str" cm="1">
        <f t="array" ref="J169">_xlfn.SWITCH(LEFT(Table1[[#This Row],[section]],1), "D", "Demographic", "S", "Social", "E", "Economic", "H", "Housing", "")</f>
        <v>Social</v>
      </c>
      <c r="K169" t="s">
        <v>701</v>
      </c>
      <c r="L169" t="s">
        <v>702</v>
      </c>
      <c r="M169" t="str">
        <f>IF(Table1[[#This Row],[used]], _xlfn.CONCAT("🆔 ", Table1[[#This Row],[variable]], ": ",Table1[[#This Row],[alias]]), "")</f>
        <v>🆔 B11003_006E: Married-couple family: With own children of the householder under 18 years: 6 to 17 years only</v>
      </c>
      <c r="O169" t="s">
        <v>738</v>
      </c>
      <c r="P169" t="s">
        <v>703</v>
      </c>
      <c r="Q169" t="s">
        <v>41</v>
      </c>
      <c r="R169" t="s">
        <v>736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1</v>
      </c>
      <c r="Y169" t="b">
        <v>1</v>
      </c>
      <c r="Z169" t="b">
        <v>1</v>
      </c>
      <c r="AA169" t="b">
        <v>1</v>
      </c>
      <c r="AB169" t="b">
        <v>1</v>
      </c>
      <c r="AC169" t="b">
        <v>1</v>
      </c>
      <c r="AD169" t="b">
        <v>1</v>
      </c>
      <c r="AE169" t="b">
        <v>1</v>
      </c>
      <c r="AF169" t="b">
        <v>1</v>
      </c>
      <c r="AG169" t="b">
        <v>1</v>
      </c>
    </row>
    <row r="170" spans="1:33" x14ac:dyDescent="0.25">
      <c r="A170" t="s">
        <v>709</v>
      </c>
      <c r="B170">
        <v>5</v>
      </c>
      <c r="C170" t="b">
        <v>0</v>
      </c>
      <c r="D170" t="s">
        <v>652</v>
      </c>
      <c r="E170" t="s">
        <v>698</v>
      </c>
      <c r="F170" t="s">
        <v>739</v>
      </c>
      <c r="G170" t="s">
        <v>740</v>
      </c>
      <c r="H170">
        <v>169</v>
      </c>
      <c r="I170" t="str">
        <f>IF(ISBLANK(Table1[[#This Row],[oid]]),"FALSE","TRUE")</f>
        <v>TRUE</v>
      </c>
      <c r="J170" t="str" cm="1">
        <f t="array" ref="J170">_xlfn.SWITCH(LEFT(Table1[[#This Row],[section]],1), "D", "Demographic", "S", "Social", "E", "Economic", "H", "Housing", "")</f>
        <v>Social</v>
      </c>
      <c r="K170" t="s">
        <v>701</v>
      </c>
      <c r="L170" t="s">
        <v>702</v>
      </c>
      <c r="M170" t="str">
        <f>IF(Table1[[#This Row],[used]], _xlfn.CONCAT("🆔 ", Table1[[#This Row],[variable]], ": ",Table1[[#This Row],[alias]]), "")</f>
        <v>🆔 B11003_007E: Married-couple family: No own children under 18 years</v>
      </c>
      <c r="O170" t="s">
        <v>741</v>
      </c>
      <c r="P170" t="s">
        <v>703</v>
      </c>
      <c r="Q170" t="s">
        <v>41</v>
      </c>
      <c r="R170" t="s">
        <v>742</v>
      </c>
      <c r="S170" t="b">
        <v>1</v>
      </c>
      <c r="T170" t="b">
        <v>1</v>
      </c>
      <c r="U170" t="b">
        <v>1</v>
      </c>
      <c r="V170" t="b">
        <v>1</v>
      </c>
      <c r="W170" t="b">
        <v>1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</row>
    <row r="171" spans="1:33" x14ac:dyDescent="0.25">
      <c r="A171" t="s">
        <v>714</v>
      </c>
      <c r="B171">
        <v>10</v>
      </c>
      <c r="C171" t="b">
        <v>0</v>
      </c>
      <c r="D171" t="s">
        <v>652</v>
      </c>
      <c r="E171" t="s">
        <v>698</v>
      </c>
      <c r="F171" t="s">
        <v>739</v>
      </c>
      <c r="G171" t="s">
        <v>743</v>
      </c>
      <c r="H171">
        <v>170</v>
      </c>
      <c r="I171" t="str">
        <f>IF(ISBLANK(Table1[[#This Row],[oid]]),"FALSE","TRUE")</f>
        <v>TRUE</v>
      </c>
      <c r="J171" t="str" cm="1">
        <f t="array" ref="J171">_xlfn.SWITCH(LEFT(Table1[[#This Row],[section]],1), "D", "Demographic", "S", "Social", "E", "Economic", "H", "Housing", "")</f>
        <v>Social</v>
      </c>
      <c r="K171" t="s">
        <v>701</v>
      </c>
      <c r="L171" t="s">
        <v>702</v>
      </c>
      <c r="M171" t="str">
        <f>IF(Table1[[#This Row],[used]], _xlfn.CONCAT("🆔 ", Table1[[#This Row],[variable]], ": ",Table1[[#This Row],[alias]]), "")</f>
        <v>🆔 B11003_007E: Married-couple family: No own children of the householder under 18 years</v>
      </c>
      <c r="O171" t="s">
        <v>744</v>
      </c>
      <c r="P171" t="s">
        <v>703</v>
      </c>
      <c r="Q171" t="s">
        <v>41</v>
      </c>
      <c r="R171" t="s">
        <v>742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1</v>
      </c>
      <c r="Y171" t="b">
        <v>1</v>
      </c>
      <c r="Z171" t="b">
        <v>1</v>
      </c>
      <c r="AA171" t="b">
        <v>1</v>
      </c>
      <c r="AB171" t="b">
        <v>1</v>
      </c>
      <c r="AC171" t="b">
        <v>1</v>
      </c>
      <c r="AD171" t="b">
        <v>1</v>
      </c>
      <c r="AE171" t="b">
        <v>1</v>
      </c>
      <c r="AF171" t="b">
        <v>1</v>
      </c>
      <c r="AG171" t="b">
        <v>1</v>
      </c>
    </row>
    <row r="172" spans="1:33" x14ac:dyDescent="0.25">
      <c r="A172" t="s">
        <v>676</v>
      </c>
      <c r="B172">
        <v>9</v>
      </c>
      <c r="C172" t="b">
        <v>0</v>
      </c>
      <c r="D172" t="s">
        <v>652</v>
      </c>
      <c r="E172" t="s">
        <v>698</v>
      </c>
      <c r="F172" t="s">
        <v>745</v>
      </c>
      <c r="G172" t="s">
        <v>746</v>
      </c>
      <c r="H172">
        <v>171</v>
      </c>
      <c r="I172" t="str">
        <f>IF(ISBLANK(Table1[[#This Row],[oid]]),"FALSE","TRUE")</f>
        <v>TRUE</v>
      </c>
      <c r="J172" t="str" cm="1">
        <f t="array" ref="J172">_xlfn.SWITCH(LEFT(Table1[[#This Row],[section]],1), "D", "Demographic", "S", "Social", "E", "Economic", "H", "Housing", "")</f>
        <v>Social</v>
      </c>
      <c r="K172" t="s">
        <v>701</v>
      </c>
      <c r="L172" t="s">
        <v>702</v>
      </c>
      <c r="M172" t="str">
        <f>IF(Table1[[#This Row],[used]], _xlfn.CONCAT("🆔 ", Table1[[#This Row],[variable]], ": ",Table1[[#This Row],[alias]]), "")</f>
        <v>🆔 B11003_009E: Other family: Male householder no wife present</v>
      </c>
      <c r="O172" t="s">
        <v>747</v>
      </c>
      <c r="P172" t="s">
        <v>703</v>
      </c>
      <c r="Q172" t="s">
        <v>41</v>
      </c>
      <c r="R172" t="s">
        <v>748</v>
      </c>
      <c r="S172" t="b">
        <v>1</v>
      </c>
      <c r="T172" t="b">
        <v>1</v>
      </c>
      <c r="U172" t="b">
        <v>1</v>
      </c>
      <c r="V172" t="b">
        <v>1</v>
      </c>
      <c r="W172" t="b">
        <v>1</v>
      </c>
      <c r="X172" t="b">
        <v>1</v>
      </c>
      <c r="Y172" t="b">
        <v>1</v>
      </c>
      <c r="Z172" t="b">
        <v>1</v>
      </c>
      <c r="AA172" t="b">
        <v>1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</row>
    <row r="173" spans="1:33" x14ac:dyDescent="0.25">
      <c r="A173" t="s">
        <v>681</v>
      </c>
      <c r="B173">
        <v>6</v>
      </c>
      <c r="C173" t="b">
        <v>0</v>
      </c>
      <c r="D173" t="s">
        <v>652</v>
      </c>
      <c r="E173" t="s">
        <v>698</v>
      </c>
      <c r="F173" t="s">
        <v>745</v>
      </c>
      <c r="G173" t="s">
        <v>749</v>
      </c>
      <c r="H173">
        <v>172</v>
      </c>
      <c r="I173" t="str">
        <f>IF(ISBLANK(Table1[[#This Row],[oid]]),"FALSE","TRUE")</f>
        <v>TRUE</v>
      </c>
      <c r="J173" t="str" cm="1">
        <f t="array" ref="J173">_xlfn.SWITCH(LEFT(Table1[[#This Row],[section]],1), "D", "Demographic", "S", "Social", "E", "Economic", "H", "Housing", "")</f>
        <v>Social</v>
      </c>
      <c r="K173" t="s">
        <v>701</v>
      </c>
      <c r="L173" t="s">
        <v>702</v>
      </c>
      <c r="M173" t="str">
        <f>IF(Table1[[#This Row],[used]], _xlfn.CONCAT("🆔 ", Table1[[#This Row],[variable]], ": ",Table1[[#This Row],[alias]]), "")</f>
        <v>🆔 B11003_009E: Other family: Male householder no spouse present</v>
      </c>
      <c r="O173" t="s">
        <v>750</v>
      </c>
      <c r="P173" t="s">
        <v>703</v>
      </c>
      <c r="Q173" t="s">
        <v>41</v>
      </c>
      <c r="R173" t="s">
        <v>748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1</v>
      </c>
      <c r="AC173" t="b">
        <v>1</v>
      </c>
      <c r="AD173" t="b">
        <v>1</v>
      </c>
      <c r="AE173" t="b">
        <v>1</v>
      </c>
      <c r="AF173" t="b">
        <v>1</v>
      </c>
      <c r="AG173" t="b">
        <v>1</v>
      </c>
    </row>
    <row r="174" spans="1:33" x14ac:dyDescent="0.25">
      <c r="A174" t="s">
        <v>709</v>
      </c>
      <c r="B174">
        <v>5</v>
      </c>
      <c r="C174" t="b">
        <v>0</v>
      </c>
      <c r="D174" t="s">
        <v>652</v>
      </c>
      <c r="E174" t="s">
        <v>698</v>
      </c>
      <c r="F174" t="s">
        <v>751</v>
      </c>
      <c r="G174" t="s">
        <v>752</v>
      </c>
      <c r="H174">
        <v>173</v>
      </c>
      <c r="I174" t="str">
        <f>IF(ISBLANK(Table1[[#This Row],[oid]]),"FALSE","TRUE")</f>
        <v>TRUE</v>
      </c>
      <c r="J174" t="str" cm="1">
        <f t="array" ref="J174">_xlfn.SWITCH(LEFT(Table1[[#This Row],[section]],1), "D", "Demographic", "S", "Social", "E", "Economic", "H", "Housing", "")</f>
        <v>Social</v>
      </c>
      <c r="K174" t="s">
        <v>701</v>
      </c>
      <c r="L174" t="s">
        <v>702</v>
      </c>
      <c r="M174" t="str">
        <f>IF(Table1[[#This Row],[used]], _xlfn.CONCAT("🆔 ", Table1[[#This Row],[variable]], ": ",Table1[[#This Row],[alias]]), "")</f>
        <v>🆔 B11003_010E: Other family: Male householder no wife present: With own children under 18 years</v>
      </c>
      <c r="O174" t="s">
        <v>753</v>
      </c>
      <c r="P174" t="s">
        <v>703</v>
      </c>
      <c r="Q174" t="s">
        <v>41</v>
      </c>
      <c r="R174" t="s">
        <v>754</v>
      </c>
      <c r="S174" t="b">
        <v>1</v>
      </c>
      <c r="T174" t="b">
        <v>1</v>
      </c>
      <c r="U174" t="b">
        <v>1</v>
      </c>
      <c r="V174" t="b">
        <v>1</v>
      </c>
      <c r="W174" t="b">
        <v>1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</row>
    <row r="175" spans="1:33" x14ac:dyDescent="0.25">
      <c r="A175" t="s">
        <v>755</v>
      </c>
      <c r="B175">
        <v>4</v>
      </c>
      <c r="C175" t="b">
        <v>0</v>
      </c>
      <c r="D175" t="s">
        <v>652</v>
      </c>
      <c r="E175" t="s">
        <v>698</v>
      </c>
      <c r="F175" t="s">
        <v>751</v>
      </c>
      <c r="G175" t="s">
        <v>756</v>
      </c>
      <c r="H175">
        <v>174</v>
      </c>
      <c r="I175" t="str">
        <f>IF(ISBLANK(Table1[[#This Row],[oid]]),"FALSE","TRUE")</f>
        <v>TRUE</v>
      </c>
      <c r="J175" t="str" cm="1">
        <f t="array" ref="J175">_xlfn.SWITCH(LEFT(Table1[[#This Row],[section]],1), "D", "Demographic", "S", "Social", "E", "Economic", "H", "Housing", "")</f>
        <v>Social</v>
      </c>
      <c r="K175" t="s">
        <v>701</v>
      </c>
      <c r="L175" t="s">
        <v>702</v>
      </c>
      <c r="M175" t="str">
        <f>IF(Table1[[#This Row],[used]], _xlfn.CONCAT("🆔 ", Table1[[#This Row],[variable]], ": ",Table1[[#This Row],[alias]]), "")</f>
        <v>🆔 B11003_010E: Other family: Male householder no wife present: With own children of the householder under 18 years</v>
      </c>
      <c r="O175" t="s">
        <v>757</v>
      </c>
      <c r="P175" t="s">
        <v>703</v>
      </c>
      <c r="Q175" t="s">
        <v>41</v>
      </c>
      <c r="R175" t="s">
        <v>754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1</v>
      </c>
      <c r="Y175" t="b">
        <v>1</v>
      </c>
      <c r="Z175" t="b">
        <v>1</v>
      </c>
      <c r="AA175" t="b">
        <v>1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</row>
    <row r="176" spans="1:33" x14ac:dyDescent="0.25">
      <c r="A176" t="s">
        <v>681</v>
      </c>
      <c r="B176">
        <v>6</v>
      </c>
      <c r="C176" t="b">
        <v>0</v>
      </c>
      <c r="D176" t="s">
        <v>652</v>
      </c>
      <c r="E176" t="s">
        <v>698</v>
      </c>
      <c r="F176" t="s">
        <v>751</v>
      </c>
      <c r="G176" t="s">
        <v>758</v>
      </c>
      <c r="H176">
        <v>175</v>
      </c>
      <c r="I176" t="str">
        <f>IF(ISBLANK(Table1[[#This Row],[oid]]),"FALSE","TRUE")</f>
        <v>TRUE</v>
      </c>
      <c r="J176" t="str" cm="1">
        <f t="array" ref="J176">_xlfn.SWITCH(LEFT(Table1[[#This Row],[section]],1), "D", "Demographic", "S", "Social", "E", "Economic", "H", "Housing", "")</f>
        <v>Social</v>
      </c>
      <c r="K176" t="s">
        <v>701</v>
      </c>
      <c r="L176" t="s">
        <v>702</v>
      </c>
      <c r="M176" t="str">
        <f>IF(Table1[[#This Row],[used]], _xlfn.CONCAT("🆔 ", Table1[[#This Row],[variable]], ": ",Table1[[#This Row],[alias]]), "")</f>
        <v>🆔 B11003_010E: Other family: Male householder no spouse present: With own children of the householder under 18 years</v>
      </c>
      <c r="O176" t="s">
        <v>759</v>
      </c>
      <c r="P176" t="s">
        <v>703</v>
      </c>
      <c r="Q176" t="s">
        <v>41</v>
      </c>
      <c r="R176" t="s">
        <v>754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1</v>
      </c>
      <c r="AC176" t="b">
        <v>1</v>
      </c>
      <c r="AD176" t="b">
        <v>1</v>
      </c>
      <c r="AE176" t="b">
        <v>1</v>
      </c>
      <c r="AF176" t="b">
        <v>1</v>
      </c>
      <c r="AG176" t="b">
        <v>1</v>
      </c>
    </row>
    <row r="177" spans="1:33" x14ac:dyDescent="0.25">
      <c r="A177" t="s">
        <v>709</v>
      </c>
      <c r="B177">
        <v>5</v>
      </c>
      <c r="C177" t="b">
        <v>0</v>
      </c>
      <c r="D177" t="s">
        <v>652</v>
      </c>
      <c r="E177" t="s">
        <v>698</v>
      </c>
      <c r="F177" t="s">
        <v>760</v>
      </c>
      <c r="G177" t="s">
        <v>761</v>
      </c>
      <c r="H177">
        <v>176</v>
      </c>
      <c r="I177" t="str">
        <f>IF(ISBLANK(Table1[[#This Row],[oid]]),"FALSE","TRUE")</f>
        <v>TRUE</v>
      </c>
      <c r="J177" t="str" cm="1">
        <f t="array" ref="J177">_xlfn.SWITCH(LEFT(Table1[[#This Row],[section]],1), "D", "Demographic", "S", "Social", "E", "Economic", "H", "Housing", "")</f>
        <v>Social</v>
      </c>
      <c r="K177" t="s">
        <v>701</v>
      </c>
      <c r="L177" t="s">
        <v>702</v>
      </c>
      <c r="M177" t="str">
        <f>IF(Table1[[#This Row],[used]], _xlfn.CONCAT("🆔 ", Table1[[#This Row],[variable]], ": ",Table1[[#This Row],[alias]]), "")</f>
        <v>🆔 B11003_011E: Other family: Male householder no wife present: With own children under 18 years: Under 6 years only</v>
      </c>
      <c r="O177" t="s">
        <v>762</v>
      </c>
      <c r="P177" t="s">
        <v>703</v>
      </c>
      <c r="Q177" t="s">
        <v>41</v>
      </c>
      <c r="R177" t="s">
        <v>763</v>
      </c>
      <c r="S177" t="b">
        <v>1</v>
      </c>
      <c r="T177" t="b">
        <v>1</v>
      </c>
      <c r="U177" t="b">
        <v>1</v>
      </c>
      <c r="V177" t="b">
        <v>1</v>
      </c>
      <c r="W177" t="b">
        <v>1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</row>
    <row r="178" spans="1:33" x14ac:dyDescent="0.25">
      <c r="A178" t="s">
        <v>755</v>
      </c>
      <c r="B178">
        <v>4</v>
      </c>
      <c r="C178" t="b">
        <v>0</v>
      </c>
      <c r="D178" t="s">
        <v>652</v>
      </c>
      <c r="E178" t="s">
        <v>698</v>
      </c>
      <c r="F178" t="s">
        <v>760</v>
      </c>
      <c r="G178" t="s">
        <v>764</v>
      </c>
      <c r="H178">
        <v>177</v>
      </c>
      <c r="I178" t="str">
        <f>IF(ISBLANK(Table1[[#This Row],[oid]]),"FALSE","TRUE")</f>
        <v>TRUE</v>
      </c>
      <c r="J178" t="str" cm="1">
        <f t="array" ref="J178">_xlfn.SWITCH(LEFT(Table1[[#This Row],[section]],1), "D", "Demographic", "S", "Social", "E", "Economic", "H", "Housing", "")</f>
        <v>Social</v>
      </c>
      <c r="K178" t="s">
        <v>701</v>
      </c>
      <c r="L178" t="s">
        <v>702</v>
      </c>
      <c r="M178" t="str">
        <f>IF(Table1[[#This Row],[used]], _xlfn.CONCAT("🆔 ", Table1[[#This Row],[variable]], ": ",Table1[[#This Row],[alias]]), "")</f>
        <v>🆔 B11003_011E: Other family: Male householder no wife present: With own children of the householder under 18 years: Under 6 years only</v>
      </c>
      <c r="O178" t="s">
        <v>765</v>
      </c>
      <c r="P178" t="s">
        <v>703</v>
      </c>
      <c r="Q178" t="s">
        <v>41</v>
      </c>
      <c r="R178" t="s">
        <v>763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1</v>
      </c>
      <c r="Y178" t="b">
        <v>1</v>
      </c>
      <c r="Z178" t="b">
        <v>1</v>
      </c>
      <c r="AA178" t="b">
        <v>1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</row>
    <row r="179" spans="1:33" x14ac:dyDescent="0.25">
      <c r="A179" t="s">
        <v>681</v>
      </c>
      <c r="B179">
        <v>6</v>
      </c>
      <c r="C179" t="b">
        <v>0</v>
      </c>
      <c r="D179" t="s">
        <v>652</v>
      </c>
      <c r="E179" t="s">
        <v>698</v>
      </c>
      <c r="F179" t="s">
        <v>760</v>
      </c>
      <c r="G179" t="s">
        <v>766</v>
      </c>
      <c r="H179">
        <v>178</v>
      </c>
      <c r="I179" t="str">
        <f>IF(ISBLANK(Table1[[#This Row],[oid]]),"FALSE","TRUE")</f>
        <v>TRUE</v>
      </c>
      <c r="J179" t="str" cm="1">
        <f t="array" ref="J179">_xlfn.SWITCH(LEFT(Table1[[#This Row],[section]],1), "D", "Demographic", "S", "Social", "E", "Economic", "H", "Housing", "")</f>
        <v>Social</v>
      </c>
      <c r="K179" t="s">
        <v>701</v>
      </c>
      <c r="L179" t="s">
        <v>702</v>
      </c>
      <c r="M179" t="str">
        <f>IF(Table1[[#This Row],[used]], _xlfn.CONCAT("🆔 ", Table1[[#This Row],[variable]], ": ",Table1[[#This Row],[alias]]), "")</f>
        <v>🆔 B11003_011E: Other family: Male householder no spouse present: With own children of the householder under 18 years: Under 6 years only</v>
      </c>
      <c r="O179" t="s">
        <v>767</v>
      </c>
      <c r="P179" t="s">
        <v>703</v>
      </c>
      <c r="Q179" t="s">
        <v>41</v>
      </c>
      <c r="R179" t="s">
        <v>763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1</v>
      </c>
      <c r="AC179" t="b">
        <v>1</v>
      </c>
      <c r="AD179" t="b">
        <v>1</v>
      </c>
      <c r="AE179" t="b">
        <v>1</v>
      </c>
      <c r="AF179" t="b">
        <v>1</v>
      </c>
      <c r="AG179" t="b">
        <v>1</v>
      </c>
    </row>
    <row r="180" spans="1:33" x14ac:dyDescent="0.25">
      <c r="A180" t="s">
        <v>709</v>
      </c>
      <c r="B180">
        <v>5</v>
      </c>
      <c r="C180" t="b">
        <v>0</v>
      </c>
      <c r="D180" t="s">
        <v>652</v>
      </c>
      <c r="E180" t="s">
        <v>698</v>
      </c>
      <c r="F180" t="s">
        <v>768</v>
      </c>
      <c r="G180" t="s">
        <v>769</v>
      </c>
      <c r="H180">
        <v>179</v>
      </c>
      <c r="I180" t="str">
        <f>IF(ISBLANK(Table1[[#This Row],[oid]]),"FALSE","TRUE")</f>
        <v>TRUE</v>
      </c>
      <c r="J180" t="str" cm="1">
        <f t="array" ref="J180">_xlfn.SWITCH(LEFT(Table1[[#This Row],[section]],1), "D", "Demographic", "S", "Social", "E", "Economic", "H", "Housing", "")</f>
        <v>Social</v>
      </c>
      <c r="K180" t="s">
        <v>701</v>
      </c>
      <c r="L180" t="s">
        <v>702</v>
      </c>
      <c r="M180" t="str">
        <f>IF(Table1[[#This Row],[used]], _xlfn.CONCAT("🆔 ", Table1[[#This Row],[variable]], ": ",Table1[[#This Row],[alias]]), "")</f>
        <v>🆔 B11003_012E: Other family: Male householder no wife present: With own children under 18 years: Under 6 years and 6 to 17 years</v>
      </c>
      <c r="O180" t="s">
        <v>770</v>
      </c>
      <c r="P180" t="s">
        <v>703</v>
      </c>
      <c r="Q180" t="s">
        <v>41</v>
      </c>
      <c r="R180" t="s">
        <v>771</v>
      </c>
      <c r="S180" t="b">
        <v>1</v>
      </c>
      <c r="T180" t="b">
        <v>1</v>
      </c>
      <c r="U180" t="b">
        <v>1</v>
      </c>
      <c r="V180" t="b">
        <v>1</v>
      </c>
      <c r="W180" t="b">
        <v>1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</row>
    <row r="181" spans="1:33" x14ac:dyDescent="0.25">
      <c r="A181" t="s">
        <v>755</v>
      </c>
      <c r="B181">
        <v>4</v>
      </c>
      <c r="C181" t="b">
        <v>0</v>
      </c>
      <c r="D181" t="s">
        <v>652</v>
      </c>
      <c r="E181" t="s">
        <v>698</v>
      </c>
      <c r="F181" t="s">
        <v>768</v>
      </c>
      <c r="G181" t="s">
        <v>772</v>
      </c>
      <c r="H181">
        <v>180</v>
      </c>
      <c r="I181" t="str">
        <f>IF(ISBLANK(Table1[[#This Row],[oid]]),"FALSE","TRUE")</f>
        <v>TRUE</v>
      </c>
      <c r="J181" t="str" cm="1">
        <f t="array" ref="J181">_xlfn.SWITCH(LEFT(Table1[[#This Row],[section]],1), "D", "Demographic", "S", "Social", "E", "Economic", "H", "Housing", "")</f>
        <v>Social</v>
      </c>
      <c r="K181" t="s">
        <v>701</v>
      </c>
      <c r="L181" t="s">
        <v>702</v>
      </c>
      <c r="M181" t="str">
        <f>IF(Table1[[#This Row],[used]], _xlfn.CONCAT("🆔 ", Table1[[#This Row],[variable]], ": ",Table1[[#This Row],[alias]]), "")</f>
        <v>🆔 B11003_012E: Other family: Male householder no wife present: With own children of the householder under 18 years: Under 6 years and 6 to 17 years</v>
      </c>
      <c r="O181" t="s">
        <v>773</v>
      </c>
      <c r="P181" t="s">
        <v>703</v>
      </c>
      <c r="Q181" t="s">
        <v>41</v>
      </c>
      <c r="R181" t="s">
        <v>771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1</v>
      </c>
      <c r="Y181" t="b">
        <v>1</v>
      </c>
      <c r="Z181" t="b">
        <v>1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</row>
    <row r="182" spans="1:33" x14ac:dyDescent="0.25">
      <c r="A182" t="s">
        <v>681</v>
      </c>
      <c r="B182">
        <v>6</v>
      </c>
      <c r="C182" t="b">
        <v>0</v>
      </c>
      <c r="D182" t="s">
        <v>652</v>
      </c>
      <c r="E182" t="s">
        <v>698</v>
      </c>
      <c r="F182" t="s">
        <v>768</v>
      </c>
      <c r="G182" t="s">
        <v>774</v>
      </c>
      <c r="H182">
        <v>181</v>
      </c>
      <c r="I182" t="str">
        <f>IF(ISBLANK(Table1[[#This Row],[oid]]),"FALSE","TRUE")</f>
        <v>TRUE</v>
      </c>
      <c r="J182" t="str" cm="1">
        <f t="array" ref="J182">_xlfn.SWITCH(LEFT(Table1[[#This Row],[section]],1), "D", "Demographic", "S", "Social", "E", "Economic", "H", "Housing", "")</f>
        <v>Social</v>
      </c>
      <c r="K182" t="s">
        <v>701</v>
      </c>
      <c r="L182" t="s">
        <v>702</v>
      </c>
      <c r="M182" t="str">
        <f>IF(Table1[[#This Row],[used]], _xlfn.CONCAT("🆔 ", Table1[[#This Row],[variable]], ": ",Table1[[#This Row],[alias]]), "")</f>
        <v>🆔 B11003_012E: Other family: Male householder no spouse present: With own children of the householder under 18 years: Under 6 years and 6 to 17 years</v>
      </c>
      <c r="O182" t="s">
        <v>775</v>
      </c>
      <c r="P182" t="s">
        <v>703</v>
      </c>
      <c r="Q182" t="s">
        <v>41</v>
      </c>
      <c r="R182" t="s">
        <v>771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1</v>
      </c>
      <c r="AC182" t="b">
        <v>1</v>
      </c>
      <c r="AD182" t="b">
        <v>1</v>
      </c>
      <c r="AE182" t="b">
        <v>1</v>
      </c>
      <c r="AF182" t="b">
        <v>1</v>
      </c>
      <c r="AG182" t="b">
        <v>1</v>
      </c>
    </row>
    <row r="183" spans="1:33" x14ac:dyDescent="0.25">
      <c r="A183" t="s">
        <v>709</v>
      </c>
      <c r="B183">
        <v>5</v>
      </c>
      <c r="C183" t="b">
        <v>0</v>
      </c>
      <c r="D183" t="s">
        <v>652</v>
      </c>
      <c r="E183" t="s">
        <v>698</v>
      </c>
      <c r="F183" t="s">
        <v>776</v>
      </c>
      <c r="G183" t="s">
        <v>777</v>
      </c>
      <c r="H183">
        <v>182</v>
      </c>
      <c r="I183" t="str">
        <f>IF(ISBLANK(Table1[[#This Row],[oid]]),"FALSE","TRUE")</f>
        <v>TRUE</v>
      </c>
      <c r="J183" t="str" cm="1">
        <f t="array" ref="J183">_xlfn.SWITCH(LEFT(Table1[[#This Row],[section]],1), "D", "Demographic", "S", "Social", "E", "Economic", "H", "Housing", "")</f>
        <v>Social</v>
      </c>
      <c r="K183" t="s">
        <v>701</v>
      </c>
      <c r="L183" t="s">
        <v>702</v>
      </c>
      <c r="M183" t="str">
        <f>IF(Table1[[#This Row],[used]], _xlfn.CONCAT("🆔 ", Table1[[#This Row],[variable]], ": ",Table1[[#This Row],[alias]]), "")</f>
        <v>🆔 B11003_013E: Other family: Male householder no wife present: With own children under 18 years: 6 to 17 years only</v>
      </c>
      <c r="O183" t="s">
        <v>778</v>
      </c>
      <c r="P183" t="s">
        <v>703</v>
      </c>
      <c r="Q183" t="s">
        <v>41</v>
      </c>
      <c r="R183" t="s">
        <v>779</v>
      </c>
      <c r="S183" t="b">
        <v>1</v>
      </c>
      <c r="T183" t="b">
        <v>1</v>
      </c>
      <c r="U183" t="b">
        <v>1</v>
      </c>
      <c r="V183" t="b">
        <v>1</v>
      </c>
      <c r="W183" t="b">
        <v>1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</row>
    <row r="184" spans="1:33" x14ac:dyDescent="0.25">
      <c r="A184" t="s">
        <v>755</v>
      </c>
      <c r="B184">
        <v>4</v>
      </c>
      <c r="C184" t="b">
        <v>0</v>
      </c>
      <c r="D184" t="s">
        <v>652</v>
      </c>
      <c r="E184" t="s">
        <v>698</v>
      </c>
      <c r="F184" t="s">
        <v>776</v>
      </c>
      <c r="G184" t="s">
        <v>780</v>
      </c>
      <c r="H184">
        <v>183</v>
      </c>
      <c r="I184" t="str">
        <f>IF(ISBLANK(Table1[[#This Row],[oid]]),"FALSE","TRUE")</f>
        <v>TRUE</v>
      </c>
      <c r="J184" t="str" cm="1">
        <f t="array" ref="J184">_xlfn.SWITCH(LEFT(Table1[[#This Row],[section]],1), "D", "Demographic", "S", "Social", "E", "Economic", "H", "Housing", "")</f>
        <v>Social</v>
      </c>
      <c r="K184" t="s">
        <v>701</v>
      </c>
      <c r="L184" t="s">
        <v>702</v>
      </c>
      <c r="M184" t="str">
        <f>IF(Table1[[#This Row],[used]], _xlfn.CONCAT("🆔 ", Table1[[#This Row],[variable]], ": ",Table1[[#This Row],[alias]]), "")</f>
        <v>🆔 B11003_013E: Other family: Male householder no wife present: With own children of the householder under 18 years: 6 to 17 years only</v>
      </c>
      <c r="O184" t="s">
        <v>781</v>
      </c>
      <c r="P184" t="s">
        <v>703</v>
      </c>
      <c r="Q184" t="s">
        <v>41</v>
      </c>
      <c r="R184" t="s">
        <v>779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1</v>
      </c>
      <c r="Y184" t="b">
        <v>1</v>
      </c>
      <c r="Z184" t="b">
        <v>1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</row>
    <row r="185" spans="1:33" x14ac:dyDescent="0.25">
      <c r="A185" t="s">
        <v>681</v>
      </c>
      <c r="B185">
        <v>6</v>
      </c>
      <c r="C185" t="b">
        <v>0</v>
      </c>
      <c r="D185" t="s">
        <v>652</v>
      </c>
      <c r="E185" t="s">
        <v>698</v>
      </c>
      <c r="F185" t="s">
        <v>776</v>
      </c>
      <c r="G185" t="s">
        <v>782</v>
      </c>
      <c r="H185">
        <v>184</v>
      </c>
      <c r="I185" t="str">
        <f>IF(ISBLANK(Table1[[#This Row],[oid]]),"FALSE","TRUE")</f>
        <v>TRUE</v>
      </c>
      <c r="J185" t="str" cm="1">
        <f t="array" ref="J185">_xlfn.SWITCH(LEFT(Table1[[#This Row],[section]],1), "D", "Demographic", "S", "Social", "E", "Economic", "H", "Housing", "")</f>
        <v>Social</v>
      </c>
      <c r="K185" t="s">
        <v>701</v>
      </c>
      <c r="L185" t="s">
        <v>702</v>
      </c>
      <c r="M185" t="str">
        <f>IF(Table1[[#This Row],[used]], _xlfn.CONCAT("🆔 ", Table1[[#This Row],[variable]], ": ",Table1[[#This Row],[alias]]), "")</f>
        <v>🆔 B11003_013E: Other family: Male householder no spouse present: With own children of the householder under 18 years: 6 to 17 years only</v>
      </c>
      <c r="O185" t="s">
        <v>783</v>
      </c>
      <c r="P185" t="s">
        <v>703</v>
      </c>
      <c r="Q185" t="s">
        <v>41</v>
      </c>
      <c r="R185" t="s">
        <v>779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1</v>
      </c>
      <c r="AC185" t="b">
        <v>1</v>
      </c>
      <c r="AD185" t="b">
        <v>1</v>
      </c>
      <c r="AE185" t="b">
        <v>1</v>
      </c>
      <c r="AF185" t="b">
        <v>1</v>
      </c>
      <c r="AG185" t="b">
        <v>1</v>
      </c>
    </row>
    <row r="186" spans="1:33" x14ac:dyDescent="0.25">
      <c r="A186" t="s">
        <v>709</v>
      </c>
      <c r="B186">
        <v>5</v>
      </c>
      <c r="C186" t="b">
        <v>0</v>
      </c>
      <c r="D186" t="s">
        <v>652</v>
      </c>
      <c r="E186" t="s">
        <v>698</v>
      </c>
      <c r="F186" t="s">
        <v>784</v>
      </c>
      <c r="G186" t="s">
        <v>785</v>
      </c>
      <c r="H186">
        <v>185</v>
      </c>
      <c r="I186" t="str">
        <f>IF(ISBLANK(Table1[[#This Row],[oid]]),"FALSE","TRUE")</f>
        <v>TRUE</v>
      </c>
      <c r="J186" t="str" cm="1">
        <f t="array" ref="J186">_xlfn.SWITCH(LEFT(Table1[[#This Row],[section]],1), "D", "Demographic", "S", "Social", "E", "Economic", "H", "Housing", "")</f>
        <v>Social</v>
      </c>
      <c r="K186" t="s">
        <v>701</v>
      </c>
      <c r="L186" t="s">
        <v>702</v>
      </c>
      <c r="M186" t="str">
        <f>IF(Table1[[#This Row],[used]], _xlfn.CONCAT("🆔 ", Table1[[#This Row],[variable]], ": ",Table1[[#This Row],[alias]]), "")</f>
        <v>🆔 B11003_014E: Other family: Male householder no wife present: No own children under 18 years</v>
      </c>
      <c r="O186" t="s">
        <v>786</v>
      </c>
      <c r="P186" t="s">
        <v>703</v>
      </c>
      <c r="Q186" t="s">
        <v>41</v>
      </c>
      <c r="R186" t="s">
        <v>787</v>
      </c>
      <c r="S186" t="b">
        <v>1</v>
      </c>
      <c r="T186" t="b">
        <v>1</v>
      </c>
      <c r="U186" t="b">
        <v>1</v>
      </c>
      <c r="V186" t="b">
        <v>1</v>
      </c>
      <c r="W186" t="b">
        <v>1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</row>
    <row r="187" spans="1:33" x14ac:dyDescent="0.25">
      <c r="A187" t="s">
        <v>755</v>
      </c>
      <c r="B187">
        <v>4</v>
      </c>
      <c r="C187" t="b">
        <v>0</v>
      </c>
      <c r="D187" t="s">
        <v>652</v>
      </c>
      <c r="E187" t="s">
        <v>698</v>
      </c>
      <c r="F187" t="s">
        <v>784</v>
      </c>
      <c r="G187" t="s">
        <v>788</v>
      </c>
      <c r="H187">
        <v>186</v>
      </c>
      <c r="I187" t="str">
        <f>IF(ISBLANK(Table1[[#This Row],[oid]]),"FALSE","TRUE")</f>
        <v>TRUE</v>
      </c>
      <c r="J187" t="str" cm="1">
        <f t="array" ref="J187">_xlfn.SWITCH(LEFT(Table1[[#This Row],[section]],1), "D", "Demographic", "S", "Social", "E", "Economic", "H", "Housing", "")</f>
        <v>Social</v>
      </c>
      <c r="K187" t="s">
        <v>701</v>
      </c>
      <c r="L187" t="s">
        <v>702</v>
      </c>
      <c r="M187" t="str">
        <f>IF(Table1[[#This Row],[used]], _xlfn.CONCAT("🆔 ", Table1[[#This Row],[variable]], ": ",Table1[[#This Row],[alias]]), "")</f>
        <v>🆔 B11003_014E: Other family: Male householder no wife present: No own children of the householder under 18 years</v>
      </c>
      <c r="O187" t="s">
        <v>789</v>
      </c>
      <c r="P187" t="s">
        <v>703</v>
      </c>
      <c r="Q187" t="s">
        <v>41</v>
      </c>
      <c r="R187" t="s">
        <v>787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1</v>
      </c>
      <c r="Y187" t="b">
        <v>1</v>
      </c>
      <c r="Z187" t="b">
        <v>1</v>
      </c>
      <c r="AA187" t="b">
        <v>1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</row>
    <row r="188" spans="1:33" x14ac:dyDescent="0.25">
      <c r="A188" t="s">
        <v>681</v>
      </c>
      <c r="B188">
        <v>6</v>
      </c>
      <c r="C188" t="b">
        <v>0</v>
      </c>
      <c r="D188" t="s">
        <v>652</v>
      </c>
      <c r="E188" t="s">
        <v>698</v>
      </c>
      <c r="F188" t="s">
        <v>784</v>
      </c>
      <c r="G188" t="s">
        <v>790</v>
      </c>
      <c r="H188">
        <v>187</v>
      </c>
      <c r="I188" t="str">
        <f>IF(ISBLANK(Table1[[#This Row],[oid]]),"FALSE","TRUE")</f>
        <v>TRUE</v>
      </c>
      <c r="J188" t="str" cm="1">
        <f t="array" ref="J188">_xlfn.SWITCH(LEFT(Table1[[#This Row],[section]],1), "D", "Demographic", "S", "Social", "E", "Economic", "H", "Housing", "")</f>
        <v>Social</v>
      </c>
      <c r="K188" t="s">
        <v>701</v>
      </c>
      <c r="L188" t="s">
        <v>702</v>
      </c>
      <c r="M188" t="str">
        <f>IF(Table1[[#This Row],[used]], _xlfn.CONCAT("🆔 ", Table1[[#This Row],[variable]], ": ",Table1[[#This Row],[alias]]), "")</f>
        <v>🆔 B11003_014E: Other family: Male householder no spouse present: No own children of the householder under 18 years</v>
      </c>
      <c r="O188" t="s">
        <v>791</v>
      </c>
      <c r="P188" t="s">
        <v>703</v>
      </c>
      <c r="Q188" t="s">
        <v>41</v>
      </c>
      <c r="R188" t="s">
        <v>787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 t="b">
        <v>1</v>
      </c>
      <c r="AD188" t="b">
        <v>1</v>
      </c>
      <c r="AE188" t="b">
        <v>1</v>
      </c>
      <c r="AF188" t="b">
        <v>1</v>
      </c>
      <c r="AG188" t="b">
        <v>1</v>
      </c>
    </row>
    <row r="189" spans="1:33" x14ac:dyDescent="0.25">
      <c r="A189" t="s">
        <v>676</v>
      </c>
      <c r="B189">
        <v>9</v>
      </c>
      <c r="C189" t="b">
        <v>0</v>
      </c>
      <c r="D189" t="s">
        <v>652</v>
      </c>
      <c r="E189" t="s">
        <v>698</v>
      </c>
      <c r="F189" t="s">
        <v>792</v>
      </c>
      <c r="G189" t="s">
        <v>793</v>
      </c>
      <c r="H189">
        <v>188</v>
      </c>
      <c r="I189" t="str">
        <f>IF(ISBLANK(Table1[[#This Row],[oid]]),"FALSE","TRUE")</f>
        <v>TRUE</v>
      </c>
      <c r="J189" t="str" cm="1">
        <f t="array" ref="J189">_xlfn.SWITCH(LEFT(Table1[[#This Row],[section]],1), "D", "Demographic", "S", "Social", "E", "Economic", "H", "Housing", "")</f>
        <v>Social</v>
      </c>
      <c r="K189" t="s">
        <v>701</v>
      </c>
      <c r="L189" t="s">
        <v>702</v>
      </c>
      <c r="M189" t="str">
        <f>IF(Table1[[#This Row],[used]], _xlfn.CONCAT("🆔 ", Table1[[#This Row],[variable]], ": ",Table1[[#This Row],[alias]]), "")</f>
        <v>🆔 B11003_015E: Other family: Female householder no husband present</v>
      </c>
      <c r="O189" t="s">
        <v>794</v>
      </c>
      <c r="P189" t="s">
        <v>703</v>
      </c>
      <c r="Q189" t="s">
        <v>41</v>
      </c>
      <c r="R189" t="s">
        <v>795</v>
      </c>
      <c r="S189" t="b">
        <v>1</v>
      </c>
      <c r="T189" t="b">
        <v>1</v>
      </c>
      <c r="U189" t="b">
        <v>1</v>
      </c>
      <c r="V189" t="b">
        <v>1</v>
      </c>
      <c r="W189" t="b">
        <v>1</v>
      </c>
      <c r="X189" t="b">
        <v>1</v>
      </c>
      <c r="Y189" t="b">
        <v>1</v>
      </c>
      <c r="Z189" t="b">
        <v>1</v>
      </c>
      <c r="AA189" t="b">
        <v>1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</row>
    <row r="190" spans="1:33" x14ac:dyDescent="0.25">
      <c r="A190" t="s">
        <v>681</v>
      </c>
      <c r="B190">
        <v>6</v>
      </c>
      <c r="C190" t="b">
        <v>0</v>
      </c>
      <c r="D190" t="s">
        <v>652</v>
      </c>
      <c r="E190" t="s">
        <v>698</v>
      </c>
      <c r="F190" t="s">
        <v>792</v>
      </c>
      <c r="G190" t="s">
        <v>796</v>
      </c>
      <c r="H190">
        <v>189</v>
      </c>
      <c r="I190" t="str">
        <f>IF(ISBLANK(Table1[[#This Row],[oid]]),"FALSE","TRUE")</f>
        <v>TRUE</v>
      </c>
      <c r="J190" t="str" cm="1">
        <f t="array" ref="J190">_xlfn.SWITCH(LEFT(Table1[[#This Row],[section]],1), "D", "Demographic", "S", "Social", "E", "Economic", "H", "Housing", "")</f>
        <v>Social</v>
      </c>
      <c r="K190" t="s">
        <v>701</v>
      </c>
      <c r="L190" t="s">
        <v>702</v>
      </c>
      <c r="M190" t="str">
        <f>IF(Table1[[#This Row],[used]], _xlfn.CONCAT("🆔 ", Table1[[#This Row],[variable]], ": ",Table1[[#This Row],[alias]]), "")</f>
        <v>🆔 B11003_015E: Other family: Female householder no spouse present</v>
      </c>
      <c r="O190" t="s">
        <v>797</v>
      </c>
      <c r="P190" t="s">
        <v>703</v>
      </c>
      <c r="Q190" t="s">
        <v>41</v>
      </c>
      <c r="R190" t="s">
        <v>795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1</v>
      </c>
      <c r="AC190" t="b">
        <v>1</v>
      </c>
      <c r="AD190" t="b">
        <v>1</v>
      </c>
      <c r="AE190" t="b">
        <v>1</v>
      </c>
      <c r="AF190" t="b">
        <v>1</v>
      </c>
      <c r="AG190" t="b">
        <v>1</v>
      </c>
    </row>
    <row r="191" spans="1:33" x14ac:dyDescent="0.25">
      <c r="A191" t="s">
        <v>709</v>
      </c>
      <c r="B191">
        <v>5</v>
      </c>
      <c r="C191" t="b">
        <v>0</v>
      </c>
      <c r="D191" t="s">
        <v>652</v>
      </c>
      <c r="E191" t="s">
        <v>698</v>
      </c>
      <c r="F191" t="s">
        <v>798</v>
      </c>
      <c r="G191" t="s">
        <v>799</v>
      </c>
      <c r="H191">
        <v>190</v>
      </c>
      <c r="I191" t="str">
        <f>IF(ISBLANK(Table1[[#This Row],[oid]]),"FALSE","TRUE")</f>
        <v>TRUE</v>
      </c>
      <c r="J191" t="str" cm="1">
        <f t="array" ref="J191">_xlfn.SWITCH(LEFT(Table1[[#This Row],[section]],1), "D", "Demographic", "S", "Social", "E", "Economic", "H", "Housing", "")</f>
        <v>Social</v>
      </c>
      <c r="K191" t="s">
        <v>701</v>
      </c>
      <c r="L191" t="s">
        <v>702</v>
      </c>
      <c r="M191" t="str">
        <f>IF(Table1[[#This Row],[used]], _xlfn.CONCAT("🆔 ", Table1[[#This Row],[variable]], ": ",Table1[[#This Row],[alias]]), "")</f>
        <v>🆔 B11003_016E: Other family: Female householder no husband present: With own children under 18 years</v>
      </c>
      <c r="O191" t="s">
        <v>800</v>
      </c>
      <c r="P191" t="s">
        <v>703</v>
      </c>
      <c r="Q191" t="s">
        <v>41</v>
      </c>
      <c r="R191" t="s">
        <v>801</v>
      </c>
      <c r="S191" t="b">
        <v>1</v>
      </c>
      <c r="T191" t="b">
        <v>1</v>
      </c>
      <c r="U191" t="b">
        <v>1</v>
      </c>
      <c r="V191" t="b">
        <v>1</v>
      </c>
      <c r="W191" t="b">
        <v>1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</row>
    <row r="192" spans="1:33" x14ac:dyDescent="0.25">
      <c r="A192" t="s">
        <v>755</v>
      </c>
      <c r="B192">
        <v>4</v>
      </c>
      <c r="C192" t="b">
        <v>0</v>
      </c>
      <c r="D192" t="s">
        <v>652</v>
      </c>
      <c r="E192" t="s">
        <v>698</v>
      </c>
      <c r="F192" t="s">
        <v>798</v>
      </c>
      <c r="G192" t="s">
        <v>802</v>
      </c>
      <c r="H192">
        <v>191</v>
      </c>
      <c r="I192" t="str">
        <f>IF(ISBLANK(Table1[[#This Row],[oid]]),"FALSE","TRUE")</f>
        <v>TRUE</v>
      </c>
      <c r="J192" t="str" cm="1">
        <f t="array" ref="J192">_xlfn.SWITCH(LEFT(Table1[[#This Row],[section]],1), "D", "Demographic", "S", "Social", "E", "Economic", "H", "Housing", "")</f>
        <v>Social</v>
      </c>
      <c r="K192" t="s">
        <v>701</v>
      </c>
      <c r="L192" t="s">
        <v>702</v>
      </c>
      <c r="M192" t="str">
        <f>IF(Table1[[#This Row],[used]], _xlfn.CONCAT("🆔 ", Table1[[#This Row],[variable]], ": ",Table1[[#This Row],[alias]]), "")</f>
        <v>🆔 B11003_016E: Other family: Female householder no husband present: With own children of the householder under 18 years</v>
      </c>
      <c r="O192" t="s">
        <v>803</v>
      </c>
      <c r="P192" t="s">
        <v>703</v>
      </c>
      <c r="Q192" t="s">
        <v>41</v>
      </c>
      <c r="R192" t="s">
        <v>801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1</v>
      </c>
      <c r="Y192" t="b">
        <v>1</v>
      </c>
      <c r="Z192" t="b">
        <v>1</v>
      </c>
      <c r="AA192" t="b">
        <v>1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</row>
    <row r="193" spans="1:33" x14ac:dyDescent="0.25">
      <c r="A193" t="s">
        <v>681</v>
      </c>
      <c r="B193">
        <v>6</v>
      </c>
      <c r="C193" t="b">
        <v>0</v>
      </c>
      <c r="D193" t="s">
        <v>652</v>
      </c>
      <c r="E193" t="s">
        <v>698</v>
      </c>
      <c r="F193" t="s">
        <v>798</v>
      </c>
      <c r="G193" t="s">
        <v>804</v>
      </c>
      <c r="H193">
        <v>192</v>
      </c>
      <c r="I193" t="str">
        <f>IF(ISBLANK(Table1[[#This Row],[oid]]),"FALSE","TRUE")</f>
        <v>TRUE</v>
      </c>
      <c r="J193" t="str" cm="1">
        <f t="array" ref="J193">_xlfn.SWITCH(LEFT(Table1[[#This Row],[section]],1), "D", "Demographic", "S", "Social", "E", "Economic", "H", "Housing", "")</f>
        <v>Social</v>
      </c>
      <c r="K193" t="s">
        <v>701</v>
      </c>
      <c r="L193" t="s">
        <v>702</v>
      </c>
      <c r="M193" t="str">
        <f>IF(Table1[[#This Row],[used]], _xlfn.CONCAT("🆔 ", Table1[[#This Row],[variable]], ": ",Table1[[#This Row],[alias]]), "")</f>
        <v>🆔 B11003_016E: Other family: Female householder no spouse present: With own children of the householder under 18 years</v>
      </c>
      <c r="O193" t="s">
        <v>805</v>
      </c>
      <c r="P193" t="s">
        <v>703</v>
      </c>
      <c r="Q193" t="s">
        <v>41</v>
      </c>
      <c r="R193" t="s">
        <v>801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1</v>
      </c>
      <c r="AC193" t="b">
        <v>1</v>
      </c>
      <c r="AD193" t="b">
        <v>1</v>
      </c>
      <c r="AE193" t="b">
        <v>1</v>
      </c>
      <c r="AF193" t="b">
        <v>1</v>
      </c>
      <c r="AG193" t="b">
        <v>1</v>
      </c>
    </row>
    <row r="194" spans="1:33" x14ac:dyDescent="0.25">
      <c r="A194" t="s">
        <v>709</v>
      </c>
      <c r="B194">
        <v>5</v>
      </c>
      <c r="C194" t="b">
        <v>0</v>
      </c>
      <c r="D194" t="s">
        <v>652</v>
      </c>
      <c r="E194" t="s">
        <v>698</v>
      </c>
      <c r="F194" t="s">
        <v>806</v>
      </c>
      <c r="G194" t="s">
        <v>807</v>
      </c>
      <c r="H194">
        <v>193</v>
      </c>
      <c r="I194" t="str">
        <f>IF(ISBLANK(Table1[[#This Row],[oid]]),"FALSE","TRUE")</f>
        <v>TRUE</v>
      </c>
      <c r="J194" t="str" cm="1">
        <f t="array" ref="J194">_xlfn.SWITCH(LEFT(Table1[[#This Row],[section]],1), "D", "Demographic", "S", "Social", "E", "Economic", "H", "Housing", "")</f>
        <v>Social</v>
      </c>
      <c r="K194" t="s">
        <v>701</v>
      </c>
      <c r="L194" t="s">
        <v>702</v>
      </c>
      <c r="M194" t="str">
        <f>IF(Table1[[#This Row],[used]], _xlfn.CONCAT("🆔 ", Table1[[#This Row],[variable]], ": ",Table1[[#This Row],[alias]]), "")</f>
        <v>🆔 B11003_017E: Other family: Female householder no husband present: With own children under 18 years: Under 6 years only</v>
      </c>
      <c r="O194" t="s">
        <v>808</v>
      </c>
      <c r="P194" t="s">
        <v>703</v>
      </c>
      <c r="Q194" t="s">
        <v>41</v>
      </c>
      <c r="R194" t="s">
        <v>809</v>
      </c>
      <c r="S194" t="b">
        <v>1</v>
      </c>
      <c r="T194" t="b">
        <v>1</v>
      </c>
      <c r="U194" t="b">
        <v>1</v>
      </c>
      <c r="V194" t="b">
        <v>1</v>
      </c>
      <c r="W194" t="b">
        <v>1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</row>
    <row r="195" spans="1:33" x14ac:dyDescent="0.25">
      <c r="A195" t="s">
        <v>755</v>
      </c>
      <c r="B195">
        <v>4</v>
      </c>
      <c r="C195" t="b">
        <v>0</v>
      </c>
      <c r="D195" t="s">
        <v>652</v>
      </c>
      <c r="E195" t="s">
        <v>698</v>
      </c>
      <c r="F195" t="s">
        <v>806</v>
      </c>
      <c r="G195" t="s">
        <v>810</v>
      </c>
      <c r="H195">
        <v>194</v>
      </c>
      <c r="I195" t="str">
        <f>IF(ISBLANK(Table1[[#This Row],[oid]]),"FALSE","TRUE")</f>
        <v>TRUE</v>
      </c>
      <c r="J195" t="str" cm="1">
        <f t="array" ref="J195">_xlfn.SWITCH(LEFT(Table1[[#This Row],[section]],1), "D", "Demographic", "S", "Social", "E", "Economic", "H", "Housing", "")</f>
        <v>Social</v>
      </c>
      <c r="K195" t="s">
        <v>701</v>
      </c>
      <c r="L195" t="s">
        <v>702</v>
      </c>
      <c r="M195" t="str">
        <f>IF(Table1[[#This Row],[used]], _xlfn.CONCAT("🆔 ", Table1[[#This Row],[variable]], ": ",Table1[[#This Row],[alias]]), "")</f>
        <v>🆔 B11003_017E: Other family: Female householder no husband present: With own children of the householder under 18 years: Under 6 years only</v>
      </c>
      <c r="O195" t="s">
        <v>811</v>
      </c>
      <c r="P195" t="s">
        <v>703</v>
      </c>
      <c r="Q195" t="s">
        <v>41</v>
      </c>
      <c r="R195" t="s">
        <v>809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1</v>
      </c>
      <c r="Y195" t="b">
        <v>1</v>
      </c>
      <c r="Z195" t="b">
        <v>1</v>
      </c>
      <c r="AA195" t="b">
        <v>1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</row>
    <row r="196" spans="1:33" x14ac:dyDescent="0.25">
      <c r="A196" t="s">
        <v>681</v>
      </c>
      <c r="B196">
        <v>6</v>
      </c>
      <c r="C196" t="b">
        <v>0</v>
      </c>
      <c r="D196" t="s">
        <v>652</v>
      </c>
      <c r="E196" t="s">
        <v>698</v>
      </c>
      <c r="F196" t="s">
        <v>806</v>
      </c>
      <c r="G196" t="s">
        <v>812</v>
      </c>
      <c r="H196">
        <v>195</v>
      </c>
      <c r="I196" t="str">
        <f>IF(ISBLANK(Table1[[#This Row],[oid]]),"FALSE","TRUE")</f>
        <v>TRUE</v>
      </c>
      <c r="J196" t="str" cm="1">
        <f t="array" ref="J196">_xlfn.SWITCH(LEFT(Table1[[#This Row],[section]],1), "D", "Demographic", "S", "Social", "E", "Economic", "H", "Housing", "")</f>
        <v>Social</v>
      </c>
      <c r="K196" t="s">
        <v>701</v>
      </c>
      <c r="L196" t="s">
        <v>702</v>
      </c>
      <c r="M196" t="str">
        <f>IF(Table1[[#This Row],[used]], _xlfn.CONCAT("🆔 ", Table1[[#This Row],[variable]], ": ",Table1[[#This Row],[alias]]), "")</f>
        <v>🆔 B11003_017E: Other family: Female householder no spouse present: With own children of the householder under 18 years: Under 6 years only</v>
      </c>
      <c r="O196" t="s">
        <v>813</v>
      </c>
      <c r="P196" t="s">
        <v>703</v>
      </c>
      <c r="Q196" t="s">
        <v>41</v>
      </c>
      <c r="R196" t="s">
        <v>809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1</v>
      </c>
      <c r="AC196" t="b">
        <v>1</v>
      </c>
      <c r="AD196" t="b">
        <v>1</v>
      </c>
      <c r="AE196" t="b">
        <v>1</v>
      </c>
      <c r="AF196" t="b">
        <v>1</v>
      </c>
      <c r="AG196" t="b">
        <v>1</v>
      </c>
    </row>
    <row r="197" spans="1:33" x14ac:dyDescent="0.25">
      <c r="A197" t="s">
        <v>709</v>
      </c>
      <c r="B197">
        <v>5</v>
      </c>
      <c r="C197" t="b">
        <v>0</v>
      </c>
      <c r="D197" t="s">
        <v>652</v>
      </c>
      <c r="E197" t="s">
        <v>698</v>
      </c>
      <c r="F197" t="s">
        <v>814</v>
      </c>
      <c r="G197" t="s">
        <v>815</v>
      </c>
      <c r="H197">
        <v>196</v>
      </c>
      <c r="I197" t="str">
        <f>IF(ISBLANK(Table1[[#This Row],[oid]]),"FALSE","TRUE")</f>
        <v>TRUE</v>
      </c>
      <c r="J197" t="str" cm="1">
        <f t="array" ref="J197">_xlfn.SWITCH(LEFT(Table1[[#This Row],[section]],1), "D", "Demographic", "S", "Social", "E", "Economic", "H", "Housing", "")</f>
        <v>Social</v>
      </c>
      <c r="K197" t="s">
        <v>701</v>
      </c>
      <c r="L197" t="s">
        <v>702</v>
      </c>
      <c r="M197" t="str">
        <f>IF(Table1[[#This Row],[used]], _xlfn.CONCAT("🆔 ", Table1[[#This Row],[variable]], ": ",Table1[[#This Row],[alias]]), "")</f>
        <v>🆔 B11003_018E: Other family: Female householder no husband present: With own children under 18 years: Under 6 years and 6 to 17 years</v>
      </c>
      <c r="O197" t="s">
        <v>816</v>
      </c>
      <c r="P197" t="s">
        <v>703</v>
      </c>
      <c r="Q197" t="s">
        <v>41</v>
      </c>
      <c r="R197" t="s">
        <v>817</v>
      </c>
      <c r="S197" t="b">
        <v>1</v>
      </c>
      <c r="T197" t="b">
        <v>1</v>
      </c>
      <c r="U197" t="b">
        <v>1</v>
      </c>
      <c r="V197" t="b">
        <v>1</v>
      </c>
      <c r="W197" t="b">
        <v>1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</row>
    <row r="198" spans="1:33" x14ac:dyDescent="0.25">
      <c r="A198" t="s">
        <v>755</v>
      </c>
      <c r="B198">
        <v>4</v>
      </c>
      <c r="C198" t="b">
        <v>0</v>
      </c>
      <c r="D198" t="s">
        <v>652</v>
      </c>
      <c r="E198" t="s">
        <v>698</v>
      </c>
      <c r="F198" t="s">
        <v>814</v>
      </c>
      <c r="G198" t="s">
        <v>818</v>
      </c>
      <c r="H198">
        <v>197</v>
      </c>
      <c r="I198" t="str">
        <f>IF(ISBLANK(Table1[[#This Row],[oid]]),"FALSE","TRUE")</f>
        <v>TRUE</v>
      </c>
      <c r="J198" t="str" cm="1">
        <f t="array" ref="J198">_xlfn.SWITCH(LEFT(Table1[[#This Row],[section]],1), "D", "Demographic", "S", "Social", "E", "Economic", "H", "Housing", "")</f>
        <v>Social</v>
      </c>
      <c r="K198" t="s">
        <v>701</v>
      </c>
      <c r="L198" t="s">
        <v>702</v>
      </c>
      <c r="M198" t="str">
        <f>IF(Table1[[#This Row],[used]], _xlfn.CONCAT("🆔 ", Table1[[#This Row],[variable]], ": ",Table1[[#This Row],[alias]]), "")</f>
        <v>🆔 B11003_018E: Other family: Female householder no husband present: With own children of the householder under 18 years: Under 6 years and 6 to 17 years</v>
      </c>
      <c r="O198" t="s">
        <v>819</v>
      </c>
      <c r="P198" t="s">
        <v>703</v>
      </c>
      <c r="Q198" t="s">
        <v>41</v>
      </c>
      <c r="R198" t="s">
        <v>817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1</v>
      </c>
      <c r="Y198" t="b">
        <v>1</v>
      </c>
      <c r="Z198" t="b">
        <v>1</v>
      </c>
      <c r="AA198" t="b">
        <v>1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</row>
    <row r="199" spans="1:33" x14ac:dyDescent="0.25">
      <c r="A199" t="s">
        <v>681</v>
      </c>
      <c r="B199">
        <v>6</v>
      </c>
      <c r="C199" t="b">
        <v>0</v>
      </c>
      <c r="D199" t="s">
        <v>652</v>
      </c>
      <c r="E199" t="s">
        <v>698</v>
      </c>
      <c r="F199" t="s">
        <v>814</v>
      </c>
      <c r="G199" t="s">
        <v>820</v>
      </c>
      <c r="H199">
        <v>198</v>
      </c>
      <c r="I199" t="str">
        <f>IF(ISBLANK(Table1[[#This Row],[oid]]),"FALSE","TRUE")</f>
        <v>TRUE</v>
      </c>
      <c r="J199" t="str" cm="1">
        <f t="array" ref="J199">_xlfn.SWITCH(LEFT(Table1[[#This Row],[section]],1), "D", "Demographic", "S", "Social", "E", "Economic", "H", "Housing", "")</f>
        <v>Social</v>
      </c>
      <c r="K199" t="s">
        <v>701</v>
      </c>
      <c r="L199" t="s">
        <v>702</v>
      </c>
      <c r="M199" t="str">
        <f>IF(Table1[[#This Row],[used]], _xlfn.CONCAT("🆔 ", Table1[[#This Row],[variable]], ": ",Table1[[#This Row],[alias]]), "")</f>
        <v>🆔 B11003_018E: Other family: Female householder no spouse present: With own children of the householder under 18 years: Under 6 years and 6 to 17 years</v>
      </c>
      <c r="O199" t="s">
        <v>821</v>
      </c>
      <c r="P199" t="s">
        <v>703</v>
      </c>
      <c r="Q199" t="s">
        <v>41</v>
      </c>
      <c r="R199" t="s">
        <v>817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1</v>
      </c>
      <c r="AC199" t="b">
        <v>1</v>
      </c>
      <c r="AD199" t="b">
        <v>1</v>
      </c>
      <c r="AE199" t="b">
        <v>1</v>
      </c>
      <c r="AF199" t="b">
        <v>1</v>
      </c>
      <c r="AG199" t="b">
        <v>1</v>
      </c>
    </row>
    <row r="200" spans="1:33" x14ac:dyDescent="0.25">
      <c r="A200" t="s">
        <v>709</v>
      </c>
      <c r="B200">
        <v>5</v>
      </c>
      <c r="C200" t="b">
        <v>0</v>
      </c>
      <c r="D200" t="s">
        <v>652</v>
      </c>
      <c r="E200" t="s">
        <v>698</v>
      </c>
      <c r="F200" t="s">
        <v>822</v>
      </c>
      <c r="G200" t="s">
        <v>823</v>
      </c>
      <c r="H200">
        <v>199</v>
      </c>
      <c r="I200" t="str">
        <f>IF(ISBLANK(Table1[[#This Row],[oid]]),"FALSE","TRUE")</f>
        <v>TRUE</v>
      </c>
      <c r="J200" t="str" cm="1">
        <f t="array" ref="J200">_xlfn.SWITCH(LEFT(Table1[[#This Row],[section]],1), "D", "Demographic", "S", "Social", "E", "Economic", "H", "Housing", "")</f>
        <v>Social</v>
      </c>
      <c r="K200" t="s">
        <v>701</v>
      </c>
      <c r="L200" t="s">
        <v>702</v>
      </c>
      <c r="M200" t="str">
        <f>IF(Table1[[#This Row],[used]], _xlfn.CONCAT("🆔 ", Table1[[#This Row],[variable]], ": ",Table1[[#This Row],[alias]]), "")</f>
        <v>🆔 B11003_019E: Other family: Female householder no husband present: With own children under 18 years: 6 to 17 years only</v>
      </c>
      <c r="O200" t="s">
        <v>824</v>
      </c>
      <c r="P200" t="s">
        <v>703</v>
      </c>
      <c r="Q200" t="s">
        <v>41</v>
      </c>
      <c r="R200" t="s">
        <v>825</v>
      </c>
      <c r="S200" t="b">
        <v>1</v>
      </c>
      <c r="T200" t="b">
        <v>1</v>
      </c>
      <c r="U200" t="b">
        <v>1</v>
      </c>
      <c r="V200" t="b">
        <v>1</v>
      </c>
      <c r="W200" t="b">
        <v>1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</row>
    <row r="201" spans="1:33" x14ac:dyDescent="0.25">
      <c r="A201" t="s">
        <v>755</v>
      </c>
      <c r="B201">
        <v>4</v>
      </c>
      <c r="C201" t="b">
        <v>0</v>
      </c>
      <c r="D201" t="s">
        <v>652</v>
      </c>
      <c r="E201" t="s">
        <v>698</v>
      </c>
      <c r="F201" t="s">
        <v>822</v>
      </c>
      <c r="G201" t="s">
        <v>826</v>
      </c>
      <c r="H201">
        <v>200</v>
      </c>
      <c r="I201" t="str">
        <f>IF(ISBLANK(Table1[[#This Row],[oid]]),"FALSE","TRUE")</f>
        <v>TRUE</v>
      </c>
      <c r="J201" t="str" cm="1">
        <f t="array" ref="J201">_xlfn.SWITCH(LEFT(Table1[[#This Row],[section]],1), "D", "Demographic", "S", "Social", "E", "Economic", "H", "Housing", "")</f>
        <v>Social</v>
      </c>
      <c r="K201" t="s">
        <v>701</v>
      </c>
      <c r="L201" t="s">
        <v>702</v>
      </c>
      <c r="M201" t="str">
        <f>IF(Table1[[#This Row],[used]], _xlfn.CONCAT("🆔 ", Table1[[#This Row],[variable]], ": ",Table1[[#This Row],[alias]]), "")</f>
        <v>🆔 B11003_019E: Other family: Female householder no husband present: With own children of the householder under 18 years: 6 to 17 years only</v>
      </c>
      <c r="O201" t="s">
        <v>827</v>
      </c>
      <c r="P201" t="s">
        <v>703</v>
      </c>
      <c r="Q201" t="s">
        <v>41</v>
      </c>
      <c r="R201" t="s">
        <v>825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1</v>
      </c>
      <c r="Y201" t="b">
        <v>1</v>
      </c>
      <c r="Z201" t="b">
        <v>1</v>
      </c>
      <c r="AA201" t="b">
        <v>1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</row>
    <row r="202" spans="1:33" x14ac:dyDescent="0.25">
      <c r="A202" t="s">
        <v>681</v>
      </c>
      <c r="B202">
        <v>6</v>
      </c>
      <c r="C202" t="b">
        <v>0</v>
      </c>
      <c r="D202" t="s">
        <v>652</v>
      </c>
      <c r="E202" t="s">
        <v>698</v>
      </c>
      <c r="F202" t="s">
        <v>822</v>
      </c>
      <c r="G202" t="s">
        <v>828</v>
      </c>
      <c r="H202">
        <v>201</v>
      </c>
      <c r="I202" t="str">
        <f>IF(ISBLANK(Table1[[#This Row],[oid]]),"FALSE","TRUE")</f>
        <v>TRUE</v>
      </c>
      <c r="J202" t="str" cm="1">
        <f t="array" ref="J202">_xlfn.SWITCH(LEFT(Table1[[#This Row],[section]],1), "D", "Demographic", "S", "Social", "E", "Economic", "H", "Housing", "")</f>
        <v>Social</v>
      </c>
      <c r="K202" t="s">
        <v>701</v>
      </c>
      <c r="L202" t="s">
        <v>702</v>
      </c>
      <c r="M202" t="str">
        <f>IF(Table1[[#This Row],[used]], _xlfn.CONCAT("🆔 ", Table1[[#This Row],[variable]], ": ",Table1[[#This Row],[alias]]), "")</f>
        <v>🆔 B11003_019E: Other family: Female householder no spouse present: With own children of the householder under 18 years: 6 to 17 years only</v>
      </c>
      <c r="O202" t="s">
        <v>829</v>
      </c>
      <c r="P202" t="s">
        <v>703</v>
      </c>
      <c r="Q202" t="s">
        <v>41</v>
      </c>
      <c r="R202" t="s">
        <v>825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1</v>
      </c>
      <c r="AC202" t="b">
        <v>1</v>
      </c>
      <c r="AD202" t="b">
        <v>1</v>
      </c>
      <c r="AE202" t="b">
        <v>1</v>
      </c>
      <c r="AF202" t="b">
        <v>1</v>
      </c>
      <c r="AG202" t="b">
        <v>1</v>
      </c>
    </row>
    <row r="203" spans="1:33" x14ac:dyDescent="0.25">
      <c r="A203" t="s">
        <v>709</v>
      </c>
      <c r="B203">
        <v>5</v>
      </c>
      <c r="C203" t="b">
        <v>0</v>
      </c>
      <c r="D203" t="s">
        <v>652</v>
      </c>
      <c r="E203" t="s">
        <v>698</v>
      </c>
      <c r="F203" t="s">
        <v>830</v>
      </c>
      <c r="G203" t="s">
        <v>831</v>
      </c>
      <c r="H203">
        <v>202</v>
      </c>
      <c r="I203" t="str">
        <f>IF(ISBLANK(Table1[[#This Row],[oid]]),"FALSE","TRUE")</f>
        <v>TRUE</v>
      </c>
      <c r="J203" t="str" cm="1">
        <f t="array" ref="J203">_xlfn.SWITCH(LEFT(Table1[[#This Row],[section]],1), "D", "Demographic", "S", "Social", "E", "Economic", "H", "Housing", "")</f>
        <v>Social</v>
      </c>
      <c r="K203" t="s">
        <v>701</v>
      </c>
      <c r="L203" t="s">
        <v>702</v>
      </c>
      <c r="M203" t="str">
        <f>IF(Table1[[#This Row],[used]], _xlfn.CONCAT("🆔 ", Table1[[#This Row],[variable]], ": ",Table1[[#This Row],[alias]]), "")</f>
        <v>🆔 B11003_020E: Other family: Female householder no husband present: No own children under 18 years</v>
      </c>
      <c r="O203" t="s">
        <v>832</v>
      </c>
      <c r="P203" t="s">
        <v>703</v>
      </c>
      <c r="Q203" t="s">
        <v>41</v>
      </c>
      <c r="R203" t="s">
        <v>833</v>
      </c>
      <c r="S203" t="b">
        <v>1</v>
      </c>
      <c r="T203" t="b">
        <v>1</v>
      </c>
      <c r="U203" t="b">
        <v>1</v>
      </c>
      <c r="V203" t="b">
        <v>1</v>
      </c>
      <c r="W203" t="b">
        <v>1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</row>
    <row r="204" spans="1:33" x14ac:dyDescent="0.25">
      <c r="A204" t="s">
        <v>755</v>
      </c>
      <c r="B204">
        <v>4</v>
      </c>
      <c r="C204" t="b">
        <v>0</v>
      </c>
      <c r="D204" t="s">
        <v>652</v>
      </c>
      <c r="E204" t="s">
        <v>698</v>
      </c>
      <c r="F204" t="s">
        <v>830</v>
      </c>
      <c r="G204" t="s">
        <v>834</v>
      </c>
      <c r="H204">
        <v>203</v>
      </c>
      <c r="I204" t="str">
        <f>IF(ISBLANK(Table1[[#This Row],[oid]]),"FALSE","TRUE")</f>
        <v>TRUE</v>
      </c>
      <c r="J204" t="str" cm="1">
        <f t="array" ref="J204">_xlfn.SWITCH(LEFT(Table1[[#This Row],[section]],1), "D", "Demographic", "S", "Social", "E", "Economic", "H", "Housing", "")</f>
        <v>Social</v>
      </c>
      <c r="K204" t="s">
        <v>701</v>
      </c>
      <c r="L204" t="s">
        <v>702</v>
      </c>
      <c r="M204" t="str">
        <f>IF(Table1[[#This Row],[used]], _xlfn.CONCAT("🆔 ", Table1[[#This Row],[variable]], ": ",Table1[[#This Row],[alias]]), "")</f>
        <v>🆔 B11003_020E: Other family: Female householder no husband present: No own children of the householder under 18 years</v>
      </c>
      <c r="O204" t="s">
        <v>835</v>
      </c>
      <c r="P204" t="s">
        <v>703</v>
      </c>
      <c r="Q204" t="s">
        <v>41</v>
      </c>
      <c r="R204" t="s">
        <v>833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1</v>
      </c>
      <c r="Y204" t="b">
        <v>1</v>
      </c>
      <c r="Z204" t="b">
        <v>1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</row>
    <row r="205" spans="1:33" x14ac:dyDescent="0.25">
      <c r="A205" t="s">
        <v>681</v>
      </c>
      <c r="B205">
        <v>6</v>
      </c>
      <c r="C205" t="b">
        <v>0</v>
      </c>
      <c r="D205" t="s">
        <v>652</v>
      </c>
      <c r="E205" t="s">
        <v>698</v>
      </c>
      <c r="F205" t="s">
        <v>830</v>
      </c>
      <c r="G205" t="s">
        <v>836</v>
      </c>
      <c r="H205">
        <v>204</v>
      </c>
      <c r="I205" t="str">
        <f>IF(ISBLANK(Table1[[#This Row],[oid]]),"FALSE","TRUE")</f>
        <v>TRUE</v>
      </c>
      <c r="J205" t="str" cm="1">
        <f t="array" ref="J205">_xlfn.SWITCH(LEFT(Table1[[#This Row],[section]],1), "D", "Demographic", "S", "Social", "E", "Economic", "H", "Housing", "")</f>
        <v>Social</v>
      </c>
      <c r="K205" t="s">
        <v>701</v>
      </c>
      <c r="L205" t="s">
        <v>702</v>
      </c>
      <c r="M205" t="str">
        <f>IF(Table1[[#This Row],[used]], _xlfn.CONCAT("🆔 ", Table1[[#This Row],[variable]], ": ",Table1[[#This Row],[alias]]), "")</f>
        <v>🆔 B11003_020E: Other family: Female householder no spouse present: No own children of the householder under 18 years</v>
      </c>
      <c r="O205" t="s">
        <v>837</v>
      </c>
      <c r="P205" t="s">
        <v>703</v>
      </c>
      <c r="Q205" t="s">
        <v>41</v>
      </c>
      <c r="R205" t="s">
        <v>833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1</v>
      </c>
      <c r="AC205" t="b">
        <v>1</v>
      </c>
      <c r="AD205" t="b">
        <v>1</v>
      </c>
      <c r="AE205" t="b">
        <v>1</v>
      </c>
      <c r="AF205" t="b">
        <v>1</v>
      </c>
      <c r="AG205" t="b">
        <v>1</v>
      </c>
    </row>
    <row r="206" spans="1:33" x14ac:dyDescent="0.25">
      <c r="A206" t="s">
        <v>838</v>
      </c>
      <c r="B206">
        <v>2</v>
      </c>
      <c r="C206" t="b">
        <v>0</v>
      </c>
      <c r="D206" t="s">
        <v>839</v>
      </c>
      <c r="E206" t="s">
        <v>840</v>
      </c>
      <c r="F206" t="s">
        <v>841</v>
      </c>
      <c r="G206" t="s">
        <v>842</v>
      </c>
      <c r="H206">
        <v>205</v>
      </c>
      <c r="I206" t="str">
        <f>IF(ISBLANK(Table1[[#This Row],[oid]]),"FALSE","TRUE")</f>
        <v>TRUE</v>
      </c>
      <c r="J206" t="str" cm="1">
        <f t="array" ref="J206">_xlfn.SWITCH(LEFT(Table1[[#This Row],[section]],1), "D", "Demographic", "S", "Social", "E", "Economic", "H", "Housing", "")</f>
        <v>Social</v>
      </c>
      <c r="K206" t="s">
        <v>843</v>
      </c>
      <c r="L206" t="s">
        <v>844</v>
      </c>
      <c r="M206" t="str">
        <f>IF(Table1[[#This Row],[used]], _xlfn.CONCAT("🆔 ", Table1[[#This Row],[variable]], ": ",Table1[[#This Row],[alias]]), "")</f>
        <v>🆔 B09016_002E: Population in Households</v>
      </c>
      <c r="O206" t="s">
        <v>845</v>
      </c>
      <c r="P206" t="s">
        <v>846</v>
      </c>
      <c r="Q206" t="s">
        <v>41</v>
      </c>
      <c r="R206" t="s">
        <v>847</v>
      </c>
      <c r="S206" t="b">
        <v>1</v>
      </c>
      <c r="T206" t="b">
        <v>1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</row>
    <row r="207" spans="1:33" x14ac:dyDescent="0.25">
      <c r="A207" t="s">
        <v>838</v>
      </c>
      <c r="B207">
        <v>2</v>
      </c>
      <c r="C207" t="b">
        <v>0</v>
      </c>
      <c r="D207" t="s">
        <v>839</v>
      </c>
      <c r="E207" t="s">
        <v>840</v>
      </c>
      <c r="F207" t="s">
        <v>848</v>
      </c>
      <c r="G207" t="s">
        <v>849</v>
      </c>
      <c r="H207">
        <v>206</v>
      </c>
      <c r="I207" t="str">
        <f>IF(ISBLANK(Table1[[#This Row],[oid]]),"FALSE","TRUE")</f>
        <v>TRUE</v>
      </c>
      <c r="J207" t="str" cm="1">
        <f t="array" ref="J207">_xlfn.SWITCH(LEFT(Table1[[#This Row],[section]],1), "D", "Demographic", "S", "Social", "E", "Economic", "H", "Housing", "")</f>
        <v>Social</v>
      </c>
      <c r="K207" t="s">
        <v>843</v>
      </c>
      <c r="L207" t="s">
        <v>844</v>
      </c>
      <c r="M207" t="str">
        <f>IF(Table1[[#This Row],[used]], _xlfn.CONCAT("🆔 ", Table1[[#This Row],[variable]], ": ",Table1[[#This Row],[alias]]), "")</f>
        <v>🆔 B09016_003E: In households: In family households</v>
      </c>
      <c r="O207" t="s">
        <v>850</v>
      </c>
      <c r="P207" t="s">
        <v>846</v>
      </c>
      <c r="Q207" t="s">
        <v>41</v>
      </c>
      <c r="R207" t="s">
        <v>851</v>
      </c>
      <c r="S207" t="b">
        <v>1</v>
      </c>
      <c r="T207" t="b">
        <v>1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</row>
    <row r="208" spans="1:33" x14ac:dyDescent="0.25">
      <c r="A208" t="s">
        <v>838</v>
      </c>
      <c r="B208">
        <v>2</v>
      </c>
      <c r="C208" t="b">
        <v>0</v>
      </c>
      <c r="D208" t="s">
        <v>839</v>
      </c>
      <c r="E208" t="s">
        <v>840</v>
      </c>
      <c r="F208" t="s">
        <v>852</v>
      </c>
      <c r="G208" t="s">
        <v>853</v>
      </c>
      <c r="H208">
        <v>207</v>
      </c>
      <c r="I208" t="str">
        <f>IF(ISBLANK(Table1[[#This Row],[oid]]),"FALSE","TRUE")</f>
        <v>TRUE</v>
      </c>
      <c r="J208" t="str" cm="1">
        <f t="array" ref="J208">_xlfn.SWITCH(LEFT(Table1[[#This Row],[section]],1), "D", "Demographic", "S", "Social", "E", "Economic", "H", "Housing", "")</f>
        <v>Social</v>
      </c>
      <c r="K208" t="s">
        <v>843</v>
      </c>
      <c r="L208" t="s">
        <v>844</v>
      </c>
      <c r="M208" t="str">
        <f>IF(Table1[[#This Row],[used]], _xlfn.CONCAT("🆔 ", Table1[[#This Row],[variable]], ": ",Table1[[#This Row],[alias]]), "")</f>
        <v>🆔 B09016_004E: In households: In family households: Householder</v>
      </c>
      <c r="O208" t="s">
        <v>854</v>
      </c>
      <c r="P208" t="s">
        <v>846</v>
      </c>
      <c r="Q208" t="s">
        <v>41</v>
      </c>
      <c r="R208" t="s">
        <v>855</v>
      </c>
      <c r="S208" t="b">
        <v>1</v>
      </c>
      <c r="T208" t="b">
        <v>1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</row>
    <row r="209" spans="1:33" x14ac:dyDescent="0.25">
      <c r="A209" t="s">
        <v>838</v>
      </c>
      <c r="B209">
        <v>2</v>
      </c>
      <c r="C209" t="b">
        <v>0</v>
      </c>
      <c r="D209" t="s">
        <v>839</v>
      </c>
      <c r="E209" t="s">
        <v>840</v>
      </c>
      <c r="F209" t="s">
        <v>856</v>
      </c>
      <c r="G209" t="s">
        <v>857</v>
      </c>
      <c r="H209">
        <v>208</v>
      </c>
      <c r="I209" t="str">
        <f>IF(ISBLANK(Table1[[#This Row],[oid]]),"FALSE","TRUE")</f>
        <v>TRUE</v>
      </c>
      <c r="J209" t="str" cm="1">
        <f t="array" ref="J209">_xlfn.SWITCH(LEFT(Table1[[#This Row],[section]],1), "D", "Demographic", "S", "Social", "E", "Economic", "H", "Housing", "")</f>
        <v>Social</v>
      </c>
      <c r="K209" t="s">
        <v>843</v>
      </c>
      <c r="L209" t="s">
        <v>844</v>
      </c>
      <c r="M209" t="str">
        <f>IF(Table1[[#This Row],[used]], _xlfn.CONCAT("🆔 ", Table1[[#This Row],[variable]], ": ",Table1[[#This Row],[alias]]), "")</f>
        <v>🆔 B09016_005E: In households: In family households: Householder: Male</v>
      </c>
      <c r="O209" t="s">
        <v>858</v>
      </c>
      <c r="P209" t="s">
        <v>846</v>
      </c>
      <c r="Q209" t="s">
        <v>41</v>
      </c>
      <c r="R209" t="s">
        <v>859</v>
      </c>
      <c r="S209" t="b">
        <v>1</v>
      </c>
      <c r="T209" t="b">
        <v>1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</row>
    <row r="210" spans="1:33" x14ac:dyDescent="0.25">
      <c r="A210" t="s">
        <v>838</v>
      </c>
      <c r="B210">
        <v>2</v>
      </c>
      <c r="C210" t="b">
        <v>0</v>
      </c>
      <c r="D210" t="s">
        <v>839</v>
      </c>
      <c r="E210" t="s">
        <v>840</v>
      </c>
      <c r="F210" t="s">
        <v>860</v>
      </c>
      <c r="G210" t="s">
        <v>861</v>
      </c>
      <c r="H210">
        <v>209</v>
      </c>
      <c r="I210" t="str">
        <f>IF(ISBLANK(Table1[[#This Row],[oid]]),"FALSE","TRUE")</f>
        <v>TRUE</v>
      </c>
      <c r="J210" t="str" cm="1">
        <f t="array" ref="J210">_xlfn.SWITCH(LEFT(Table1[[#This Row],[section]],1), "D", "Demographic", "S", "Social", "E", "Economic", "H", "Housing", "")</f>
        <v>Social</v>
      </c>
      <c r="K210" t="s">
        <v>843</v>
      </c>
      <c r="L210" t="s">
        <v>844</v>
      </c>
      <c r="M210" t="str">
        <f>IF(Table1[[#This Row],[used]], _xlfn.CONCAT("🆔 ", Table1[[#This Row],[variable]], ": ",Table1[[#This Row],[alias]]), "")</f>
        <v>🆔 B09016_006E: In households: In family households: Householder: Female</v>
      </c>
      <c r="O210" t="s">
        <v>862</v>
      </c>
      <c r="P210" t="s">
        <v>846</v>
      </c>
      <c r="Q210" t="s">
        <v>41</v>
      </c>
      <c r="R210" t="s">
        <v>863</v>
      </c>
      <c r="S210" t="b">
        <v>1</v>
      </c>
      <c r="T210" t="b">
        <v>1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</row>
    <row r="211" spans="1:33" x14ac:dyDescent="0.25">
      <c r="A211" t="s">
        <v>838</v>
      </c>
      <c r="B211">
        <v>2</v>
      </c>
      <c r="C211" t="b">
        <v>0</v>
      </c>
      <c r="D211" t="s">
        <v>839</v>
      </c>
      <c r="E211" t="s">
        <v>840</v>
      </c>
      <c r="F211" t="s">
        <v>864</v>
      </c>
      <c r="G211" t="s">
        <v>865</v>
      </c>
      <c r="H211">
        <v>210</v>
      </c>
      <c r="I211" t="str">
        <f>IF(ISBLANK(Table1[[#This Row],[oid]]),"FALSE","TRUE")</f>
        <v>TRUE</v>
      </c>
      <c r="J211" t="str" cm="1">
        <f t="array" ref="J211">_xlfn.SWITCH(LEFT(Table1[[#This Row],[section]],1), "D", "Demographic", "S", "Social", "E", "Economic", "H", "Housing", "")</f>
        <v>Social</v>
      </c>
      <c r="K211" t="s">
        <v>843</v>
      </c>
      <c r="L211" t="s">
        <v>844</v>
      </c>
      <c r="M211" t="str">
        <f>IF(Table1[[#This Row],[used]], _xlfn.CONCAT("🆔 ", Table1[[#This Row],[variable]], ": ",Table1[[#This Row],[alias]]), "")</f>
        <v>🆔 B09016_007E: In households: In family households: Spouse</v>
      </c>
      <c r="O211" t="s">
        <v>866</v>
      </c>
      <c r="P211" t="s">
        <v>846</v>
      </c>
      <c r="Q211" t="s">
        <v>41</v>
      </c>
      <c r="R211" t="s">
        <v>867</v>
      </c>
      <c r="S211" t="b">
        <v>1</v>
      </c>
      <c r="T211" t="b">
        <v>1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</row>
    <row r="212" spans="1:33" x14ac:dyDescent="0.25">
      <c r="A212" t="s">
        <v>838</v>
      </c>
      <c r="B212">
        <v>2</v>
      </c>
      <c r="C212" t="b">
        <v>0</v>
      </c>
      <c r="D212" t="s">
        <v>839</v>
      </c>
      <c r="E212" t="s">
        <v>840</v>
      </c>
      <c r="F212" t="s">
        <v>868</v>
      </c>
      <c r="G212" t="s">
        <v>869</v>
      </c>
      <c r="H212">
        <v>211</v>
      </c>
      <c r="I212" t="str">
        <f>IF(ISBLANK(Table1[[#This Row],[oid]]),"FALSE","TRUE")</f>
        <v>TRUE</v>
      </c>
      <c r="J212" t="str" cm="1">
        <f t="array" ref="J212">_xlfn.SWITCH(LEFT(Table1[[#This Row],[section]],1), "D", "Demographic", "S", "Social", "E", "Economic", "H", "Housing", "")</f>
        <v>Social</v>
      </c>
      <c r="K212" t="s">
        <v>843</v>
      </c>
      <c r="L212" t="s">
        <v>844</v>
      </c>
      <c r="M212" t="str">
        <f>IF(Table1[[#This Row],[used]], _xlfn.CONCAT("🆔 ", Table1[[#This Row],[variable]], ": ",Table1[[#This Row],[alias]]), "")</f>
        <v>🆔 B09016_008E: In households: In family households: Child</v>
      </c>
      <c r="O212" t="s">
        <v>870</v>
      </c>
      <c r="P212" t="s">
        <v>846</v>
      </c>
      <c r="Q212" t="s">
        <v>41</v>
      </c>
      <c r="R212" t="s">
        <v>871</v>
      </c>
      <c r="S212" t="b">
        <v>1</v>
      </c>
      <c r="T212" t="b">
        <v>1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</row>
    <row r="213" spans="1:33" x14ac:dyDescent="0.25">
      <c r="A213" t="s">
        <v>838</v>
      </c>
      <c r="B213">
        <v>2</v>
      </c>
      <c r="C213" t="b">
        <v>0</v>
      </c>
      <c r="D213" t="s">
        <v>839</v>
      </c>
      <c r="E213" t="s">
        <v>840</v>
      </c>
      <c r="F213" t="s">
        <v>872</v>
      </c>
      <c r="G213" t="s">
        <v>873</v>
      </c>
      <c r="H213">
        <v>212</v>
      </c>
      <c r="I213" t="str">
        <f>IF(ISBLANK(Table1[[#This Row],[oid]]),"FALSE","TRUE")</f>
        <v>TRUE</v>
      </c>
      <c r="J213" t="str" cm="1">
        <f t="array" ref="J213">_xlfn.SWITCH(LEFT(Table1[[#This Row],[section]],1), "D", "Demographic", "S", "Social", "E", "Economic", "H", "Housing", "")</f>
        <v>Social</v>
      </c>
      <c r="K213" t="s">
        <v>843</v>
      </c>
      <c r="L213" t="s">
        <v>844</v>
      </c>
      <c r="M213" t="str">
        <f>IF(Table1[[#This Row],[used]], _xlfn.CONCAT("🆔 ", Table1[[#This Row],[variable]], ": ",Table1[[#This Row],[alias]]), "")</f>
        <v>🆔 B09016_009E: In households: In family households: Grandchild</v>
      </c>
      <c r="O213" t="s">
        <v>874</v>
      </c>
      <c r="P213" t="s">
        <v>846</v>
      </c>
      <c r="Q213" t="s">
        <v>41</v>
      </c>
      <c r="R213" t="s">
        <v>875</v>
      </c>
      <c r="S213" t="b">
        <v>1</v>
      </c>
      <c r="T213" t="b">
        <v>1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</row>
    <row r="214" spans="1:33" x14ac:dyDescent="0.25">
      <c r="A214" t="s">
        <v>838</v>
      </c>
      <c r="B214">
        <v>2</v>
      </c>
      <c r="C214" t="b">
        <v>0</v>
      </c>
      <c r="D214" t="s">
        <v>839</v>
      </c>
      <c r="E214" t="s">
        <v>840</v>
      </c>
      <c r="F214" t="s">
        <v>876</v>
      </c>
      <c r="G214" t="s">
        <v>877</v>
      </c>
      <c r="H214">
        <v>213</v>
      </c>
      <c r="I214" t="str">
        <f>IF(ISBLANK(Table1[[#This Row],[oid]]),"FALSE","TRUE")</f>
        <v>TRUE</v>
      </c>
      <c r="J214" t="str" cm="1">
        <f t="array" ref="J214">_xlfn.SWITCH(LEFT(Table1[[#This Row],[section]],1), "D", "Demographic", "S", "Social", "E", "Economic", "H", "Housing", "")</f>
        <v>Social</v>
      </c>
      <c r="K214" t="s">
        <v>843</v>
      </c>
      <c r="L214" t="s">
        <v>844</v>
      </c>
      <c r="M214" t="str">
        <f>IF(Table1[[#This Row],[used]], _xlfn.CONCAT("🆔 ", Table1[[#This Row],[variable]], ": ",Table1[[#This Row],[alias]]), "")</f>
        <v>🆔 B09016_010E: In households: In family households: Brother or sister</v>
      </c>
      <c r="O214" t="s">
        <v>878</v>
      </c>
      <c r="P214" t="s">
        <v>846</v>
      </c>
      <c r="Q214" t="s">
        <v>41</v>
      </c>
      <c r="R214" t="s">
        <v>879</v>
      </c>
      <c r="S214" t="b">
        <v>1</v>
      </c>
      <c r="T214" t="b">
        <v>1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</row>
    <row r="215" spans="1:33" x14ac:dyDescent="0.25">
      <c r="A215" t="s">
        <v>838</v>
      </c>
      <c r="B215">
        <v>2</v>
      </c>
      <c r="C215" t="b">
        <v>0</v>
      </c>
      <c r="D215" t="s">
        <v>839</v>
      </c>
      <c r="E215" t="s">
        <v>840</v>
      </c>
      <c r="F215" t="s">
        <v>880</v>
      </c>
      <c r="G215" t="s">
        <v>881</v>
      </c>
      <c r="H215">
        <v>214</v>
      </c>
      <c r="I215" t="str">
        <f>IF(ISBLANK(Table1[[#This Row],[oid]]),"FALSE","TRUE")</f>
        <v>TRUE</v>
      </c>
      <c r="J215" t="str" cm="1">
        <f t="array" ref="J215">_xlfn.SWITCH(LEFT(Table1[[#This Row],[section]],1), "D", "Demographic", "S", "Social", "E", "Economic", "H", "Housing", "")</f>
        <v>Social</v>
      </c>
      <c r="K215" t="s">
        <v>843</v>
      </c>
      <c r="L215" t="s">
        <v>844</v>
      </c>
      <c r="M215" t="str">
        <f>IF(Table1[[#This Row],[used]], _xlfn.CONCAT("🆔 ", Table1[[#This Row],[variable]], ": ",Table1[[#This Row],[alias]]), "")</f>
        <v>🆔 B09016_011E: In households: In family households: Parent</v>
      </c>
      <c r="O215" t="s">
        <v>882</v>
      </c>
      <c r="P215" t="s">
        <v>846</v>
      </c>
      <c r="Q215" t="s">
        <v>41</v>
      </c>
      <c r="R215" t="s">
        <v>883</v>
      </c>
      <c r="S215" t="b">
        <v>1</v>
      </c>
      <c r="T215" t="b">
        <v>1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</row>
    <row r="216" spans="1:33" x14ac:dyDescent="0.25">
      <c r="A216" t="s">
        <v>838</v>
      </c>
      <c r="B216">
        <v>2</v>
      </c>
      <c r="C216" t="b">
        <v>0</v>
      </c>
      <c r="D216" t="s">
        <v>839</v>
      </c>
      <c r="E216" t="s">
        <v>840</v>
      </c>
      <c r="F216" t="s">
        <v>884</v>
      </c>
      <c r="G216" t="s">
        <v>885</v>
      </c>
      <c r="H216">
        <v>215</v>
      </c>
      <c r="I216" t="str">
        <f>IF(ISBLANK(Table1[[#This Row],[oid]]),"FALSE","TRUE")</f>
        <v>TRUE</v>
      </c>
      <c r="J216" t="str" cm="1">
        <f t="array" ref="J216">_xlfn.SWITCH(LEFT(Table1[[#This Row],[section]],1), "D", "Demographic", "S", "Social", "E", "Economic", "H", "Housing", "")</f>
        <v>Social</v>
      </c>
      <c r="K216" t="s">
        <v>843</v>
      </c>
      <c r="L216" t="s">
        <v>844</v>
      </c>
      <c r="M216" t="str">
        <f>IF(Table1[[#This Row],[used]], _xlfn.CONCAT("🆔 ", Table1[[#This Row],[variable]], ": ",Table1[[#This Row],[alias]]), "")</f>
        <v>🆔 B09016_012E: In households: In family households: Other relatives</v>
      </c>
      <c r="O216" t="s">
        <v>886</v>
      </c>
      <c r="P216" t="s">
        <v>846</v>
      </c>
      <c r="Q216" t="s">
        <v>41</v>
      </c>
      <c r="R216" t="s">
        <v>887</v>
      </c>
      <c r="S216" t="b">
        <v>1</v>
      </c>
      <c r="T216" t="b">
        <v>1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</row>
    <row r="217" spans="1:33" x14ac:dyDescent="0.25">
      <c r="A217" t="s">
        <v>838</v>
      </c>
      <c r="B217">
        <v>2</v>
      </c>
      <c r="C217" t="b">
        <v>0</v>
      </c>
      <c r="D217" t="s">
        <v>839</v>
      </c>
      <c r="E217" t="s">
        <v>840</v>
      </c>
      <c r="F217" t="s">
        <v>888</v>
      </c>
      <c r="G217" t="s">
        <v>889</v>
      </c>
      <c r="H217">
        <v>216</v>
      </c>
      <c r="I217" t="str">
        <f>IF(ISBLANK(Table1[[#This Row],[oid]]),"FALSE","TRUE")</f>
        <v>TRUE</v>
      </c>
      <c r="J217" t="str" cm="1">
        <f t="array" ref="J217">_xlfn.SWITCH(LEFT(Table1[[#This Row],[section]],1), "D", "Demographic", "S", "Social", "E", "Economic", "H", "Housing", "")</f>
        <v>Social</v>
      </c>
      <c r="K217" t="s">
        <v>843</v>
      </c>
      <c r="L217" t="s">
        <v>844</v>
      </c>
      <c r="M217" t="str">
        <f>IF(Table1[[#This Row],[used]], _xlfn.CONCAT("🆔 ", Table1[[#This Row],[variable]], ": ",Table1[[#This Row],[alias]]), "")</f>
        <v>🆔 B09016_013E: In households: In family households: Non-relatives</v>
      </c>
      <c r="O217" t="s">
        <v>890</v>
      </c>
      <c r="P217" t="s">
        <v>846</v>
      </c>
      <c r="Q217" t="s">
        <v>41</v>
      </c>
      <c r="R217" t="s">
        <v>891</v>
      </c>
      <c r="S217" t="b">
        <v>1</v>
      </c>
      <c r="T217" t="b">
        <v>1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</row>
    <row r="218" spans="1:33" x14ac:dyDescent="0.25">
      <c r="A218" t="s">
        <v>838</v>
      </c>
      <c r="B218">
        <v>2</v>
      </c>
      <c r="C218" t="b">
        <v>0</v>
      </c>
      <c r="D218" t="s">
        <v>839</v>
      </c>
      <c r="E218" t="s">
        <v>840</v>
      </c>
      <c r="F218" t="s">
        <v>892</v>
      </c>
      <c r="G218" t="s">
        <v>893</v>
      </c>
      <c r="H218">
        <v>217</v>
      </c>
      <c r="I218" t="str">
        <f>IF(ISBLANK(Table1[[#This Row],[oid]]),"FALSE","TRUE")</f>
        <v>TRUE</v>
      </c>
      <c r="J218" t="str" cm="1">
        <f t="array" ref="J218">_xlfn.SWITCH(LEFT(Table1[[#This Row],[section]],1), "D", "Demographic", "S", "Social", "E", "Economic", "H", "Housing", "")</f>
        <v>Social</v>
      </c>
      <c r="K218" t="s">
        <v>843</v>
      </c>
      <c r="L218" t="s">
        <v>844</v>
      </c>
      <c r="M218" t="str">
        <f>IF(Table1[[#This Row],[used]], _xlfn.CONCAT("🆔 ", Table1[[#This Row],[variable]], ": ",Table1[[#This Row],[alias]]), "")</f>
        <v>🆔 B09016_014E: In households: In family households: Non-relatives: Roomer or boarder</v>
      </c>
      <c r="O218" t="s">
        <v>894</v>
      </c>
      <c r="P218" t="s">
        <v>846</v>
      </c>
      <c r="Q218" t="s">
        <v>41</v>
      </c>
      <c r="R218" t="s">
        <v>895</v>
      </c>
      <c r="S218" t="b">
        <v>1</v>
      </c>
      <c r="T218" t="b">
        <v>1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</row>
    <row r="219" spans="1:33" x14ac:dyDescent="0.25">
      <c r="A219" t="s">
        <v>838</v>
      </c>
      <c r="B219">
        <v>2</v>
      </c>
      <c r="C219" t="b">
        <v>0</v>
      </c>
      <c r="D219" t="s">
        <v>839</v>
      </c>
      <c r="E219" t="s">
        <v>840</v>
      </c>
      <c r="F219" t="s">
        <v>896</v>
      </c>
      <c r="G219" t="s">
        <v>897</v>
      </c>
      <c r="H219">
        <v>218</v>
      </c>
      <c r="I219" t="str">
        <f>IF(ISBLANK(Table1[[#This Row],[oid]]),"FALSE","TRUE")</f>
        <v>TRUE</v>
      </c>
      <c r="J219" t="str" cm="1">
        <f t="array" ref="J219">_xlfn.SWITCH(LEFT(Table1[[#This Row],[section]],1), "D", "Demographic", "S", "Social", "E", "Economic", "H", "Housing", "")</f>
        <v>Social</v>
      </c>
      <c r="K219" t="s">
        <v>843</v>
      </c>
      <c r="L219" t="s">
        <v>844</v>
      </c>
      <c r="M219" t="str">
        <f>IF(Table1[[#This Row],[used]], _xlfn.CONCAT("🆔 ", Table1[[#This Row],[variable]], ": ",Table1[[#This Row],[alias]]), "")</f>
        <v>🆔 B09016_015E: In households: In family households: Non-relatives: Housemate or roommate</v>
      </c>
      <c r="O219" t="s">
        <v>898</v>
      </c>
      <c r="P219" t="s">
        <v>846</v>
      </c>
      <c r="Q219" t="s">
        <v>41</v>
      </c>
      <c r="R219" t="s">
        <v>899</v>
      </c>
      <c r="S219" t="b">
        <v>1</v>
      </c>
      <c r="T219" t="b">
        <v>1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</row>
    <row r="220" spans="1:33" x14ac:dyDescent="0.25">
      <c r="A220" t="s">
        <v>838</v>
      </c>
      <c r="B220">
        <v>2</v>
      </c>
      <c r="C220" t="b">
        <v>0</v>
      </c>
      <c r="D220" t="s">
        <v>839</v>
      </c>
      <c r="E220" t="s">
        <v>840</v>
      </c>
      <c r="F220" t="s">
        <v>900</v>
      </c>
      <c r="G220" t="s">
        <v>901</v>
      </c>
      <c r="H220">
        <v>219</v>
      </c>
      <c r="I220" t="str">
        <f>IF(ISBLANK(Table1[[#This Row],[oid]]),"FALSE","TRUE")</f>
        <v>TRUE</v>
      </c>
      <c r="J220" t="str" cm="1">
        <f t="array" ref="J220">_xlfn.SWITCH(LEFT(Table1[[#This Row],[section]],1), "D", "Demographic", "S", "Social", "E", "Economic", "H", "Housing", "")</f>
        <v>Social</v>
      </c>
      <c r="K220" t="s">
        <v>843</v>
      </c>
      <c r="L220" t="s">
        <v>844</v>
      </c>
      <c r="M220" t="str">
        <f>IF(Table1[[#This Row],[used]], _xlfn.CONCAT("🆔 ", Table1[[#This Row],[variable]], ": ",Table1[[#This Row],[alias]]), "")</f>
        <v>🆔 B09016_016E: In households: In family households: Non-relatives: Unmarried partner</v>
      </c>
      <c r="O220" t="s">
        <v>902</v>
      </c>
      <c r="P220" t="s">
        <v>846</v>
      </c>
      <c r="Q220" t="s">
        <v>41</v>
      </c>
      <c r="R220" t="s">
        <v>903</v>
      </c>
      <c r="S220" t="b">
        <v>1</v>
      </c>
      <c r="T220" t="b">
        <v>1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</row>
    <row r="221" spans="1:33" x14ac:dyDescent="0.25">
      <c r="A221" t="s">
        <v>838</v>
      </c>
      <c r="B221">
        <v>2</v>
      </c>
      <c r="C221" t="b">
        <v>0</v>
      </c>
      <c r="D221" t="s">
        <v>839</v>
      </c>
      <c r="E221" t="s">
        <v>840</v>
      </c>
      <c r="F221" t="s">
        <v>904</v>
      </c>
      <c r="G221" t="s">
        <v>905</v>
      </c>
      <c r="H221">
        <v>220</v>
      </c>
      <c r="I221" t="str">
        <f>IF(ISBLANK(Table1[[#This Row],[oid]]),"FALSE","TRUE")</f>
        <v>TRUE</v>
      </c>
      <c r="J221" t="str" cm="1">
        <f t="array" ref="J221">_xlfn.SWITCH(LEFT(Table1[[#This Row],[section]],1), "D", "Demographic", "S", "Social", "E", "Economic", "H", "Housing", "")</f>
        <v>Social</v>
      </c>
      <c r="K221" t="s">
        <v>843</v>
      </c>
      <c r="L221" t="s">
        <v>844</v>
      </c>
      <c r="M221" t="str">
        <f>IF(Table1[[#This Row],[used]], _xlfn.CONCAT("🆔 ", Table1[[#This Row],[variable]], ": ",Table1[[#This Row],[alias]]), "")</f>
        <v>🆔 B09016_017E: In households: In family households: Non-relatives: Foster child</v>
      </c>
      <c r="O221" t="s">
        <v>906</v>
      </c>
      <c r="P221" t="s">
        <v>846</v>
      </c>
      <c r="Q221" t="s">
        <v>41</v>
      </c>
      <c r="R221" t="s">
        <v>907</v>
      </c>
      <c r="S221" t="b">
        <v>1</v>
      </c>
      <c r="T221" t="b">
        <v>1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</row>
    <row r="222" spans="1:33" x14ac:dyDescent="0.25">
      <c r="A222" t="s">
        <v>838</v>
      </c>
      <c r="B222">
        <v>2</v>
      </c>
      <c r="C222" t="b">
        <v>0</v>
      </c>
      <c r="D222" t="s">
        <v>839</v>
      </c>
      <c r="E222" t="s">
        <v>840</v>
      </c>
      <c r="F222" t="s">
        <v>908</v>
      </c>
      <c r="G222" t="s">
        <v>909</v>
      </c>
      <c r="H222">
        <v>221</v>
      </c>
      <c r="I222" t="str">
        <f>IF(ISBLANK(Table1[[#This Row],[oid]]),"FALSE","TRUE")</f>
        <v>TRUE</v>
      </c>
      <c r="J222" t="str" cm="1">
        <f t="array" ref="J222">_xlfn.SWITCH(LEFT(Table1[[#This Row],[section]],1), "D", "Demographic", "S", "Social", "E", "Economic", "H", "Housing", "")</f>
        <v>Social</v>
      </c>
      <c r="K222" t="s">
        <v>843</v>
      </c>
      <c r="L222" t="s">
        <v>844</v>
      </c>
      <c r="M222" t="str">
        <f>IF(Table1[[#This Row],[used]], _xlfn.CONCAT("🆔 ", Table1[[#This Row],[variable]], ": ",Table1[[#This Row],[alias]]), "")</f>
        <v>🆔 B09016_018E: In households: In family households: Non-relatives: Other Non-relatives</v>
      </c>
      <c r="O222" t="s">
        <v>910</v>
      </c>
      <c r="P222" t="s">
        <v>846</v>
      </c>
      <c r="Q222" t="s">
        <v>41</v>
      </c>
      <c r="R222" t="s">
        <v>911</v>
      </c>
      <c r="S222" t="b">
        <v>1</v>
      </c>
      <c r="T222" t="b">
        <v>1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</row>
    <row r="223" spans="1:33" x14ac:dyDescent="0.25">
      <c r="A223" t="s">
        <v>838</v>
      </c>
      <c r="B223">
        <v>2</v>
      </c>
      <c r="C223" t="b">
        <v>0</v>
      </c>
      <c r="D223" t="s">
        <v>839</v>
      </c>
      <c r="E223" t="s">
        <v>840</v>
      </c>
      <c r="F223" t="s">
        <v>912</v>
      </c>
      <c r="G223" t="s">
        <v>913</v>
      </c>
      <c r="H223">
        <v>222</v>
      </c>
      <c r="I223" t="str">
        <f>IF(ISBLANK(Table1[[#This Row],[oid]]),"FALSE","TRUE")</f>
        <v>TRUE</v>
      </c>
      <c r="J223" t="str" cm="1">
        <f t="array" ref="J223">_xlfn.SWITCH(LEFT(Table1[[#This Row],[section]],1), "D", "Demographic", "S", "Social", "E", "Economic", "H", "Housing", "")</f>
        <v>Social</v>
      </c>
      <c r="K223" t="s">
        <v>843</v>
      </c>
      <c r="L223" t="s">
        <v>844</v>
      </c>
      <c r="M223" t="str">
        <f>IF(Table1[[#This Row],[used]], _xlfn.CONCAT("🆔 ", Table1[[#This Row],[variable]], ": ",Table1[[#This Row],[alias]]), "")</f>
        <v>🆔 B09016_019E: In households: In Non-family households</v>
      </c>
      <c r="O223" t="s">
        <v>914</v>
      </c>
      <c r="P223" t="s">
        <v>846</v>
      </c>
      <c r="Q223" t="s">
        <v>41</v>
      </c>
      <c r="R223" t="s">
        <v>915</v>
      </c>
      <c r="S223" t="b">
        <v>1</v>
      </c>
      <c r="T223" t="b">
        <v>1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</row>
    <row r="224" spans="1:33" x14ac:dyDescent="0.25">
      <c r="A224" t="s">
        <v>838</v>
      </c>
      <c r="B224">
        <v>2</v>
      </c>
      <c r="C224" t="b">
        <v>0</v>
      </c>
      <c r="D224" t="s">
        <v>839</v>
      </c>
      <c r="E224" t="s">
        <v>840</v>
      </c>
      <c r="F224" t="s">
        <v>916</v>
      </c>
      <c r="G224" t="s">
        <v>917</v>
      </c>
      <c r="H224">
        <v>223</v>
      </c>
      <c r="I224" t="str">
        <f>IF(ISBLANK(Table1[[#This Row],[oid]]),"FALSE","TRUE")</f>
        <v>TRUE</v>
      </c>
      <c r="J224" t="str" cm="1">
        <f t="array" ref="J224">_xlfn.SWITCH(LEFT(Table1[[#This Row],[section]],1), "D", "Demographic", "S", "Social", "E", "Economic", "H", "Housing", "")</f>
        <v>Social</v>
      </c>
      <c r="K224" t="s">
        <v>843</v>
      </c>
      <c r="L224" t="s">
        <v>844</v>
      </c>
      <c r="M224" t="str">
        <f>IF(Table1[[#This Row],[used]], _xlfn.CONCAT("🆔 ", Table1[[#This Row],[variable]], ": ",Table1[[#This Row],[alias]]), "")</f>
        <v>🆔 B09016_020E: In households: In Non-family households: Householder</v>
      </c>
      <c r="O224" t="s">
        <v>918</v>
      </c>
      <c r="P224" t="s">
        <v>846</v>
      </c>
      <c r="Q224" t="s">
        <v>41</v>
      </c>
      <c r="R224" t="s">
        <v>919</v>
      </c>
      <c r="S224" t="b">
        <v>1</v>
      </c>
      <c r="T224" t="b">
        <v>1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</row>
    <row r="225" spans="1:33" x14ac:dyDescent="0.25">
      <c r="A225" t="s">
        <v>838</v>
      </c>
      <c r="B225">
        <v>2</v>
      </c>
      <c r="C225" t="b">
        <v>0</v>
      </c>
      <c r="D225" t="s">
        <v>839</v>
      </c>
      <c r="E225" t="s">
        <v>840</v>
      </c>
      <c r="F225" t="s">
        <v>920</v>
      </c>
      <c r="G225" t="s">
        <v>921</v>
      </c>
      <c r="H225">
        <v>224</v>
      </c>
      <c r="I225" t="str">
        <f>IF(ISBLANK(Table1[[#This Row],[oid]]),"FALSE","TRUE")</f>
        <v>TRUE</v>
      </c>
      <c r="J225" t="str" cm="1">
        <f t="array" ref="J225">_xlfn.SWITCH(LEFT(Table1[[#This Row],[section]],1), "D", "Demographic", "S", "Social", "E", "Economic", "H", "Housing", "")</f>
        <v>Social</v>
      </c>
      <c r="K225" t="s">
        <v>843</v>
      </c>
      <c r="L225" t="s">
        <v>844</v>
      </c>
      <c r="M225" t="str">
        <f>IF(Table1[[#This Row],[used]], _xlfn.CONCAT("🆔 ", Table1[[#This Row],[variable]], ": ",Table1[[#This Row],[alias]]), "")</f>
        <v>🆔 B09016_021E: In households: In Non-family households: Householder: Male</v>
      </c>
      <c r="O225" t="s">
        <v>922</v>
      </c>
      <c r="P225" t="s">
        <v>846</v>
      </c>
      <c r="Q225" t="s">
        <v>41</v>
      </c>
      <c r="R225" t="s">
        <v>923</v>
      </c>
      <c r="S225" t="b">
        <v>1</v>
      </c>
      <c r="T225" t="b">
        <v>1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</row>
    <row r="226" spans="1:33" x14ac:dyDescent="0.25">
      <c r="A226" t="s">
        <v>838</v>
      </c>
      <c r="B226">
        <v>2</v>
      </c>
      <c r="C226" t="b">
        <v>0</v>
      </c>
      <c r="D226" t="s">
        <v>839</v>
      </c>
      <c r="E226" t="s">
        <v>840</v>
      </c>
      <c r="F226" t="s">
        <v>924</v>
      </c>
      <c r="G226" t="s">
        <v>925</v>
      </c>
      <c r="H226">
        <v>225</v>
      </c>
      <c r="I226" t="str">
        <f>IF(ISBLANK(Table1[[#This Row],[oid]]),"FALSE","TRUE")</f>
        <v>TRUE</v>
      </c>
      <c r="J226" t="str" cm="1">
        <f t="array" ref="J226">_xlfn.SWITCH(LEFT(Table1[[#This Row],[section]],1), "D", "Demographic", "S", "Social", "E", "Economic", "H", "Housing", "")</f>
        <v>Social</v>
      </c>
      <c r="K226" t="s">
        <v>843</v>
      </c>
      <c r="L226" t="s">
        <v>844</v>
      </c>
      <c r="M226" t="str">
        <f>IF(Table1[[#This Row],[used]], _xlfn.CONCAT("🆔 ", Table1[[#This Row],[variable]], ": ",Table1[[#This Row],[alias]]), "")</f>
        <v>🆔 B09016_022E: In households: In Non-family households: Householder: Male: Living alone</v>
      </c>
      <c r="O226" t="s">
        <v>926</v>
      </c>
      <c r="P226" t="s">
        <v>846</v>
      </c>
      <c r="Q226" t="s">
        <v>41</v>
      </c>
      <c r="R226" t="s">
        <v>927</v>
      </c>
      <c r="S226" t="b">
        <v>1</v>
      </c>
      <c r="T226" t="b">
        <v>1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</row>
    <row r="227" spans="1:33" x14ac:dyDescent="0.25">
      <c r="A227" t="s">
        <v>838</v>
      </c>
      <c r="B227">
        <v>2</v>
      </c>
      <c r="C227" t="b">
        <v>0</v>
      </c>
      <c r="D227" t="s">
        <v>839</v>
      </c>
      <c r="E227" t="s">
        <v>840</v>
      </c>
      <c r="F227" t="s">
        <v>928</v>
      </c>
      <c r="G227" t="s">
        <v>929</v>
      </c>
      <c r="H227">
        <v>226</v>
      </c>
      <c r="I227" t="str">
        <f>IF(ISBLANK(Table1[[#This Row],[oid]]),"FALSE","TRUE")</f>
        <v>TRUE</v>
      </c>
      <c r="J227" t="str" cm="1">
        <f t="array" ref="J227">_xlfn.SWITCH(LEFT(Table1[[#This Row],[section]],1), "D", "Demographic", "S", "Social", "E", "Economic", "H", "Housing", "")</f>
        <v>Social</v>
      </c>
      <c r="K227" t="s">
        <v>843</v>
      </c>
      <c r="L227" t="s">
        <v>844</v>
      </c>
      <c r="M227" t="str">
        <f>IF(Table1[[#This Row],[used]], _xlfn.CONCAT("🆔 ", Table1[[#This Row],[variable]], ": ",Table1[[#This Row],[alias]]), "")</f>
        <v>🆔 B09016_023E: In households: In Non-family households: Householder: Male: Not living alone</v>
      </c>
      <c r="O227" t="s">
        <v>930</v>
      </c>
      <c r="P227" t="s">
        <v>846</v>
      </c>
      <c r="Q227" t="s">
        <v>41</v>
      </c>
      <c r="R227" t="s">
        <v>931</v>
      </c>
      <c r="S227" t="b">
        <v>1</v>
      </c>
      <c r="T227" t="b">
        <v>1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</row>
    <row r="228" spans="1:33" x14ac:dyDescent="0.25">
      <c r="A228" t="s">
        <v>838</v>
      </c>
      <c r="B228">
        <v>2</v>
      </c>
      <c r="C228" t="b">
        <v>0</v>
      </c>
      <c r="D228" t="s">
        <v>839</v>
      </c>
      <c r="E228" t="s">
        <v>840</v>
      </c>
      <c r="F228" t="s">
        <v>932</v>
      </c>
      <c r="G228" t="s">
        <v>933</v>
      </c>
      <c r="H228">
        <v>227</v>
      </c>
      <c r="I228" t="str">
        <f>IF(ISBLANK(Table1[[#This Row],[oid]]),"FALSE","TRUE")</f>
        <v>TRUE</v>
      </c>
      <c r="J228" t="str" cm="1">
        <f t="array" ref="J228">_xlfn.SWITCH(LEFT(Table1[[#This Row],[section]],1), "D", "Demographic", "S", "Social", "E", "Economic", "H", "Housing", "")</f>
        <v>Social</v>
      </c>
      <c r="K228" t="s">
        <v>843</v>
      </c>
      <c r="L228" t="s">
        <v>844</v>
      </c>
      <c r="M228" t="str">
        <f>IF(Table1[[#This Row],[used]], _xlfn.CONCAT("🆔 ", Table1[[#This Row],[variable]], ": ",Table1[[#This Row],[alias]]), "")</f>
        <v>🆔 B09016_024E: In households: In Non-family households: Householder: Female</v>
      </c>
      <c r="O228" t="s">
        <v>934</v>
      </c>
      <c r="P228" t="s">
        <v>846</v>
      </c>
      <c r="Q228" t="s">
        <v>41</v>
      </c>
      <c r="R228" t="s">
        <v>935</v>
      </c>
      <c r="S228" t="b">
        <v>1</v>
      </c>
      <c r="T228" t="b">
        <v>1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</row>
    <row r="229" spans="1:33" x14ac:dyDescent="0.25">
      <c r="A229" t="s">
        <v>838</v>
      </c>
      <c r="B229">
        <v>2</v>
      </c>
      <c r="C229" t="b">
        <v>0</v>
      </c>
      <c r="D229" t="s">
        <v>839</v>
      </c>
      <c r="E229" t="s">
        <v>840</v>
      </c>
      <c r="F229" t="s">
        <v>936</v>
      </c>
      <c r="G229" t="s">
        <v>937</v>
      </c>
      <c r="H229">
        <v>228</v>
      </c>
      <c r="I229" t="str">
        <f>IF(ISBLANK(Table1[[#This Row],[oid]]),"FALSE","TRUE")</f>
        <v>TRUE</v>
      </c>
      <c r="J229" t="str" cm="1">
        <f t="array" ref="J229">_xlfn.SWITCH(LEFT(Table1[[#This Row],[section]],1), "D", "Demographic", "S", "Social", "E", "Economic", "H", "Housing", "")</f>
        <v>Social</v>
      </c>
      <c r="K229" t="s">
        <v>843</v>
      </c>
      <c r="L229" t="s">
        <v>844</v>
      </c>
      <c r="M229" t="str">
        <f>IF(Table1[[#This Row],[used]], _xlfn.CONCAT("🆔 ", Table1[[#This Row],[variable]], ": ",Table1[[#This Row],[alias]]), "")</f>
        <v>🆔 B09016_025E: In households: In Non-family households: Householder: Female: Living alone</v>
      </c>
      <c r="O229" t="s">
        <v>938</v>
      </c>
      <c r="P229" t="s">
        <v>846</v>
      </c>
      <c r="Q229" t="s">
        <v>41</v>
      </c>
      <c r="R229" t="s">
        <v>939</v>
      </c>
      <c r="S229" t="b">
        <v>1</v>
      </c>
      <c r="T229" t="b">
        <v>1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</row>
    <row r="230" spans="1:33" x14ac:dyDescent="0.25">
      <c r="A230" t="s">
        <v>838</v>
      </c>
      <c r="B230">
        <v>2</v>
      </c>
      <c r="C230" t="b">
        <v>0</v>
      </c>
      <c r="D230" t="s">
        <v>839</v>
      </c>
      <c r="E230" t="s">
        <v>840</v>
      </c>
      <c r="F230" t="s">
        <v>940</v>
      </c>
      <c r="G230" t="s">
        <v>941</v>
      </c>
      <c r="H230">
        <v>229</v>
      </c>
      <c r="I230" t="str">
        <f>IF(ISBLANK(Table1[[#This Row],[oid]]),"FALSE","TRUE")</f>
        <v>TRUE</v>
      </c>
      <c r="J230" t="str" cm="1">
        <f t="array" ref="J230">_xlfn.SWITCH(LEFT(Table1[[#This Row],[section]],1), "D", "Demographic", "S", "Social", "E", "Economic", "H", "Housing", "")</f>
        <v>Social</v>
      </c>
      <c r="K230" t="s">
        <v>843</v>
      </c>
      <c r="L230" t="s">
        <v>844</v>
      </c>
      <c r="M230" t="str">
        <f>IF(Table1[[#This Row],[used]], _xlfn.CONCAT("🆔 ", Table1[[#This Row],[variable]], ": ",Table1[[#This Row],[alias]]), "")</f>
        <v>🆔 B09016_026E: In households: In Non-family households: Householder: Female: Not living alone</v>
      </c>
      <c r="O230" t="s">
        <v>942</v>
      </c>
      <c r="P230" t="s">
        <v>846</v>
      </c>
      <c r="Q230" t="s">
        <v>41</v>
      </c>
      <c r="R230" t="s">
        <v>943</v>
      </c>
      <c r="S230" t="b">
        <v>1</v>
      </c>
      <c r="T230" t="b">
        <v>1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</row>
    <row r="231" spans="1:33" x14ac:dyDescent="0.25">
      <c r="A231" t="s">
        <v>838</v>
      </c>
      <c r="B231">
        <v>2</v>
      </c>
      <c r="C231" t="b">
        <v>0</v>
      </c>
      <c r="D231" t="s">
        <v>839</v>
      </c>
      <c r="E231" t="s">
        <v>840</v>
      </c>
      <c r="F231" t="s">
        <v>944</v>
      </c>
      <c r="G231" t="s">
        <v>945</v>
      </c>
      <c r="H231">
        <v>230</v>
      </c>
      <c r="I231" t="str">
        <f>IF(ISBLANK(Table1[[#This Row],[oid]]),"FALSE","TRUE")</f>
        <v>TRUE</v>
      </c>
      <c r="J231" t="str" cm="1">
        <f t="array" ref="J231">_xlfn.SWITCH(LEFT(Table1[[#This Row],[section]],1), "D", "Demographic", "S", "Social", "E", "Economic", "H", "Housing", "")</f>
        <v>Social</v>
      </c>
      <c r="K231" t="s">
        <v>843</v>
      </c>
      <c r="L231" t="s">
        <v>844</v>
      </c>
      <c r="M231" t="str">
        <f>IF(Table1[[#This Row],[used]], _xlfn.CONCAT("🆔 ", Table1[[#This Row],[variable]], ": ",Table1[[#This Row],[alias]]), "")</f>
        <v>🆔 B09016_027E: In households: In Non-family households: Non-relatives</v>
      </c>
      <c r="O231" t="s">
        <v>946</v>
      </c>
      <c r="P231" t="s">
        <v>846</v>
      </c>
      <c r="Q231" t="s">
        <v>41</v>
      </c>
      <c r="R231" t="s">
        <v>947</v>
      </c>
      <c r="S231" t="b">
        <v>1</v>
      </c>
      <c r="T231" t="b">
        <v>1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</row>
    <row r="232" spans="1:33" x14ac:dyDescent="0.25">
      <c r="A232" t="s">
        <v>838</v>
      </c>
      <c r="B232">
        <v>2</v>
      </c>
      <c r="C232" t="b">
        <v>0</v>
      </c>
      <c r="D232" t="s">
        <v>839</v>
      </c>
      <c r="E232" t="s">
        <v>840</v>
      </c>
      <c r="F232" t="s">
        <v>948</v>
      </c>
      <c r="G232" t="s">
        <v>949</v>
      </c>
      <c r="H232">
        <v>231</v>
      </c>
      <c r="I232" t="str">
        <f>IF(ISBLANK(Table1[[#This Row],[oid]]),"FALSE","TRUE")</f>
        <v>TRUE</v>
      </c>
      <c r="J232" t="str" cm="1">
        <f t="array" ref="J232">_xlfn.SWITCH(LEFT(Table1[[#This Row],[section]],1), "D", "Demographic", "S", "Social", "E", "Economic", "H", "Housing", "")</f>
        <v>Social</v>
      </c>
      <c r="K232" t="s">
        <v>843</v>
      </c>
      <c r="L232" t="s">
        <v>844</v>
      </c>
      <c r="M232" t="str">
        <f>IF(Table1[[#This Row],[used]], _xlfn.CONCAT("🆔 ", Table1[[#This Row],[variable]], ": ",Table1[[#This Row],[alias]]), "")</f>
        <v>🆔 B09016_028E: In households: In Non-family households: Non-relatives: Roomer or boarder</v>
      </c>
      <c r="O232" t="s">
        <v>950</v>
      </c>
      <c r="P232" t="s">
        <v>846</v>
      </c>
      <c r="Q232" t="s">
        <v>41</v>
      </c>
      <c r="R232" t="s">
        <v>951</v>
      </c>
      <c r="S232" t="b">
        <v>1</v>
      </c>
      <c r="T232" t="b">
        <v>1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</row>
    <row r="233" spans="1:33" x14ac:dyDescent="0.25">
      <c r="A233" t="s">
        <v>838</v>
      </c>
      <c r="B233">
        <v>2</v>
      </c>
      <c r="C233" t="b">
        <v>0</v>
      </c>
      <c r="D233" t="s">
        <v>839</v>
      </c>
      <c r="E233" t="s">
        <v>840</v>
      </c>
      <c r="F233" t="s">
        <v>952</v>
      </c>
      <c r="G233" t="s">
        <v>953</v>
      </c>
      <c r="H233">
        <v>232</v>
      </c>
      <c r="I233" t="str">
        <f>IF(ISBLANK(Table1[[#This Row],[oid]]),"FALSE","TRUE")</f>
        <v>TRUE</v>
      </c>
      <c r="J233" t="str" cm="1">
        <f t="array" ref="J233">_xlfn.SWITCH(LEFT(Table1[[#This Row],[section]],1), "D", "Demographic", "S", "Social", "E", "Economic", "H", "Housing", "")</f>
        <v>Social</v>
      </c>
      <c r="K233" t="s">
        <v>843</v>
      </c>
      <c r="L233" t="s">
        <v>844</v>
      </c>
      <c r="M233" t="str">
        <f>IF(Table1[[#This Row],[used]], _xlfn.CONCAT("🆔 ", Table1[[#This Row],[variable]], ": ",Table1[[#This Row],[alias]]), "")</f>
        <v>🆔 B09016_029E: In households: In Non-family households: Non-relatives: Housemate or roommate</v>
      </c>
      <c r="O233" t="s">
        <v>954</v>
      </c>
      <c r="P233" t="s">
        <v>846</v>
      </c>
      <c r="Q233" t="s">
        <v>41</v>
      </c>
      <c r="R233" t="s">
        <v>955</v>
      </c>
      <c r="S233" t="b">
        <v>1</v>
      </c>
      <c r="T233" t="b">
        <v>1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</row>
    <row r="234" spans="1:33" x14ac:dyDescent="0.25">
      <c r="A234" t="s">
        <v>838</v>
      </c>
      <c r="B234">
        <v>2</v>
      </c>
      <c r="C234" t="b">
        <v>0</v>
      </c>
      <c r="D234" t="s">
        <v>839</v>
      </c>
      <c r="E234" t="s">
        <v>840</v>
      </c>
      <c r="F234" t="s">
        <v>956</v>
      </c>
      <c r="G234" t="s">
        <v>957</v>
      </c>
      <c r="H234">
        <v>233</v>
      </c>
      <c r="I234" t="str">
        <f>IF(ISBLANK(Table1[[#This Row],[oid]]),"FALSE","TRUE")</f>
        <v>TRUE</v>
      </c>
      <c r="J234" t="str" cm="1">
        <f t="array" ref="J234">_xlfn.SWITCH(LEFT(Table1[[#This Row],[section]],1), "D", "Demographic", "S", "Social", "E", "Economic", "H", "Housing", "")</f>
        <v>Social</v>
      </c>
      <c r="K234" t="s">
        <v>843</v>
      </c>
      <c r="L234" t="s">
        <v>844</v>
      </c>
      <c r="M234" t="str">
        <f>IF(Table1[[#This Row],[used]], _xlfn.CONCAT("🆔 ", Table1[[#This Row],[variable]], ": ",Table1[[#This Row],[alias]]), "")</f>
        <v>🆔 B09016_030E: In households: In Non-family households: Non-relatives: Unmarried partner</v>
      </c>
      <c r="O234" t="s">
        <v>958</v>
      </c>
      <c r="P234" t="s">
        <v>846</v>
      </c>
      <c r="Q234" t="s">
        <v>41</v>
      </c>
      <c r="R234" t="s">
        <v>959</v>
      </c>
      <c r="S234" t="b">
        <v>1</v>
      </c>
      <c r="T234" t="b">
        <v>1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</row>
    <row r="235" spans="1:33" x14ac:dyDescent="0.25">
      <c r="A235" t="s">
        <v>838</v>
      </c>
      <c r="B235">
        <v>2</v>
      </c>
      <c r="C235" t="b">
        <v>0</v>
      </c>
      <c r="D235" t="s">
        <v>839</v>
      </c>
      <c r="E235" t="s">
        <v>840</v>
      </c>
      <c r="F235" t="s">
        <v>960</v>
      </c>
      <c r="G235" t="s">
        <v>961</v>
      </c>
      <c r="H235">
        <v>234</v>
      </c>
      <c r="I235" t="str">
        <f>IF(ISBLANK(Table1[[#This Row],[oid]]),"FALSE","TRUE")</f>
        <v>TRUE</v>
      </c>
      <c r="J235" t="str" cm="1">
        <f t="array" ref="J235">_xlfn.SWITCH(LEFT(Table1[[#This Row],[section]],1), "D", "Demographic", "S", "Social", "E", "Economic", "H", "Housing", "")</f>
        <v>Social</v>
      </c>
      <c r="K235" t="s">
        <v>843</v>
      </c>
      <c r="L235" t="s">
        <v>844</v>
      </c>
      <c r="M235" t="str">
        <f>IF(Table1[[#This Row],[used]], _xlfn.CONCAT("🆔 ", Table1[[#This Row],[variable]], ": ",Table1[[#This Row],[alias]]), "")</f>
        <v>🆔 B09016_031E: In households: In Non-family households: Non-relatives: Foster child</v>
      </c>
      <c r="O235" t="s">
        <v>962</v>
      </c>
      <c r="P235" t="s">
        <v>846</v>
      </c>
      <c r="Q235" t="s">
        <v>41</v>
      </c>
      <c r="R235" t="s">
        <v>963</v>
      </c>
      <c r="S235" t="b">
        <v>1</v>
      </c>
      <c r="T235" t="b">
        <v>1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</row>
    <row r="236" spans="1:33" x14ac:dyDescent="0.25">
      <c r="A236" t="s">
        <v>838</v>
      </c>
      <c r="B236">
        <v>2</v>
      </c>
      <c r="C236" t="b">
        <v>0</v>
      </c>
      <c r="D236" t="s">
        <v>839</v>
      </c>
      <c r="E236" t="s">
        <v>840</v>
      </c>
      <c r="F236" t="s">
        <v>964</v>
      </c>
      <c r="G236" t="s">
        <v>965</v>
      </c>
      <c r="H236">
        <v>235</v>
      </c>
      <c r="I236" t="str">
        <f>IF(ISBLANK(Table1[[#This Row],[oid]]),"FALSE","TRUE")</f>
        <v>TRUE</v>
      </c>
      <c r="J236" t="str" cm="1">
        <f t="array" ref="J236">_xlfn.SWITCH(LEFT(Table1[[#This Row],[section]],1), "D", "Demographic", "S", "Social", "E", "Economic", "H", "Housing", "")</f>
        <v>Social</v>
      </c>
      <c r="K236" t="s">
        <v>843</v>
      </c>
      <c r="L236" t="s">
        <v>844</v>
      </c>
      <c r="M236" t="str">
        <f>IF(Table1[[#This Row],[used]], _xlfn.CONCAT("🆔 ", Table1[[#This Row],[variable]], ": ",Table1[[#This Row],[alias]]), "")</f>
        <v>🆔 B09016_032E: In households: In Non-family households: Non-relatives: Other Non-relatives</v>
      </c>
      <c r="O236" t="s">
        <v>966</v>
      </c>
      <c r="P236" t="s">
        <v>846</v>
      </c>
      <c r="Q236" t="s">
        <v>41</v>
      </c>
      <c r="R236" t="s">
        <v>967</v>
      </c>
      <c r="S236" t="b">
        <v>1</v>
      </c>
      <c r="T236" t="b">
        <v>1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</row>
    <row r="237" spans="1:33" x14ac:dyDescent="0.25">
      <c r="A237" t="s">
        <v>838</v>
      </c>
      <c r="B237">
        <v>2</v>
      </c>
      <c r="C237" t="b">
        <v>0</v>
      </c>
      <c r="D237" t="s">
        <v>839</v>
      </c>
      <c r="E237" t="s">
        <v>840</v>
      </c>
      <c r="F237" t="s">
        <v>968</v>
      </c>
      <c r="G237" t="s">
        <v>969</v>
      </c>
      <c r="H237">
        <v>236</v>
      </c>
      <c r="I237" t="str">
        <f>IF(ISBLANK(Table1[[#This Row],[oid]]),"FALSE","TRUE")</f>
        <v>TRUE</v>
      </c>
      <c r="J237" t="str" cm="1">
        <f t="array" ref="J237">_xlfn.SWITCH(LEFT(Table1[[#This Row],[section]],1), "D", "Demographic", "S", "Social", "E", "Economic", "H", "Housing", "")</f>
        <v>Social</v>
      </c>
      <c r="K237" t="s">
        <v>843</v>
      </c>
      <c r="L237" t="s">
        <v>844</v>
      </c>
      <c r="M237" t="str">
        <f>IF(Table1[[#This Row],[used]], _xlfn.CONCAT("🆔 ", Table1[[#This Row],[variable]], ": ",Table1[[#This Row],[alias]]), "")</f>
        <v>🆔 B09016_033E: In group quarters</v>
      </c>
      <c r="O237" t="s">
        <v>970</v>
      </c>
      <c r="P237" t="s">
        <v>846</v>
      </c>
      <c r="Q237" t="s">
        <v>41</v>
      </c>
      <c r="R237" t="s">
        <v>971</v>
      </c>
      <c r="S237" t="b">
        <v>1</v>
      </c>
      <c r="T237" t="b">
        <v>1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</row>
    <row r="238" spans="1:33" x14ac:dyDescent="0.25">
      <c r="A238" t="s">
        <v>972</v>
      </c>
      <c r="B238">
        <v>13</v>
      </c>
      <c r="C238" t="b">
        <v>0</v>
      </c>
      <c r="D238" t="s">
        <v>839</v>
      </c>
      <c r="E238" t="s">
        <v>973</v>
      </c>
      <c r="F238" t="s">
        <v>974</v>
      </c>
      <c r="G238" t="s">
        <v>842</v>
      </c>
      <c r="H238">
        <v>237</v>
      </c>
      <c r="I238" t="str">
        <f>IF(ISBLANK(Table1[[#This Row],[oid]]),"FALSE","TRUE")</f>
        <v>TRUE</v>
      </c>
      <c r="J238" t="str" cm="1">
        <f t="array" ref="J238">_xlfn.SWITCH(LEFT(Table1[[#This Row],[section]],1), "D", "Demographic", "S", "Social", "E", "Economic", "H", "Housing", "")</f>
        <v>Social</v>
      </c>
      <c r="K238" t="s">
        <v>843</v>
      </c>
      <c r="L238" t="s">
        <v>844</v>
      </c>
      <c r="M238" t="str">
        <f>IF(Table1[[#This Row],[used]], _xlfn.CONCAT("🆔 ", Table1[[#This Row],[variable]], ": ",Table1[[#This Row],[alias]]), "")</f>
        <v>🆔 B09019_002E: Population in Households</v>
      </c>
      <c r="O238" t="s">
        <v>845</v>
      </c>
      <c r="P238" t="s">
        <v>846</v>
      </c>
      <c r="Q238" t="s">
        <v>41</v>
      </c>
      <c r="R238" t="s">
        <v>975</v>
      </c>
      <c r="S238" t="b">
        <v>0</v>
      </c>
      <c r="T238" t="b">
        <v>0</v>
      </c>
      <c r="U238" t="b">
        <v>1</v>
      </c>
      <c r="V238" t="b">
        <v>1</v>
      </c>
      <c r="W238" t="b">
        <v>1</v>
      </c>
      <c r="X238" t="b">
        <v>1</v>
      </c>
      <c r="Y238" t="b">
        <v>1</v>
      </c>
      <c r="Z238" t="b">
        <v>1</v>
      </c>
      <c r="AA238" t="b">
        <v>1</v>
      </c>
      <c r="AB238" t="b">
        <v>1</v>
      </c>
      <c r="AC238" t="b">
        <v>1</v>
      </c>
      <c r="AD238" t="b">
        <v>1</v>
      </c>
      <c r="AE238" t="b">
        <v>1</v>
      </c>
      <c r="AF238" t="b">
        <v>1</v>
      </c>
      <c r="AG238" t="b">
        <v>1</v>
      </c>
    </row>
    <row r="239" spans="1:33" x14ac:dyDescent="0.25">
      <c r="A239" t="s">
        <v>976</v>
      </c>
      <c r="B239">
        <v>7</v>
      </c>
      <c r="C239" t="b">
        <v>0</v>
      </c>
      <c r="D239" t="s">
        <v>839</v>
      </c>
      <c r="E239" t="s">
        <v>973</v>
      </c>
      <c r="F239" t="s">
        <v>977</v>
      </c>
      <c r="G239" t="s">
        <v>849</v>
      </c>
      <c r="H239">
        <v>238</v>
      </c>
      <c r="I239" t="str">
        <f>IF(ISBLANK(Table1[[#This Row],[oid]]),"FALSE","TRUE")</f>
        <v>TRUE</v>
      </c>
      <c r="J239" t="str" cm="1">
        <f t="array" ref="J239">_xlfn.SWITCH(LEFT(Table1[[#This Row],[section]],1), "D", "Demographic", "S", "Social", "E", "Economic", "H", "Housing", "")</f>
        <v>Social</v>
      </c>
      <c r="K239" t="s">
        <v>843</v>
      </c>
      <c r="L239" t="s">
        <v>844</v>
      </c>
      <c r="M239" t="str">
        <f>IF(Table1[[#This Row],[used]], _xlfn.CONCAT("🆔 ", Table1[[#This Row],[variable]], ": ",Table1[[#This Row],[alias]]), "")</f>
        <v>🆔 B09019_003E: In households: In family households</v>
      </c>
      <c r="O239" t="s">
        <v>850</v>
      </c>
      <c r="P239" t="s">
        <v>846</v>
      </c>
      <c r="Q239" t="s">
        <v>41</v>
      </c>
      <c r="R239" t="s">
        <v>978</v>
      </c>
      <c r="S239" t="b">
        <v>0</v>
      </c>
      <c r="T239" t="b">
        <v>0</v>
      </c>
      <c r="U239" t="b">
        <v>1</v>
      </c>
      <c r="V239" t="b">
        <v>1</v>
      </c>
      <c r="W239" t="b">
        <v>1</v>
      </c>
      <c r="X239" t="b">
        <v>1</v>
      </c>
      <c r="Y239" t="b">
        <v>1</v>
      </c>
      <c r="Z239" t="b">
        <v>1</v>
      </c>
      <c r="AA239" t="b">
        <v>1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</row>
    <row r="240" spans="1:33" x14ac:dyDescent="0.25">
      <c r="A240" t="s">
        <v>976</v>
      </c>
      <c r="B240">
        <v>7</v>
      </c>
      <c r="C240" t="b">
        <v>0</v>
      </c>
      <c r="D240" t="s">
        <v>839</v>
      </c>
      <c r="E240" t="s">
        <v>973</v>
      </c>
      <c r="F240" t="s">
        <v>979</v>
      </c>
      <c r="G240" t="s">
        <v>853</v>
      </c>
      <c r="H240">
        <v>239</v>
      </c>
      <c r="I240" t="str">
        <f>IF(ISBLANK(Table1[[#This Row],[oid]]),"FALSE","TRUE")</f>
        <v>TRUE</v>
      </c>
      <c r="J240" t="str" cm="1">
        <f t="array" ref="J240">_xlfn.SWITCH(LEFT(Table1[[#This Row],[section]],1), "D", "Demographic", "S", "Social", "E", "Economic", "H", "Housing", "")</f>
        <v>Social</v>
      </c>
      <c r="K240" t="s">
        <v>843</v>
      </c>
      <c r="L240" t="s">
        <v>844</v>
      </c>
      <c r="M240" t="str">
        <f>IF(Table1[[#This Row],[used]], _xlfn.CONCAT("🆔 ", Table1[[#This Row],[variable]], ": ",Table1[[#This Row],[alias]]), "")</f>
        <v>🆔 B09019_004E: In households: In family households: Householder</v>
      </c>
      <c r="O240" t="s">
        <v>854</v>
      </c>
      <c r="P240" t="s">
        <v>846</v>
      </c>
      <c r="Q240" t="s">
        <v>41</v>
      </c>
      <c r="R240" t="s">
        <v>980</v>
      </c>
      <c r="S240" t="b">
        <v>0</v>
      </c>
      <c r="T240" t="b">
        <v>0</v>
      </c>
      <c r="U240" t="b">
        <v>1</v>
      </c>
      <c r="V240" t="b">
        <v>1</v>
      </c>
      <c r="W240" t="b">
        <v>1</v>
      </c>
      <c r="X240" t="b">
        <v>1</v>
      </c>
      <c r="Y240" t="b">
        <v>1</v>
      </c>
      <c r="Z240" t="b">
        <v>1</v>
      </c>
      <c r="AA240" t="b">
        <v>1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</row>
    <row r="241" spans="1:33" x14ac:dyDescent="0.25">
      <c r="A241" t="s">
        <v>976</v>
      </c>
      <c r="B241">
        <v>7</v>
      </c>
      <c r="C241" t="b">
        <v>0</v>
      </c>
      <c r="D241" t="s">
        <v>839</v>
      </c>
      <c r="E241" t="s">
        <v>973</v>
      </c>
      <c r="F241" t="s">
        <v>981</v>
      </c>
      <c r="G241" t="s">
        <v>857</v>
      </c>
      <c r="H241">
        <v>240</v>
      </c>
      <c r="I241" t="str">
        <f>IF(ISBLANK(Table1[[#This Row],[oid]]),"FALSE","TRUE")</f>
        <v>TRUE</v>
      </c>
      <c r="J241" t="str" cm="1">
        <f t="array" ref="J241">_xlfn.SWITCH(LEFT(Table1[[#This Row],[section]],1), "D", "Demographic", "S", "Social", "E", "Economic", "H", "Housing", "")</f>
        <v>Social</v>
      </c>
      <c r="K241" t="s">
        <v>843</v>
      </c>
      <c r="L241" t="s">
        <v>844</v>
      </c>
      <c r="M241" t="str">
        <f>IF(Table1[[#This Row],[used]], _xlfn.CONCAT("🆔 ", Table1[[#This Row],[variable]], ": ",Table1[[#This Row],[alias]]), "")</f>
        <v>🆔 B09019_005E: In households: In family households: Householder: Male</v>
      </c>
      <c r="O241" t="s">
        <v>858</v>
      </c>
      <c r="P241" t="s">
        <v>846</v>
      </c>
      <c r="Q241" t="s">
        <v>41</v>
      </c>
      <c r="R241" t="s">
        <v>982</v>
      </c>
      <c r="S241" t="b">
        <v>0</v>
      </c>
      <c r="T241" t="b">
        <v>0</v>
      </c>
      <c r="U241" t="b">
        <v>1</v>
      </c>
      <c r="V241" t="b">
        <v>1</v>
      </c>
      <c r="W241" t="b">
        <v>1</v>
      </c>
      <c r="X241" t="b">
        <v>1</v>
      </c>
      <c r="Y241" t="b">
        <v>1</v>
      </c>
      <c r="Z241" t="b">
        <v>1</v>
      </c>
      <c r="AA241" t="b">
        <v>1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</row>
    <row r="242" spans="1:33" x14ac:dyDescent="0.25">
      <c r="A242" t="s">
        <v>976</v>
      </c>
      <c r="B242">
        <v>7</v>
      </c>
      <c r="C242" t="b">
        <v>0</v>
      </c>
      <c r="D242" t="s">
        <v>839</v>
      </c>
      <c r="E242" t="s">
        <v>973</v>
      </c>
      <c r="F242" t="s">
        <v>983</v>
      </c>
      <c r="G242" t="s">
        <v>861</v>
      </c>
      <c r="H242">
        <v>241</v>
      </c>
      <c r="I242" t="str">
        <f>IF(ISBLANK(Table1[[#This Row],[oid]]),"FALSE","TRUE")</f>
        <v>TRUE</v>
      </c>
      <c r="J242" t="str" cm="1">
        <f t="array" ref="J242">_xlfn.SWITCH(LEFT(Table1[[#This Row],[section]],1), "D", "Demographic", "S", "Social", "E", "Economic", "H", "Housing", "")</f>
        <v>Social</v>
      </c>
      <c r="K242" t="s">
        <v>843</v>
      </c>
      <c r="L242" t="s">
        <v>844</v>
      </c>
      <c r="M242" t="str">
        <f>IF(Table1[[#This Row],[used]], _xlfn.CONCAT("🆔 ", Table1[[#This Row],[variable]], ": ",Table1[[#This Row],[alias]]), "")</f>
        <v>🆔 B09019_006E: In households: In family households: Householder: Female</v>
      </c>
      <c r="O242" t="s">
        <v>862</v>
      </c>
      <c r="P242" t="s">
        <v>846</v>
      </c>
      <c r="Q242" t="s">
        <v>41</v>
      </c>
      <c r="R242" t="s">
        <v>984</v>
      </c>
      <c r="S242" t="b">
        <v>0</v>
      </c>
      <c r="T242" t="b">
        <v>0</v>
      </c>
      <c r="U242" t="b">
        <v>1</v>
      </c>
      <c r="V242" t="b">
        <v>1</v>
      </c>
      <c r="W242" t="b">
        <v>1</v>
      </c>
      <c r="X242" t="b">
        <v>1</v>
      </c>
      <c r="Y242" t="b">
        <v>1</v>
      </c>
      <c r="Z242" t="b">
        <v>1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</row>
    <row r="243" spans="1:33" x14ac:dyDescent="0.25">
      <c r="A243" t="s">
        <v>976</v>
      </c>
      <c r="B243">
        <v>7</v>
      </c>
      <c r="C243" t="b">
        <v>0</v>
      </c>
      <c r="D243" t="s">
        <v>839</v>
      </c>
      <c r="E243" t="s">
        <v>973</v>
      </c>
      <c r="F243" t="s">
        <v>985</v>
      </c>
      <c r="G243" t="s">
        <v>865</v>
      </c>
      <c r="H243">
        <v>242</v>
      </c>
      <c r="I243" t="str">
        <f>IF(ISBLANK(Table1[[#This Row],[oid]]),"FALSE","TRUE")</f>
        <v>TRUE</v>
      </c>
      <c r="J243" t="str" cm="1">
        <f t="array" ref="J243">_xlfn.SWITCH(LEFT(Table1[[#This Row],[section]],1), "D", "Demographic", "S", "Social", "E", "Economic", "H", "Housing", "")</f>
        <v>Social</v>
      </c>
      <c r="K243" t="s">
        <v>843</v>
      </c>
      <c r="L243" t="s">
        <v>844</v>
      </c>
      <c r="M243" t="str">
        <f>IF(Table1[[#This Row],[used]], _xlfn.CONCAT("🆔 ", Table1[[#This Row],[variable]], ": ",Table1[[#This Row],[alias]]), "")</f>
        <v>🆔 B09019_007E: In households: In family households: Spouse</v>
      </c>
      <c r="O243" t="s">
        <v>866</v>
      </c>
      <c r="P243" t="s">
        <v>846</v>
      </c>
      <c r="Q243" t="s">
        <v>41</v>
      </c>
      <c r="R243" t="s">
        <v>986</v>
      </c>
      <c r="S243" t="b">
        <v>0</v>
      </c>
      <c r="T243" t="b">
        <v>0</v>
      </c>
      <c r="U243" t="b">
        <v>1</v>
      </c>
      <c r="V243" t="b">
        <v>1</v>
      </c>
      <c r="W243" t="b">
        <v>1</v>
      </c>
      <c r="X243" t="b">
        <v>1</v>
      </c>
      <c r="Y243" t="b">
        <v>1</v>
      </c>
      <c r="Z243" t="b">
        <v>1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</row>
    <row r="244" spans="1:33" x14ac:dyDescent="0.25">
      <c r="A244" t="s">
        <v>976</v>
      </c>
      <c r="B244">
        <v>7</v>
      </c>
      <c r="C244" t="b">
        <v>0</v>
      </c>
      <c r="D244" t="s">
        <v>839</v>
      </c>
      <c r="E244" t="s">
        <v>973</v>
      </c>
      <c r="F244" t="s">
        <v>987</v>
      </c>
      <c r="G244" t="s">
        <v>869</v>
      </c>
      <c r="H244">
        <v>243</v>
      </c>
      <c r="I244" t="str">
        <f>IF(ISBLANK(Table1[[#This Row],[oid]]),"FALSE","TRUE")</f>
        <v>TRUE</v>
      </c>
      <c r="J244" t="str" cm="1">
        <f t="array" ref="J244">_xlfn.SWITCH(LEFT(Table1[[#This Row],[section]],1), "D", "Demographic", "S", "Social", "E", "Economic", "H", "Housing", "")</f>
        <v>Social</v>
      </c>
      <c r="K244" t="s">
        <v>843</v>
      </c>
      <c r="L244" t="s">
        <v>844</v>
      </c>
      <c r="M244" t="str">
        <f>IF(Table1[[#This Row],[used]], _xlfn.CONCAT("🆔 ", Table1[[#This Row],[variable]], ": ",Table1[[#This Row],[alias]]), "")</f>
        <v>🆔 B09019_008E: In households: In family households: Child</v>
      </c>
      <c r="O244" t="s">
        <v>870</v>
      </c>
      <c r="P244" t="s">
        <v>846</v>
      </c>
      <c r="Q244" t="s">
        <v>41</v>
      </c>
      <c r="R244" t="s">
        <v>988</v>
      </c>
      <c r="S244" t="b">
        <v>0</v>
      </c>
      <c r="T244" t="b">
        <v>0</v>
      </c>
      <c r="U244" t="b">
        <v>1</v>
      </c>
      <c r="V244" t="b">
        <v>1</v>
      </c>
      <c r="W244" t="b">
        <v>1</v>
      </c>
      <c r="X244" t="b">
        <v>1</v>
      </c>
      <c r="Y244" t="b">
        <v>1</v>
      </c>
      <c r="Z244" t="b">
        <v>1</v>
      </c>
      <c r="AA244" t="b">
        <v>1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</row>
    <row r="245" spans="1:33" x14ac:dyDescent="0.25">
      <c r="A245" t="s">
        <v>976</v>
      </c>
      <c r="B245">
        <v>7</v>
      </c>
      <c r="C245" t="b">
        <v>0</v>
      </c>
      <c r="D245" t="s">
        <v>839</v>
      </c>
      <c r="E245" t="s">
        <v>973</v>
      </c>
      <c r="F245" t="s">
        <v>989</v>
      </c>
      <c r="G245" t="s">
        <v>990</v>
      </c>
      <c r="H245">
        <v>244</v>
      </c>
      <c r="I245" t="str">
        <f>IF(ISBLANK(Table1[[#This Row],[oid]]),"FALSE","TRUE")</f>
        <v>TRUE</v>
      </c>
      <c r="J245" t="str" cm="1">
        <f t="array" ref="J245">_xlfn.SWITCH(LEFT(Table1[[#This Row],[section]],1), "D", "Demographic", "S", "Social", "E", "Economic", "H", "Housing", "")</f>
        <v>Social</v>
      </c>
      <c r="K245" t="s">
        <v>843</v>
      </c>
      <c r="L245" t="s">
        <v>844</v>
      </c>
      <c r="M245" t="str">
        <f>IF(Table1[[#This Row],[used]], _xlfn.CONCAT("🆔 ", Table1[[#This Row],[variable]], ": ",Table1[[#This Row],[alias]]), "")</f>
        <v>🆔 B09019_009E: In households: In family households: Child: Biological child</v>
      </c>
      <c r="O245" t="s">
        <v>991</v>
      </c>
      <c r="P245" t="s">
        <v>846</v>
      </c>
      <c r="Q245" t="s">
        <v>41</v>
      </c>
      <c r="R245" t="s">
        <v>992</v>
      </c>
      <c r="S245" t="b">
        <v>0</v>
      </c>
      <c r="T245" t="b">
        <v>0</v>
      </c>
      <c r="U245" t="b">
        <v>1</v>
      </c>
      <c r="V245" t="b">
        <v>1</v>
      </c>
      <c r="W245" t="b">
        <v>1</v>
      </c>
      <c r="X245" t="b">
        <v>1</v>
      </c>
      <c r="Y245" t="b">
        <v>1</v>
      </c>
      <c r="Z245" t="b">
        <v>1</v>
      </c>
      <c r="AA245" t="b">
        <v>1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</row>
    <row r="246" spans="1:33" x14ac:dyDescent="0.25">
      <c r="A246" t="s">
        <v>976</v>
      </c>
      <c r="B246">
        <v>7</v>
      </c>
      <c r="C246" t="b">
        <v>0</v>
      </c>
      <c r="D246" t="s">
        <v>839</v>
      </c>
      <c r="E246" t="s">
        <v>973</v>
      </c>
      <c r="F246" t="s">
        <v>993</v>
      </c>
      <c r="G246" t="s">
        <v>994</v>
      </c>
      <c r="H246">
        <v>245</v>
      </c>
      <c r="I246" t="str">
        <f>IF(ISBLANK(Table1[[#This Row],[oid]]),"FALSE","TRUE")</f>
        <v>TRUE</v>
      </c>
      <c r="J246" t="str" cm="1">
        <f t="array" ref="J246">_xlfn.SWITCH(LEFT(Table1[[#This Row],[section]],1), "D", "Demographic", "S", "Social", "E", "Economic", "H", "Housing", "")</f>
        <v>Social</v>
      </c>
      <c r="K246" t="s">
        <v>843</v>
      </c>
      <c r="L246" t="s">
        <v>844</v>
      </c>
      <c r="M246" t="str">
        <f>IF(Table1[[#This Row],[used]], _xlfn.CONCAT("🆔 ", Table1[[#This Row],[variable]], ": ",Table1[[#This Row],[alias]]), "")</f>
        <v>🆔 B09019_010E: In households: In family households: Child: Adopted child</v>
      </c>
      <c r="O246" t="s">
        <v>995</v>
      </c>
      <c r="P246" t="s">
        <v>846</v>
      </c>
      <c r="Q246" t="s">
        <v>41</v>
      </c>
      <c r="R246" t="s">
        <v>996</v>
      </c>
      <c r="S246" t="b">
        <v>0</v>
      </c>
      <c r="T246" t="b">
        <v>0</v>
      </c>
      <c r="U246" t="b">
        <v>1</v>
      </c>
      <c r="V246" t="b">
        <v>1</v>
      </c>
      <c r="W246" t="b">
        <v>1</v>
      </c>
      <c r="X246" t="b">
        <v>1</v>
      </c>
      <c r="Y246" t="b">
        <v>1</v>
      </c>
      <c r="Z246" t="b">
        <v>1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</row>
    <row r="247" spans="1:33" x14ac:dyDescent="0.25">
      <c r="A247" t="s">
        <v>976</v>
      </c>
      <c r="B247">
        <v>7</v>
      </c>
      <c r="C247" t="b">
        <v>0</v>
      </c>
      <c r="D247" t="s">
        <v>839</v>
      </c>
      <c r="E247" t="s">
        <v>973</v>
      </c>
      <c r="F247" t="s">
        <v>997</v>
      </c>
      <c r="G247" t="s">
        <v>998</v>
      </c>
      <c r="H247">
        <v>246</v>
      </c>
      <c r="I247" t="str">
        <f>IF(ISBLANK(Table1[[#This Row],[oid]]),"FALSE","TRUE")</f>
        <v>TRUE</v>
      </c>
      <c r="J247" t="str" cm="1">
        <f t="array" ref="J247">_xlfn.SWITCH(LEFT(Table1[[#This Row],[section]],1), "D", "Demographic", "S", "Social", "E", "Economic", "H", "Housing", "")</f>
        <v>Social</v>
      </c>
      <c r="K247" t="s">
        <v>843</v>
      </c>
      <c r="L247" t="s">
        <v>844</v>
      </c>
      <c r="M247" t="str">
        <f>IF(Table1[[#This Row],[used]], _xlfn.CONCAT("🆔 ", Table1[[#This Row],[variable]], ": ",Table1[[#This Row],[alias]]), "")</f>
        <v>🆔 B09019_011E: In households: In family households: Child: Stepchild</v>
      </c>
      <c r="O247" t="s">
        <v>999</v>
      </c>
      <c r="P247" t="s">
        <v>846</v>
      </c>
      <c r="Q247" t="s">
        <v>41</v>
      </c>
      <c r="R247" t="s">
        <v>1000</v>
      </c>
      <c r="S247" t="b">
        <v>0</v>
      </c>
      <c r="T247" t="b">
        <v>0</v>
      </c>
      <c r="U247" t="b">
        <v>1</v>
      </c>
      <c r="V247" t="b">
        <v>1</v>
      </c>
      <c r="W247" t="b">
        <v>1</v>
      </c>
      <c r="X247" t="b">
        <v>1</v>
      </c>
      <c r="Y247" t="b">
        <v>1</v>
      </c>
      <c r="Z247" t="b">
        <v>1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</row>
    <row r="248" spans="1:33" x14ac:dyDescent="0.25">
      <c r="A248" t="s">
        <v>976</v>
      </c>
      <c r="B248">
        <v>7</v>
      </c>
      <c r="C248" t="b">
        <v>0</v>
      </c>
      <c r="D248" t="s">
        <v>839</v>
      </c>
      <c r="E248" t="s">
        <v>973</v>
      </c>
      <c r="F248" t="s">
        <v>1001</v>
      </c>
      <c r="G248" t="s">
        <v>873</v>
      </c>
      <c r="H248">
        <v>247</v>
      </c>
      <c r="I248" t="str">
        <f>IF(ISBLANK(Table1[[#This Row],[oid]]),"FALSE","TRUE")</f>
        <v>TRUE</v>
      </c>
      <c r="J248" t="str" cm="1">
        <f t="array" ref="J248">_xlfn.SWITCH(LEFT(Table1[[#This Row],[section]],1), "D", "Demographic", "S", "Social", "E", "Economic", "H", "Housing", "")</f>
        <v>Social</v>
      </c>
      <c r="K248" t="s">
        <v>843</v>
      </c>
      <c r="L248" t="s">
        <v>844</v>
      </c>
      <c r="M248" t="str">
        <f>IF(Table1[[#This Row],[used]], _xlfn.CONCAT("🆔 ", Table1[[#This Row],[variable]], ": ",Table1[[#This Row],[alias]]), "")</f>
        <v>🆔 B09019_012E: In households: In family households: Grandchild</v>
      </c>
      <c r="O248" t="s">
        <v>874</v>
      </c>
      <c r="P248" t="s">
        <v>846</v>
      </c>
      <c r="Q248" t="s">
        <v>41</v>
      </c>
      <c r="R248" t="s">
        <v>1002</v>
      </c>
      <c r="S248" t="b">
        <v>0</v>
      </c>
      <c r="T248" t="b">
        <v>0</v>
      </c>
      <c r="U248" t="b">
        <v>1</v>
      </c>
      <c r="V248" t="b">
        <v>1</v>
      </c>
      <c r="W248" t="b">
        <v>1</v>
      </c>
      <c r="X248" t="b">
        <v>1</v>
      </c>
      <c r="Y248" t="b">
        <v>1</v>
      </c>
      <c r="Z248" t="b">
        <v>1</v>
      </c>
      <c r="AA248" t="b">
        <v>1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</row>
    <row r="249" spans="1:33" x14ac:dyDescent="0.25">
      <c r="A249" t="s">
        <v>976</v>
      </c>
      <c r="B249">
        <v>7</v>
      </c>
      <c r="C249" t="b">
        <v>0</v>
      </c>
      <c r="D249" t="s">
        <v>839</v>
      </c>
      <c r="E249" t="s">
        <v>973</v>
      </c>
      <c r="F249" t="s">
        <v>1003</v>
      </c>
      <c r="G249" t="s">
        <v>877</v>
      </c>
      <c r="H249">
        <v>248</v>
      </c>
      <c r="I249" t="str">
        <f>IF(ISBLANK(Table1[[#This Row],[oid]]),"FALSE","TRUE")</f>
        <v>TRUE</v>
      </c>
      <c r="J249" t="str" cm="1">
        <f t="array" ref="J249">_xlfn.SWITCH(LEFT(Table1[[#This Row],[section]],1), "D", "Demographic", "S", "Social", "E", "Economic", "H", "Housing", "")</f>
        <v>Social</v>
      </c>
      <c r="K249" t="s">
        <v>843</v>
      </c>
      <c r="L249" t="s">
        <v>844</v>
      </c>
      <c r="M249" t="str">
        <f>IF(Table1[[#This Row],[used]], _xlfn.CONCAT("🆔 ", Table1[[#This Row],[variable]], ": ",Table1[[#This Row],[alias]]), "")</f>
        <v>🆔 B09019_013E: In households: In family households: Brother or sister</v>
      </c>
      <c r="O249" t="s">
        <v>878</v>
      </c>
      <c r="P249" t="s">
        <v>846</v>
      </c>
      <c r="Q249" t="s">
        <v>41</v>
      </c>
      <c r="R249" t="s">
        <v>1004</v>
      </c>
      <c r="S249" t="b">
        <v>0</v>
      </c>
      <c r="T249" t="b">
        <v>0</v>
      </c>
      <c r="U249" t="b">
        <v>1</v>
      </c>
      <c r="V249" t="b">
        <v>1</v>
      </c>
      <c r="W249" t="b">
        <v>1</v>
      </c>
      <c r="X249" t="b">
        <v>1</v>
      </c>
      <c r="Y249" t="b">
        <v>1</v>
      </c>
      <c r="Z249" t="b">
        <v>1</v>
      </c>
      <c r="AA249" t="b">
        <v>1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</row>
    <row r="250" spans="1:33" x14ac:dyDescent="0.25">
      <c r="A250" t="s">
        <v>976</v>
      </c>
      <c r="B250">
        <v>7</v>
      </c>
      <c r="C250" t="b">
        <v>0</v>
      </c>
      <c r="D250" t="s">
        <v>839</v>
      </c>
      <c r="E250" t="s">
        <v>973</v>
      </c>
      <c r="F250" t="s">
        <v>1005</v>
      </c>
      <c r="G250" t="s">
        <v>881</v>
      </c>
      <c r="H250">
        <v>249</v>
      </c>
      <c r="I250" t="str">
        <f>IF(ISBLANK(Table1[[#This Row],[oid]]),"FALSE","TRUE")</f>
        <v>TRUE</v>
      </c>
      <c r="J250" t="str" cm="1">
        <f t="array" ref="J250">_xlfn.SWITCH(LEFT(Table1[[#This Row],[section]],1), "D", "Demographic", "S", "Social", "E", "Economic", "H", "Housing", "")</f>
        <v>Social</v>
      </c>
      <c r="K250" t="s">
        <v>843</v>
      </c>
      <c r="L250" t="s">
        <v>844</v>
      </c>
      <c r="M250" t="str">
        <f>IF(Table1[[#This Row],[used]], _xlfn.CONCAT("🆔 ", Table1[[#This Row],[variable]], ": ",Table1[[#This Row],[alias]]), "")</f>
        <v>🆔 B09019_014E: In households: In family households: Parent</v>
      </c>
      <c r="O250" t="s">
        <v>882</v>
      </c>
      <c r="P250" t="s">
        <v>846</v>
      </c>
      <c r="Q250" t="s">
        <v>41</v>
      </c>
      <c r="R250" t="s">
        <v>1006</v>
      </c>
      <c r="S250" t="b">
        <v>0</v>
      </c>
      <c r="T250" t="b">
        <v>0</v>
      </c>
      <c r="U250" t="b">
        <v>1</v>
      </c>
      <c r="V250" t="b">
        <v>1</v>
      </c>
      <c r="W250" t="b">
        <v>1</v>
      </c>
      <c r="X250" t="b">
        <v>1</v>
      </c>
      <c r="Y250" t="b">
        <v>1</v>
      </c>
      <c r="Z250" t="b">
        <v>1</v>
      </c>
      <c r="AA250" t="b">
        <v>1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</row>
    <row r="251" spans="1:33" x14ac:dyDescent="0.25">
      <c r="A251" t="s">
        <v>976</v>
      </c>
      <c r="B251">
        <v>7</v>
      </c>
      <c r="C251" t="b">
        <v>0</v>
      </c>
      <c r="D251" t="s">
        <v>839</v>
      </c>
      <c r="E251" t="s">
        <v>973</v>
      </c>
      <c r="F251" t="s">
        <v>1007</v>
      </c>
      <c r="G251" t="s">
        <v>1008</v>
      </c>
      <c r="H251">
        <v>250</v>
      </c>
      <c r="I251" t="str">
        <f>IF(ISBLANK(Table1[[#This Row],[oid]]),"FALSE","TRUE")</f>
        <v>TRUE</v>
      </c>
      <c r="J251" t="str" cm="1">
        <f t="array" ref="J251">_xlfn.SWITCH(LEFT(Table1[[#This Row],[section]],1), "D", "Demographic", "S", "Social", "E", "Economic", "H", "Housing", "")</f>
        <v>Social</v>
      </c>
      <c r="K251" t="s">
        <v>843</v>
      </c>
      <c r="L251" t="s">
        <v>844</v>
      </c>
      <c r="M251" t="str">
        <f>IF(Table1[[#This Row],[used]], _xlfn.CONCAT("🆔 ", Table1[[#This Row],[variable]], ": ",Table1[[#This Row],[alias]]), "")</f>
        <v>🆔 B09019_015E: In households: In family households: Parent-in-law</v>
      </c>
      <c r="O251" t="s">
        <v>1009</v>
      </c>
      <c r="P251" t="s">
        <v>846</v>
      </c>
      <c r="Q251" t="s">
        <v>41</v>
      </c>
      <c r="R251" t="s">
        <v>1010</v>
      </c>
      <c r="S251" t="b">
        <v>0</v>
      </c>
      <c r="T251" t="b">
        <v>0</v>
      </c>
      <c r="U251" t="b">
        <v>1</v>
      </c>
      <c r="V251" t="b">
        <v>1</v>
      </c>
      <c r="W251" t="b">
        <v>1</v>
      </c>
      <c r="X251" t="b">
        <v>1</v>
      </c>
      <c r="Y251" t="b">
        <v>1</v>
      </c>
      <c r="Z251" t="b">
        <v>1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</row>
    <row r="252" spans="1:33" x14ac:dyDescent="0.25">
      <c r="A252" t="s">
        <v>976</v>
      </c>
      <c r="B252">
        <v>7</v>
      </c>
      <c r="C252" t="b">
        <v>0</v>
      </c>
      <c r="D252" t="s">
        <v>839</v>
      </c>
      <c r="E252" t="s">
        <v>973</v>
      </c>
      <c r="F252" t="s">
        <v>1011</v>
      </c>
      <c r="G252" t="s">
        <v>1012</v>
      </c>
      <c r="H252">
        <v>251</v>
      </c>
      <c r="I252" t="str">
        <f>IF(ISBLANK(Table1[[#This Row],[oid]]),"FALSE","TRUE")</f>
        <v>TRUE</v>
      </c>
      <c r="J252" t="str" cm="1">
        <f t="array" ref="J252">_xlfn.SWITCH(LEFT(Table1[[#This Row],[section]],1), "D", "Demographic", "S", "Social", "E", "Economic", "H", "Housing", "")</f>
        <v>Social</v>
      </c>
      <c r="K252" t="s">
        <v>843</v>
      </c>
      <c r="L252" t="s">
        <v>844</v>
      </c>
      <c r="M252" t="str">
        <f>IF(Table1[[#This Row],[used]], _xlfn.CONCAT("🆔 ", Table1[[#This Row],[variable]], ": ",Table1[[#This Row],[alias]]), "")</f>
        <v>🆔 B09019_016E: In households: In family households: Son-in-law or daughter-in-law</v>
      </c>
      <c r="O252" t="s">
        <v>1013</v>
      </c>
      <c r="P252" t="s">
        <v>846</v>
      </c>
      <c r="Q252" t="s">
        <v>41</v>
      </c>
      <c r="R252" t="s">
        <v>1014</v>
      </c>
      <c r="S252" t="b">
        <v>0</v>
      </c>
      <c r="T252" t="b">
        <v>0</v>
      </c>
      <c r="U252" t="b">
        <v>1</v>
      </c>
      <c r="V252" t="b">
        <v>1</v>
      </c>
      <c r="W252" t="b">
        <v>1</v>
      </c>
      <c r="X252" t="b">
        <v>1</v>
      </c>
      <c r="Y252" t="b">
        <v>1</v>
      </c>
      <c r="Z252" t="b">
        <v>1</v>
      </c>
      <c r="AA252" t="b">
        <v>1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</row>
    <row r="253" spans="1:33" x14ac:dyDescent="0.25">
      <c r="A253" t="s">
        <v>976</v>
      </c>
      <c r="B253">
        <v>7</v>
      </c>
      <c r="C253" t="b">
        <v>0</v>
      </c>
      <c r="D253" t="s">
        <v>839</v>
      </c>
      <c r="E253" t="s">
        <v>973</v>
      </c>
      <c r="F253" t="s">
        <v>1015</v>
      </c>
      <c r="G253" t="s">
        <v>885</v>
      </c>
      <c r="H253">
        <v>252</v>
      </c>
      <c r="I253" t="str">
        <f>IF(ISBLANK(Table1[[#This Row],[oid]]),"FALSE","TRUE")</f>
        <v>TRUE</v>
      </c>
      <c r="J253" t="str" cm="1">
        <f t="array" ref="J253">_xlfn.SWITCH(LEFT(Table1[[#This Row],[section]],1), "D", "Demographic", "S", "Social", "E", "Economic", "H", "Housing", "")</f>
        <v>Social</v>
      </c>
      <c r="K253" t="s">
        <v>843</v>
      </c>
      <c r="L253" t="s">
        <v>844</v>
      </c>
      <c r="M253" t="str">
        <f>IF(Table1[[#This Row],[used]], _xlfn.CONCAT("🆔 ", Table1[[#This Row],[variable]], ": ",Table1[[#This Row],[alias]]), "")</f>
        <v>🆔 B09019_017E: In households: In family households: Other relatives</v>
      </c>
      <c r="O253" t="s">
        <v>886</v>
      </c>
      <c r="P253" t="s">
        <v>846</v>
      </c>
      <c r="Q253" t="s">
        <v>41</v>
      </c>
      <c r="R253" t="s">
        <v>1016</v>
      </c>
      <c r="S253" t="b">
        <v>0</v>
      </c>
      <c r="T253" t="b">
        <v>0</v>
      </c>
      <c r="U253" t="b">
        <v>1</v>
      </c>
      <c r="V253" t="b">
        <v>1</v>
      </c>
      <c r="W253" t="b">
        <v>1</v>
      </c>
      <c r="X253" t="b">
        <v>1</v>
      </c>
      <c r="Y253" t="b">
        <v>1</v>
      </c>
      <c r="Z253" t="b">
        <v>1</v>
      </c>
      <c r="AA253" t="b">
        <v>1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</row>
    <row r="254" spans="1:33" x14ac:dyDescent="0.25">
      <c r="A254" t="s">
        <v>976</v>
      </c>
      <c r="B254">
        <v>7</v>
      </c>
      <c r="C254" t="b">
        <v>0</v>
      </c>
      <c r="D254" t="s">
        <v>839</v>
      </c>
      <c r="E254" t="s">
        <v>973</v>
      </c>
      <c r="F254" t="s">
        <v>1017</v>
      </c>
      <c r="G254" t="s">
        <v>889</v>
      </c>
      <c r="H254">
        <v>253</v>
      </c>
      <c r="I254" t="str">
        <f>IF(ISBLANK(Table1[[#This Row],[oid]]),"FALSE","TRUE")</f>
        <v>TRUE</v>
      </c>
      <c r="J254" t="str" cm="1">
        <f t="array" ref="J254">_xlfn.SWITCH(LEFT(Table1[[#This Row],[section]],1), "D", "Demographic", "S", "Social", "E", "Economic", "H", "Housing", "")</f>
        <v>Social</v>
      </c>
      <c r="K254" t="s">
        <v>843</v>
      </c>
      <c r="L254" t="s">
        <v>844</v>
      </c>
      <c r="M254" t="str">
        <f>IF(Table1[[#This Row],[used]], _xlfn.CONCAT("🆔 ", Table1[[#This Row],[variable]], ": ",Table1[[#This Row],[alias]]), "")</f>
        <v>🆔 B09019_018E: In households: In family households: Non-relatives</v>
      </c>
      <c r="O254" t="s">
        <v>890</v>
      </c>
      <c r="P254" t="s">
        <v>846</v>
      </c>
      <c r="Q254" t="s">
        <v>41</v>
      </c>
      <c r="R254" t="s">
        <v>1018</v>
      </c>
      <c r="S254" t="b">
        <v>0</v>
      </c>
      <c r="T254" t="b">
        <v>0</v>
      </c>
      <c r="U254" t="b">
        <v>1</v>
      </c>
      <c r="V254" t="b">
        <v>1</v>
      </c>
      <c r="W254" t="b">
        <v>1</v>
      </c>
      <c r="X254" t="b">
        <v>1</v>
      </c>
      <c r="Y254" t="b">
        <v>1</v>
      </c>
      <c r="Z254" t="b">
        <v>1</v>
      </c>
      <c r="AA254" t="b">
        <v>1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</row>
    <row r="255" spans="1:33" x14ac:dyDescent="0.25">
      <c r="A255" t="s">
        <v>976</v>
      </c>
      <c r="B255">
        <v>7</v>
      </c>
      <c r="C255" t="b">
        <v>0</v>
      </c>
      <c r="D255" t="s">
        <v>839</v>
      </c>
      <c r="E255" t="s">
        <v>973</v>
      </c>
      <c r="F255" t="s">
        <v>1019</v>
      </c>
      <c r="G255" t="s">
        <v>893</v>
      </c>
      <c r="H255">
        <v>254</v>
      </c>
      <c r="I255" t="str">
        <f>IF(ISBLANK(Table1[[#This Row],[oid]]),"FALSE","TRUE")</f>
        <v>TRUE</v>
      </c>
      <c r="J255" t="str" cm="1">
        <f t="array" ref="J255">_xlfn.SWITCH(LEFT(Table1[[#This Row],[section]],1), "D", "Demographic", "S", "Social", "E", "Economic", "H", "Housing", "")</f>
        <v>Social</v>
      </c>
      <c r="K255" t="s">
        <v>843</v>
      </c>
      <c r="L255" t="s">
        <v>844</v>
      </c>
      <c r="M255" t="str">
        <f>IF(Table1[[#This Row],[used]], _xlfn.CONCAT("🆔 ", Table1[[#This Row],[variable]], ": ",Table1[[#This Row],[alias]]), "")</f>
        <v>🆔 B09019_019E: In households: In family households: Non-relatives: Roomer or boarder</v>
      </c>
      <c r="O255" t="s">
        <v>894</v>
      </c>
      <c r="P255" t="s">
        <v>846</v>
      </c>
      <c r="Q255" t="s">
        <v>41</v>
      </c>
      <c r="R255" t="s">
        <v>1020</v>
      </c>
      <c r="S255" t="b">
        <v>0</v>
      </c>
      <c r="T255" t="b">
        <v>0</v>
      </c>
      <c r="U255" t="b">
        <v>1</v>
      </c>
      <c r="V255" t="b">
        <v>1</v>
      </c>
      <c r="W255" t="b">
        <v>1</v>
      </c>
      <c r="X255" t="b">
        <v>1</v>
      </c>
      <c r="Y255" t="b">
        <v>1</v>
      </c>
      <c r="Z255" t="b">
        <v>1</v>
      </c>
      <c r="AA255" t="b">
        <v>1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</row>
    <row r="256" spans="1:33" x14ac:dyDescent="0.25">
      <c r="A256" t="s">
        <v>976</v>
      </c>
      <c r="B256">
        <v>7</v>
      </c>
      <c r="C256" t="b">
        <v>0</v>
      </c>
      <c r="D256" t="s">
        <v>839</v>
      </c>
      <c r="E256" t="s">
        <v>973</v>
      </c>
      <c r="F256" t="s">
        <v>1021</v>
      </c>
      <c r="G256" t="s">
        <v>897</v>
      </c>
      <c r="H256">
        <v>255</v>
      </c>
      <c r="I256" t="str">
        <f>IF(ISBLANK(Table1[[#This Row],[oid]]),"FALSE","TRUE")</f>
        <v>TRUE</v>
      </c>
      <c r="J256" t="str" cm="1">
        <f t="array" ref="J256">_xlfn.SWITCH(LEFT(Table1[[#This Row],[section]],1), "D", "Demographic", "S", "Social", "E", "Economic", "H", "Housing", "")</f>
        <v>Social</v>
      </c>
      <c r="K256" t="s">
        <v>843</v>
      </c>
      <c r="L256" t="s">
        <v>844</v>
      </c>
      <c r="M256" t="str">
        <f>IF(Table1[[#This Row],[used]], _xlfn.CONCAT("🆔 ", Table1[[#This Row],[variable]], ": ",Table1[[#This Row],[alias]]), "")</f>
        <v>🆔 B09019_020E: In households: In family households: Non-relatives: Housemate or roommate</v>
      </c>
      <c r="O256" t="s">
        <v>898</v>
      </c>
      <c r="P256" t="s">
        <v>846</v>
      </c>
      <c r="Q256" t="s">
        <v>41</v>
      </c>
      <c r="R256" t="s">
        <v>1022</v>
      </c>
      <c r="S256" t="b">
        <v>0</v>
      </c>
      <c r="T256" t="b">
        <v>0</v>
      </c>
      <c r="U256" t="b">
        <v>1</v>
      </c>
      <c r="V256" t="b">
        <v>1</v>
      </c>
      <c r="W256" t="b">
        <v>1</v>
      </c>
      <c r="X256" t="b">
        <v>1</v>
      </c>
      <c r="Y256" t="b">
        <v>1</v>
      </c>
      <c r="Z256" t="b">
        <v>1</v>
      </c>
      <c r="AA256" t="b">
        <v>1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</row>
    <row r="257" spans="1:33" x14ac:dyDescent="0.25">
      <c r="A257" t="s">
        <v>976</v>
      </c>
      <c r="B257">
        <v>7</v>
      </c>
      <c r="C257" t="b">
        <v>0</v>
      </c>
      <c r="D257" t="s">
        <v>839</v>
      </c>
      <c r="E257" t="s">
        <v>973</v>
      </c>
      <c r="F257" t="s">
        <v>1023</v>
      </c>
      <c r="G257" t="s">
        <v>901</v>
      </c>
      <c r="H257">
        <v>256</v>
      </c>
      <c r="I257" t="str">
        <f>IF(ISBLANK(Table1[[#This Row],[oid]]),"FALSE","TRUE")</f>
        <v>TRUE</v>
      </c>
      <c r="J257" t="str" cm="1">
        <f t="array" ref="J257">_xlfn.SWITCH(LEFT(Table1[[#This Row],[section]],1), "D", "Demographic", "S", "Social", "E", "Economic", "H", "Housing", "")</f>
        <v>Social</v>
      </c>
      <c r="K257" t="s">
        <v>843</v>
      </c>
      <c r="L257" t="s">
        <v>844</v>
      </c>
      <c r="M257" t="str">
        <f>IF(Table1[[#This Row],[used]], _xlfn.CONCAT("🆔 ", Table1[[#This Row],[variable]], ": ",Table1[[#This Row],[alias]]), "")</f>
        <v>🆔 B09019_021E: In households: In family households: Non-relatives: Unmarried partner</v>
      </c>
      <c r="O257" t="s">
        <v>902</v>
      </c>
      <c r="P257" t="s">
        <v>846</v>
      </c>
      <c r="Q257" t="s">
        <v>41</v>
      </c>
      <c r="R257" t="s">
        <v>1024</v>
      </c>
      <c r="S257" t="b">
        <v>0</v>
      </c>
      <c r="T257" t="b">
        <v>0</v>
      </c>
      <c r="U257" t="b">
        <v>1</v>
      </c>
      <c r="V257" t="b">
        <v>1</v>
      </c>
      <c r="W257" t="b">
        <v>1</v>
      </c>
      <c r="X257" t="b">
        <v>1</v>
      </c>
      <c r="Y257" t="b">
        <v>1</v>
      </c>
      <c r="Z257" t="b">
        <v>1</v>
      </c>
      <c r="AA257" t="b">
        <v>1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</row>
    <row r="258" spans="1:33" x14ac:dyDescent="0.25">
      <c r="A258" t="s">
        <v>976</v>
      </c>
      <c r="B258">
        <v>7</v>
      </c>
      <c r="C258" t="b">
        <v>0</v>
      </c>
      <c r="D258" t="s">
        <v>839</v>
      </c>
      <c r="E258" t="s">
        <v>973</v>
      </c>
      <c r="F258" t="s">
        <v>1025</v>
      </c>
      <c r="G258" t="s">
        <v>905</v>
      </c>
      <c r="H258">
        <v>257</v>
      </c>
      <c r="I258" t="str">
        <f>IF(ISBLANK(Table1[[#This Row],[oid]]),"FALSE","TRUE")</f>
        <v>TRUE</v>
      </c>
      <c r="J258" t="str" cm="1">
        <f t="array" ref="J258">_xlfn.SWITCH(LEFT(Table1[[#This Row],[section]],1), "D", "Demographic", "S", "Social", "E", "Economic", "H", "Housing", "")</f>
        <v>Social</v>
      </c>
      <c r="K258" t="s">
        <v>843</v>
      </c>
      <c r="L258" t="s">
        <v>844</v>
      </c>
      <c r="M258" t="str">
        <f>IF(Table1[[#This Row],[used]], _xlfn.CONCAT("🆔 ", Table1[[#This Row],[variable]], ": ",Table1[[#This Row],[alias]]), "")</f>
        <v>🆔 B09019_022E: In households: In family households: Non-relatives: Foster child</v>
      </c>
      <c r="O258" t="s">
        <v>906</v>
      </c>
      <c r="P258" t="s">
        <v>846</v>
      </c>
      <c r="Q258" t="s">
        <v>41</v>
      </c>
      <c r="R258" t="s">
        <v>1026</v>
      </c>
      <c r="S258" t="b">
        <v>0</v>
      </c>
      <c r="T258" t="b">
        <v>0</v>
      </c>
      <c r="U258" t="b">
        <v>1</v>
      </c>
      <c r="V258" t="b">
        <v>1</v>
      </c>
      <c r="W258" t="b">
        <v>1</v>
      </c>
      <c r="X258" t="b">
        <v>1</v>
      </c>
      <c r="Y258" t="b">
        <v>1</v>
      </c>
      <c r="Z258" t="b">
        <v>1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</row>
    <row r="259" spans="1:33" x14ac:dyDescent="0.25">
      <c r="A259" t="s">
        <v>976</v>
      </c>
      <c r="B259">
        <v>7</v>
      </c>
      <c r="C259" t="b">
        <v>0</v>
      </c>
      <c r="D259" t="s">
        <v>839</v>
      </c>
      <c r="E259" t="s">
        <v>973</v>
      </c>
      <c r="F259" t="s">
        <v>1027</v>
      </c>
      <c r="G259" t="s">
        <v>909</v>
      </c>
      <c r="H259">
        <v>258</v>
      </c>
      <c r="I259" t="str">
        <f>IF(ISBLANK(Table1[[#This Row],[oid]]),"FALSE","TRUE")</f>
        <v>TRUE</v>
      </c>
      <c r="J259" t="str" cm="1">
        <f t="array" ref="J259">_xlfn.SWITCH(LEFT(Table1[[#This Row],[section]],1), "D", "Demographic", "S", "Social", "E", "Economic", "H", "Housing", "")</f>
        <v>Social</v>
      </c>
      <c r="K259" t="s">
        <v>843</v>
      </c>
      <c r="L259" t="s">
        <v>844</v>
      </c>
      <c r="M259" t="str">
        <f>IF(Table1[[#This Row],[used]], _xlfn.CONCAT("🆔 ", Table1[[#This Row],[variable]], ": ",Table1[[#This Row],[alias]]), "")</f>
        <v>🆔 B09019_023E: In households: In family households: Non-relatives: Other Non-relatives</v>
      </c>
      <c r="O259" t="s">
        <v>910</v>
      </c>
      <c r="P259" t="s">
        <v>846</v>
      </c>
      <c r="Q259" t="s">
        <v>41</v>
      </c>
      <c r="R259" t="s">
        <v>1028</v>
      </c>
      <c r="S259" t="b">
        <v>0</v>
      </c>
      <c r="T259" t="b">
        <v>0</v>
      </c>
      <c r="U259" t="b">
        <v>1</v>
      </c>
      <c r="V259" t="b">
        <v>1</v>
      </c>
      <c r="W259" t="b">
        <v>1</v>
      </c>
      <c r="X259" t="b">
        <v>1</v>
      </c>
      <c r="Y259" t="b">
        <v>1</v>
      </c>
      <c r="Z259" t="b">
        <v>1</v>
      </c>
      <c r="AA259" t="b">
        <v>1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</row>
    <row r="260" spans="1:33" x14ac:dyDescent="0.25">
      <c r="A260" t="s">
        <v>976</v>
      </c>
      <c r="B260">
        <v>7</v>
      </c>
      <c r="C260" t="b">
        <v>0</v>
      </c>
      <c r="D260" t="s">
        <v>839</v>
      </c>
      <c r="E260" t="s">
        <v>973</v>
      </c>
      <c r="F260" t="s">
        <v>1029</v>
      </c>
      <c r="G260" t="s">
        <v>913</v>
      </c>
      <c r="H260">
        <v>259</v>
      </c>
      <c r="I260" t="str">
        <f>IF(ISBLANK(Table1[[#This Row],[oid]]),"FALSE","TRUE")</f>
        <v>TRUE</v>
      </c>
      <c r="J260" t="str" cm="1">
        <f t="array" ref="J260">_xlfn.SWITCH(LEFT(Table1[[#This Row],[section]],1), "D", "Demographic", "S", "Social", "E", "Economic", "H", "Housing", "")</f>
        <v>Social</v>
      </c>
      <c r="K260" t="s">
        <v>843</v>
      </c>
      <c r="L260" t="s">
        <v>844</v>
      </c>
      <c r="M260" t="str">
        <f>IF(Table1[[#This Row],[used]], _xlfn.CONCAT("🆔 ", Table1[[#This Row],[variable]], ": ",Table1[[#This Row],[alias]]), "")</f>
        <v>🆔 B09019_024E: In households: In Non-family households</v>
      </c>
      <c r="O260" t="s">
        <v>914</v>
      </c>
      <c r="P260" t="s">
        <v>846</v>
      </c>
      <c r="Q260" t="s">
        <v>41</v>
      </c>
      <c r="R260" t="s">
        <v>1030</v>
      </c>
      <c r="S260" t="b">
        <v>0</v>
      </c>
      <c r="T260" t="b">
        <v>0</v>
      </c>
      <c r="U260" t="b">
        <v>1</v>
      </c>
      <c r="V260" t="b">
        <v>1</v>
      </c>
      <c r="W260" t="b">
        <v>1</v>
      </c>
      <c r="X260" t="b">
        <v>1</v>
      </c>
      <c r="Y260" t="b">
        <v>1</v>
      </c>
      <c r="Z260" t="b">
        <v>1</v>
      </c>
      <c r="AA260" t="b">
        <v>1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</row>
    <row r="261" spans="1:33" x14ac:dyDescent="0.25">
      <c r="A261" t="s">
        <v>976</v>
      </c>
      <c r="B261">
        <v>7</v>
      </c>
      <c r="C261" t="b">
        <v>0</v>
      </c>
      <c r="D261" t="s">
        <v>839</v>
      </c>
      <c r="E261" t="s">
        <v>973</v>
      </c>
      <c r="F261" t="s">
        <v>1031</v>
      </c>
      <c r="G261" t="s">
        <v>917</v>
      </c>
      <c r="H261">
        <v>260</v>
      </c>
      <c r="I261" t="str">
        <f>IF(ISBLANK(Table1[[#This Row],[oid]]),"FALSE","TRUE")</f>
        <v>TRUE</v>
      </c>
      <c r="J261" t="str" cm="1">
        <f t="array" ref="J261">_xlfn.SWITCH(LEFT(Table1[[#This Row],[section]],1), "D", "Demographic", "S", "Social", "E", "Economic", "H", "Housing", "")</f>
        <v>Social</v>
      </c>
      <c r="K261" t="s">
        <v>843</v>
      </c>
      <c r="L261" t="s">
        <v>844</v>
      </c>
      <c r="M261" t="str">
        <f>IF(Table1[[#This Row],[used]], _xlfn.CONCAT("🆔 ", Table1[[#This Row],[variable]], ": ",Table1[[#This Row],[alias]]), "")</f>
        <v>🆔 B09019_025E: In households: In Non-family households: Householder</v>
      </c>
      <c r="O261" t="s">
        <v>918</v>
      </c>
      <c r="P261" t="s">
        <v>846</v>
      </c>
      <c r="Q261" t="s">
        <v>41</v>
      </c>
      <c r="R261" t="s">
        <v>1032</v>
      </c>
      <c r="S261" t="b">
        <v>0</v>
      </c>
      <c r="T261" t="b">
        <v>0</v>
      </c>
      <c r="U261" t="b">
        <v>1</v>
      </c>
      <c r="V261" t="b">
        <v>1</v>
      </c>
      <c r="W261" t="b">
        <v>1</v>
      </c>
      <c r="X261" t="b">
        <v>1</v>
      </c>
      <c r="Y261" t="b">
        <v>1</v>
      </c>
      <c r="Z261" t="b">
        <v>1</v>
      </c>
      <c r="AA261" t="b">
        <v>1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</row>
    <row r="262" spans="1:33" x14ac:dyDescent="0.25">
      <c r="A262" t="s">
        <v>976</v>
      </c>
      <c r="B262">
        <v>7</v>
      </c>
      <c r="C262" t="b">
        <v>0</v>
      </c>
      <c r="D262" t="s">
        <v>839</v>
      </c>
      <c r="E262" t="s">
        <v>973</v>
      </c>
      <c r="F262" t="s">
        <v>1033</v>
      </c>
      <c r="G262" t="s">
        <v>921</v>
      </c>
      <c r="H262">
        <v>261</v>
      </c>
      <c r="I262" t="str">
        <f>IF(ISBLANK(Table1[[#This Row],[oid]]),"FALSE","TRUE")</f>
        <v>TRUE</v>
      </c>
      <c r="J262" t="str" cm="1">
        <f t="array" ref="J262">_xlfn.SWITCH(LEFT(Table1[[#This Row],[section]],1), "D", "Demographic", "S", "Social", "E", "Economic", "H", "Housing", "")</f>
        <v>Social</v>
      </c>
      <c r="K262" t="s">
        <v>843</v>
      </c>
      <c r="L262" t="s">
        <v>844</v>
      </c>
      <c r="M262" t="str">
        <f>IF(Table1[[#This Row],[used]], _xlfn.CONCAT("🆔 ", Table1[[#This Row],[variable]], ": ",Table1[[#This Row],[alias]]), "")</f>
        <v>🆔 B09019_026E: In households: In Non-family households: Householder: Male</v>
      </c>
      <c r="O262" t="s">
        <v>922</v>
      </c>
      <c r="P262" t="s">
        <v>846</v>
      </c>
      <c r="Q262" t="s">
        <v>41</v>
      </c>
      <c r="R262" t="s">
        <v>1034</v>
      </c>
      <c r="S262" t="b">
        <v>0</v>
      </c>
      <c r="T262" t="b">
        <v>0</v>
      </c>
      <c r="U262" t="b">
        <v>1</v>
      </c>
      <c r="V262" t="b">
        <v>1</v>
      </c>
      <c r="W262" t="b">
        <v>1</v>
      </c>
      <c r="X262" t="b">
        <v>1</v>
      </c>
      <c r="Y262" t="b">
        <v>1</v>
      </c>
      <c r="Z262" t="b">
        <v>1</v>
      </c>
      <c r="AA262" t="b">
        <v>1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</row>
    <row r="263" spans="1:33" x14ac:dyDescent="0.25">
      <c r="A263" t="s">
        <v>976</v>
      </c>
      <c r="B263">
        <v>7</v>
      </c>
      <c r="C263" t="b">
        <v>0</v>
      </c>
      <c r="D263" t="s">
        <v>839</v>
      </c>
      <c r="E263" t="s">
        <v>973</v>
      </c>
      <c r="F263" t="s">
        <v>1035</v>
      </c>
      <c r="G263" t="s">
        <v>925</v>
      </c>
      <c r="H263">
        <v>262</v>
      </c>
      <c r="I263" t="str">
        <f>IF(ISBLANK(Table1[[#This Row],[oid]]),"FALSE","TRUE")</f>
        <v>TRUE</v>
      </c>
      <c r="J263" t="str" cm="1">
        <f t="array" ref="J263">_xlfn.SWITCH(LEFT(Table1[[#This Row],[section]],1), "D", "Demographic", "S", "Social", "E", "Economic", "H", "Housing", "")</f>
        <v>Social</v>
      </c>
      <c r="K263" t="s">
        <v>843</v>
      </c>
      <c r="L263" t="s">
        <v>844</v>
      </c>
      <c r="M263" t="str">
        <f>IF(Table1[[#This Row],[used]], _xlfn.CONCAT("🆔 ", Table1[[#This Row],[variable]], ": ",Table1[[#This Row],[alias]]), "")</f>
        <v>🆔 B09019_027E: In households: In Non-family households: Householder: Male: Living alone</v>
      </c>
      <c r="O263" t="s">
        <v>926</v>
      </c>
      <c r="P263" t="s">
        <v>846</v>
      </c>
      <c r="Q263" t="s">
        <v>41</v>
      </c>
      <c r="R263" t="s">
        <v>1036</v>
      </c>
      <c r="S263" t="b">
        <v>0</v>
      </c>
      <c r="T263" t="b">
        <v>0</v>
      </c>
      <c r="U263" t="b">
        <v>1</v>
      </c>
      <c r="V263" t="b">
        <v>1</v>
      </c>
      <c r="W263" t="b">
        <v>1</v>
      </c>
      <c r="X263" t="b">
        <v>1</v>
      </c>
      <c r="Y263" t="b">
        <v>1</v>
      </c>
      <c r="Z263" t="b">
        <v>1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</row>
    <row r="264" spans="1:33" x14ac:dyDescent="0.25">
      <c r="A264" t="s">
        <v>976</v>
      </c>
      <c r="B264">
        <v>7</v>
      </c>
      <c r="C264" t="b">
        <v>0</v>
      </c>
      <c r="D264" t="s">
        <v>839</v>
      </c>
      <c r="E264" t="s">
        <v>973</v>
      </c>
      <c r="F264" t="s">
        <v>1037</v>
      </c>
      <c r="G264" t="s">
        <v>929</v>
      </c>
      <c r="H264">
        <v>263</v>
      </c>
      <c r="I264" t="str">
        <f>IF(ISBLANK(Table1[[#This Row],[oid]]),"FALSE","TRUE")</f>
        <v>TRUE</v>
      </c>
      <c r="J264" t="str" cm="1">
        <f t="array" ref="J264">_xlfn.SWITCH(LEFT(Table1[[#This Row],[section]],1), "D", "Demographic", "S", "Social", "E", "Economic", "H", "Housing", "")</f>
        <v>Social</v>
      </c>
      <c r="K264" t="s">
        <v>843</v>
      </c>
      <c r="L264" t="s">
        <v>844</v>
      </c>
      <c r="M264" t="str">
        <f>IF(Table1[[#This Row],[used]], _xlfn.CONCAT("🆔 ", Table1[[#This Row],[variable]], ": ",Table1[[#This Row],[alias]]), "")</f>
        <v>🆔 B09019_028E: In households: In Non-family households: Householder: Male: Not living alone</v>
      </c>
      <c r="O264" t="s">
        <v>930</v>
      </c>
      <c r="P264" t="s">
        <v>846</v>
      </c>
      <c r="Q264" t="s">
        <v>41</v>
      </c>
      <c r="R264" t="s">
        <v>1038</v>
      </c>
      <c r="S264" t="b">
        <v>0</v>
      </c>
      <c r="T264" t="b">
        <v>0</v>
      </c>
      <c r="U264" t="b">
        <v>1</v>
      </c>
      <c r="V264" t="b">
        <v>1</v>
      </c>
      <c r="W264" t="b">
        <v>1</v>
      </c>
      <c r="X264" t="b">
        <v>1</v>
      </c>
      <c r="Y264" t="b">
        <v>1</v>
      </c>
      <c r="Z264" t="b">
        <v>1</v>
      </c>
      <c r="AA264" t="b">
        <v>1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</row>
    <row r="265" spans="1:33" x14ac:dyDescent="0.25">
      <c r="A265" t="s">
        <v>976</v>
      </c>
      <c r="B265">
        <v>7</v>
      </c>
      <c r="C265" t="b">
        <v>0</v>
      </c>
      <c r="D265" t="s">
        <v>839</v>
      </c>
      <c r="E265" t="s">
        <v>973</v>
      </c>
      <c r="F265" t="s">
        <v>1039</v>
      </c>
      <c r="G265" t="s">
        <v>933</v>
      </c>
      <c r="H265">
        <v>264</v>
      </c>
      <c r="I265" t="str">
        <f>IF(ISBLANK(Table1[[#This Row],[oid]]),"FALSE","TRUE")</f>
        <v>TRUE</v>
      </c>
      <c r="J265" t="str" cm="1">
        <f t="array" ref="J265">_xlfn.SWITCH(LEFT(Table1[[#This Row],[section]],1), "D", "Demographic", "S", "Social", "E", "Economic", "H", "Housing", "")</f>
        <v>Social</v>
      </c>
      <c r="K265" t="s">
        <v>843</v>
      </c>
      <c r="L265" t="s">
        <v>844</v>
      </c>
      <c r="M265" t="str">
        <f>IF(Table1[[#This Row],[used]], _xlfn.CONCAT("🆔 ", Table1[[#This Row],[variable]], ": ",Table1[[#This Row],[alias]]), "")</f>
        <v>🆔 B09019_029E: In households: In Non-family households: Householder: Female</v>
      </c>
      <c r="O265" t="s">
        <v>934</v>
      </c>
      <c r="P265" t="s">
        <v>846</v>
      </c>
      <c r="Q265" t="s">
        <v>41</v>
      </c>
      <c r="R265" t="s">
        <v>1040</v>
      </c>
      <c r="S265" t="b">
        <v>0</v>
      </c>
      <c r="T265" t="b">
        <v>0</v>
      </c>
      <c r="U265" t="b">
        <v>1</v>
      </c>
      <c r="V265" t="b">
        <v>1</v>
      </c>
      <c r="W265" t="b">
        <v>1</v>
      </c>
      <c r="X265" t="b">
        <v>1</v>
      </c>
      <c r="Y265" t="b">
        <v>1</v>
      </c>
      <c r="Z265" t="b">
        <v>1</v>
      </c>
      <c r="AA265" t="b">
        <v>1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</row>
    <row r="266" spans="1:33" x14ac:dyDescent="0.25">
      <c r="A266" t="s">
        <v>976</v>
      </c>
      <c r="B266">
        <v>7</v>
      </c>
      <c r="C266" t="b">
        <v>0</v>
      </c>
      <c r="D266" t="s">
        <v>839</v>
      </c>
      <c r="E266" t="s">
        <v>973</v>
      </c>
      <c r="F266" t="s">
        <v>1041</v>
      </c>
      <c r="G266" t="s">
        <v>937</v>
      </c>
      <c r="H266">
        <v>265</v>
      </c>
      <c r="I266" t="str">
        <f>IF(ISBLANK(Table1[[#This Row],[oid]]),"FALSE","TRUE")</f>
        <v>TRUE</v>
      </c>
      <c r="J266" t="str" cm="1">
        <f t="array" ref="J266">_xlfn.SWITCH(LEFT(Table1[[#This Row],[section]],1), "D", "Demographic", "S", "Social", "E", "Economic", "H", "Housing", "")</f>
        <v>Social</v>
      </c>
      <c r="K266" t="s">
        <v>843</v>
      </c>
      <c r="L266" t="s">
        <v>844</v>
      </c>
      <c r="M266" t="str">
        <f>IF(Table1[[#This Row],[used]], _xlfn.CONCAT("🆔 ", Table1[[#This Row],[variable]], ": ",Table1[[#This Row],[alias]]), "")</f>
        <v>🆔 B09019_030E: In households: In Non-family households: Householder: Female: Living alone</v>
      </c>
      <c r="O266" t="s">
        <v>938</v>
      </c>
      <c r="P266" t="s">
        <v>846</v>
      </c>
      <c r="Q266" t="s">
        <v>41</v>
      </c>
      <c r="R266" t="s">
        <v>1042</v>
      </c>
      <c r="S266" t="b">
        <v>0</v>
      </c>
      <c r="T266" t="b">
        <v>0</v>
      </c>
      <c r="U266" t="b">
        <v>1</v>
      </c>
      <c r="V266" t="b">
        <v>1</v>
      </c>
      <c r="W266" t="b">
        <v>1</v>
      </c>
      <c r="X266" t="b">
        <v>1</v>
      </c>
      <c r="Y266" t="b">
        <v>1</v>
      </c>
      <c r="Z266" t="b">
        <v>1</v>
      </c>
      <c r="AA266" t="b">
        <v>1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</row>
    <row r="267" spans="1:33" x14ac:dyDescent="0.25">
      <c r="A267" t="s">
        <v>976</v>
      </c>
      <c r="B267">
        <v>7</v>
      </c>
      <c r="C267" t="b">
        <v>0</v>
      </c>
      <c r="D267" t="s">
        <v>839</v>
      </c>
      <c r="E267" t="s">
        <v>973</v>
      </c>
      <c r="F267" t="s">
        <v>1043</v>
      </c>
      <c r="G267" t="s">
        <v>941</v>
      </c>
      <c r="H267">
        <v>266</v>
      </c>
      <c r="I267" t="str">
        <f>IF(ISBLANK(Table1[[#This Row],[oid]]),"FALSE","TRUE")</f>
        <v>TRUE</v>
      </c>
      <c r="J267" t="str" cm="1">
        <f t="array" ref="J267">_xlfn.SWITCH(LEFT(Table1[[#This Row],[section]],1), "D", "Demographic", "S", "Social", "E", "Economic", "H", "Housing", "")</f>
        <v>Social</v>
      </c>
      <c r="K267" t="s">
        <v>843</v>
      </c>
      <c r="L267" t="s">
        <v>844</v>
      </c>
      <c r="M267" t="str">
        <f>IF(Table1[[#This Row],[used]], _xlfn.CONCAT("🆔 ", Table1[[#This Row],[variable]], ": ",Table1[[#This Row],[alias]]), "")</f>
        <v>🆔 B09019_031E: In households: In Non-family households: Householder: Female: Not living alone</v>
      </c>
      <c r="O267" t="s">
        <v>942</v>
      </c>
      <c r="P267" t="s">
        <v>846</v>
      </c>
      <c r="Q267" t="s">
        <v>41</v>
      </c>
      <c r="R267" t="s">
        <v>1044</v>
      </c>
      <c r="S267" t="b">
        <v>0</v>
      </c>
      <c r="T267" t="b">
        <v>0</v>
      </c>
      <c r="U267" t="b">
        <v>1</v>
      </c>
      <c r="V267" t="b">
        <v>1</v>
      </c>
      <c r="W267" t="b">
        <v>1</v>
      </c>
      <c r="X267" t="b">
        <v>1</v>
      </c>
      <c r="Y267" t="b">
        <v>1</v>
      </c>
      <c r="Z267" t="b">
        <v>1</v>
      </c>
      <c r="AA267" t="b">
        <v>1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</row>
    <row r="268" spans="1:33" x14ac:dyDescent="0.25">
      <c r="A268" t="s">
        <v>976</v>
      </c>
      <c r="B268">
        <v>7</v>
      </c>
      <c r="C268" t="b">
        <v>0</v>
      </c>
      <c r="D268" t="s">
        <v>839</v>
      </c>
      <c r="E268" t="s">
        <v>973</v>
      </c>
      <c r="F268" t="s">
        <v>1045</v>
      </c>
      <c r="G268" t="s">
        <v>945</v>
      </c>
      <c r="H268">
        <v>267</v>
      </c>
      <c r="I268" t="str">
        <f>IF(ISBLANK(Table1[[#This Row],[oid]]),"FALSE","TRUE")</f>
        <v>TRUE</v>
      </c>
      <c r="J268" t="str" cm="1">
        <f t="array" ref="J268">_xlfn.SWITCH(LEFT(Table1[[#This Row],[section]],1), "D", "Demographic", "S", "Social", "E", "Economic", "H", "Housing", "")</f>
        <v>Social</v>
      </c>
      <c r="K268" t="s">
        <v>843</v>
      </c>
      <c r="L268" t="s">
        <v>844</v>
      </c>
      <c r="M268" t="str">
        <f>IF(Table1[[#This Row],[used]], _xlfn.CONCAT("🆔 ", Table1[[#This Row],[variable]], ": ",Table1[[#This Row],[alias]]), "")</f>
        <v>🆔 B09019_032E: In households: In Non-family households: Non-relatives</v>
      </c>
      <c r="O268" t="s">
        <v>946</v>
      </c>
      <c r="P268" t="s">
        <v>846</v>
      </c>
      <c r="Q268" t="s">
        <v>41</v>
      </c>
      <c r="R268" t="s">
        <v>1046</v>
      </c>
      <c r="S268" t="b">
        <v>0</v>
      </c>
      <c r="T268" t="b">
        <v>0</v>
      </c>
      <c r="U268" t="b">
        <v>1</v>
      </c>
      <c r="V268" t="b">
        <v>1</v>
      </c>
      <c r="W268" t="b">
        <v>1</v>
      </c>
      <c r="X268" t="b">
        <v>1</v>
      </c>
      <c r="Y268" t="b">
        <v>1</v>
      </c>
      <c r="Z268" t="b">
        <v>1</v>
      </c>
      <c r="AA268" t="b">
        <v>1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</row>
    <row r="269" spans="1:33" x14ac:dyDescent="0.25">
      <c r="A269" t="s">
        <v>976</v>
      </c>
      <c r="B269">
        <v>7</v>
      </c>
      <c r="C269" t="b">
        <v>0</v>
      </c>
      <c r="D269" t="s">
        <v>839</v>
      </c>
      <c r="E269" t="s">
        <v>973</v>
      </c>
      <c r="F269" t="s">
        <v>1047</v>
      </c>
      <c r="G269" t="s">
        <v>949</v>
      </c>
      <c r="H269">
        <v>268</v>
      </c>
      <c r="I269" t="str">
        <f>IF(ISBLANK(Table1[[#This Row],[oid]]),"FALSE","TRUE")</f>
        <v>TRUE</v>
      </c>
      <c r="J269" t="str" cm="1">
        <f t="array" ref="J269">_xlfn.SWITCH(LEFT(Table1[[#This Row],[section]],1), "D", "Demographic", "S", "Social", "E", "Economic", "H", "Housing", "")</f>
        <v>Social</v>
      </c>
      <c r="K269" t="s">
        <v>843</v>
      </c>
      <c r="L269" t="s">
        <v>844</v>
      </c>
      <c r="M269" t="str">
        <f>IF(Table1[[#This Row],[used]], _xlfn.CONCAT("🆔 ", Table1[[#This Row],[variable]], ": ",Table1[[#This Row],[alias]]), "")</f>
        <v>🆔 B09019_033E: In households: In Non-family households: Non-relatives: Roomer or boarder</v>
      </c>
      <c r="O269" t="s">
        <v>950</v>
      </c>
      <c r="P269" t="s">
        <v>846</v>
      </c>
      <c r="Q269" t="s">
        <v>41</v>
      </c>
      <c r="R269" t="s">
        <v>1048</v>
      </c>
      <c r="S269" t="b">
        <v>0</v>
      </c>
      <c r="T269" t="b">
        <v>0</v>
      </c>
      <c r="U269" t="b">
        <v>1</v>
      </c>
      <c r="V269" t="b">
        <v>1</v>
      </c>
      <c r="W269" t="b">
        <v>1</v>
      </c>
      <c r="X269" t="b">
        <v>1</v>
      </c>
      <c r="Y269" t="b">
        <v>1</v>
      </c>
      <c r="Z269" t="b">
        <v>1</v>
      </c>
      <c r="AA269" t="b">
        <v>1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</row>
    <row r="270" spans="1:33" x14ac:dyDescent="0.25">
      <c r="A270" t="s">
        <v>976</v>
      </c>
      <c r="B270">
        <v>7</v>
      </c>
      <c r="C270" t="b">
        <v>0</v>
      </c>
      <c r="D270" t="s">
        <v>839</v>
      </c>
      <c r="E270" t="s">
        <v>973</v>
      </c>
      <c r="F270" t="s">
        <v>1049</v>
      </c>
      <c r="G270" t="s">
        <v>953</v>
      </c>
      <c r="H270">
        <v>269</v>
      </c>
      <c r="I270" t="str">
        <f>IF(ISBLANK(Table1[[#This Row],[oid]]),"FALSE","TRUE")</f>
        <v>TRUE</v>
      </c>
      <c r="J270" t="str" cm="1">
        <f t="array" ref="J270">_xlfn.SWITCH(LEFT(Table1[[#This Row],[section]],1), "D", "Demographic", "S", "Social", "E", "Economic", "H", "Housing", "")</f>
        <v>Social</v>
      </c>
      <c r="K270" t="s">
        <v>843</v>
      </c>
      <c r="L270" t="s">
        <v>844</v>
      </c>
      <c r="M270" t="str">
        <f>IF(Table1[[#This Row],[used]], _xlfn.CONCAT("🆔 ", Table1[[#This Row],[variable]], ": ",Table1[[#This Row],[alias]]), "")</f>
        <v>🆔 B09019_034E: In households: In Non-family households: Non-relatives: Housemate or roommate</v>
      </c>
      <c r="O270" t="s">
        <v>954</v>
      </c>
      <c r="P270" t="s">
        <v>846</v>
      </c>
      <c r="Q270" t="s">
        <v>41</v>
      </c>
      <c r="R270" t="s">
        <v>1050</v>
      </c>
      <c r="S270" t="b">
        <v>0</v>
      </c>
      <c r="T270" t="b">
        <v>0</v>
      </c>
      <c r="U270" t="b">
        <v>1</v>
      </c>
      <c r="V270" t="b">
        <v>1</v>
      </c>
      <c r="W270" t="b">
        <v>1</v>
      </c>
      <c r="X270" t="b">
        <v>1</v>
      </c>
      <c r="Y270" t="b">
        <v>1</v>
      </c>
      <c r="Z270" t="b">
        <v>1</v>
      </c>
      <c r="AA270" t="b">
        <v>1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</row>
    <row r="271" spans="1:33" x14ac:dyDescent="0.25">
      <c r="A271" t="s">
        <v>976</v>
      </c>
      <c r="B271">
        <v>7</v>
      </c>
      <c r="C271" t="b">
        <v>0</v>
      </c>
      <c r="D271" t="s">
        <v>839</v>
      </c>
      <c r="E271" t="s">
        <v>973</v>
      </c>
      <c r="F271" t="s">
        <v>1051</v>
      </c>
      <c r="G271" t="s">
        <v>957</v>
      </c>
      <c r="H271">
        <v>270</v>
      </c>
      <c r="I271" t="str">
        <f>IF(ISBLANK(Table1[[#This Row],[oid]]),"FALSE","TRUE")</f>
        <v>TRUE</v>
      </c>
      <c r="J271" t="str" cm="1">
        <f t="array" ref="J271">_xlfn.SWITCH(LEFT(Table1[[#This Row],[section]],1), "D", "Demographic", "S", "Social", "E", "Economic", "H", "Housing", "")</f>
        <v>Social</v>
      </c>
      <c r="K271" t="s">
        <v>843</v>
      </c>
      <c r="L271" t="s">
        <v>844</v>
      </c>
      <c r="M271" t="str">
        <f>IF(Table1[[#This Row],[used]], _xlfn.CONCAT("🆔 ", Table1[[#This Row],[variable]], ": ",Table1[[#This Row],[alias]]), "")</f>
        <v>🆔 B09019_035E: In households: In Non-family households: Non-relatives: Unmarried partner</v>
      </c>
      <c r="O271" t="s">
        <v>958</v>
      </c>
      <c r="P271" t="s">
        <v>846</v>
      </c>
      <c r="Q271" t="s">
        <v>41</v>
      </c>
      <c r="R271" t="s">
        <v>1052</v>
      </c>
      <c r="S271" t="b">
        <v>0</v>
      </c>
      <c r="T271" t="b">
        <v>0</v>
      </c>
      <c r="U271" t="b">
        <v>1</v>
      </c>
      <c r="V271" t="b">
        <v>1</v>
      </c>
      <c r="W271" t="b">
        <v>1</v>
      </c>
      <c r="X271" t="b">
        <v>1</v>
      </c>
      <c r="Y271" t="b">
        <v>1</v>
      </c>
      <c r="Z271" t="b">
        <v>1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</row>
    <row r="272" spans="1:33" x14ac:dyDescent="0.25">
      <c r="A272" t="s">
        <v>976</v>
      </c>
      <c r="B272">
        <v>7</v>
      </c>
      <c r="C272" t="b">
        <v>0</v>
      </c>
      <c r="D272" t="s">
        <v>839</v>
      </c>
      <c r="E272" t="s">
        <v>973</v>
      </c>
      <c r="F272" t="s">
        <v>1053</v>
      </c>
      <c r="G272" t="s">
        <v>961</v>
      </c>
      <c r="H272">
        <v>271</v>
      </c>
      <c r="I272" t="str">
        <f>IF(ISBLANK(Table1[[#This Row],[oid]]),"FALSE","TRUE")</f>
        <v>TRUE</v>
      </c>
      <c r="J272" t="str" cm="1">
        <f t="array" ref="J272">_xlfn.SWITCH(LEFT(Table1[[#This Row],[section]],1), "D", "Demographic", "S", "Social", "E", "Economic", "H", "Housing", "")</f>
        <v>Social</v>
      </c>
      <c r="K272" t="s">
        <v>843</v>
      </c>
      <c r="L272" t="s">
        <v>844</v>
      </c>
      <c r="M272" t="str">
        <f>IF(Table1[[#This Row],[used]], _xlfn.CONCAT("🆔 ", Table1[[#This Row],[variable]], ": ",Table1[[#This Row],[alias]]), "")</f>
        <v>🆔 B09019_036E: In households: In Non-family households: Non-relatives: Foster child</v>
      </c>
      <c r="O272" t="s">
        <v>962</v>
      </c>
      <c r="P272" t="s">
        <v>846</v>
      </c>
      <c r="Q272" t="s">
        <v>41</v>
      </c>
      <c r="R272" t="s">
        <v>1054</v>
      </c>
      <c r="S272" t="b">
        <v>0</v>
      </c>
      <c r="T272" t="b">
        <v>0</v>
      </c>
      <c r="U272" t="b">
        <v>1</v>
      </c>
      <c r="V272" t="b">
        <v>1</v>
      </c>
      <c r="W272" t="b">
        <v>1</v>
      </c>
      <c r="X272" t="b">
        <v>1</v>
      </c>
      <c r="Y272" t="b">
        <v>1</v>
      </c>
      <c r="Z272" t="b">
        <v>1</v>
      </c>
      <c r="AA272" t="b">
        <v>1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</row>
    <row r="273" spans="1:33" x14ac:dyDescent="0.25">
      <c r="A273" t="s">
        <v>976</v>
      </c>
      <c r="B273">
        <v>7</v>
      </c>
      <c r="C273" t="b">
        <v>0</v>
      </c>
      <c r="D273" t="s">
        <v>839</v>
      </c>
      <c r="E273" t="s">
        <v>973</v>
      </c>
      <c r="F273" t="s">
        <v>1055</v>
      </c>
      <c r="G273" t="s">
        <v>965</v>
      </c>
      <c r="H273">
        <v>272</v>
      </c>
      <c r="I273" t="str">
        <f>IF(ISBLANK(Table1[[#This Row],[oid]]),"FALSE","TRUE")</f>
        <v>TRUE</v>
      </c>
      <c r="J273" t="str" cm="1">
        <f t="array" ref="J273">_xlfn.SWITCH(LEFT(Table1[[#This Row],[section]],1), "D", "Demographic", "S", "Social", "E", "Economic", "H", "Housing", "")</f>
        <v>Social</v>
      </c>
      <c r="K273" t="s">
        <v>843</v>
      </c>
      <c r="L273" t="s">
        <v>844</v>
      </c>
      <c r="M273" t="str">
        <f>IF(Table1[[#This Row],[used]], _xlfn.CONCAT("🆔 ", Table1[[#This Row],[variable]], ": ",Table1[[#This Row],[alias]]), "")</f>
        <v>🆔 B09019_037E: In households: In Non-family households: Non-relatives: Other Non-relatives</v>
      </c>
      <c r="O273" t="s">
        <v>966</v>
      </c>
      <c r="P273" t="s">
        <v>846</v>
      </c>
      <c r="Q273" t="s">
        <v>41</v>
      </c>
      <c r="R273" t="s">
        <v>1056</v>
      </c>
      <c r="S273" t="b">
        <v>0</v>
      </c>
      <c r="T273" t="b">
        <v>0</v>
      </c>
      <c r="U273" t="b">
        <v>1</v>
      </c>
      <c r="V273" t="b">
        <v>1</v>
      </c>
      <c r="W273" t="b">
        <v>1</v>
      </c>
      <c r="X273" t="b">
        <v>1</v>
      </c>
      <c r="Y273" t="b">
        <v>1</v>
      </c>
      <c r="Z273" t="b">
        <v>1</v>
      </c>
      <c r="AA273" t="b">
        <v>1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</row>
    <row r="274" spans="1:33" x14ac:dyDescent="0.25">
      <c r="A274" t="s">
        <v>976</v>
      </c>
      <c r="B274">
        <v>7</v>
      </c>
      <c r="C274" t="b">
        <v>0</v>
      </c>
      <c r="D274" t="s">
        <v>839</v>
      </c>
      <c r="E274" t="s">
        <v>973</v>
      </c>
      <c r="F274" t="s">
        <v>1057</v>
      </c>
      <c r="G274" t="s">
        <v>969</v>
      </c>
      <c r="H274">
        <v>273</v>
      </c>
      <c r="I274" t="str">
        <f>IF(ISBLANK(Table1[[#This Row],[oid]]),"FALSE","TRUE")</f>
        <v>TRUE</v>
      </c>
      <c r="J274" t="str" cm="1">
        <f t="array" ref="J274">_xlfn.SWITCH(LEFT(Table1[[#This Row],[section]],1), "D", "Demographic", "S", "Social", "E", "Economic", "H", "Housing", "")</f>
        <v>Social</v>
      </c>
      <c r="K274" t="s">
        <v>843</v>
      </c>
      <c r="L274" t="s">
        <v>844</v>
      </c>
      <c r="M274" t="str">
        <f>IF(Table1[[#This Row],[used]], _xlfn.CONCAT("🆔 ", Table1[[#This Row],[variable]], ": ",Table1[[#This Row],[alias]]), "")</f>
        <v>🆔 B09019_038E: In group quarters</v>
      </c>
      <c r="O274" t="s">
        <v>970</v>
      </c>
      <c r="P274" t="s">
        <v>846</v>
      </c>
      <c r="Q274" t="s">
        <v>41</v>
      </c>
      <c r="R274" t="s">
        <v>1058</v>
      </c>
      <c r="S274" t="b">
        <v>0</v>
      </c>
      <c r="T274" t="b">
        <v>0</v>
      </c>
      <c r="U274" t="b">
        <v>1</v>
      </c>
      <c r="V274" t="b">
        <v>1</v>
      </c>
      <c r="W274" t="b">
        <v>1</v>
      </c>
      <c r="X274" t="b">
        <v>1</v>
      </c>
      <c r="Y274" t="b">
        <v>1</v>
      </c>
      <c r="Z274" t="b">
        <v>1</v>
      </c>
      <c r="AA274" t="b">
        <v>1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</row>
    <row r="275" spans="1:33" x14ac:dyDescent="0.25">
      <c r="A275" t="s">
        <v>681</v>
      </c>
      <c r="B275">
        <v>6</v>
      </c>
      <c r="C275" t="b">
        <v>0</v>
      </c>
      <c r="D275" t="s">
        <v>839</v>
      </c>
      <c r="E275" t="s">
        <v>973</v>
      </c>
      <c r="F275" t="s">
        <v>977</v>
      </c>
      <c r="G275" t="s">
        <v>1059</v>
      </c>
      <c r="H275">
        <v>274</v>
      </c>
      <c r="I275" t="str">
        <f>IF(ISBLANK(Table1[[#This Row],[oid]]),"FALSE","TRUE")</f>
        <v>TRUE</v>
      </c>
      <c r="J275" t="str" cm="1">
        <f t="array" ref="J275">_xlfn.SWITCH(LEFT(Table1[[#This Row],[section]],1), "D", "Demographic", "S", "Social", "E", "Economic", "H", "Housing", "")</f>
        <v>Social</v>
      </c>
      <c r="K275" t="s">
        <v>843</v>
      </c>
      <c r="L275" t="s">
        <v>844</v>
      </c>
      <c r="M275" t="str">
        <f>IF(Table1[[#This Row],[used]], _xlfn.CONCAT("🆔 ", Table1[[#This Row],[variable]], ": ",Table1[[#This Row],[alias]]), "")</f>
        <v>🆔 B09019_003E: In households: Householder</v>
      </c>
      <c r="O275" t="s">
        <v>1060</v>
      </c>
      <c r="P275" t="s">
        <v>846</v>
      </c>
      <c r="Q275" t="s">
        <v>41</v>
      </c>
      <c r="R275" t="s">
        <v>978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1</v>
      </c>
      <c r="AC275" t="b">
        <v>1</v>
      </c>
      <c r="AD275" t="b">
        <v>1</v>
      </c>
      <c r="AE275" t="b">
        <v>1</v>
      </c>
      <c r="AF275" t="b">
        <v>1</v>
      </c>
      <c r="AG275" t="b">
        <v>1</v>
      </c>
    </row>
    <row r="276" spans="1:33" x14ac:dyDescent="0.25">
      <c r="A276" t="s">
        <v>681</v>
      </c>
      <c r="B276">
        <v>6</v>
      </c>
      <c r="C276" t="b">
        <v>0</v>
      </c>
      <c r="D276" t="s">
        <v>839</v>
      </c>
      <c r="E276" t="s">
        <v>973</v>
      </c>
      <c r="F276" t="s">
        <v>979</v>
      </c>
      <c r="G276" t="s">
        <v>1061</v>
      </c>
      <c r="H276">
        <v>275</v>
      </c>
      <c r="I276" t="str">
        <f>IF(ISBLANK(Table1[[#This Row],[oid]]),"FALSE","TRUE")</f>
        <v>TRUE</v>
      </c>
      <c r="J276" t="str" cm="1">
        <f t="array" ref="J276">_xlfn.SWITCH(LEFT(Table1[[#This Row],[section]],1), "D", "Demographic", "S", "Social", "E", "Economic", "H", "Housing", "")</f>
        <v>Social</v>
      </c>
      <c r="K276" t="s">
        <v>843</v>
      </c>
      <c r="L276" t="s">
        <v>844</v>
      </c>
      <c r="M276" t="str">
        <f>IF(Table1[[#This Row],[used]], _xlfn.CONCAT("🆔 ", Table1[[#This Row],[variable]], ": ",Table1[[#This Row],[alias]]), "")</f>
        <v>🆔 B09019_004E: In households: Householder: Male</v>
      </c>
      <c r="O276" t="s">
        <v>1062</v>
      </c>
      <c r="P276" t="s">
        <v>846</v>
      </c>
      <c r="Q276" t="s">
        <v>41</v>
      </c>
      <c r="R276" t="s">
        <v>980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1</v>
      </c>
      <c r="AC276" t="b">
        <v>1</v>
      </c>
      <c r="AD276" t="b">
        <v>1</v>
      </c>
      <c r="AE276" t="b">
        <v>1</v>
      </c>
      <c r="AF276" t="b">
        <v>1</v>
      </c>
      <c r="AG276" t="b">
        <v>1</v>
      </c>
    </row>
    <row r="277" spans="1:33" x14ac:dyDescent="0.25">
      <c r="A277" t="s">
        <v>681</v>
      </c>
      <c r="B277">
        <v>6</v>
      </c>
      <c r="C277" t="b">
        <v>0</v>
      </c>
      <c r="D277" t="s">
        <v>839</v>
      </c>
      <c r="E277" t="s">
        <v>973</v>
      </c>
      <c r="F277" t="s">
        <v>981</v>
      </c>
      <c r="G277" t="s">
        <v>1063</v>
      </c>
      <c r="H277">
        <v>276</v>
      </c>
      <c r="I277" t="str">
        <f>IF(ISBLANK(Table1[[#This Row],[oid]]),"FALSE","TRUE")</f>
        <v>TRUE</v>
      </c>
      <c r="J277" t="str" cm="1">
        <f t="array" ref="J277">_xlfn.SWITCH(LEFT(Table1[[#This Row],[section]],1), "D", "Demographic", "S", "Social", "E", "Economic", "H", "Housing", "")</f>
        <v>Social</v>
      </c>
      <c r="K277" t="s">
        <v>843</v>
      </c>
      <c r="L277" t="s">
        <v>844</v>
      </c>
      <c r="M277" t="str">
        <f>IF(Table1[[#This Row],[used]], _xlfn.CONCAT("🆔 ", Table1[[#This Row],[variable]], ": ",Table1[[#This Row],[alias]]), "")</f>
        <v>🆔 B09019_005E: In households: Householder: Male: Living alone</v>
      </c>
      <c r="O277" t="s">
        <v>1064</v>
      </c>
      <c r="P277" t="s">
        <v>846</v>
      </c>
      <c r="Q277" t="s">
        <v>41</v>
      </c>
      <c r="R277" t="s">
        <v>982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1</v>
      </c>
      <c r="AC277" t="b">
        <v>1</v>
      </c>
      <c r="AD277" t="b">
        <v>1</v>
      </c>
      <c r="AE277" t="b">
        <v>1</v>
      </c>
      <c r="AF277" t="b">
        <v>1</v>
      </c>
      <c r="AG277" t="b">
        <v>1</v>
      </c>
    </row>
    <row r="278" spans="1:33" x14ac:dyDescent="0.25">
      <c r="A278" t="s">
        <v>681</v>
      </c>
      <c r="B278">
        <v>6</v>
      </c>
      <c r="C278" t="b">
        <v>0</v>
      </c>
      <c r="D278" t="s">
        <v>839</v>
      </c>
      <c r="E278" t="s">
        <v>973</v>
      </c>
      <c r="F278" t="s">
        <v>983</v>
      </c>
      <c r="G278" t="s">
        <v>1065</v>
      </c>
      <c r="H278">
        <v>277</v>
      </c>
      <c r="I278" t="str">
        <f>IF(ISBLANK(Table1[[#This Row],[oid]]),"FALSE","TRUE")</f>
        <v>TRUE</v>
      </c>
      <c r="J278" t="str" cm="1">
        <f t="array" ref="J278">_xlfn.SWITCH(LEFT(Table1[[#This Row],[section]],1), "D", "Demographic", "S", "Social", "E", "Economic", "H", "Housing", "")</f>
        <v>Social</v>
      </c>
      <c r="K278" t="s">
        <v>843</v>
      </c>
      <c r="L278" t="s">
        <v>844</v>
      </c>
      <c r="M278" t="str">
        <f>IF(Table1[[#This Row],[used]], _xlfn.CONCAT("🆔 ", Table1[[#This Row],[variable]], ": ",Table1[[#This Row],[alias]]), "")</f>
        <v>🆔 B09019_006E: In households: Householder: Male: Not living alone</v>
      </c>
      <c r="O278" t="s">
        <v>1066</v>
      </c>
      <c r="P278" t="s">
        <v>846</v>
      </c>
      <c r="Q278" t="s">
        <v>41</v>
      </c>
      <c r="R278" t="s">
        <v>984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1</v>
      </c>
      <c r="AC278" t="b">
        <v>1</v>
      </c>
      <c r="AD278" t="b">
        <v>1</v>
      </c>
      <c r="AE278" t="b">
        <v>1</v>
      </c>
      <c r="AF278" t="b">
        <v>1</v>
      </c>
      <c r="AG278" t="b">
        <v>1</v>
      </c>
    </row>
    <row r="279" spans="1:33" x14ac:dyDescent="0.25">
      <c r="A279" t="s">
        <v>681</v>
      </c>
      <c r="B279">
        <v>6</v>
      </c>
      <c r="C279" t="b">
        <v>0</v>
      </c>
      <c r="D279" t="s">
        <v>839</v>
      </c>
      <c r="E279" t="s">
        <v>973</v>
      </c>
      <c r="F279" t="s">
        <v>985</v>
      </c>
      <c r="G279" t="s">
        <v>1067</v>
      </c>
      <c r="H279">
        <v>278</v>
      </c>
      <c r="I279" t="str">
        <f>IF(ISBLANK(Table1[[#This Row],[oid]]),"FALSE","TRUE")</f>
        <v>TRUE</v>
      </c>
      <c r="J279" t="str" cm="1">
        <f t="array" ref="J279">_xlfn.SWITCH(LEFT(Table1[[#This Row],[section]],1), "D", "Demographic", "S", "Social", "E", "Economic", "H", "Housing", "")</f>
        <v>Social</v>
      </c>
      <c r="K279" t="s">
        <v>843</v>
      </c>
      <c r="L279" t="s">
        <v>844</v>
      </c>
      <c r="M279" t="str">
        <f>IF(Table1[[#This Row],[used]], _xlfn.CONCAT("🆔 ", Table1[[#This Row],[variable]], ": ",Table1[[#This Row],[alias]]), "")</f>
        <v>🆔 B09019_007E: In households: Householder: Female</v>
      </c>
      <c r="O279" t="s">
        <v>1068</v>
      </c>
      <c r="P279" t="s">
        <v>846</v>
      </c>
      <c r="Q279" t="s">
        <v>41</v>
      </c>
      <c r="R279" t="s">
        <v>986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1</v>
      </c>
      <c r="AC279" t="b">
        <v>1</v>
      </c>
      <c r="AD279" t="b">
        <v>1</v>
      </c>
      <c r="AE279" t="b">
        <v>1</v>
      </c>
      <c r="AF279" t="b">
        <v>1</v>
      </c>
      <c r="AG279" t="b">
        <v>1</v>
      </c>
    </row>
    <row r="280" spans="1:33" x14ac:dyDescent="0.25">
      <c r="A280" t="s">
        <v>681</v>
      </c>
      <c r="B280">
        <v>6</v>
      </c>
      <c r="C280" t="b">
        <v>0</v>
      </c>
      <c r="D280" t="s">
        <v>839</v>
      </c>
      <c r="E280" t="s">
        <v>973</v>
      </c>
      <c r="F280" t="s">
        <v>987</v>
      </c>
      <c r="G280" t="s">
        <v>1069</v>
      </c>
      <c r="H280">
        <v>279</v>
      </c>
      <c r="I280" t="str">
        <f>IF(ISBLANK(Table1[[#This Row],[oid]]),"FALSE","TRUE")</f>
        <v>TRUE</v>
      </c>
      <c r="J280" t="str" cm="1">
        <f t="array" ref="J280">_xlfn.SWITCH(LEFT(Table1[[#This Row],[section]],1), "D", "Demographic", "S", "Social", "E", "Economic", "H", "Housing", "")</f>
        <v>Social</v>
      </c>
      <c r="K280" t="s">
        <v>843</v>
      </c>
      <c r="L280" t="s">
        <v>844</v>
      </c>
      <c r="M280" t="str">
        <f>IF(Table1[[#This Row],[used]], _xlfn.CONCAT("🆔 ", Table1[[#This Row],[variable]], ": ",Table1[[#This Row],[alias]]), "")</f>
        <v>🆔 B09019_008E: In households: Householder: Female: Living alone</v>
      </c>
      <c r="O280" t="s">
        <v>1070</v>
      </c>
      <c r="P280" t="s">
        <v>846</v>
      </c>
      <c r="Q280" t="s">
        <v>41</v>
      </c>
      <c r="R280" t="s">
        <v>988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1</v>
      </c>
      <c r="AC280" t="b">
        <v>1</v>
      </c>
      <c r="AD280" t="b">
        <v>1</v>
      </c>
      <c r="AE280" t="b">
        <v>1</v>
      </c>
      <c r="AF280" t="b">
        <v>1</v>
      </c>
      <c r="AG280" t="b">
        <v>1</v>
      </c>
    </row>
    <row r="281" spans="1:33" x14ac:dyDescent="0.25">
      <c r="A281" t="s">
        <v>681</v>
      </c>
      <c r="B281">
        <v>6</v>
      </c>
      <c r="C281" t="b">
        <v>0</v>
      </c>
      <c r="D281" t="s">
        <v>839</v>
      </c>
      <c r="E281" t="s">
        <v>973</v>
      </c>
      <c r="F281" t="s">
        <v>989</v>
      </c>
      <c r="G281" t="s">
        <v>1071</v>
      </c>
      <c r="H281">
        <v>280</v>
      </c>
      <c r="I281" t="str">
        <f>IF(ISBLANK(Table1[[#This Row],[oid]]),"FALSE","TRUE")</f>
        <v>TRUE</v>
      </c>
      <c r="J281" t="str" cm="1">
        <f t="array" ref="J281">_xlfn.SWITCH(LEFT(Table1[[#This Row],[section]],1), "D", "Demographic", "S", "Social", "E", "Economic", "H", "Housing", "")</f>
        <v>Social</v>
      </c>
      <c r="K281" t="s">
        <v>843</v>
      </c>
      <c r="L281" t="s">
        <v>844</v>
      </c>
      <c r="M281" t="str">
        <f>IF(Table1[[#This Row],[used]], _xlfn.CONCAT("🆔 ", Table1[[#This Row],[variable]], ": ",Table1[[#This Row],[alias]]), "")</f>
        <v>🆔 B09019_009E: In households: Householder: Female: Not living alone</v>
      </c>
      <c r="O281" t="s">
        <v>1072</v>
      </c>
      <c r="P281" t="s">
        <v>846</v>
      </c>
      <c r="Q281" t="s">
        <v>41</v>
      </c>
      <c r="R281" t="s">
        <v>992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1</v>
      </c>
      <c r="AC281" t="b">
        <v>1</v>
      </c>
      <c r="AD281" t="b">
        <v>1</v>
      </c>
      <c r="AE281" t="b">
        <v>1</v>
      </c>
      <c r="AF281" t="b">
        <v>1</v>
      </c>
      <c r="AG281" t="b">
        <v>1</v>
      </c>
    </row>
    <row r="282" spans="1:33" x14ac:dyDescent="0.25">
      <c r="A282" t="s">
        <v>681</v>
      </c>
      <c r="B282">
        <v>6</v>
      </c>
      <c r="C282" t="b">
        <v>0</v>
      </c>
      <c r="D282" t="s">
        <v>839</v>
      </c>
      <c r="E282" t="s">
        <v>973</v>
      </c>
      <c r="F282" t="s">
        <v>993</v>
      </c>
      <c r="G282" t="s">
        <v>1073</v>
      </c>
      <c r="H282">
        <v>281</v>
      </c>
      <c r="I282" t="str">
        <f>IF(ISBLANK(Table1[[#This Row],[oid]]),"FALSE","TRUE")</f>
        <v>TRUE</v>
      </c>
      <c r="J282" t="str" cm="1">
        <f t="array" ref="J282">_xlfn.SWITCH(LEFT(Table1[[#This Row],[section]],1), "D", "Demographic", "S", "Social", "E", "Economic", "H", "Housing", "")</f>
        <v>Social</v>
      </c>
      <c r="K282" t="s">
        <v>843</v>
      </c>
      <c r="L282" t="s">
        <v>844</v>
      </c>
      <c r="M282" t="str">
        <f>IF(Table1[[#This Row],[used]], _xlfn.CONCAT("🆔 ", Table1[[#This Row],[variable]], ": ",Table1[[#This Row],[alias]]), "")</f>
        <v>🆔 B09019_010E: In households: Opposite-sex spouse</v>
      </c>
      <c r="O282" t="s">
        <v>1074</v>
      </c>
      <c r="P282" t="s">
        <v>846</v>
      </c>
      <c r="Q282" t="s">
        <v>41</v>
      </c>
      <c r="R282" t="s">
        <v>996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1</v>
      </c>
      <c r="AC282" t="b">
        <v>1</v>
      </c>
      <c r="AD282" t="b">
        <v>1</v>
      </c>
      <c r="AE282" t="b">
        <v>1</v>
      </c>
      <c r="AF282" t="b">
        <v>1</v>
      </c>
      <c r="AG282" t="b">
        <v>1</v>
      </c>
    </row>
    <row r="283" spans="1:33" x14ac:dyDescent="0.25">
      <c r="A283" t="s">
        <v>681</v>
      </c>
      <c r="B283">
        <v>6</v>
      </c>
      <c r="C283" t="b">
        <v>0</v>
      </c>
      <c r="D283" t="s">
        <v>839</v>
      </c>
      <c r="E283" t="s">
        <v>973</v>
      </c>
      <c r="F283" t="s">
        <v>997</v>
      </c>
      <c r="G283" t="s">
        <v>1075</v>
      </c>
      <c r="H283">
        <v>282</v>
      </c>
      <c r="I283" t="str">
        <f>IF(ISBLANK(Table1[[#This Row],[oid]]),"FALSE","TRUE")</f>
        <v>TRUE</v>
      </c>
      <c r="J283" t="str" cm="1">
        <f t="array" ref="J283">_xlfn.SWITCH(LEFT(Table1[[#This Row],[section]],1), "D", "Demographic", "S", "Social", "E", "Economic", "H", "Housing", "")</f>
        <v>Social</v>
      </c>
      <c r="K283" t="s">
        <v>843</v>
      </c>
      <c r="L283" t="s">
        <v>844</v>
      </c>
      <c r="M283" t="str">
        <f>IF(Table1[[#This Row],[used]], _xlfn.CONCAT("🆔 ", Table1[[#This Row],[variable]], ": ",Table1[[#This Row],[alias]]), "")</f>
        <v>🆔 B09019_011E: In households: Same-sex spouse</v>
      </c>
      <c r="O283" t="s">
        <v>1076</v>
      </c>
      <c r="P283" t="s">
        <v>846</v>
      </c>
      <c r="Q283" t="s">
        <v>41</v>
      </c>
      <c r="R283" t="s">
        <v>1000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</row>
    <row r="284" spans="1:33" x14ac:dyDescent="0.25">
      <c r="A284" t="s">
        <v>681</v>
      </c>
      <c r="B284">
        <v>6</v>
      </c>
      <c r="C284" t="b">
        <v>0</v>
      </c>
      <c r="D284" t="s">
        <v>839</v>
      </c>
      <c r="E284" t="s">
        <v>973</v>
      </c>
      <c r="F284" t="s">
        <v>1001</v>
      </c>
      <c r="G284" t="s">
        <v>1077</v>
      </c>
      <c r="H284">
        <v>283</v>
      </c>
      <c r="I284" t="str">
        <f>IF(ISBLANK(Table1[[#This Row],[oid]]),"FALSE","TRUE")</f>
        <v>TRUE</v>
      </c>
      <c r="J284" t="str" cm="1">
        <f t="array" ref="J284">_xlfn.SWITCH(LEFT(Table1[[#This Row],[section]],1), "D", "Demographic", "S", "Social", "E", "Economic", "H", "Housing", "")</f>
        <v>Social</v>
      </c>
      <c r="K284" t="s">
        <v>843</v>
      </c>
      <c r="L284" t="s">
        <v>844</v>
      </c>
      <c r="M284" t="str">
        <f>IF(Table1[[#This Row],[used]], _xlfn.CONCAT("🆔 ", Table1[[#This Row],[variable]], ": ",Table1[[#This Row],[alias]]), "")</f>
        <v>🆔 B09019_012E: In households: Opposite-sex unmarried partner</v>
      </c>
      <c r="O284" t="s">
        <v>1078</v>
      </c>
      <c r="P284" t="s">
        <v>846</v>
      </c>
      <c r="Q284" t="s">
        <v>41</v>
      </c>
      <c r="R284" t="s">
        <v>1002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</row>
    <row r="285" spans="1:33" x14ac:dyDescent="0.25">
      <c r="A285" t="s">
        <v>681</v>
      </c>
      <c r="B285">
        <v>6</v>
      </c>
      <c r="C285" t="b">
        <v>0</v>
      </c>
      <c r="D285" t="s">
        <v>839</v>
      </c>
      <c r="E285" t="s">
        <v>973</v>
      </c>
      <c r="F285" t="s">
        <v>1003</v>
      </c>
      <c r="G285" t="s">
        <v>1079</v>
      </c>
      <c r="H285">
        <v>284</v>
      </c>
      <c r="I285" t="str">
        <f>IF(ISBLANK(Table1[[#This Row],[oid]]),"FALSE","TRUE")</f>
        <v>TRUE</v>
      </c>
      <c r="J285" t="str" cm="1">
        <f t="array" ref="J285">_xlfn.SWITCH(LEFT(Table1[[#This Row],[section]],1), "D", "Demographic", "S", "Social", "E", "Economic", "H", "Housing", "")</f>
        <v>Social</v>
      </c>
      <c r="K285" t="s">
        <v>843</v>
      </c>
      <c r="L285" t="s">
        <v>844</v>
      </c>
      <c r="M285" t="str">
        <f>IF(Table1[[#This Row],[used]], _xlfn.CONCAT("🆔 ", Table1[[#This Row],[variable]], ": ",Table1[[#This Row],[alias]]), "")</f>
        <v>🆔 B09019_013E: In households: Same-sex unmarried partner</v>
      </c>
      <c r="O285" t="s">
        <v>1080</v>
      </c>
      <c r="P285" t="s">
        <v>846</v>
      </c>
      <c r="Q285" t="s">
        <v>41</v>
      </c>
      <c r="R285" t="s">
        <v>1004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</row>
    <row r="286" spans="1:33" x14ac:dyDescent="0.25">
      <c r="A286" t="s">
        <v>681</v>
      </c>
      <c r="B286">
        <v>6</v>
      </c>
      <c r="C286" t="b">
        <v>0</v>
      </c>
      <c r="D286" t="s">
        <v>839</v>
      </c>
      <c r="E286" t="s">
        <v>973</v>
      </c>
      <c r="F286" t="s">
        <v>1005</v>
      </c>
      <c r="G286" t="s">
        <v>1081</v>
      </c>
      <c r="H286">
        <v>285</v>
      </c>
      <c r="I286" t="str">
        <f>IF(ISBLANK(Table1[[#This Row],[oid]]),"FALSE","TRUE")</f>
        <v>TRUE</v>
      </c>
      <c r="J286" t="str" cm="1">
        <f t="array" ref="J286">_xlfn.SWITCH(LEFT(Table1[[#This Row],[section]],1), "D", "Demographic", "S", "Social", "E", "Economic", "H", "Housing", "")</f>
        <v>Social</v>
      </c>
      <c r="K286" t="s">
        <v>843</v>
      </c>
      <c r="L286" t="s">
        <v>844</v>
      </c>
      <c r="M286" t="str">
        <f>IF(Table1[[#This Row],[used]], _xlfn.CONCAT("🆔 ", Table1[[#This Row],[variable]], ": ",Table1[[#This Row],[alias]]), "")</f>
        <v>🆔 B09019_014E: In households: Child</v>
      </c>
      <c r="O286" t="s">
        <v>1082</v>
      </c>
      <c r="P286" t="s">
        <v>846</v>
      </c>
      <c r="Q286" t="s">
        <v>41</v>
      </c>
      <c r="R286" t="s">
        <v>1006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</row>
    <row r="287" spans="1:33" x14ac:dyDescent="0.25">
      <c r="A287" t="s">
        <v>681</v>
      </c>
      <c r="B287">
        <v>6</v>
      </c>
      <c r="C287" t="b">
        <v>0</v>
      </c>
      <c r="D287" t="s">
        <v>839</v>
      </c>
      <c r="E287" t="s">
        <v>973</v>
      </c>
      <c r="F287" t="s">
        <v>1007</v>
      </c>
      <c r="G287" t="s">
        <v>1083</v>
      </c>
      <c r="H287">
        <v>286</v>
      </c>
      <c r="I287" t="str">
        <f>IF(ISBLANK(Table1[[#This Row],[oid]]),"FALSE","TRUE")</f>
        <v>TRUE</v>
      </c>
      <c r="J287" t="str" cm="1">
        <f t="array" ref="J287">_xlfn.SWITCH(LEFT(Table1[[#This Row],[section]],1), "D", "Demographic", "S", "Social", "E", "Economic", "H", "Housing", "")</f>
        <v>Social</v>
      </c>
      <c r="K287" t="s">
        <v>843</v>
      </c>
      <c r="L287" t="s">
        <v>844</v>
      </c>
      <c r="M287" t="str">
        <f>IF(Table1[[#This Row],[used]], _xlfn.CONCAT("🆔 ", Table1[[#This Row],[variable]], ": ",Table1[[#This Row],[alias]]), "")</f>
        <v>🆔 B09019_015E: In households: Child: Biological child</v>
      </c>
      <c r="O287" t="s">
        <v>1084</v>
      </c>
      <c r="P287" t="s">
        <v>846</v>
      </c>
      <c r="Q287" t="s">
        <v>41</v>
      </c>
      <c r="R287" t="s">
        <v>1010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1</v>
      </c>
      <c r="AC287" t="b">
        <v>1</v>
      </c>
      <c r="AD287" t="b">
        <v>1</v>
      </c>
      <c r="AE287" t="b">
        <v>1</v>
      </c>
      <c r="AF287" t="b">
        <v>1</v>
      </c>
      <c r="AG287" t="b">
        <v>1</v>
      </c>
    </row>
    <row r="288" spans="1:33" x14ac:dyDescent="0.25">
      <c r="A288" t="s">
        <v>681</v>
      </c>
      <c r="B288">
        <v>6</v>
      </c>
      <c r="C288" t="b">
        <v>0</v>
      </c>
      <c r="D288" t="s">
        <v>839</v>
      </c>
      <c r="E288" t="s">
        <v>973</v>
      </c>
      <c r="F288" t="s">
        <v>1011</v>
      </c>
      <c r="G288" t="s">
        <v>1085</v>
      </c>
      <c r="H288">
        <v>287</v>
      </c>
      <c r="I288" t="str">
        <f>IF(ISBLANK(Table1[[#This Row],[oid]]),"FALSE","TRUE")</f>
        <v>TRUE</v>
      </c>
      <c r="J288" t="str" cm="1">
        <f t="array" ref="J288">_xlfn.SWITCH(LEFT(Table1[[#This Row],[section]],1), "D", "Demographic", "S", "Social", "E", "Economic", "H", "Housing", "")</f>
        <v>Social</v>
      </c>
      <c r="K288" t="s">
        <v>843</v>
      </c>
      <c r="L288" t="s">
        <v>844</v>
      </c>
      <c r="M288" t="str">
        <f>IF(Table1[[#This Row],[used]], _xlfn.CONCAT("🆔 ", Table1[[#This Row],[variable]], ": ",Table1[[#This Row],[alias]]), "")</f>
        <v>🆔 B09019_016E: In households: Child: Adopted child</v>
      </c>
      <c r="O288" t="s">
        <v>1086</v>
      </c>
      <c r="P288" t="s">
        <v>846</v>
      </c>
      <c r="Q288" t="s">
        <v>41</v>
      </c>
      <c r="R288" t="s">
        <v>1014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1</v>
      </c>
      <c r="AC288" t="b">
        <v>1</v>
      </c>
      <c r="AD288" t="b">
        <v>1</v>
      </c>
      <c r="AE288" t="b">
        <v>1</v>
      </c>
      <c r="AF288" t="b">
        <v>1</v>
      </c>
      <c r="AG288" t="b">
        <v>1</v>
      </c>
    </row>
    <row r="289" spans="1:33" x14ac:dyDescent="0.25">
      <c r="A289" t="s">
        <v>681</v>
      </c>
      <c r="B289">
        <v>6</v>
      </c>
      <c r="C289" t="b">
        <v>0</v>
      </c>
      <c r="D289" t="s">
        <v>839</v>
      </c>
      <c r="E289" t="s">
        <v>973</v>
      </c>
      <c r="F289" t="s">
        <v>1015</v>
      </c>
      <c r="G289" t="s">
        <v>1087</v>
      </c>
      <c r="H289">
        <v>288</v>
      </c>
      <c r="I289" t="str">
        <f>IF(ISBLANK(Table1[[#This Row],[oid]]),"FALSE","TRUE")</f>
        <v>TRUE</v>
      </c>
      <c r="J289" t="str" cm="1">
        <f t="array" ref="J289">_xlfn.SWITCH(LEFT(Table1[[#This Row],[section]],1), "D", "Demographic", "S", "Social", "E", "Economic", "H", "Housing", "")</f>
        <v>Social</v>
      </c>
      <c r="K289" t="s">
        <v>843</v>
      </c>
      <c r="L289" t="s">
        <v>844</v>
      </c>
      <c r="M289" t="str">
        <f>IF(Table1[[#This Row],[used]], _xlfn.CONCAT("🆔 ", Table1[[#This Row],[variable]], ": ",Table1[[#This Row],[alias]]), "")</f>
        <v>🆔 B09019_017E: In households: Child: Stepchild</v>
      </c>
      <c r="O289" t="s">
        <v>1088</v>
      </c>
      <c r="P289" t="s">
        <v>846</v>
      </c>
      <c r="Q289" t="s">
        <v>41</v>
      </c>
      <c r="R289" t="s">
        <v>1016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1</v>
      </c>
      <c r="AC289" t="b">
        <v>1</v>
      </c>
      <c r="AD289" t="b">
        <v>1</v>
      </c>
      <c r="AE289" t="b">
        <v>1</v>
      </c>
      <c r="AF289" t="b">
        <v>1</v>
      </c>
      <c r="AG289" t="b">
        <v>1</v>
      </c>
    </row>
    <row r="290" spans="1:33" x14ac:dyDescent="0.25">
      <c r="A290" t="s">
        <v>681</v>
      </c>
      <c r="B290">
        <v>6</v>
      </c>
      <c r="C290" t="b">
        <v>0</v>
      </c>
      <c r="D290" t="s">
        <v>839</v>
      </c>
      <c r="E290" t="s">
        <v>973</v>
      </c>
      <c r="F290" t="s">
        <v>1017</v>
      </c>
      <c r="G290" t="s">
        <v>1089</v>
      </c>
      <c r="H290">
        <v>289</v>
      </c>
      <c r="I290" t="str">
        <f>IF(ISBLANK(Table1[[#This Row],[oid]]),"FALSE","TRUE")</f>
        <v>TRUE</v>
      </c>
      <c r="J290" t="str" cm="1">
        <f t="array" ref="J290">_xlfn.SWITCH(LEFT(Table1[[#This Row],[section]],1), "D", "Demographic", "S", "Social", "E", "Economic", "H", "Housing", "")</f>
        <v>Social</v>
      </c>
      <c r="K290" t="s">
        <v>843</v>
      </c>
      <c r="L290" t="s">
        <v>844</v>
      </c>
      <c r="M290" t="str">
        <f>IF(Table1[[#This Row],[used]], _xlfn.CONCAT("🆔 ", Table1[[#This Row],[variable]], ": ",Table1[[#This Row],[alias]]), "")</f>
        <v>🆔 B09019_018E: In households: Grandchild</v>
      </c>
      <c r="O290" t="s">
        <v>1090</v>
      </c>
      <c r="P290" t="s">
        <v>846</v>
      </c>
      <c r="Q290" t="s">
        <v>41</v>
      </c>
      <c r="R290" t="s">
        <v>1018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1</v>
      </c>
      <c r="AC290" t="b">
        <v>1</v>
      </c>
      <c r="AD290" t="b">
        <v>1</v>
      </c>
      <c r="AE290" t="b">
        <v>1</v>
      </c>
      <c r="AF290" t="b">
        <v>1</v>
      </c>
      <c r="AG290" t="b">
        <v>1</v>
      </c>
    </row>
    <row r="291" spans="1:33" x14ac:dyDescent="0.25">
      <c r="A291" t="s">
        <v>681</v>
      </c>
      <c r="B291">
        <v>6</v>
      </c>
      <c r="C291" t="b">
        <v>0</v>
      </c>
      <c r="D291" t="s">
        <v>839</v>
      </c>
      <c r="E291" t="s">
        <v>973</v>
      </c>
      <c r="F291" t="s">
        <v>1019</v>
      </c>
      <c r="G291" t="s">
        <v>1091</v>
      </c>
      <c r="H291">
        <v>290</v>
      </c>
      <c r="I291" t="str">
        <f>IF(ISBLANK(Table1[[#This Row],[oid]]),"FALSE","TRUE")</f>
        <v>TRUE</v>
      </c>
      <c r="J291" t="str" cm="1">
        <f t="array" ref="J291">_xlfn.SWITCH(LEFT(Table1[[#This Row],[section]],1), "D", "Demographic", "S", "Social", "E", "Economic", "H", "Housing", "")</f>
        <v>Social</v>
      </c>
      <c r="K291" t="s">
        <v>843</v>
      </c>
      <c r="L291" t="s">
        <v>844</v>
      </c>
      <c r="M291" t="str">
        <f>IF(Table1[[#This Row],[used]], _xlfn.CONCAT("🆔 ", Table1[[#This Row],[variable]], ": ",Table1[[#This Row],[alias]]), "")</f>
        <v>🆔 B09019_019E: In households: Brother or sister</v>
      </c>
      <c r="O291" t="s">
        <v>1092</v>
      </c>
      <c r="P291" t="s">
        <v>846</v>
      </c>
      <c r="Q291" t="s">
        <v>41</v>
      </c>
      <c r="R291" t="s">
        <v>1020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</row>
    <row r="292" spans="1:33" x14ac:dyDescent="0.25">
      <c r="A292" t="s">
        <v>681</v>
      </c>
      <c r="B292">
        <v>6</v>
      </c>
      <c r="C292" t="b">
        <v>0</v>
      </c>
      <c r="D292" t="s">
        <v>839</v>
      </c>
      <c r="E292" t="s">
        <v>973</v>
      </c>
      <c r="F292" t="s">
        <v>1021</v>
      </c>
      <c r="G292" t="s">
        <v>1093</v>
      </c>
      <c r="H292">
        <v>291</v>
      </c>
      <c r="I292" t="str">
        <f>IF(ISBLANK(Table1[[#This Row],[oid]]),"FALSE","TRUE")</f>
        <v>TRUE</v>
      </c>
      <c r="J292" t="str" cm="1">
        <f t="array" ref="J292">_xlfn.SWITCH(LEFT(Table1[[#This Row],[section]],1), "D", "Demographic", "S", "Social", "E", "Economic", "H", "Housing", "")</f>
        <v>Social</v>
      </c>
      <c r="K292" t="s">
        <v>843</v>
      </c>
      <c r="L292" t="s">
        <v>844</v>
      </c>
      <c r="M292" t="str">
        <f>IF(Table1[[#This Row],[used]], _xlfn.CONCAT("🆔 ", Table1[[#This Row],[variable]], ": ",Table1[[#This Row],[alias]]), "")</f>
        <v>🆔 B09019_020E: In households: Parent</v>
      </c>
      <c r="O292" t="s">
        <v>1094</v>
      </c>
      <c r="P292" t="s">
        <v>846</v>
      </c>
      <c r="Q292" t="s">
        <v>41</v>
      </c>
      <c r="R292" t="s">
        <v>1022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</row>
    <row r="293" spans="1:33" x14ac:dyDescent="0.25">
      <c r="A293" t="s">
        <v>681</v>
      </c>
      <c r="B293">
        <v>6</v>
      </c>
      <c r="C293" t="b">
        <v>0</v>
      </c>
      <c r="D293" t="s">
        <v>839</v>
      </c>
      <c r="E293" t="s">
        <v>973</v>
      </c>
      <c r="F293" t="s">
        <v>1023</v>
      </c>
      <c r="G293" t="s">
        <v>1095</v>
      </c>
      <c r="H293">
        <v>292</v>
      </c>
      <c r="I293" t="str">
        <f>IF(ISBLANK(Table1[[#This Row],[oid]]),"FALSE","TRUE")</f>
        <v>TRUE</v>
      </c>
      <c r="J293" t="str" cm="1">
        <f t="array" ref="J293">_xlfn.SWITCH(LEFT(Table1[[#This Row],[section]],1), "D", "Demographic", "S", "Social", "E", "Economic", "H", "Housing", "")</f>
        <v>Social</v>
      </c>
      <c r="K293" t="s">
        <v>843</v>
      </c>
      <c r="L293" t="s">
        <v>844</v>
      </c>
      <c r="M293" t="str">
        <f>IF(Table1[[#This Row],[used]], _xlfn.CONCAT("🆔 ", Table1[[#This Row],[variable]], ": ",Table1[[#This Row],[alias]]), "")</f>
        <v>🆔 B09019_021E: In households: Parent-in-law</v>
      </c>
      <c r="O293" t="s">
        <v>1096</v>
      </c>
      <c r="P293" t="s">
        <v>846</v>
      </c>
      <c r="Q293" t="s">
        <v>41</v>
      </c>
      <c r="R293" t="s">
        <v>1024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</row>
    <row r="294" spans="1:33" x14ac:dyDescent="0.25">
      <c r="A294" t="s">
        <v>681</v>
      </c>
      <c r="B294">
        <v>6</v>
      </c>
      <c r="C294" t="b">
        <v>0</v>
      </c>
      <c r="D294" t="s">
        <v>839</v>
      </c>
      <c r="E294" t="s">
        <v>973</v>
      </c>
      <c r="F294" t="s">
        <v>1025</v>
      </c>
      <c r="G294" t="s">
        <v>1097</v>
      </c>
      <c r="H294">
        <v>293</v>
      </c>
      <c r="I294" t="str">
        <f>IF(ISBLANK(Table1[[#This Row],[oid]]),"FALSE","TRUE")</f>
        <v>TRUE</v>
      </c>
      <c r="J294" t="str" cm="1">
        <f t="array" ref="J294">_xlfn.SWITCH(LEFT(Table1[[#This Row],[section]],1), "D", "Demographic", "S", "Social", "E", "Economic", "H", "Housing", "")</f>
        <v>Social</v>
      </c>
      <c r="K294" t="s">
        <v>843</v>
      </c>
      <c r="L294" t="s">
        <v>844</v>
      </c>
      <c r="M294" t="str">
        <f>IF(Table1[[#This Row],[used]], _xlfn.CONCAT("🆔 ", Table1[[#This Row],[variable]], ": ",Table1[[#This Row],[alias]]), "")</f>
        <v>🆔 B09019_022E: In households: Son-in-law or daughter-in-law</v>
      </c>
      <c r="O294" t="s">
        <v>1098</v>
      </c>
      <c r="P294" t="s">
        <v>846</v>
      </c>
      <c r="Q294" t="s">
        <v>41</v>
      </c>
      <c r="R294" t="s">
        <v>1026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</row>
    <row r="295" spans="1:33" x14ac:dyDescent="0.25">
      <c r="A295" t="s">
        <v>681</v>
      </c>
      <c r="B295">
        <v>6</v>
      </c>
      <c r="C295" t="b">
        <v>0</v>
      </c>
      <c r="D295" t="s">
        <v>839</v>
      </c>
      <c r="E295" t="s">
        <v>973</v>
      </c>
      <c r="F295" t="s">
        <v>1027</v>
      </c>
      <c r="G295" t="s">
        <v>1099</v>
      </c>
      <c r="H295">
        <v>294</v>
      </c>
      <c r="I295" t="str">
        <f>IF(ISBLANK(Table1[[#This Row],[oid]]),"FALSE","TRUE")</f>
        <v>TRUE</v>
      </c>
      <c r="J295" t="str" cm="1">
        <f t="array" ref="J295">_xlfn.SWITCH(LEFT(Table1[[#This Row],[section]],1), "D", "Demographic", "S", "Social", "E", "Economic", "H", "Housing", "")</f>
        <v>Social</v>
      </c>
      <c r="K295" t="s">
        <v>843</v>
      </c>
      <c r="L295" t="s">
        <v>844</v>
      </c>
      <c r="M295" t="str">
        <f>IF(Table1[[#This Row],[used]], _xlfn.CONCAT("🆔 ", Table1[[#This Row],[variable]], ": ",Table1[[#This Row],[alias]]), "")</f>
        <v>🆔 B09019_023E: In households: Other relatives</v>
      </c>
      <c r="O295" t="s">
        <v>1100</v>
      </c>
      <c r="P295" t="s">
        <v>846</v>
      </c>
      <c r="Q295" t="s">
        <v>41</v>
      </c>
      <c r="R295" t="s">
        <v>1028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1</v>
      </c>
      <c r="AC295" t="b">
        <v>1</v>
      </c>
      <c r="AD295" t="b">
        <v>1</v>
      </c>
      <c r="AE295" t="b">
        <v>1</v>
      </c>
      <c r="AF295" t="b">
        <v>1</v>
      </c>
      <c r="AG295" t="b">
        <v>1</v>
      </c>
    </row>
    <row r="296" spans="1:33" x14ac:dyDescent="0.25">
      <c r="A296" t="s">
        <v>681</v>
      </c>
      <c r="B296">
        <v>6</v>
      </c>
      <c r="C296" t="b">
        <v>0</v>
      </c>
      <c r="D296" t="s">
        <v>839</v>
      </c>
      <c r="E296" t="s">
        <v>973</v>
      </c>
      <c r="F296" t="s">
        <v>1029</v>
      </c>
      <c r="G296" t="s">
        <v>1101</v>
      </c>
      <c r="H296">
        <v>295</v>
      </c>
      <c r="I296" t="str">
        <f>IF(ISBLANK(Table1[[#This Row],[oid]]),"FALSE","TRUE")</f>
        <v>TRUE</v>
      </c>
      <c r="J296" t="str" cm="1">
        <f t="array" ref="J296">_xlfn.SWITCH(LEFT(Table1[[#This Row],[section]],1), "D", "Demographic", "S", "Social", "E", "Economic", "H", "Housing", "")</f>
        <v>Social</v>
      </c>
      <c r="K296" t="s">
        <v>843</v>
      </c>
      <c r="L296" t="s">
        <v>844</v>
      </c>
      <c r="M296" t="str">
        <f>IF(Table1[[#This Row],[used]], _xlfn.CONCAT("🆔 ", Table1[[#This Row],[variable]], ": ",Table1[[#This Row],[alias]]), "")</f>
        <v>🆔 B09019_024E: In households: Foster child</v>
      </c>
      <c r="O296" t="s">
        <v>1102</v>
      </c>
      <c r="P296" t="s">
        <v>846</v>
      </c>
      <c r="Q296" t="s">
        <v>41</v>
      </c>
      <c r="R296" t="s">
        <v>1030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1</v>
      </c>
      <c r="AC296" t="b">
        <v>1</v>
      </c>
      <c r="AD296" t="b">
        <v>1</v>
      </c>
      <c r="AE296" t="b">
        <v>1</v>
      </c>
      <c r="AF296" t="b">
        <v>1</v>
      </c>
      <c r="AG296" t="b">
        <v>1</v>
      </c>
    </row>
    <row r="297" spans="1:33" x14ac:dyDescent="0.25">
      <c r="A297" t="s">
        <v>681</v>
      </c>
      <c r="B297">
        <v>6</v>
      </c>
      <c r="C297" t="b">
        <v>0</v>
      </c>
      <c r="D297" t="s">
        <v>839</v>
      </c>
      <c r="E297" t="s">
        <v>973</v>
      </c>
      <c r="F297" t="s">
        <v>1031</v>
      </c>
      <c r="G297" t="s">
        <v>1103</v>
      </c>
      <c r="H297">
        <v>296</v>
      </c>
      <c r="I297" t="str">
        <f>IF(ISBLANK(Table1[[#This Row],[oid]]),"FALSE","TRUE")</f>
        <v>TRUE</v>
      </c>
      <c r="J297" t="str" cm="1">
        <f t="array" ref="J297">_xlfn.SWITCH(LEFT(Table1[[#This Row],[section]],1), "D", "Demographic", "S", "Social", "E", "Economic", "H", "Housing", "")</f>
        <v>Social</v>
      </c>
      <c r="K297" t="s">
        <v>843</v>
      </c>
      <c r="L297" t="s">
        <v>844</v>
      </c>
      <c r="M297" t="str">
        <f>IF(Table1[[#This Row],[used]], _xlfn.CONCAT("🆔 ", Table1[[#This Row],[variable]], ": ",Table1[[#This Row],[alias]]), "")</f>
        <v>🆔 B09019_025E: In households: Other Non-relatives</v>
      </c>
      <c r="O297" t="s">
        <v>1104</v>
      </c>
      <c r="P297" t="s">
        <v>846</v>
      </c>
      <c r="Q297" t="s">
        <v>41</v>
      </c>
      <c r="R297" t="s">
        <v>1032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1</v>
      </c>
      <c r="AC297" t="b">
        <v>1</v>
      </c>
      <c r="AD297" t="b">
        <v>1</v>
      </c>
      <c r="AE297" t="b">
        <v>1</v>
      </c>
      <c r="AF297" t="b">
        <v>1</v>
      </c>
      <c r="AG297" t="b">
        <v>1</v>
      </c>
    </row>
    <row r="298" spans="1:33" x14ac:dyDescent="0.25">
      <c r="A298" t="s">
        <v>681</v>
      </c>
      <c r="B298">
        <v>6</v>
      </c>
      <c r="C298" t="b">
        <v>0</v>
      </c>
      <c r="D298" t="s">
        <v>839</v>
      </c>
      <c r="E298" t="s">
        <v>973</v>
      </c>
      <c r="F298" t="s">
        <v>1033</v>
      </c>
      <c r="G298" t="s">
        <v>969</v>
      </c>
      <c r="H298">
        <v>297</v>
      </c>
      <c r="I298" t="str">
        <f>IF(ISBLANK(Table1[[#This Row],[oid]]),"FALSE","TRUE")</f>
        <v>TRUE</v>
      </c>
      <c r="J298" t="str" cm="1">
        <f t="array" ref="J298">_xlfn.SWITCH(LEFT(Table1[[#This Row],[section]],1), "D", "Demographic", "S", "Social", "E", "Economic", "H", "Housing", "")</f>
        <v>Social</v>
      </c>
      <c r="K298" t="s">
        <v>843</v>
      </c>
      <c r="L298" t="s">
        <v>844</v>
      </c>
      <c r="M298" t="str">
        <f>IF(Table1[[#This Row],[used]], _xlfn.CONCAT("🆔 ", Table1[[#This Row],[variable]], ": ",Table1[[#This Row],[alias]]), "")</f>
        <v>🆔 B09019_026E: In group quarters</v>
      </c>
      <c r="O298" t="s">
        <v>970</v>
      </c>
      <c r="P298" t="s">
        <v>846</v>
      </c>
      <c r="Q298" t="s">
        <v>41</v>
      </c>
      <c r="R298" t="s">
        <v>1034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1</v>
      </c>
      <c r="AC298" t="b">
        <v>1</v>
      </c>
      <c r="AD298" t="b">
        <v>1</v>
      </c>
      <c r="AE298" t="b">
        <v>1</v>
      </c>
      <c r="AF298" t="b">
        <v>1</v>
      </c>
      <c r="AG298" t="b">
        <v>1</v>
      </c>
    </row>
    <row r="299" spans="1:33" x14ac:dyDescent="0.25">
      <c r="A299" t="s">
        <v>33</v>
      </c>
      <c r="B299">
        <v>15</v>
      </c>
      <c r="C299" t="b">
        <v>1</v>
      </c>
      <c r="D299" t="s">
        <v>1105</v>
      </c>
      <c r="E299" t="s">
        <v>1106</v>
      </c>
      <c r="F299" t="s">
        <v>1107</v>
      </c>
      <c r="G299" t="s">
        <v>1108</v>
      </c>
      <c r="H299">
        <v>298</v>
      </c>
      <c r="I299" t="str">
        <f>IF(ISBLANK(Table1[[#This Row],[oid]]),"FALSE","TRUE")</f>
        <v>TRUE</v>
      </c>
      <c r="J299" t="str" cm="1">
        <f t="array" ref="J299">_xlfn.SWITCH(LEFT(Table1[[#This Row],[section]],1), "D", "Demographic", "S", "Social", "E", "Economic", "H", "Housing", "")</f>
        <v>Social</v>
      </c>
      <c r="K299" t="s">
        <v>1109</v>
      </c>
      <c r="L299" t="s">
        <v>1110</v>
      </c>
      <c r="M299" t="str">
        <f>IF(Table1[[#This Row],[used]], _xlfn.CONCAT("🆔 ", Table1[[#This Row],[variable]], ": ",Table1[[#This Row],[alias]]), "")</f>
        <v>🆔 B12001_001E: Population, 15+ years</v>
      </c>
      <c r="O299" t="s">
        <v>39</v>
      </c>
      <c r="P299" t="s">
        <v>1111</v>
      </c>
      <c r="Q299" t="s">
        <v>41</v>
      </c>
      <c r="R299" t="s">
        <v>1112</v>
      </c>
      <c r="S299" t="b">
        <v>1</v>
      </c>
      <c r="T299" t="b">
        <v>1</v>
      </c>
      <c r="U299" t="b">
        <v>1</v>
      </c>
      <c r="V299" t="b">
        <v>1</v>
      </c>
      <c r="W299" t="b">
        <v>1</v>
      </c>
      <c r="X299" t="b">
        <v>1</v>
      </c>
      <c r="Y299" t="b">
        <v>1</v>
      </c>
      <c r="Z299" t="b">
        <v>1</v>
      </c>
      <c r="AA299" t="b">
        <v>1</v>
      </c>
      <c r="AB299" t="b">
        <v>1</v>
      </c>
      <c r="AC299" t="b">
        <v>1</v>
      </c>
      <c r="AD299" t="b">
        <v>1</v>
      </c>
      <c r="AE299" t="b">
        <v>1</v>
      </c>
      <c r="AF299" t="b">
        <v>1</v>
      </c>
      <c r="AG299" t="b">
        <v>1</v>
      </c>
    </row>
    <row r="300" spans="1:33" x14ac:dyDescent="0.25">
      <c r="A300" t="s">
        <v>33</v>
      </c>
      <c r="B300">
        <v>15</v>
      </c>
      <c r="C300" t="b">
        <v>1</v>
      </c>
      <c r="D300" t="s">
        <v>1105</v>
      </c>
      <c r="E300" t="s">
        <v>1106</v>
      </c>
      <c r="F300" t="s">
        <v>1113</v>
      </c>
      <c r="G300" t="s">
        <v>1114</v>
      </c>
      <c r="H300">
        <v>299</v>
      </c>
      <c r="I300" t="str">
        <f>IF(ISBLANK(Table1[[#This Row],[oid]]),"FALSE","TRUE")</f>
        <v>TRUE</v>
      </c>
      <c r="J300" t="str" cm="1">
        <f t="array" ref="J300">_xlfn.SWITCH(LEFT(Table1[[#This Row],[section]],1), "D", "Demographic", "S", "Social", "E", "Economic", "H", "Housing", "")</f>
        <v>Social</v>
      </c>
      <c r="K300" t="s">
        <v>1109</v>
      </c>
      <c r="L300" t="s">
        <v>1110</v>
      </c>
      <c r="M300" t="str">
        <f>IF(Table1[[#This Row],[used]], _xlfn.CONCAT("🆔 ", Table1[[#This Row],[variable]], ": ",Table1[[#This Row],[alias]]), "")</f>
        <v>🆔 B12001_002E: Male, 15+ years</v>
      </c>
      <c r="O300" t="s">
        <v>52</v>
      </c>
      <c r="P300" t="s">
        <v>1111</v>
      </c>
      <c r="Q300" t="s">
        <v>41</v>
      </c>
      <c r="R300" t="s">
        <v>1115</v>
      </c>
      <c r="S300" t="b">
        <v>1</v>
      </c>
      <c r="T300" t="b">
        <v>1</v>
      </c>
      <c r="U300" t="b">
        <v>1</v>
      </c>
      <c r="V300" t="b">
        <v>1</v>
      </c>
      <c r="W300" t="b">
        <v>1</v>
      </c>
      <c r="X300" t="b">
        <v>1</v>
      </c>
      <c r="Y300" t="b">
        <v>1</v>
      </c>
      <c r="Z300" t="b">
        <v>1</v>
      </c>
      <c r="AA300" t="b">
        <v>1</v>
      </c>
      <c r="AB300" t="b">
        <v>1</v>
      </c>
      <c r="AC300" t="b">
        <v>1</v>
      </c>
      <c r="AD300" t="b">
        <v>1</v>
      </c>
      <c r="AE300" t="b">
        <v>1</v>
      </c>
      <c r="AF300" t="b">
        <v>1</v>
      </c>
      <c r="AG300" t="b">
        <v>1</v>
      </c>
    </row>
    <row r="301" spans="1:33" x14ac:dyDescent="0.25">
      <c r="A301" t="s">
        <v>33</v>
      </c>
      <c r="B301">
        <v>15</v>
      </c>
      <c r="C301" t="b">
        <v>1</v>
      </c>
      <c r="D301" t="s">
        <v>1105</v>
      </c>
      <c r="E301" t="s">
        <v>1106</v>
      </c>
      <c r="F301" t="s">
        <v>1116</v>
      </c>
      <c r="G301" t="s">
        <v>1117</v>
      </c>
      <c r="H301">
        <v>300</v>
      </c>
      <c r="I301" t="str">
        <f>IF(ISBLANK(Table1[[#This Row],[oid]]),"FALSE","TRUE")</f>
        <v>TRUE</v>
      </c>
      <c r="J301" t="str" cm="1">
        <f t="array" ref="J301">_xlfn.SWITCH(LEFT(Table1[[#This Row],[section]],1), "D", "Demographic", "S", "Social", "E", "Economic", "H", "Housing", "")</f>
        <v>Social</v>
      </c>
      <c r="K301" t="s">
        <v>1109</v>
      </c>
      <c r="L301" t="s">
        <v>1110</v>
      </c>
      <c r="M301" t="str">
        <f>IF(Table1[[#This Row],[used]], _xlfn.CONCAT("🆔 ", Table1[[#This Row],[variable]], ": ",Table1[[#This Row],[alias]]), "")</f>
        <v>🆔 B12001_003E: Male, 15+ years: Never married</v>
      </c>
      <c r="O301" t="s">
        <v>1118</v>
      </c>
      <c r="P301" t="s">
        <v>1111</v>
      </c>
      <c r="Q301" t="s">
        <v>41</v>
      </c>
      <c r="R301" t="s">
        <v>1119</v>
      </c>
      <c r="S301" t="b">
        <v>1</v>
      </c>
      <c r="T301" t="b">
        <v>1</v>
      </c>
      <c r="U301" t="b">
        <v>1</v>
      </c>
      <c r="V301" t="b">
        <v>1</v>
      </c>
      <c r="W301" t="b">
        <v>1</v>
      </c>
      <c r="X301" t="b">
        <v>1</v>
      </c>
      <c r="Y301" t="b">
        <v>1</v>
      </c>
      <c r="Z301" t="b">
        <v>1</v>
      </c>
      <c r="AA301" t="b">
        <v>1</v>
      </c>
      <c r="AB301" t="b">
        <v>1</v>
      </c>
      <c r="AC301" t="b">
        <v>1</v>
      </c>
      <c r="AD301" t="b">
        <v>1</v>
      </c>
      <c r="AE301" t="b">
        <v>1</v>
      </c>
      <c r="AF301" t="b">
        <v>1</v>
      </c>
      <c r="AG301" t="b">
        <v>1</v>
      </c>
    </row>
    <row r="302" spans="1:33" x14ac:dyDescent="0.25">
      <c r="A302" t="s">
        <v>33</v>
      </c>
      <c r="B302">
        <v>15</v>
      </c>
      <c r="C302" t="b">
        <v>1</v>
      </c>
      <c r="D302" t="s">
        <v>1105</v>
      </c>
      <c r="E302" t="s">
        <v>1106</v>
      </c>
      <c r="F302" t="s">
        <v>1120</v>
      </c>
      <c r="G302" t="s">
        <v>1121</v>
      </c>
      <c r="H302">
        <v>301</v>
      </c>
      <c r="I302" t="str">
        <f>IF(ISBLANK(Table1[[#This Row],[oid]]),"FALSE","TRUE")</f>
        <v>TRUE</v>
      </c>
      <c r="J302" t="str" cm="1">
        <f t="array" ref="J302">_xlfn.SWITCH(LEFT(Table1[[#This Row],[section]],1), "D", "Demographic", "S", "Social", "E", "Economic", "H", "Housing", "")</f>
        <v>Social</v>
      </c>
      <c r="K302" t="s">
        <v>1109</v>
      </c>
      <c r="L302" t="s">
        <v>1110</v>
      </c>
      <c r="M302" t="str">
        <f>IF(Table1[[#This Row],[used]], _xlfn.CONCAT("🆔 ", Table1[[#This Row],[variable]], ": ",Table1[[#This Row],[alias]]), "")</f>
        <v>🆔 B12001_004E: Male, 15+ years: Now married</v>
      </c>
      <c r="O302" t="s">
        <v>1122</v>
      </c>
      <c r="P302" t="s">
        <v>1111</v>
      </c>
      <c r="Q302" t="s">
        <v>41</v>
      </c>
      <c r="R302" t="s">
        <v>1123</v>
      </c>
      <c r="S302" t="b">
        <v>1</v>
      </c>
      <c r="T302" t="b">
        <v>1</v>
      </c>
      <c r="U302" t="b">
        <v>1</v>
      </c>
      <c r="V302" t="b">
        <v>1</v>
      </c>
      <c r="W302" t="b">
        <v>1</v>
      </c>
      <c r="X302" t="b">
        <v>1</v>
      </c>
      <c r="Y302" t="b">
        <v>1</v>
      </c>
      <c r="Z302" t="b">
        <v>1</v>
      </c>
      <c r="AA302" t="b">
        <v>1</v>
      </c>
      <c r="AB302" t="b">
        <v>1</v>
      </c>
      <c r="AC302" t="b">
        <v>1</v>
      </c>
      <c r="AD302" t="b">
        <v>1</v>
      </c>
      <c r="AE302" t="b">
        <v>1</v>
      </c>
      <c r="AF302" t="b">
        <v>1</v>
      </c>
      <c r="AG302" t="b">
        <v>1</v>
      </c>
    </row>
    <row r="303" spans="1:33" x14ac:dyDescent="0.25">
      <c r="A303" t="s">
        <v>33</v>
      </c>
      <c r="B303">
        <v>15</v>
      </c>
      <c r="C303" t="b">
        <v>1</v>
      </c>
      <c r="D303" t="s">
        <v>1105</v>
      </c>
      <c r="E303" t="s">
        <v>1106</v>
      </c>
      <c r="F303" t="s">
        <v>1124</v>
      </c>
      <c r="G303" t="s">
        <v>1125</v>
      </c>
      <c r="H303">
        <v>302</v>
      </c>
      <c r="I303" t="str">
        <f>IF(ISBLANK(Table1[[#This Row],[oid]]),"FALSE","TRUE")</f>
        <v>TRUE</v>
      </c>
      <c r="J303" t="str" cm="1">
        <f t="array" ref="J303">_xlfn.SWITCH(LEFT(Table1[[#This Row],[section]],1), "D", "Demographic", "S", "Social", "E", "Economic", "H", "Housing", "")</f>
        <v>Social</v>
      </c>
      <c r="K303" t="s">
        <v>1109</v>
      </c>
      <c r="L303" t="s">
        <v>1110</v>
      </c>
      <c r="M303" t="str">
        <f>IF(Table1[[#This Row],[used]], _xlfn.CONCAT("🆔 ", Table1[[#This Row],[variable]], ": ",Table1[[#This Row],[alias]]), "")</f>
        <v>🆔 B12001_005E: Male, 15+ years: Now married: Married spouse present</v>
      </c>
      <c r="O303" t="s">
        <v>1126</v>
      </c>
      <c r="P303" t="s">
        <v>1111</v>
      </c>
      <c r="Q303" t="s">
        <v>41</v>
      </c>
      <c r="R303" t="s">
        <v>1127</v>
      </c>
      <c r="S303" t="b">
        <v>1</v>
      </c>
      <c r="T303" t="b">
        <v>1</v>
      </c>
      <c r="U303" t="b">
        <v>1</v>
      </c>
      <c r="V303" t="b">
        <v>1</v>
      </c>
      <c r="W303" t="b">
        <v>1</v>
      </c>
      <c r="X303" t="b">
        <v>1</v>
      </c>
      <c r="Y303" t="b">
        <v>1</v>
      </c>
      <c r="Z303" t="b">
        <v>1</v>
      </c>
      <c r="AA303" t="b">
        <v>1</v>
      </c>
      <c r="AB303" t="b">
        <v>1</v>
      </c>
      <c r="AC303" t="b">
        <v>1</v>
      </c>
      <c r="AD303" t="b">
        <v>1</v>
      </c>
      <c r="AE303" t="b">
        <v>1</v>
      </c>
      <c r="AF303" t="b">
        <v>1</v>
      </c>
      <c r="AG303" t="b">
        <v>1</v>
      </c>
    </row>
    <row r="304" spans="1:33" x14ac:dyDescent="0.25">
      <c r="A304" t="s">
        <v>33</v>
      </c>
      <c r="B304">
        <v>15</v>
      </c>
      <c r="C304" t="b">
        <v>1</v>
      </c>
      <c r="D304" t="s">
        <v>1105</v>
      </c>
      <c r="E304" t="s">
        <v>1106</v>
      </c>
      <c r="F304" t="s">
        <v>1128</v>
      </c>
      <c r="G304" t="s">
        <v>1129</v>
      </c>
      <c r="H304">
        <v>303</v>
      </c>
      <c r="I304" t="str">
        <f>IF(ISBLANK(Table1[[#This Row],[oid]]),"FALSE","TRUE")</f>
        <v>TRUE</v>
      </c>
      <c r="J304" t="str" cm="1">
        <f t="array" ref="J304">_xlfn.SWITCH(LEFT(Table1[[#This Row],[section]],1), "D", "Demographic", "S", "Social", "E", "Economic", "H", "Housing", "")</f>
        <v>Social</v>
      </c>
      <c r="K304" t="s">
        <v>1109</v>
      </c>
      <c r="L304" t="s">
        <v>1110</v>
      </c>
      <c r="M304" t="str">
        <f>IF(Table1[[#This Row],[used]], _xlfn.CONCAT("🆔 ", Table1[[#This Row],[variable]], ": ",Table1[[#This Row],[alias]]), "")</f>
        <v>🆔 B12001_006E: Male, 15+ years: Now married: Married spouse absent</v>
      </c>
      <c r="O304" t="s">
        <v>1130</v>
      </c>
      <c r="P304" t="s">
        <v>1111</v>
      </c>
      <c r="Q304" t="s">
        <v>41</v>
      </c>
      <c r="R304" t="s">
        <v>1131</v>
      </c>
      <c r="S304" t="b">
        <v>1</v>
      </c>
      <c r="T304" t="b">
        <v>1</v>
      </c>
      <c r="U304" t="b">
        <v>1</v>
      </c>
      <c r="V304" t="b">
        <v>1</v>
      </c>
      <c r="W304" t="b">
        <v>1</v>
      </c>
      <c r="X304" t="b">
        <v>1</v>
      </c>
      <c r="Y304" t="b">
        <v>1</v>
      </c>
      <c r="Z304" t="b">
        <v>1</v>
      </c>
      <c r="AA304" t="b">
        <v>1</v>
      </c>
      <c r="AB304" t="b">
        <v>1</v>
      </c>
      <c r="AC304" t="b">
        <v>1</v>
      </c>
      <c r="AD304" t="b">
        <v>1</v>
      </c>
      <c r="AE304" t="b">
        <v>1</v>
      </c>
      <c r="AF304" t="b">
        <v>1</v>
      </c>
      <c r="AG304" t="b">
        <v>1</v>
      </c>
    </row>
    <row r="305" spans="1:33" x14ac:dyDescent="0.25">
      <c r="A305" t="s">
        <v>33</v>
      </c>
      <c r="B305">
        <v>15</v>
      </c>
      <c r="C305" t="b">
        <v>1</v>
      </c>
      <c r="D305" t="s">
        <v>1105</v>
      </c>
      <c r="E305" t="s">
        <v>1106</v>
      </c>
      <c r="F305" t="s">
        <v>1132</v>
      </c>
      <c r="G305" t="s">
        <v>1133</v>
      </c>
      <c r="H305">
        <v>304</v>
      </c>
      <c r="I305" t="str">
        <f>IF(ISBLANK(Table1[[#This Row],[oid]]),"FALSE","TRUE")</f>
        <v>TRUE</v>
      </c>
      <c r="J305" t="str" cm="1">
        <f t="array" ref="J305">_xlfn.SWITCH(LEFT(Table1[[#This Row],[section]],1), "D", "Demographic", "S", "Social", "E", "Economic", "H", "Housing", "")</f>
        <v>Social</v>
      </c>
      <c r="K305" t="s">
        <v>1109</v>
      </c>
      <c r="L305" t="s">
        <v>1110</v>
      </c>
      <c r="M305" t="str">
        <f>IF(Table1[[#This Row],[used]], _xlfn.CONCAT("🆔 ", Table1[[#This Row],[variable]], ": ",Table1[[#This Row],[alias]]), "")</f>
        <v>🆔 B12001_007E: Male, 15+ years: Now married: Married spouse absent: Separated</v>
      </c>
      <c r="O305" t="s">
        <v>1134</v>
      </c>
      <c r="P305" t="s">
        <v>1111</v>
      </c>
      <c r="Q305" t="s">
        <v>41</v>
      </c>
      <c r="R305" t="s">
        <v>1135</v>
      </c>
      <c r="S305" t="b">
        <v>1</v>
      </c>
      <c r="T305" t="b">
        <v>1</v>
      </c>
      <c r="U305" t="b">
        <v>1</v>
      </c>
      <c r="V305" t="b">
        <v>1</v>
      </c>
      <c r="W305" t="b">
        <v>1</v>
      </c>
      <c r="X305" t="b">
        <v>1</v>
      </c>
      <c r="Y305" t="b">
        <v>1</v>
      </c>
      <c r="Z305" t="b">
        <v>1</v>
      </c>
      <c r="AA305" t="b">
        <v>1</v>
      </c>
      <c r="AB305" t="b">
        <v>1</v>
      </c>
      <c r="AC305" t="b">
        <v>1</v>
      </c>
      <c r="AD305" t="b">
        <v>1</v>
      </c>
      <c r="AE305" t="b">
        <v>1</v>
      </c>
      <c r="AF305" t="b">
        <v>1</v>
      </c>
      <c r="AG305" t="b">
        <v>1</v>
      </c>
    </row>
    <row r="306" spans="1:33" x14ac:dyDescent="0.25">
      <c r="A306" t="s">
        <v>33</v>
      </c>
      <c r="B306">
        <v>15</v>
      </c>
      <c r="C306" t="b">
        <v>1</v>
      </c>
      <c r="D306" t="s">
        <v>1105</v>
      </c>
      <c r="E306" t="s">
        <v>1106</v>
      </c>
      <c r="F306" t="s">
        <v>1136</v>
      </c>
      <c r="G306" t="s">
        <v>1137</v>
      </c>
      <c r="H306">
        <v>305</v>
      </c>
      <c r="I306" t="str">
        <f>IF(ISBLANK(Table1[[#This Row],[oid]]),"FALSE","TRUE")</f>
        <v>TRUE</v>
      </c>
      <c r="J306" t="str" cm="1">
        <f t="array" ref="J306">_xlfn.SWITCH(LEFT(Table1[[#This Row],[section]],1), "D", "Demographic", "S", "Social", "E", "Economic", "H", "Housing", "")</f>
        <v>Social</v>
      </c>
      <c r="K306" t="s">
        <v>1109</v>
      </c>
      <c r="L306" t="s">
        <v>1110</v>
      </c>
      <c r="M306" t="str">
        <f>IF(Table1[[#This Row],[used]], _xlfn.CONCAT("🆔 ", Table1[[#This Row],[variable]], ": ",Table1[[#This Row],[alias]]), "")</f>
        <v>🆔 B12001_008E: Male, 15+ years: Now married: Married spouse absent: Other</v>
      </c>
      <c r="O306" t="s">
        <v>1138</v>
      </c>
      <c r="P306" t="s">
        <v>1111</v>
      </c>
      <c r="Q306" t="s">
        <v>41</v>
      </c>
      <c r="R306" t="s">
        <v>1139</v>
      </c>
      <c r="S306" t="b">
        <v>1</v>
      </c>
      <c r="T306" t="b">
        <v>1</v>
      </c>
      <c r="U306" t="b">
        <v>1</v>
      </c>
      <c r="V306" t="b">
        <v>1</v>
      </c>
      <c r="W306" t="b">
        <v>1</v>
      </c>
      <c r="X306" t="b">
        <v>1</v>
      </c>
      <c r="Y306" t="b">
        <v>1</v>
      </c>
      <c r="Z306" t="b">
        <v>1</v>
      </c>
      <c r="AA306" t="b">
        <v>1</v>
      </c>
      <c r="AB306" t="b">
        <v>1</v>
      </c>
      <c r="AC306" t="b">
        <v>1</v>
      </c>
      <c r="AD306" t="b">
        <v>1</v>
      </c>
      <c r="AE306" t="b">
        <v>1</v>
      </c>
      <c r="AF306" t="b">
        <v>1</v>
      </c>
      <c r="AG306" t="b">
        <v>1</v>
      </c>
    </row>
    <row r="307" spans="1:33" x14ac:dyDescent="0.25">
      <c r="A307" t="s">
        <v>33</v>
      </c>
      <c r="B307">
        <v>15</v>
      </c>
      <c r="C307" t="b">
        <v>1</v>
      </c>
      <c r="D307" t="s">
        <v>1105</v>
      </c>
      <c r="E307" t="s">
        <v>1106</v>
      </c>
      <c r="F307" t="s">
        <v>1140</v>
      </c>
      <c r="G307" t="s">
        <v>1141</v>
      </c>
      <c r="H307">
        <v>306</v>
      </c>
      <c r="I307" t="str">
        <f>IF(ISBLANK(Table1[[#This Row],[oid]]),"FALSE","TRUE")</f>
        <v>TRUE</v>
      </c>
      <c r="J307" t="str" cm="1">
        <f t="array" ref="J307">_xlfn.SWITCH(LEFT(Table1[[#This Row],[section]],1), "D", "Demographic", "S", "Social", "E", "Economic", "H", "Housing", "")</f>
        <v>Social</v>
      </c>
      <c r="K307" t="s">
        <v>1109</v>
      </c>
      <c r="L307" t="s">
        <v>1110</v>
      </c>
      <c r="M307" t="str">
        <f>IF(Table1[[#This Row],[used]], _xlfn.CONCAT("🆔 ", Table1[[#This Row],[variable]], ": ",Table1[[#This Row],[alias]]), "")</f>
        <v>🆔 B12001_009E: Male, 15+ years: Widowed</v>
      </c>
      <c r="O307" t="s">
        <v>1142</v>
      </c>
      <c r="P307" t="s">
        <v>1111</v>
      </c>
      <c r="Q307" t="s">
        <v>41</v>
      </c>
      <c r="R307" t="s">
        <v>1143</v>
      </c>
      <c r="S307" t="b">
        <v>1</v>
      </c>
      <c r="T307" t="b">
        <v>1</v>
      </c>
      <c r="U307" t="b">
        <v>1</v>
      </c>
      <c r="V307" t="b">
        <v>1</v>
      </c>
      <c r="W307" t="b">
        <v>1</v>
      </c>
      <c r="X307" t="b">
        <v>1</v>
      </c>
      <c r="Y307" t="b">
        <v>1</v>
      </c>
      <c r="Z307" t="b">
        <v>1</v>
      </c>
      <c r="AA307" t="b">
        <v>1</v>
      </c>
      <c r="AB307" t="b">
        <v>1</v>
      </c>
      <c r="AC307" t="b">
        <v>1</v>
      </c>
      <c r="AD307" t="b">
        <v>1</v>
      </c>
      <c r="AE307" t="b">
        <v>1</v>
      </c>
      <c r="AF307" t="b">
        <v>1</v>
      </c>
      <c r="AG307" t="b">
        <v>1</v>
      </c>
    </row>
    <row r="308" spans="1:33" x14ac:dyDescent="0.25">
      <c r="A308" t="s">
        <v>33</v>
      </c>
      <c r="B308">
        <v>15</v>
      </c>
      <c r="C308" t="b">
        <v>1</v>
      </c>
      <c r="D308" t="s">
        <v>1105</v>
      </c>
      <c r="E308" t="s">
        <v>1106</v>
      </c>
      <c r="F308" t="s">
        <v>1144</v>
      </c>
      <c r="G308" t="s">
        <v>1145</v>
      </c>
      <c r="H308">
        <v>307</v>
      </c>
      <c r="I308" t="str">
        <f>IF(ISBLANK(Table1[[#This Row],[oid]]),"FALSE","TRUE")</f>
        <v>TRUE</v>
      </c>
      <c r="J308" t="str" cm="1">
        <f t="array" ref="J308">_xlfn.SWITCH(LEFT(Table1[[#This Row],[section]],1), "D", "Demographic", "S", "Social", "E", "Economic", "H", "Housing", "")</f>
        <v>Social</v>
      </c>
      <c r="K308" t="s">
        <v>1109</v>
      </c>
      <c r="L308" t="s">
        <v>1110</v>
      </c>
      <c r="M308" t="str">
        <f>IF(Table1[[#This Row],[used]], _xlfn.CONCAT("🆔 ", Table1[[#This Row],[variable]], ": ",Table1[[#This Row],[alias]]), "")</f>
        <v>🆔 B12001_010E: Male, 15+ years: Divorced</v>
      </c>
      <c r="O308" t="s">
        <v>1146</v>
      </c>
      <c r="P308" t="s">
        <v>1111</v>
      </c>
      <c r="Q308" t="s">
        <v>41</v>
      </c>
      <c r="R308" t="s">
        <v>1147</v>
      </c>
      <c r="S308" t="b">
        <v>1</v>
      </c>
      <c r="T308" t="b">
        <v>1</v>
      </c>
      <c r="U308" t="b">
        <v>1</v>
      </c>
      <c r="V308" t="b">
        <v>1</v>
      </c>
      <c r="W308" t="b">
        <v>1</v>
      </c>
      <c r="X308" t="b">
        <v>1</v>
      </c>
      <c r="Y308" t="b">
        <v>1</v>
      </c>
      <c r="Z308" t="b">
        <v>1</v>
      </c>
      <c r="AA308" t="b">
        <v>1</v>
      </c>
      <c r="AB308" t="b">
        <v>1</v>
      </c>
      <c r="AC308" t="b">
        <v>1</v>
      </c>
      <c r="AD308" t="b">
        <v>1</v>
      </c>
      <c r="AE308" t="b">
        <v>1</v>
      </c>
      <c r="AF308" t="b">
        <v>1</v>
      </c>
      <c r="AG308" t="b">
        <v>1</v>
      </c>
    </row>
    <row r="309" spans="1:33" x14ac:dyDescent="0.25">
      <c r="A309" t="s">
        <v>33</v>
      </c>
      <c r="B309">
        <v>15</v>
      </c>
      <c r="C309" t="b">
        <v>1</v>
      </c>
      <c r="D309" t="s">
        <v>1105</v>
      </c>
      <c r="E309" t="s">
        <v>1106</v>
      </c>
      <c r="F309" t="s">
        <v>1148</v>
      </c>
      <c r="G309" t="s">
        <v>1149</v>
      </c>
      <c r="H309">
        <v>308</v>
      </c>
      <c r="I309" t="str">
        <f>IF(ISBLANK(Table1[[#This Row],[oid]]),"FALSE","TRUE")</f>
        <v>TRUE</v>
      </c>
      <c r="J309" t="str" cm="1">
        <f t="array" ref="J309">_xlfn.SWITCH(LEFT(Table1[[#This Row],[section]],1), "D", "Demographic", "S", "Social", "E", "Economic", "H", "Housing", "")</f>
        <v>Social</v>
      </c>
      <c r="K309" t="s">
        <v>1109</v>
      </c>
      <c r="L309" t="s">
        <v>1110</v>
      </c>
      <c r="M309" t="str">
        <f>IF(Table1[[#This Row],[used]], _xlfn.CONCAT("🆔 ", Table1[[#This Row],[variable]], ": ",Table1[[#This Row],[alias]]), "")</f>
        <v>🆔 B12001_011E: Female, 15+ years</v>
      </c>
      <c r="O309" t="s">
        <v>56</v>
      </c>
      <c r="P309" t="s">
        <v>1111</v>
      </c>
      <c r="Q309" t="s">
        <v>41</v>
      </c>
      <c r="R309" t="s">
        <v>1150</v>
      </c>
      <c r="S309" t="b">
        <v>1</v>
      </c>
      <c r="T309" t="b">
        <v>1</v>
      </c>
      <c r="U309" t="b">
        <v>1</v>
      </c>
      <c r="V309" t="b">
        <v>1</v>
      </c>
      <c r="W309" t="b">
        <v>1</v>
      </c>
      <c r="X309" t="b">
        <v>1</v>
      </c>
      <c r="Y309" t="b">
        <v>1</v>
      </c>
      <c r="Z309" t="b">
        <v>1</v>
      </c>
      <c r="AA309" t="b">
        <v>1</v>
      </c>
      <c r="AB309" t="b">
        <v>1</v>
      </c>
      <c r="AC309" t="b">
        <v>1</v>
      </c>
      <c r="AD309" t="b">
        <v>1</v>
      </c>
      <c r="AE309" t="b">
        <v>1</v>
      </c>
      <c r="AF309" t="b">
        <v>1</v>
      </c>
      <c r="AG309" t="b">
        <v>1</v>
      </c>
    </row>
    <row r="310" spans="1:33" x14ac:dyDescent="0.25">
      <c r="A310" t="s">
        <v>33</v>
      </c>
      <c r="B310">
        <v>15</v>
      </c>
      <c r="C310" t="b">
        <v>1</v>
      </c>
      <c r="D310" t="s">
        <v>1105</v>
      </c>
      <c r="E310" t="s">
        <v>1106</v>
      </c>
      <c r="F310" t="s">
        <v>1151</v>
      </c>
      <c r="G310" t="s">
        <v>1152</v>
      </c>
      <c r="H310">
        <v>309</v>
      </c>
      <c r="I310" t="str">
        <f>IF(ISBLANK(Table1[[#This Row],[oid]]),"FALSE","TRUE")</f>
        <v>TRUE</v>
      </c>
      <c r="J310" t="str" cm="1">
        <f t="array" ref="J310">_xlfn.SWITCH(LEFT(Table1[[#This Row],[section]],1), "D", "Demographic", "S", "Social", "E", "Economic", "H", "Housing", "")</f>
        <v>Social</v>
      </c>
      <c r="K310" t="s">
        <v>1109</v>
      </c>
      <c r="L310" t="s">
        <v>1110</v>
      </c>
      <c r="M310" t="str">
        <f>IF(Table1[[#This Row],[used]], _xlfn.CONCAT("🆔 ", Table1[[#This Row],[variable]], ": ",Table1[[#This Row],[alias]]), "")</f>
        <v>🆔 B12001_012E: Female, 15+ years: Never married</v>
      </c>
      <c r="O310" t="s">
        <v>1153</v>
      </c>
      <c r="P310" t="s">
        <v>1111</v>
      </c>
      <c r="Q310" t="s">
        <v>41</v>
      </c>
      <c r="R310" t="s">
        <v>1154</v>
      </c>
      <c r="S310" t="b">
        <v>1</v>
      </c>
      <c r="T310" t="b">
        <v>1</v>
      </c>
      <c r="U310" t="b">
        <v>1</v>
      </c>
      <c r="V310" t="b">
        <v>1</v>
      </c>
      <c r="W310" t="b">
        <v>1</v>
      </c>
      <c r="X310" t="b">
        <v>1</v>
      </c>
      <c r="Y310" t="b">
        <v>1</v>
      </c>
      <c r="Z310" t="b">
        <v>1</v>
      </c>
      <c r="AA310" t="b">
        <v>1</v>
      </c>
      <c r="AB310" t="b">
        <v>1</v>
      </c>
      <c r="AC310" t="b">
        <v>1</v>
      </c>
      <c r="AD310" t="b">
        <v>1</v>
      </c>
      <c r="AE310" t="b">
        <v>1</v>
      </c>
      <c r="AF310" t="b">
        <v>1</v>
      </c>
      <c r="AG310" t="b">
        <v>1</v>
      </c>
    </row>
    <row r="311" spans="1:33" x14ac:dyDescent="0.25">
      <c r="A311" t="s">
        <v>33</v>
      </c>
      <c r="B311">
        <v>15</v>
      </c>
      <c r="C311" t="b">
        <v>1</v>
      </c>
      <c r="D311" t="s">
        <v>1105</v>
      </c>
      <c r="E311" t="s">
        <v>1106</v>
      </c>
      <c r="F311" t="s">
        <v>1155</v>
      </c>
      <c r="G311" t="s">
        <v>1156</v>
      </c>
      <c r="H311">
        <v>310</v>
      </c>
      <c r="I311" t="str">
        <f>IF(ISBLANK(Table1[[#This Row],[oid]]),"FALSE","TRUE")</f>
        <v>TRUE</v>
      </c>
      <c r="J311" t="str" cm="1">
        <f t="array" ref="J311">_xlfn.SWITCH(LEFT(Table1[[#This Row],[section]],1), "D", "Demographic", "S", "Social", "E", "Economic", "H", "Housing", "")</f>
        <v>Social</v>
      </c>
      <c r="K311" t="s">
        <v>1109</v>
      </c>
      <c r="L311" t="s">
        <v>1110</v>
      </c>
      <c r="M311" t="str">
        <f>IF(Table1[[#This Row],[used]], _xlfn.CONCAT("🆔 ", Table1[[#This Row],[variable]], ": ",Table1[[#This Row],[alias]]), "")</f>
        <v>🆔 B12001_013E: Female, 15+ years: Now married</v>
      </c>
      <c r="O311" t="s">
        <v>1157</v>
      </c>
      <c r="P311" t="s">
        <v>1111</v>
      </c>
      <c r="Q311" t="s">
        <v>41</v>
      </c>
      <c r="R311" t="s">
        <v>1158</v>
      </c>
      <c r="S311" t="b">
        <v>1</v>
      </c>
      <c r="T311" t="b">
        <v>1</v>
      </c>
      <c r="U311" t="b">
        <v>1</v>
      </c>
      <c r="V311" t="b">
        <v>1</v>
      </c>
      <c r="W311" t="b">
        <v>1</v>
      </c>
      <c r="X311" t="b">
        <v>1</v>
      </c>
      <c r="Y311" t="b">
        <v>1</v>
      </c>
      <c r="Z311" t="b">
        <v>1</v>
      </c>
      <c r="AA311" t="b">
        <v>1</v>
      </c>
      <c r="AB311" t="b">
        <v>1</v>
      </c>
      <c r="AC311" t="b">
        <v>1</v>
      </c>
      <c r="AD311" t="b">
        <v>1</v>
      </c>
      <c r="AE311" t="b">
        <v>1</v>
      </c>
      <c r="AF311" t="b">
        <v>1</v>
      </c>
      <c r="AG311" t="b">
        <v>1</v>
      </c>
    </row>
    <row r="312" spans="1:33" x14ac:dyDescent="0.25">
      <c r="A312" t="s">
        <v>33</v>
      </c>
      <c r="B312">
        <v>15</v>
      </c>
      <c r="C312" t="b">
        <v>1</v>
      </c>
      <c r="D312" t="s">
        <v>1105</v>
      </c>
      <c r="E312" t="s">
        <v>1106</v>
      </c>
      <c r="F312" t="s">
        <v>1159</v>
      </c>
      <c r="G312" t="s">
        <v>1160</v>
      </c>
      <c r="H312">
        <v>311</v>
      </c>
      <c r="I312" t="str">
        <f>IF(ISBLANK(Table1[[#This Row],[oid]]),"FALSE","TRUE")</f>
        <v>TRUE</v>
      </c>
      <c r="J312" t="str" cm="1">
        <f t="array" ref="J312">_xlfn.SWITCH(LEFT(Table1[[#This Row],[section]],1), "D", "Demographic", "S", "Social", "E", "Economic", "H", "Housing", "")</f>
        <v>Social</v>
      </c>
      <c r="K312" t="s">
        <v>1109</v>
      </c>
      <c r="L312" t="s">
        <v>1110</v>
      </c>
      <c r="M312" t="str">
        <f>IF(Table1[[#This Row],[used]], _xlfn.CONCAT("🆔 ", Table1[[#This Row],[variable]], ": ",Table1[[#This Row],[alias]]), "")</f>
        <v>🆔 B12001_014E: Female, 15+ years: Now married: Married spouse present</v>
      </c>
      <c r="O312" t="s">
        <v>1161</v>
      </c>
      <c r="P312" t="s">
        <v>1111</v>
      </c>
      <c r="Q312" t="s">
        <v>41</v>
      </c>
      <c r="R312" t="s">
        <v>1162</v>
      </c>
      <c r="S312" t="b">
        <v>1</v>
      </c>
      <c r="T312" t="b">
        <v>1</v>
      </c>
      <c r="U312" t="b">
        <v>1</v>
      </c>
      <c r="V312" t="b">
        <v>1</v>
      </c>
      <c r="W312" t="b">
        <v>1</v>
      </c>
      <c r="X312" t="b">
        <v>1</v>
      </c>
      <c r="Y312" t="b">
        <v>1</v>
      </c>
      <c r="Z312" t="b">
        <v>1</v>
      </c>
      <c r="AA312" t="b">
        <v>1</v>
      </c>
      <c r="AB312" t="b">
        <v>1</v>
      </c>
      <c r="AC312" t="b">
        <v>1</v>
      </c>
      <c r="AD312" t="b">
        <v>1</v>
      </c>
      <c r="AE312" t="b">
        <v>1</v>
      </c>
      <c r="AF312" t="b">
        <v>1</v>
      </c>
      <c r="AG312" t="b">
        <v>1</v>
      </c>
    </row>
    <row r="313" spans="1:33" x14ac:dyDescent="0.25">
      <c r="A313" t="s">
        <v>33</v>
      </c>
      <c r="B313">
        <v>15</v>
      </c>
      <c r="C313" t="b">
        <v>1</v>
      </c>
      <c r="D313" t="s">
        <v>1105</v>
      </c>
      <c r="E313" t="s">
        <v>1106</v>
      </c>
      <c r="F313" t="s">
        <v>1163</v>
      </c>
      <c r="G313" t="s">
        <v>1164</v>
      </c>
      <c r="H313">
        <v>312</v>
      </c>
      <c r="I313" t="str">
        <f>IF(ISBLANK(Table1[[#This Row],[oid]]),"FALSE","TRUE")</f>
        <v>TRUE</v>
      </c>
      <c r="J313" t="str" cm="1">
        <f t="array" ref="J313">_xlfn.SWITCH(LEFT(Table1[[#This Row],[section]],1), "D", "Demographic", "S", "Social", "E", "Economic", "H", "Housing", "")</f>
        <v>Social</v>
      </c>
      <c r="K313" t="s">
        <v>1109</v>
      </c>
      <c r="L313" t="s">
        <v>1110</v>
      </c>
      <c r="M313" t="str">
        <f>IF(Table1[[#This Row],[used]], _xlfn.CONCAT("🆔 ", Table1[[#This Row],[variable]], ": ",Table1[[#This Row],[alias]]), "")</f>
        <v>🆔 B12001_015E: Female, 15+ years: Now married: Married spouse absent</v>
      </c>
      <c r="O313" t="s">
        <v>1165</v>
      </c>
      <c r="P313" t="s">
        <v>1111</v>
      </c>
      <c r="Q313" t="s">
        <v>41</v>
      </c>
      <c r="R313" t="s">
        <v>1166</v>
      </c>
      <c r="S313" t="b">
        <v>1</v>
      </c>
      <c r="T313" t="b">
        <v>1</v>
      </c>
      <c r="U313" t="b">
        <v>1</v>
      </c>
      <c r="V313" t="b">
        <v>1</v>
      </c>
      <c r="W313" t="b">
        <v>1</v>
      </c>
      <c r="X313" t="b">
        <v>1</v>
      </c>
      <c r="Y313" t="b">
        <v>1</v>
      </c>
      <c r="Z313" t="b">
        <v>1</v>
      </c>
      <c r="AA313" t="b">
        <v>1</v>
      </c>
      <c r="AB313" t="b">
        <v>1</v>
      </c>
      <c r="AC313" t="b">
        <v>1</v>
      </c>
      <c r="AD313" t="b">
        <v>1</v>
      </c>
      <c r="AE313" t="b">
        <v>1</v>
      </c>
      <c r="AF313" t="b">
        <v>1</v>
      </c>
      <c r="AG313" t="b">
        <v>1</v>
      </c>
    </row>
    <row r="314" spans="1:33" x14ac:dyDescent="0.25">
      <c r="A314" t="s">
        <v>33</v>
      </c>
      <c r="B314">
        <v>15</v>
      </c>
      <c r="C314" t="b">
        <v>1</v>
      </c>
      <c r="D314" t="s">
        <v>1105</v>
      </c>
      <c r="E314" t="s">
        <v>1106</v>
      </c>
      <c r="F314" t="s">
        <v>1167</v>
      </c>
      <c r="G314" t="s">
        <v>1168</v>
      </c>
      <c r="H314">
        <v>313</v>
      </c>
      <c r="I314" t="str">
        <f>IF(ISBLANK(Table1[[#This Row],[oid]]),"FALSE","TRUE")</f>
        <v>TRUE</v>
      </c>
      <c r="J314" t="str" cm="1">
        <f t="array" ref="J314">_xlfn.SWITCH(LEFT(Table1[[#This Row],[section]],1), "D", "Demographic", "S", "Social", "E", "Economic", "H", "Housing", "")</f>
        <v>Social</v>
      </c>
      <c r="K314" t="s">
        <v>1109</v>
      </c>
      <c r="L314" t="s">
        <v>1110</v>
      </c>
      <c r="M314" t="str">
        <f>IF(Table1[[#This Row],[used]], _xlfn.CONCAT("🆔 ", Table1[[#This Row],[variable]], ": ",Table1[[#This Row],[alias]]), "")</f>
        <v>🆔 B12001_016E: Female, 15+ years: Now married: Married spouse absent: Separated</v>
      </c>
      <c r="O314" t="s">
        <v>1169</v>
      </c>
      <c r="P314" t="s">
        <v>1111</v>
      </c>
      <c r="Q314" t="s">
        <v>41</v>
      </c>
      <c r="R314" t="s">
        <v>1170</v>
      </c>
      <c r="S314" t="b">
        <v>1</v>
      </c>
      <c r="T314" t="b">
        <v>1</v>
      </c>
      <c r="U314" t="b">
        <v>1</v>
      </c>
      <c r="V314" t="b">
        <v>1</v>
      </c>
      <c r="W314" t="b">
        <v>1</v>
      </c>
      <c r="X314" t="b">
        <v>1</v>
      </c>
      <c r="Y314" t="b">
        <v>1</v>
      </c>
      <c r="Z314" t="b">
        <v>1</v>
      </c>
      <c r="AA314" t="b">
        <v>1</v>
      </c>
      <c r="AB314" t="b">
        <v>1</v>
      </c>
      <c r="AC314" t="b">
        <v>1</v>
      </c>
      <c r="AD314" t="b">
        <v>1</v>
      </c>
      <c r="AE314" t="b">
        <v>1</v>
      </c>
      <c r="AF314" t="b">
        <v>1</v>
      </c>
      <c r="AG314" t="b">
        <v>1</v>
      </c>
    </row>
    <row r="315" spans="1:33" x14ac:dyDescent="0.25">
      <c r="A315" t="s">
        <v>33</v>
      </c>
      <c r="B315">
        <v>15</v>
      </c>
      <c r="C315" t="b">
        <v>1</v>
      </c>
      <c r="D315" t="s">
        <v>1105</v>
      </c>
      <c r="E315" t="s">
        <v>1106</v>
      </c>
      <c r="F315" t="s">
        <v>1171</v>
      </c>
      <c r="G315" t="s">
        <v>1172</v>
      </c>
      <c r="H315">
        <v>314</v>
      </c>
      <c r="I315" t="str">
        <f>IF(ISBLANK(Table1[[#This Row],[oid]]),"FALSE","TRUE")</f>
        <v>TRUE</v>
      </c>
      <c r="J315" t="str" cm="1">
        <f t="array" ref="J315">_xlfn.SWITCH(LEFT(Table1[[#This Row],[section]],1), "D", "Demographic", "S", "Social", "E", "Economic", "H", "Housing", "")</f>
        <v>Social</v>
      </c>
      <c r="K315" t="s">
        <v>1109</v>
      </c>
      <c r="L315" t="s">
        <v>1110</v>
      </c>
      <c r="M315" t="str">
        <f>IF(Table1[[#This Row],[used]], _xlfn.CONCAT("🆔 ", Table1[[#This Row],[variable]], ": ",Table1[[#This Row],[alias]]), "")</f>
        <v>🆔 B12001_017E: Female, 15+ years: Now married: Married spouse absent: Other</v>
      </c>
      <c r="O315" t="s">
        <v>1173</v>
      </c>
      <c r="P315" t="s">
        <v>1111</v>
      </c>
      <c r="Q315" t="s">
        <v>41</v>
      </c>
      <c r="R315" t="s">
        <v>1174</v>
      </c>
      <c r="S315" t="b">
        <v>1</v>
      </c>
      <c r="T315" t="b">
        <v>1</v>
      </c>
      <c r="U315" t="b">
        <v>1</v>
      </c>
      <c r="V315" t="b">
        <v>1</v>
      </c>
      <c r="W315" t="b">
        <v>1</v>
      </c>
      <c r="X315" t="b">
        <v>1</v>
      </c>
      <c r="Y315" t="b">
        <v>1</v>
      </c>
      <c r="Z315" t="b">
        <v>1</v>
      </c>
      <c r="AA315" t="b">
        <v>1</v>
      </c>
      <c r="AB315" t="b">
        <v>1</v>
      </c>
      <c r="AC315" t="b">
        <v>1</v>
      </c>
      <c r="AD315" t="b">
        <v>1</v>
      </c>
      <c r="AE315" t="b">
        <v>1</v>
      </c>
      <c r="AF315" t="b">
        <v>1</v>
      </c>
      <c r="AG315" t="b">
        <v>1</v>
      </c>
    </row>
    <row r="316" spans="1:33" x14ac:dyDescent="0.25">
      <c r="A316" t="s">
        <v>33</v>
      </c>
      <c r="B316">
        <v>15</v>
      </c>
      <c r="C316" t="b">
        <v>1</v>
      </c>
      <c r="D316" t="s">
        <v>1105</v>
      </c>
      <c r="E316" t="s">
        <v>1106</v>
      </c>
      <c r="F316" t="s">
        <v>1175</v>
      </c>
      <c r="G316" t="s">
        <v>1176</v>
      </c>
      <c r="H316">
        <v>315</v>
      </c>
      <c r="I316" t="str">
        <f>IF(ISBLANK(Table1[[#This Row],[oid]]),"FALSE","TRUE")</f>
        <v>TRUE</v>
      </c>
      <c r="J316" t="str" cm="1">
        <f t="array" ref="J316">_xlfn.SWITCH(LEFT(Table1[[#This Row],[section]],1), "D", "Demographic", "S", "Social", "E", "Economic", "H", "Housing", "")</f>
        <v>Social</v>
      </c>
      <c r="K316" t="s">
        <v>1109</v>
      </c>
      <c r="L316" t="s">
        <v>1110</v>
      </c>
      <c r="M316" t="str">
        <f>IF(Table1[[#This Row],[used]], _xlfn.CONCAT("🆔 ", Table1[[#This Row],[variable]], ": ",Table1[[#This Row],[alias]]), "")</f>
        <v>🆔 B12001_018E: Female, 15+ years: Widowed</v>
      </c>
      <c r="O316" t="s">
        <v>1177</v>
      </c>
      <c r="P316" t="s">
        <v>1111</v>
      </c>
      <c r="Q316" t="s">
        <v>41</v>
      </c>
      <c r="R316" t="s">
        <v>1178</v>
      </c>
      <c r="S316" t="b">
        <v>1</v>
      </c>
      <c r="T316" t="b">
        <v>1</v>
      </c>
      <c r="U316" t="b">
        <v>1</v>
      </c>
      <c r="V316" t="b">
        <v>1</v>
      </c>
      <c r="W316" t="b">
        <v>1</v>
      </c>
      <c r="X316" t="b">
        <v>1</v>
      </c>
      <c r="Y316" t="b">
        <v>1</v>
      </c>
      <c r="Z316" t="b">
        <v>1</v>
      </c>
      <c r="AA316" t="b">
        <v>1</v>
      </c>
      <c r="AB316" t="b">
        <v>1</v>
      </c>
      <c r="AC316" t="b">
        <v>1</v>
      </c>
      <c r="AD316" t="b">
        <v>1</v>
      </c>
      <c r="AE316" t="b">
        <v>1</v>
      </c>
      <c r="AF316" t="b">
        <v>1</v>
      </c>
      <c r="AG316" t="b">
        <v>1</v>
      </c>
    </row>
    <row r="317" spans="1:33" x14ac:dyDescent="0.25">
      <c r="A317" t="s">
        <v>33</v>
      </c>
      <c r="B317">
        <v>15</v>
      </c>
      <c r="C317" t="b">
        <v>1</v>
      </c>
      <c r="D317" t="s">
        <v>1105</v>
      </c>
      <c r="E317" t="s">
        <v>1106</v>
      </c>
      <c r="F317" t="s">
        <v>1179</v>
      </c>
      <c r="G317" t="s">
        <v>1180</v>
      </c>
      <c r="H317">
        <v>316</v>
      </c>
      <c r="I317" t="str">
        <f>IF(ISBLANK(Table1[[#This Row],[oid]]),"FALSE","TRUE")</f>
        <v>TRUE</v>
      </c>
      <c r="J317" t="str" cm="1">
        <f t="array" ref="J317">_xlfn.SWITCH(LEFT(Table1[[#This Row],[section]],1), "D", "Demographic", "S", "Social", "E", "Economic", "H", "Housing", "")</f>
        <v>Social</v>
      </c>
      <c r="K317" t="s">
        <v>1109</v>
      </c>
      <c r="L317" t="s">
        <v>1110</v>
      </c>
      <c r="M317" t="str">
        <f>IF(Table1[[#This Row],[used]], _xlfn.CONCAT("🆔 ", Table1[[#This Row],[variable]], ": ",Table1[[#This Row],[alias]]), "")</f>
        <v>🆔 B12001_019E: Female, 15+ years: Divorced</v>
      </c>
      <c r="O317" t="s">
        <v>1181</v>
      </c>
      <c r="P317" t="s">
        <v>1111</v>
      </c>
      <c r="Q317" t="s">
        <v>41</v>
      </c>
      <c r="R317" t="s">
        <v>1182</v>
      </c>
      <c r="S317" t="b">
        <v>1</v>
      </c>
      <c r="T317" t="b">
        <v>1</v>
      </c>
      <c r="U317" t="b">
        <v>1</v>
      </c>
      <c r="V317" t="b">
        <v>1</v>
      </c>
      <c r="W317" t="b">
        <v>1</v>
      </c>
      <c r="X317" t="b">
        <v>1</v>
      </c>
      <c r="Y317" t="b">
        <v>1</v>
      </c>
      <c r="Z317" t="b">
        <v>1</v>
      </c>
      <c r="AA317" t="b">
        <v>1</v>
      </c>
      <c r="AB317" t="b">
        <v>1</v>
      </c>
      <c r="AC317" t="b">
        <v>1</v>
      </c>
      <c r="AD317" t="b">
        <v>1</v>
      </c>
      <c r="AE317" t="b">
        <v>1</v>
      </c>
      <c r="AF317" t="b">
        <v>1</v>
      </c>
      <c r="AG317" t="b">
        <v>1</v>
      </c>
    </row>
    <row r="318" spans="1:33" x14ac:dyDescent="0.25">
      <c r="A318" t="s">
        <v>33</v>
      </c>
      <c r="B318">
        <v>15</v>
      </c>
      <c r="C318" t="b">
        <v>1</v>
      </c>
      <c r="D318" t="s">
        <v>1183</v>
      </c>
      <c r="E318" t="s">
        <v>1184</v>
      </c>
      <c r="F318" t="s">
        <v>1185</v>
      </c>
      <c r="G318" t="s">
        <v>1186</v>
      </c>
      <c r="H318">
        <v>317</v>
      </c>
      <c r="I318" t="str">
        <f>IF(ISBLANK(Table1[[#This Row],[oid]]),"FALSE","TRUE")</f>
        <v>TRUE</v>
      </c>
      <c r="J318" t="str" cm="1">
        <f t="array" ref="J318">_xlfn.SWITCH(LEFT(Table1[[#This Row],[section]],1), "D", "Demographic", "S", "Social", "E", "Economic", "H", "Housing", "")</f>
        <v>Social</v>
      </c>
      <c r="K318" t="s">
        <v>1187</v>
      </c>
      <c r="L318" t="s">
        <v>1188</v>
      </c>
      <c r="M318" t="str">
        <f>IF(Table1[[#This Row],[used]], _xlfn.CONCAT("🆔 ", Table1[[#This Row],[variable]], ": ",Table1[[#This Row],[alias]]), "")</f>
        <v>🆔 B13002_001E: Women 15 to 50 years</v>
      </c>
      <c r="O318" t="s">
        <v>39</v>
      </c>
      <c r="P318" t="s">
        <v>1189</v>
      </c>
      <c r="Q318" t="s">
        <v>41</v>
      </c>
      <c r="R318" t="s">
        <v>1190</v>
      </c>
      <c r="S318" t="b">
        <v>1</v>
      </c>
      <c r="T318" t="b">
        <v>1</v>
      </c>
      <c r="U318" t="b">
        <v>1</v>
      </c>
      <c r="V318" t="b">
        <v>1</v>
      </c>
      <c r="W318" t="b">
        <v>1</v>
      </c>
      <c r="X318" t="b">
        <v>1</v>
      </c>
      <c r="Y318" t="b">
        <v>1</v>
      </c>
      <c r="Z318" t="b">
        <v>1</v>
      </c>
      <c r="AA318" t="b">
        <v>1</v>
      </c>
      <c r="AB318" t="b">
        <v>1</v>
      </c>
      <c r="AC318" t="b">
        <v>1</v>
      </c>
      <c r="AD318" t="b">
        <v>1</v>
      </c>
      <c r="AE318" t="b">
        <v>1</v>
      </c>
      <c r="AF318" t="b">
        <v>1</v>
      </c>
      <c r="AG318" t="b">
        <v>1</v>
      </c>
    </row>
    <row r="319" spans="1:33" x14ac:dyDescent="0.25">
      <c r="A319" t="s">
        <v>33</v>
      </c>
      <c r="B319">
        <v>15</v>
      </c>
      <c r="C319" t="b">
        <v>1</v>
      </c>
      <c r="D319" t="s">
        <v>1183</v>
      </c>
      <c r="E319" t="s">
        <v>1184</v>
      </c>
      <c r="F319" t="s">
        <v>1191</v>
      </c>
      <c r="G319" t="s">
        <v>1192</v>
      </c>
      <c r="H319">
        <v>318</v>
      </c>
      <c r="I319" t="str">
        <f>IF(ISBLANK(Table1[[#This Row],[oid]]),"FALSE","TRUE")</f>
        <v>TRUE</v>
      </c>
      <c r="J319" t="str" cm="1">
        <f t="array" ref="J319">_xlfn.SWITCH(LEFT(Table1[[#This Row],[section]],1), "D", "Demographic", "S", "Social", "E", "Economic", "H", "Housing", "")</f>
        <v>Social</v>
      </c>
      <c r="K319" t="s">
        <v>1187</v>
      </c>
      <c r="L319" t="s">
        <v>1188</v>
      </c>
      <c r="M319" t="str">
        <f>IF(Table1[[#This Row],[used]], _xlfn.CONCAT("🆔 ", Table1[[#This Row],[variable]], ": ",Table1[[#This Row],[alias]]), "")</f>
        <v>🆔 B13002_002E: Women who had a birth in the past 12 months</v>
      </c>
      <c r="O319" t="s">
        <v>1193</v>
      </c>
      <c r="P319" t="s">
        <v>1189</v>
      </c>
      <c r="Q319" t="s">
        <v>41</v>
      </c>
      <c r="R319" t="s">
        <v>1194</v>
      </c>
      <c r="S319" t="b">
        <v>1</v>
      </c>
      <c r="T319" t="b">
        <v>1</v>
      </c>
      <c r="U319" t="b">
        <v>1</v>
      </c>
      <c r="V319" t="b">
        <v>1</v>
      </c>
      <c r="W319" t="b">
        <v>1</v>
      </c>
      <c r="X319" t="b">
        <v>1</v>
      </c>
      <c r="Y319" t="b">
        <v>1</v>
      </c>
      <c r="Z319" t="b">
        <v>1</v>
      </c>
      <c r="AA319" t="b">
        <v>1</v>
      </c>
      <c r="AB319" t="b">
        <v>1</v>
      </c>
      <c r="AC319" t="b">
        <v>1</v>
      </c>
      <c r="AD319" t="b">
        <v>1</v>
      </c>
      <c r="AE319" t="b">
        <v>1</v>
      </c>
      <c r="AF319" t="b">
        <v>1</v>
      </c>
      <c r="AG319" t="b">
        <v>1</v>
      </c>
    </row>
    <row r="320" spans="1:33" x14ac:dyDescent="0.25">
      <c r="A320" t="s">
        <v>33</v>
      </c>
      <c r="B320">
        <v>15</v>
      </c>
      <c r="C320" t="b">
        <v>1</v>
      </c>
      <c r="D320" t="s">
        <v>1183</v>
      </c>
      <c r="E320" t="s">
        <v>1184</v>
      </c>
      <c r="F320" t="s">
        <v>1195</v>
      </c>
      <c r="G320" t="s">
        <v>1196</v>
      </c>
      <c r="H320">
        <v>319</v>
      </c>
      <c r="I320" t="str">
        <f>IF(ISBLANK(Table1[[#This Row],[oid]]),"FALSE","TRUE")</f>
        <v>TRUE</v>
      </c>
      <c r="J320" t="str" cm="1">
        <f t="array" ref="J320">_xlfn.SWITCH(LEFT(Table1[[#This Row],[section]],1), "D", "Demographic", "S", "Social", "E", "Economic", "H", "Housing", "")</f>
        <v>Social</v>
      </c>
      <c r="K320" t="s">
        <v>1187</v>
      </c>
      <c r="L320" t="s">
        <v>1188</v>
      </c>
      <c r="M320" t="str">
        <f>IF(Table1[[#This Row],[used]], _xlfn.CONCAT("🆔 ", Table1[[#This Row],[variable]], ": ",Table1[[#This Row],[alias]]), "")</f>
        <v>🆔 B13002_003E: Women who had a birth in the past 12 months: Now married including separated and spouse absent</v>
      </c>
      <c r="O320" t="s">
        <v>1197</v>
      </c>
      <c r="P320" t="s">
        <v>1189</v>
      </c>
      <c r="Q320" t="s">
        <v>41</v>
      </c>
      <c r="R320" t="s">
        <v>1198</v>
      </c>
      <c r="S320" t="b">
        <v>1</v>
      </c>
      <c r="T320" t="b">
        <v>1</v>
      </c>
      <c r="U320" t="b">
        <v>1</v>
      </c>
      <c r="V320" t="b">
        <v>1</v>
      </c>
      <c r="W320" t="b">
        <v>1</v>
      </c>
      <c r="X320" t="b">
        <v>1</v>
      </c>
      <c r="Y320" t="b">
        <v>1</v>
      </c>
      <c r="Z320" t="b">
        <v>1</v>
      </c>
      <c r="AA320" t="b">
        <v>1</v>
      </c>
      <c r="AB320" t="b">
        <v>1</v>
      </c>
      <c r="AC320" t="b">
        <v>1</v>
      </c>
      <c r="AD320" t="b">
        <v>1</v>
      </c>
      <c r="AE320" t="b">
        <v>1</v>
      </c>
      <c r="AF320" t="b">
        <v>1</v>
      </c>
      <c r="AG320" t="b">
        <v>1</v>
      </c>
    </row>
    <row r="321" spans="1:33" x14ac:dyDescent="0.25">
      <c r="A321" t="s">
        <v>33</v>
      </c>
      <c r="B321">
        <v>15</v>
      </c>
      <c r="C321" t="b">
        <v>1</v>
      </c>
      <c r="D321" t="s">
        <v>1183</v>
      </c>
      <c r="E321" t="s">
        <v>1184</v>
      </c>
      <c r="F321" t="s">
        <v>1199</v>
      </c>
      <c r="G321" t="s">
        <v>1200</v>
      </c>
      <c r="H321">
        <v>320</v>
      </c>
      <c r="I321" t="str">
        <f>IF(ISBLANK(Table1[[#This Row],[oid]]),"FALSE","TRUE")</f>
        <v>TRUE</v>
      </c>
      <c r="J321" t="str" cm="1">
        <f t="array" ref="J321">_xlfn.SWITCH(LEFT(Table1[[#This Row],[section]],1), "D", "Demographic", "S", "Social", "E", "Economic", "H", "Housing", "")</f>
        <v>Social</v>
      </c>
      <c r="K321" t="s">
        <v>1187</v>
      </c>
      <c r="L321" t="s">
        <v>1188</v>
      </c>
      <c r="M321" t="str">
        <f>IF(Table1[[#This Row],[used]], _xlfn.CONCAT("🆔 ", Table1[[#This Row],[variable]], ": ",Table1[[#This Row],[alias]]), "")</f>
        <v>🆔 B13002_004E: Women who had a birth in the past 12 months: Now married including separated and spouse absent: 15 to 19 years old</v>
      </c>
      <c r="O321" t="s">
        <v>1201</v>
      </c>
      <c r="P321" t="s">
        <v>1189</v>
      </c>
      <c r="Q321" t="s">
        <v>41</v>
      </c>
      <c r="R321" t="s">
        <v>1202</v>
      </c>
      <c r="S321" t="b">
        <v>1</v>
      </c>
      <c r="T321" t="b">
        <v>1</v>
      </c>
      <c r="U321" t="b">
        <v>1</v>
      </c>
      <c r="V321" t="b">
        <v>1</v>
      </c>
      <c r="W321" t="b">
        <v>1</v>
      </c>
      <c r="X321" t="b">
        <v>1</v>
      </c>
      <c r="Y321" t="b">
        <v>1</v>
      </c>
      <c r="Z321" t="b">
        <v>1</v>
      </c>
      <c r="AA321" t="b">
        <v>1</v>
      </c>
      <c r="AB321" t="b">
        <v>1</v>
      </c>
      <c r="AC321" t="b">
        <v>1</v>
      </c>
      <c r="AD321" t="b">
        <v>1</v>
      </c>
      <c r="AE321" t="b">
        <v>1</v>
      </c>
      <c r="AF321" t="b">
        <v>1</v>
      </c>
      <c r="AG321" t="b">
        <v>1</v>
      </c>
    </row>
    <row r="322" spans="1:33" x14ac:dyDescent="0.25">
      <c r="A322" t="s">
        <v>33</v>
      </c>
      <c r="B322">
        <v>15</v>
      </c>
      <c r="C322" t="b">
        <v>1</v>
      </c>
      <c r="D322" t="s">
        <v>1183</v>
      </c>
      <c r="E322" t="s">
        <v>1184</v>
      </c>
      <c r="F322" t="s">
        <v>1203</v>
      </c>
      <c r="G322" t="s">
        <v>1204</v>
      </c>
      <c r="H322">
        <v>321</v>
      </c>
      <c r="I322" t="str">
        <f>IF(ISBLANK(Table1[[#This Row],[oid]]),"FALSE","TRUE")</f>
        <v>TRUE</v>
      </c>
      <c r="J322" t="str" cm="1">
        <f t="array" ref="J322">_xlfn.SWITCH(LEFT(Table1[[#This Row],[section]],1), "D", "Demographic", "S", "Social", "E", "Economic", "H", "Housing", "")</f>
        <v>Social</v>
      </c>
      <c r="K322" t="s">
        <v>1187</v>
      </c>
      <c r="L322" t="s">
        <v>1188</v>
      </c>
      <c r="M322" t="str">
        <f>IF(Table1[[#This Row],[used]], _xlfn.CONCAT("🆔 ", Table1[[#This Row],[variable]], ": ",Table1[[#This Row],[alias]]), "")</f>
        <v>🆔 B13002_005E: Women who had a birth in the past 12 months: Now married including separated and spouse absent: 20 to 34 years old</v>
      </c>
      <c r="O322" t="s">
        <v>1205</v>
      </c>
      <c r="P322" t="s">
        <v>1189</v>
      </c>
      <c r="Q322" t="s">
        <v>41</v>
      </c>
      <c r="R322" t="s">
        <v>1206</v>
      </c>
      <c r="S322" t="b">
        <v>1</v>
      </c>
      <c r="T322" t="b">
        <v>1</v>
      </c>
      <c r="U322" t="b">
        <v>1</v>
      </c>
      <c r="V322" t="b">
        <v>1</v>
      </c>
      <c r="W322" t="b">
        <v>1</v>
      </c>
      <c r="X322" t="b">
        <v>1</v>
      </c>
      <c r="Y322" t="b">
        <v>1</v>
      </c>
      <c r="Z322" t="b">
        <v>1</v>
      </c>
      <c r="AA322" t="b">
        <v>1</v>
      </c>
      <c r="AB322" t="b">
        <v>1</v>
      </c>
      <c r="AC322" t="b">
        <v>1</v>
      </c>
      <c r="AD322" t="b">
        <v>1</v>
      </c>
      <c r="AE322" t="b">
        <v>1</v>
      </c>
      <c r="AF322" t="b">
        <v>1</v>
      </c>
      <c r="AG322" t="b">
        <v>1</v>
      </c>
    </row>
    <row r="323" spans="1:33" x14ac:dyDescent="0.25">
      <c r="A323" t="s">
        <v>33</v>
      </c>
      <c r="B323">
        <v>15</v>
      </c>
      <c r="C323" t="b">
        <v>1</v>
      </c>
      <c r="D323" t="s">
        <v>1183</v>
      </c>
      <c r="E323" t="s">
        <v>1184</v>
      </c>
      <c r="F323" t="s">
        <v>1207</v>
      </c>
      <c r="G323" t="s">
        <v>1208</v>
      </c>
      <c r="H323">
        <v>322</v>
      </c>
      <c r="I323" t="str">
        <f>IF(ISBLANK(Table1[[#This Row],[oid]]),"FALSE","TRUE")</f>
        <v>TRUE</v>
      </c>
      <c r="J323" t="str" cm="1">
        <f t="array" ref="J323">_xlfn.SWITCH(LEFT(Table1[[#This Row],[section]],1), "D", "Demographic", "S", "Social", "E", "Economic", "H", "Housing", "")</f>
        <v>Social</v>
      </c>
      <c r="K323" t="s">
        <v>1187</v>
      </c>
      <c r="L323" t="s">
        <v>1188</v>
      </c>
      <c r="M323" t="str">
        <f>IF(Table1[[#This Row],[used]], _xlfn.CONCAT("🆔 ", Table1[[#This Row],[variable]], ": ",Table1[[#This Row],[alias]]), "")</f>
        <v>🆔 B13002_006E: Women who had a birth in the past 12 months: Now married including separated and spouse absent: 35 to 50 years old</v>
      </c>
      <c r="O323" t="s">
        <v>1209</v>
      </c>
      <c r="P323" t="s">
        <v>1189</v>
      </c>
      <c r="Q323" t="s">
        <v>41</v>
      </c>
      <c r="R323" t="s">
        <v>1210</v>
      </c>
      <c r="S323" t="b">
        <v>1</v>
      </c>
      <c r="T323" t="b">
        <v>1</v>
      </c>
      <c r="U323" t="b">
        <v>1</v>
      </c>
      <c r="V323" t="b">
        <v>1</v>
      </c>
      <c r="W323" t="b">
        <v>1</v>
      </c>
      <c r="X323" t="b">
        <v>1</v>
      </c>
      <c r="Y323" t="b">
        <v>1</v>
      </c>
      <c r="Z323" t="b">
        <v>1</v>
      </c>
      <c r="AA323" t="b">
        <v>1</v>
      </c>
      <c r="AB323" t="b">
        <v>1</v>
      </c>
      <c r="AC323" t="b">
        <v>1</v>
      </c>
      <c r="AD323" t="b">
        <v>1</v>
      </c>
      <c r="AE323" t="b">
        <v>1</v>
      </c>
      <c r="AF323" t="b">
        <v>1</v>
      </c>
      <c r="AG323" t="b">
        <v>1</v>
      </c>
    </row>
    <row r="324" spans="1:33" x14ac:dyDescent="0.25">
      <c r="A324" t="s">
        <v>33</v>
      </c>
      <c r="B324">
        <v>15</v>
      </c>
      <c r="C324" t="b">
        <v>1</v>
      </c>
      <c r="D324" t="s">
        <v>1183</v>
      </c>
      <c r="E324" t="s">
        <v>1184</v>
      </c>
      <c r="F324" t="s">
        <v>1211</v>
      </c>
      <c r="G324" t="s">
        <v>1212</v>
      </c>
      <c r="H324">
        <v>323</v>
      </c>
      <c r="I324" t="str">
        <f>IF(ISBLANK(Table1[[#This Row],[oid]]),"FALSE","TRUE")</f>
        <v>TRUE</v>
      </c>
      <c r="J324" t="str" cm="1">
        <f t="array" ref="J324">_xlfn.SWITCH(LEFT(Table1[[#This Row],[section]],1), "D", "Demographic", "S", "Social", "E", "Economic", "H", "Housing", "")</f>
        <v>Social</v>
      </c>
      <c r="K324" t="s">
        <v>1187</v>
      </c>
      <c r="L324" t="s">
        <v>1188</v>
      </c>
      <c r="M324" t="str">
        <f>IF(Table1[[#This Row],[used]], _xlfn.CONCAT("🆔 ", Table1[[#This Row],[variable]], ": ",Table1[[#This Row],[alias]]), "")</f>
        <v>🆔 B13002_007E: Women who had a birth in the past 12 months: Unmarried never married widowed and divorced</v>
      </c>
      <c r="O324" t="s">
        <v>1213</v>
      </c>
      <c r="P324" t="s">
        <v>1189</v>
      </c>
      <c r="Q324" t="s">
        <v>41</v>
      </c>
      <c r="R324" t="s">
        <v>1214</v>
      </c>
      <c r="S324" t="b">
        <v>1</v>
      </c>
      <c r="T324" t="b">
        <v>1</v>
      </c>
      <c r="U324" t="b">
        <v>1</v>
      </c>
      <c r="V324" t="b">
        <v>1</v>
      </c>
      <c r="W324" t="b">
        <v>1</v>
      </c>
      <c r="X324" t="b">
        <v>1</v>
      </c>
      <c r="Y324" t="b">
        <v>1</v>
      </c>
      <c r="Z324" t="b">
        <v>1</v>
      </c>
      <c r="AA324" t="b">
        <v>1</v>
      </c>
      <c r="AB324" t="b">
        <v>1</v>
      </c>
      <c r="AC324" t="b">
        <v>1</v>
      </c>
      <c r="AD324" t="b">
        <v>1</v>
      </c>
      <c r="AE324" t="b">
        <v>1</v>
      </c>
      <c r="AF324" t="b">
        <v>1</v>
      </c>
      <c r="AG324" t="b">
        <v>1</v>
      </c>
    </row>
    <row r="325" spans="1:33" x14ac:dyDescent="0.25">
      <c r="A325" t="s">
        <v>33</v>
      </c>
      <c r="B325">
        <v>15</v>
      </c>
      <c r="C325" t="b">
        <v>1</v>
      </c>
      <c r="D325" t="s">
        <v>1183</v>
      </c>
      <c r="E325" t="s">
        <v>1184</v>
      </c>
      <c r="F325" t="s">
        <v>1215</v>
      </c>
      <c r="G325" t="s">
        <v>1216</v>
      </c>
      <c r="H325">
        <v>324</v>
      </c>
      <c r="I325" t="str">
        <f>IF(ISBLANK(Table1[[#This Row],[oid]]),"FALSE","TRUE")</f>
        <v>TRUE</v>
      </c>
      <c r="J325" t="str" cm="1">
        <f t="array" ref="J325">_xlfn.SWITCH(LEFT(Table1[[#This Row],[section]],1), "D", "Demographic", "S", "Social", "E", "Economic", "H", "Housing", "")</f>
        <v>Social</v>
      </c>
      <c r="K325" t="s">
        <v>1187</v>
      </c>
      <c r="L325" t="s">
        <v>1188</v>
      </c>
      <c r="M325" t="str">
        <f>IF(Table1[[#This Row],[used]], _xlfn.CONCAT("🆔 ", Table1[[#This Row],[variable]], ": ",Table1[[#This Row],[alias]]), "")</f>
        <v>🆔 B13002_008E: Women who had a birth in the past 12 months: Unmarried never married widowed and divorced: 15 to 19 years old</v>
      </c>
      <c r="O325" t="s">
        <v>1217</v>
      </c>
      <c r="P325" t="s">
        <v>1189</v>
      </c>
      <c r="Q325" t="s">
        <v>41</v>
      </c>
      <c r="R325" t="s">
        <v>1218</v>
      </c>
      <c r="S325" t="b">
        <v>1</v>
      </c>
      <c r="T325" t="b">
        <v>1</v>
      </c>
      <c r="U325" t="b">
        <v>1</v>
      </c>
      <c r="V325" t="b">
        <v>1</v>
      </c>
      <c r="W325" t="b">
        <v>1</v>
      </c>
      <c r="X325" t="b">
        <v>1</v>
      </c>
      <c r="Y325" t="b">
        <v>1</v>
      </c>
      <c r="Z325" t="b">
        <v>1</v>
      </c>
      <c r="AA325" t="b">
        <v>1</v>
      </c>
      <c r="AB325" t="b">
        <v>1</v>
      </c>
      <c r="AC325" t="b">
        <v>1</v>
      </c>
      <c r="AD325" t="b">
        <v>1</v>
      </c>
      <c r="AE325" t="b">
        <v>1</v>
      </c>
      <c r="AF325" t="b">
        <v>1</v>
      </c>
      <c r="AG325" t="b">
        <v>1</v>
      </c>
    </row>
    <row r="326" spans="1:33" x14ac:dyDescent="0.25">
      <c r="A326" t="s">
        <v>33</v>
      </c>
      <c r="B326">
        <v>15</v>
      </c>
      <c r="C326" t="b">
        <v>1</v>
      </c>
      <c r="D326" t="s">
        <v>1183</v>
      </c>
      <c r="E326" t="s">
        <v>1184</v>
      </c>
      <c r="F326" t="s">
        <v>1219</v>
      </c>
      <c r="G326" t="s">
        <v>1220</v>
      </c>
      <c r="H326">
        <v>325</v>
      </c>
      <c r="I326" t="str">
        <f>IF(ISBLANK(Table1[[#This Row],[oid]]),"FALSE","TRUE")</f>
        <v>TRUE</v>
      </c>
      <c r="J326" t="str" cm="1">
        <f t="array" ref="J326">_xlfn.SWITCH(LEFT(Table1[[#This Row],[section]],1), "D", "Demographic", "S", "Social", "E", "Economic", "H", "Housing", "")</f>
        <v>Social</v>
      </c>
      <c r="K326" t="s">
        <v>1187</v>
      </c>
      <c r="L326" t="s">
        <v>1188</v>
      </c>
      <c r="M326" t="str">
        <f>IF(Table1[[#This Row],[used]], _xlfn.CONCAT("🆔 ", Table1[[#This Row],[variable]], ": ",Table1[[#This Row],[alias]]), "")</f>
        <v>🆔 B13002_009E: Women who had a birth in the past 12 months: Unmarried never married widowed and divorced: 20 to 34 years old</v>
      </c>
      <c r="O326" t="s">
        <v>1221</v>
      </c>
      <c r="P326" t="s">
        <v>1189</v>
      </c>
      <c r="Q326" t="s">
        <v>41</v>
      </c>
      <c r="R326" t="s">
        <v>1222</v>
      </c>
      <c r="S326" t="b">
        <v>1</v>
      </c>
      <c r="T326" t="b">
        <v>1</v>
      </c>
      <c r="U326" t="b">
        <v>1</v>
      </c>
      <c r="V326" t="b">
        <v>1</v>
      </c>
      <c r="W326" t="b">
        <v>1</v>
      </c>
      <c r="X326" t="b">
        <v>1</v>
      </c>
      <c r="Y326" t="b">
        <v>1</v>
      </c>
      <c r="Z326" t="b">
        <v>1</v>
      </c>
      <c r="AA326" t="b">
        <v>1</v>
      </c>
      <c r="AB326" t="b">
        <v>1</v>
      </c>
      <c r="AC326" t="b">
        <v>1</v>
      </c>
      <c r="AD326" t="b">
        <v>1</v>
      </c>
      <c r="AE326" t="b">
        <v>1</v>
      </c>
      <c r="AF326" t="b">
        <v>1</v>
      </c>
      <c r="AG326" t="b">
        <v>1</v>
      </c>
    </row>
    <row r="327" spans="1:33" x14ac:dyDescent="0.25">
      <c r="A327" t="s">
        <v>33</v>
      </c>
      <c r="B327">
        <v>15</v>
      </c>
      <c r="C327" t="b">
        <v>1</v>
      </c>
      <c r="D327" t="s">
        <v>1183</v>
      </c>
      <c r="E327" t="s">
        <v>1184</v>
      </c>
      <c r="F327" t="s">
        <v>1223</v>
      </c>
      <c r="G327" t="s">
        <v>1224</v>
      </c>
      <c r="H327">
        <v>326</v>
      </c>
      <c r="I327" t="str">
        <f>IF(ISBLANK(Table1[[#This Row],[oid]]),"FALSE","TRUE")</f>
        <v>TRUE</v>
      </c>
      <c r="J327" t="str" cm="1">
        <f t="array" ref="J327">_xlfn.SWITCH(LEFT(Table1[[#This Row],[section]],1), "D", "Demographic", "S", "Social", "E", "Economic", "H", "Housing", "")</f>
        <v>Social</v>
      </c>
      <c r="K327" t="s">
        <v>1187</v>
      </c>
      <c r="L327" t="s">
        <v>1188</v>
      </c>
      <c r="M327" t="str">
        <f>IF(Table1[[#This Row],[used]], _xlfn.CONCAT("🆔 ", Table1[[#This Row],[variable]], ": ",Table1[[#This Row],[alias]]), "")</f>
        <v>🆔 B13002_010E: Women who had a birth in the past 12 months: Unmarried never married widowed and divorced: 35 to 50 years old</v>
      </c>
      <c r="O327" t="s">
        <v>1225</v>
      </c>
      <c r="P327" t="s">
        <v>1189</v>
      </c>
      <c r="Q327" t="s">
        <v>41</v>
      </c>
      <c r="R327" t="s">
        <v>1226</v>
      </c>
      <c r="S327" t="b">
        <v>1</v>
      </c>
      <c r="T327" t="b">
        <v>1</v>
      </c>
      <c r="U327" t="b">
        <v>1</v>
      </c>
      <c r="V327" t="b">
        <v>1</v>
      </c>
      <c r="W327" t="b">
        <v>1</v>
      </c>
      <c r="X327" t="b">
        <v>1</v>
      </c>
      <c r="Y327" t="b">
        <v>1</v>
      </c>
      <c r="Z327" t="b">
        <v>1</v>
      </c>
      <c r="AA327" t="b">
        <v>1</v>
      </c>
      <c r="AB327" t="b">
        <v>1</v>
      </c>
      <c r="AC327" t="b">
        <v>1</v>
      </c>
      <c r="AD327" t="b">
        <v>1</v>
      </c>
      <c r="AE327" t="b">
        <v>1</v>
      </c>
      <c r="AF327" t="b">
        <v>1</v>
      </c>
      <c r="AG327" t="b">
        <v>1</v>
      </c>
    </row>
    <row r="328" spans="1:33" x14ac:dyDescent="0.25">
      <c r="A328" t="s">
        <v>33</v>
      </c>
      <c r="B328">
        <v>15</v>
      </c>
      <c r="C328" t="b">
        <v>1</v>
      </c>
      <c r="D328" t="s">
        <v>1183</v>
      </c>
      <c r="E328" t="s">
        <v>1184</v>
      </c>
      <c r="F328" t="s">
        <v>1227</v>
      </c>
      <c r="G328" t="s">
        <v>1228</v>
      </c>
      <c r="H328">
        <v>327</v>
      </c>
      <c r="I328" t="str">
        <f>IF(ISBLANK(Table1[[#This Row],[oid]]),"FALSE","TRUE")</f>
        <v>TRUE</v>
      </c>
      <c r="J328" t="str" cm="1">
        <f t="array" ref="J328">_xlfn.SWITCH(LEFT(Table1[[#This Row],[section]],1), "D", "Demographic", "S", "Social", "E", "Economic", "H", "Housing", "")</f>
        <v>Social</v>
      </c>
      <c r="K328" t="s">
        <v>1187</v>
      </c>
      <c r="L328" t="s">
        <v>1188</v>
      </c>
      <c r="M328" t="str">
        <f>IF(Table1[[#This Row],[used]], _xlfn.CONCAT("🆔 ", Table1[[#This Row],[variable]], ": ",Table1[[#This Row],[alias]]), "")</f>
        <v>🆔 B13002_011E: Women who did not have a birth in the past 12 months</v>
      </c>
      <c r="O328" t="s">
        <v>1229</v>
      </c>
      <c r="P328" t="s">
        <v>1189</v>
      </c>
      <c r="Q328" t="s">
        <v>41</v>
      </c>
      <c r="R328" t="s">
        <v>1230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</row>
    <row r="329" spans="1:33" x14ac:dyDescent="0.25">
      <c r="A329" t="s">
        <v>33</v>
      </c>
      <c r="B329">
        <v>15</v>
      </c>
      <c r="C329" t="b">
        <v>1</v>
      </c>
      <c r="D329" t="s">
        <v>1183</v>
      </c>
      <c r="E329" t="s">
        <v>1184</v>
      </c>
      <c r="F329" t="s">
        <v>1231</v>
      </c>
      <c r="G329" t="s">
        <v>1232</v>
      </c>
      <c r="H329">
        <v>328</v>
      </c>
      <c r="I329" t="str">
        <f>IF(ISBLANK(Table1[[#This Row],[oid]]),"FALSE","TRUE")</f>
        <v>TRUE</v>
      </c>
      <c r="J329" t="str" cm="1">
        <f t="array" ref="J329">_xlfn.SWITCH(LEFT(Table1[[#This Row],[section]],1), "D", "Demographic", "S", "Social", "E", "Economic", "H", "Housing", "")</f>
        <v>Social</v>
      </c>
      <c r="K329" t="s">
        <v>1187</v>
      </c>
      <c r="L329" t="s">
        <v>1188</v>
      </c>
      <c r="M329" t="str">
        <f>IF(Table1[[#This Row],[used]], _xlfn.CONCAT("🆔 ", Table1[[#This Row],[variable]], ": ",Table1[[#This Row],[alias]]), "")</f>
        <v>🆔 B13002_012E: Women who did not have a birth in the past 12 months: Now married including separated and spouse absent</v>
      </c>
      <c r="O329" t="s">
        <v>1233</v>
      </c>
      <c r="P329" t="s">
        <v>1189</v>
      </c>
      <c r="Q329" t="s">
        <v>41</v>
      </c>
      <c r="R329" t="s">
        <v>1234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</row>
    <row r="330" spans="1:33" x14ac:dyDescent="0.25">
      <c r="A330" t="s">
        <v>33</v>
      </c>
      <c r="B330">
        <v>15</v>
      </c>
      <c r="C330" t="b">
        <v>1</v>
      </c>
      <c r="D330" t="s">
        <v>1183</v>
      </c>
      <c r="E330" t="s">
        <v>1184</v>
      </c>
      <c r="F330" t="s">
        <v>1235</v>
      </c>
      <c r="G330" t="s">
        <v>1236</v>
      </c>
      <c r="H330">
        <v>329</v>
      </c>
      <c r="I330" t="str">
        <f>IF(ISBLANK(Table1[[#This Row],[oid]]),"FALSE","TRUE")</f>
        <v>TRUE</v>
      </c>
      <c r="J330" t="str" cm="1">
        <f t="array" ref="J330">_xlfn.SWITCH(LEFT(Table1[[#This Row],[section]],1), "D", "Demographic", "S", "Social", "E", "Economic", "H", "Housing", "")</f>
        <v>Social</v>
      </c>
      <c r="K330" t="s">
        <v>1187</v>
      </c>
      <c r="L330" t="s">
        <v>1188</v>
      </c>
      <c r="M330" t="str">
        <f>IF(Table1[[#This Row],[used]], _xlfn.CONCAT("🆔 ", Table1[[#This Row],[variable]], ": ",Table1[[#This Row],[alias]]), "")</f>
        <v>🆔 B13002_013E: Women who did not have a birth in the past 12 months: Now married including separated and spouse absent: 15 to 19 years old</v>
      </c>
      <c r="O330" t="s">
        <v>1237</v>
      </c>
      <c r="P330" t="s">
        <v>1189</v>
      </c>
      <c r="Q330" t="s">
        <v>41</v>
      </c>
      <c r="R330" t="s">
        <v>1238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</row>
    <row r="331" spans="1:33" x14ac:dyDescent="0.25">
      <c r="A331" t="s">
        <v>33</v>
      </c>
      <c r="B331">
        <v>15</v>
      </c>
      <c r="C331" t="b">
        <v>1</v>
      </c>
      <c r="D331" t="s">
        <v>1183</v>
      </c>
      <c r="E331" t="s">
        <v>1184</v>
      </c>
      <c r="F331" t="s">
        <v>1239</v>
      </c>
      <c r="G331" t="s">
        <v>1240</v>
      </c>
      <c r="H331">
        <v>330</v>
      </c>
      <c r="I331" t="str">
        <f>IF(ISBLANK(Table1[[#This Row],[oid]]),"FALSE","TRUE")</f>
        <v>TRUE</v>
      </c>
      <c r="J331" t="str" cm="1">
        <f t="array" ref="J331">_xlfn.SWITCH(LEFT(Table1[[#This Row],[section]],1), "D", "Demographic", "S", "Social", "E", "Economic", "H", "Housing", "")</f>
        <v>Social</v>
      </c>
      <c r="K331" t="s">
        <v>1187</v>
      </c>
      <c r="L331" t="s">
        <v>1188</v>
      </c>
      <c r="M331" t="str">
        <f>IF(Table1[[#This Row],[used]], _xlfn.CONCAT("🆔 ", Table1[[#This Row],[variable]], ": ",Table1[[#This Row],[alias]]), "")</f>
        <v>🆔 B13002_014E: Women who did not have a birth in the past 12 months: Now married including separated and spouse absent: 20 to 34 years old</v>
      </c>
      <c r="O331" t="s">
        <v>1241</v>
      </c>
      <c r="P331" t="s">
        <v>1189</v>
      </c>
      <c r="Q331" t="s">
        <v>41</v>
      </c>
      <c r="R331" t="s">
        <v>1242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</row>
    <row r="332" spans="1:33" x14ac:dyDescent="0.25">
      <c r="A332" t="s">
        <v>33</v>
      </c>
      <c r="B332">
        <v>15</v>
      </c>
      <c r="C332" t="b">
        <v>1</v>
      </c>
      <c r="D332" t="s">
        <v>1183</v>
      </c>
      <c r="E332" t="s">
        <v>1184</v>
      </c>
      <c r="F332" t="s">
        <v>1243</v>
      </c>
      <c r="G332" t="s">
        <v>1244</v>
      </c>
      <c r="H332">
        <v>331</v>
      </c>
      <c r="I332" t="str">
        <f>IF(ISBLANK(Table1[[#This Row],[oid]]),"FALSE","TRUE")</f>
        <v>TRUE</v>
      </c>
      <c r="J332" t="str" cm="1">
        <f t="array" ref="J332">_xlfn.SWITCH(LEFT(Table1[[#This Row],[section]],1), "D", "Demographic", "S", "Social", "E", "Economic", "H", "Housing", "")</f>
        <v>Social</v>
      </c>
      <c r="K332" t="s">
        <v>1187</v>
      </c>
      <c r="L332" t="s">
        <v>1188</v>
      </c>
      <c r="M332" t="str">
        <f>IF(Table1[[#This Row],[used]], _xlfn.CONCAT("🆔 ", Table1[[#This Row],[variable]], ": ",Table1[[#This Row],[alias]]), "")</f>
        <v>🆔 B13002_015E: Women who did not have a birth in the past 12 months: Now married including separated and spouse absent: 35 to 50 years old</v>
      </c>
      <c r="O332" t="s">
        <v>1245</v>
      </c>
      <c r="P332" t="s">
        <v>1189</v>
      </c>
      <c r="Q332" t="s">
        <v>41</v>
      </c>
      <c r="R332" t="s">
        <v>1246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</row>
    <row r="333" spans="1:33" x14ac:dyDescent="0.25">
      <c r="A333" t="s">
        <v>33</v>
      </c>
      <c r="B333">
        <v>15</v>
      </c>
      <c r="C333" t="b">
        <v>1</v>
      </c>
      <c r="D333" t="s">
        <v>1183</v>
      </c>
      <c r="E333" t="s">
        <v>1184</v>
      </c>
      <c r="F333" t="s">
        <v>1247</v>
      </c>
      <c r="G333" t="s">
        <v>1248</v>
      </c>
      <c r="H333">
        <v>332</v>
      </c>
      <c r="I333" t="str">
        <f>IF(ISBLANK(Table1[[#This Row],[oid]]),"FALSE","TRUE")</f>
        <v>TRUE</v>
      </c>
      <c r="J333" t="str" cm="1">
        <f t="array" ref="J333">_xlfn.SWITCH(LEFT(Table1[[#This Row],[section]],1), "D", "Demographic", "S", "Social", "E", "Economic", "H", "Housing", "")</f>
        <v>Social</v>
      </c>
      <c r="K333" t="s">
        <v>1187</v>
      </c>
      <c r="L333" t="s">
        <v>1188</v>
      </c>
      <c r="M333" t="str">
        <f>IF(Table1[[#This Row],[used]], _xlfn.CONCAT("🆔 ", Table1[[#This Row],[variable]], ": ",Table1[[#This Row],[alias]]), "")</f>
        <v>🆔 B13002_016E: Women who did not have a birth in the past 12 months: Unmarried never married widowed and divorced</v>
      </c>
      <c r="O333" t="s">
        <v>1249</v>
      </c>
      <c r="P333" t="s">
        <v>1189</v>
      </c>
      <c r="Q333" t="s">
        <v>41</v>
      </c>
      <c r="R333" t="s">
        <v>1250</v>
      </c>
      <c r="S333" t="b">
        <v>1</v>
      </c>
      <c r="T333" t="b">
        <v>1</v>
      </c>
      <c r="U333" t="b">
        <v>1</v>
      </c>
      <c r="V333" t="b">
        <v>1</v>
      </c>
      <c r="W333" t="b">
        <v>1</v>
      </c>
      <c r="X333" t="b">
        <v>1</v>
      </c>
      <c r="Y333" t="b">
        <v>1</v>
      </c>
      <c r="Z333" t="b">
        <v>1</v>
      </c>
      <c r="AA333" t="b">
        <v>1</v>
      </c>
      <c r="AB333" t="b">
        <v>1</v>
      </c>
      <c r="AC333" t="b">
        <v>1</v>
      </c>
      <c r="AD333" t="b">
        <v>1</v>
      </c>
      <c r="AE333" t="b">
        <v>1</v>
      </c>
      <c r="AF333" t="b">
        <v>1</v>
      </c>
      <c r="AG333" t="b">
        <v>1</v>
      </c>
    </row>
    <row r="334" spans="1:33" x14ac:dyDescent="0.25">
      <c r="A334" t="s">
        <v>33</v>
      </c>
      <c r="B334">
        <v>15</v>
      </c>
      <c r="C334" t="b">
        <v>1</v>
      </c>
      <c r="D334" t="s">
        <v>1183</v>
      </c>
      <c r="E334" t="s">
        <v>1184</v>
      </c>
      <c r="F334" t="s">
        <v>1251</v>
      </c>
      <c r="G334" t="s">
        <v>1252</v>
      </c>
      <c r="H334">
        <v>333</v>
      </c>
      <c r="I334" t="str">
        <f>IF(ISBLANK(Table1[[#This Row],[oid]]),"FALSE","TRUE")</f>
        <v>TRUE</v>
      </c>
      <c r="J334" t="str" cm="1">
        <f t="array" ref="J334">_xlfn.SWITCH(LEFT(Table1[[#This Row],[section]],1), "D", "Demographic", "S", "Social", "E", "Economic", "H", "Housing", "")</f>
        <v>Social</v>
      </c>
      <c r="K334" t="s">
        <v>1187</v>
      </c>
      <c r="L334" t="s">
        <v>1188</v>
      </c>
      <c r="M334" t="str">
        <f>IF(Table1[[#This Row],[used]], _xlfn.CONCAT("🆔 ", Table1[[#This Row],[variable]], ": ",Table1[[#This Row],[alias]]), "")</f>
        <v>🆔 B13002_017E: Women who did not have a birth in the past 12 months: Unmarried never married widowed and divorced: 15 to 19 years old</v>
      </c>
      <c r="O334" t="s">
        <v>1253</v>
      </c>
      <c r="P334" t="s">
        <v>1189</v>
      </c>
      <c r="Q334" t="s">
        <v>41</v>
      </c>
      <c r="R334" t="s">
        <v>1254</v>
      </c>
      <c r="S334" t="b">
        <v>1</v>
      </c>
      <c r="T334" t="b">
        <v>1</v>
      </c>
      <c r="U334" t="b">
        <v>1</v>
      </c>
      <c r="V334" t="b">
        <v>1</v>
      </c>
      <c r="W334" t="b">
        <v>1</v>
      </c>
      <c r="X334" t="b">
        <v>1</v>
      </c>
      <c r="Y334" t="b">
        <v>1</v>
      </c>
      <c r="Z334" t="b">
        <v>1</v>
      </c>
      <c r="AA334" t="b">
        <v>1</v>
      </c>
      <c r="AB334" t="b">
        <v>1</v>
      </c>
      <c r="AC334" t="b">
        <v>1</v>
      </c>
      <c r="AD334" t="b">
        <v>1</v>
      </c>
      <c r="AE334" t="b">
        <v>1</v>
      </c>
      <c r="AF334" t="b">
        <v>1</v>
      </c>
      <c r="AG334" t="b">
        <v>1</v>
      </c>
    </row>
    <row r="335" spans="1:33" x14ac:dyDescent="0.25">
      <c r="A335" t="s">
        <v>33</v>
      </c>
      <c r="B335">
        <v>15</v>
      </c>
      <c r="C335" t="b">
        <v>1</v>
      </c>
      <c r="D335" t="s">
        <v>1183</v>
      </c>
      <c r="E335" t="s">
        <v>1184</v>
      </c>
      <c r="F335" t="s">
        <v>1255</v>
      </c>
      <c r="G335" t="s">
        <v>1256</v>
      </c>
      <c r="H335">
        <v>334</v>
      </c>
      <c r="I335" t="str">
        <f>IF(ISBLANK(Table1[[#This Row],[oid]]),"FALSE","TRUE")</f>
        <v>TRUE</v>
      </c>
      <c r="J335" t="str" cm="1">
        <f t="array" ref="J335">_xlfn.SWITCH(LEFT(Table1[[#This Row],[section]],1), "D", "Demographic", "S", "Social", "E", "Economic", "H", "Housing", "")</f>
        <v>Social</v>
      </c>
      <c r="K335" t="s">
        <v>1187</v>
      </c>
      <c r="L335" t="s">
        <v>1188</v>
      </c>
      <c r="M335" t="str">
        <f>IF(Table1[[#This Row],[used]], _xlfn.CONCAT("🆔 ", Table1[[#This Row],[variable]], ": ",Table1[[#This Row],[alias]]), "")</f>
        <v>🆔 B13002_018E: Women who did not have a birth in the past 12 months: Unmarried never married widowed and divorced: 20 to 34 years old</v>
      </c>
      <c r="O335" t="s">
        <v>1257</v>
      </c>
      <c r="P335" t="s">
        <v>1189</v>
      </c>
      <c r="Q335" t="s">
        <v>41</v>
      </c>
      <c r="R335" t="s">
        <v>1258</v>
      </c>
      <c r="S335" t="b">
        <v>1</v>
      </c>
      <c r="T335" t="b">
        <v>1</v>
      </c>
      <c r="U335" t="b">
        <v>1</v>
      </c>
      <c r="V335" t="b">
        <v>1</v>
      </c>
      <c r="W335" t="b">
        <v>1</v>
      </c>
      <c r="X335" t="b">
        <v>1</v>
      </c>
      <c r="Y335" t="b">
        <v>1</v>
      </c>
      <c r="Z335" t="b">
        <v>1</v>
      </c>
      <c r="AA335" t="b">
        <v>1</v>
      </c>
      <c r="AB335" t="b">
        <v>1</v>
      </c>
      <c r="AC335" t="b">
        <v>1</v>
      </c>
      <c r="AD335" t="b">
        <v>1</v>
      </c>
      <c r="AE335" t="b">
        <v>1</v>
      </c>
      <c r="AF335" t="b">
        <v>1</v>
      </c>
      <c r="AG335" t="b">
        <v>1</v>
      </c>
    </row>
    <row r="336" spans="1:33" x14ac:dyDescent="0.25">
      <c r="A336" t="s">
        <v>33</v>
      </c>
      <c r="B336">
        <v>15</v>
      </c>
      <c r="C336" t="b">
        <v>1</v>
      </c>
      <c r="D336" t="s">
        <v>1183</v>
      </c>
      <c r="E336" t="s">
        <v>1184</v>
      </c>
      <c r="F336" t="s">
        <v>1259</v>
      </c>
      <c r="G336" t="s">
        <v>1260</v>
      </c>
      <c r="H336">
        <v>335</v>
      </c>
      <c r="I336" t="str">
        <f>IF(ISBLANK(Table1[[#This Row],[oid]]),"FALSE","TRUE")</f>
        <v>TRUE</v>
      </c>
      <c r="J336" t="str" cm="1">
        <f t="array" ref="J336">_xlfn.SWITCH(LEFT(Table1[[#This Row],[section]],1), "D", "Demographic", "S", "Social", "E", "Economic", "H", "Housing", "")</f>
        <v>Social</v>
      </c>
      <c r="K336" t="s">
        <v>1187</v>
      </c>
      <c r="L336" t="s">
        <v>1188</v>
      </c>
      <c r="M336" t="str">
        <f>IF(Table1[[#This Row],[used]], _xlfn.CONCAT("🆔 ", Table1[[#This Row],[variable]], ": ",Table1[[#This Row],[alias]]), "")</f>
        <v>🆔 B13002_019E: Women who did not have a birth in the past 12 months: Unmarried never married widowed and divorced: 35 to 50 years old</v>
      </c>
      <c r="O336" t="s">
        <v>1261</v>
      </c>
      <c r="P336" t="s">
        <v>1189</v>
      </c>
      <c r="Q336" t="s">
        <v>41</v>
      </c>
      <c r="R336" t="s">
        <v>1262</v>
      </c>
      <c r="S336" t="b">
        <v>1</v>
      </c>
      <c r="T336" t="b">
        <v>1</v>
      </c>
      <c r="U336" t="b">
        <v>1</v>
      </c>
      <c r="V336" t="b">
        <v>1</v>
      </c>
      <c r="W336" t="b">
        <v>1</v>
      </c>
      <c r="X336" t="b">
        <v>1</v>
      </c>
      <c r="Y336" t="b">
        <v>1</v>
      </c>
      <c r="Z336" t="b">
        <v>1</v>
      </c>
      <c r="AA336" t="b">
        <v>1</v>
      </c>
      <c r="AB336" t="b">
        <v>1</v>
      </c>
      <c r="AC336" t="b">
        <v>1</v>
      </c>
      <c r="AD336" t="b">
        <v>1</v>
      </c>
      <c r="AE336" t="b">
        <v>1</v>
      </c>
      <c r="AF336" t="b">
        <v>1</v>
      </c>
      <c r="AG336" t="b">
        <v>1</v>
      </c>
    </row>
    <row r="337" spans="1:33" x14ac:dyDescent="0.25">
      <c r="A337" t="s">
        <v>33</v>
      </c>
      <c r="B337">
        <v>15</v>
      </c>
      <c r="C337" t="b">
        <v>1</v>
      </c>
      <c r="D337" t="s">
        <v>1263</v>
      </c>
      <c r="E337" t="s">
        <v>1264</v>
      </c>
      <c r="F337" t="s">
        <v>1265</v>
      </c>
      <c r="G337" t="s">
        <v>1266</v>
      </c>
      <c r="H337">
        <v>336</v>
      </c>
      <c r="I337" t="str">
        <f>IF(ISBLANK(Table1[[#This Row],[oid]]),"FALSE","TRUE")</f>
        <v>TRUE</v>
      </c>
      <c r="J337" t="str" cm="1">
        <f t="array" ref="J337">_xlfn.SWITCH(LEFT(Table1[[#This Row],[section]],1), "D", "Demographic", "S", "Social", "E", "Economic", "H", "Housing", "")</f>
        <v>Social</v>
      </c>
      <c r="K337" t="s">
        <v>1267</v>
      </c>
      <c r="L337" t="s">
        <v>1268</v>
      </c>
      <c r="M337" t="str">
        <f>IF(Table1[[#This Row],[used]], _xlfn.CONCAT("🆔 ", Table1[[#This Row],[variable]], ": ",Table1[[#This Row],[alias]]), "")</f>
        <v>🆔 B10002_001E: Grandchildren, under 18 years living with grandparent</v>
      </c>
      <c r="O337" t="s">
        <v>39</v>
      </c>
      <c r="P337" t="s">
        <v>1269</v>
      </c>
      <c r="Q337" t="s">
        <v>41</v>
      </c>
      <c r="R337" t="s">
        <v>1270</v>
      </c>
      <c r="S337" t="b">
        <v>1</v>
      </c>
      <c r="T337" t="b">
        <v>1</v>
      </c>
      <c r="U337" t="b">
        <v>1</v>
      </c>
      <c r="V337" t="b">
        <v>1</v>
      </c>
      <c r="W337" t="b">
        <v>1</v>
      </c>
      <c r="X337" t="b">
        <v>1</v>
      </c>
      <c r="Y337" t="b">
        <v>1</v>
      </c>
      <c r="Z337" t="b">
        <v>1</v>
      </c>
      <c r="AA337" t="b">
        <v>1</v>
      </c>
      <c r="AB337" t="b">
        <v>1</v>
      </c>
      <c r="AC337" t="b">
        <v>1</v>
      </c>
      <c r="AD337" t="b">
        <v>1</v>
      </c>
      <c r="AE337" t="b">
        <v>1</v>
      </c>
      <c r="AF337" t="b">
        <v>1</v>
      </c>
      <c r="AG337" t="b">
        <v>1</v>
      </c>
    </row>
    <row r="338" spans="1:33" x14ac:dyDescent="0.25">
      <c r="A338" t="s">
        <v>33</v>
      </c>
      <c r="B338">
        <v>15</v>
      </c>
      <c r="C338" t="b">
        <v>1</v>
      </c>
      <c r="D338" t="s">
        <v>1263</v>
      </c>
      <c r="E338" t="s">
        <v>1264</v>
      </c>
      <c r="F338" t="s">
        <v>1271</v>
      </c>
      <c r="G338" t="s">
        <v>1272</v>
      </c>
      <c r="H338">
        <v>337</v>
      </c>
      <c r="I338" t="str">
        <f>IF(ISBLANK(Table1[[#This Row],[oid]]),"FALSE","TRUE")</f>
        <v>TRUE</v>
      </c>
      <c r="J338" t="str" cm="1">
        <f t="array" ref="J338">_xlfn.SWITCH(LEFT(Table1[[#This Row],[section]],1), "D", "Demographic", "S", "Social", "E", "Economic", "H", "Housing", "")</f>
        <v>Social</v>
      </c>
      <c r="K338" t="s">
        <v>1267</v>
      </c>
      <c r="L338" t="s">
        <v>1268</v>
      </c>
      <c r="M338" t="str">
        <f>IF(Table1[[#This Row],[used]], _xlfn.CONCAT("🆔 ", Table1[[#This Row],[variable]], ": ",Table1[[#This Row],[alias]]), "")</f>
        <v>🆔 B10002_002E: Grandparent householder responsible for own grandchildren under 18 years</v>
      </c>
      <c r="O338" t="s">
        <v>1273</v>
      </c>
      <c r="P338" t="s">
        <v>1269</v>
      </c>
      <c r="Q338" t="s">
        <v>41</v>
      </c>
      <c r="R338" t="s">
        <v>1274</v>
      </c>
      <c r="S338" t="b">
        <v>1</v>
      </c>
      <c r="T338" t="b">
        <v>1</v>
      </c>
      <c r="U338" t="b">
        <v>1</v>
      </c>
      <c r="V338" t="b">
        <v>1</v>
      </c>
      <c r="W338" t="b">
        <v>1</v>
      </c>
      <c r="X338" t="b">
        <v>1</v>
      </c>
      <c r="Y338" t="b">
        <v>1</v>
      </c>
      <c r="Z338" t="b">
        <v>1</v>
      </c>
      <c r="AA338" t="b">
        <v>1</v>
      </c>
      <c r="AB338" t="b">
        <v>1</v>
      </c>
      <c r="AC338" t="b">
        <v>1</v>
      </c>
      <c r="AD338" t="b">
        <v>1</v>
      </c>
      <c r="AE338" t="b">
        <v>1</v>
      </c>
      <c r="AF338" t="b">
        <v>1</v>
      </c>
      <c r="AG338" t="b">
        <v>1</v>
      </c>
    </row>
    <row r="339" spans="1:33" x14ac:dyDescent="0.25">
      <c r="A339" t="s">
        <v>33</v>
      </c>
      <c r="B339">
        <v>15</v>
      </c>
      <c r="C339" t="b">
        <v>1</v>
      </c>
      <c r="D339" t="s">
        <v>1263</v>
      </c>
      <c r="E339" t="s">
        <v>1264</v>
      </c>
      <c r="F339" t="s">
        <v>1275</v>
      </c>
      <c r="G339" t="s">
        <v>1276</v>
      </c>
      <c r="H339">
        <v>338</v>
      </c>
      <c r="I339" t="str">
        <f>IF(ISBLANK(Table1[[#This Row],[oid]]),"FALSE","TRUE")</f>
        <v>TRUE</v>
      </c>
      <c r="J339" t="str" cm="1">
        <f t="array" ref="J339">_xlfn.SWITCH(LEFT(Table1[[#This Row],[section]],1), "D", "Demographic", "S", "Social", "E", "Economic", "H", "Housing", "")</f>
        <v>Social</v>
      </c>
      <c r="K339" t="s">
        <v>1267</v>
      </c>
      <c r="L339" t="s">
        <v>1268</v>
      </c>
      <c r="M339" t="str">
        <f>IF(Table1[[#This Row],[used]], _xlfn.CONCAT("🆔 ", Table1[[#This Row],[variable]], ": ",Table1[[#This Row],[alias]]), "")</f>
        <v>🆔 B10002_003E: Grandparent householder responsible for own grandchildren under 18 years: Parent present</v>
      </c>
      <c r="O339" t="s">
        <v>1277</v>
      </c>
      <c r="P339" t="s">
        <v>1269</v>
      </c>
      <c r="Q339" t="s">
        <v>41</v>
      </c>
      <c r="R339" t="s">
        <v>1278</v>
      </c>
      <c r="S339" t="b">
        <v>1</v>
      </c>
      <c r="T339" t="b">
        <v>1</v>
      </c>
      <c r="U339" t="b">
        <v>1</v>
      </c>
      <c r="V339" t="b">
        <v>1</v>
      </c>
      <c r="W339" t="b">
        <v>1</v>
      </c>
      <c r="X339" t="b">
        <v>1</v>
      </c>
      <c r="Y339" t="b">
        <v>1</v>
      </c>
      <c r="Z339" t="b">
        <v>1</v>
      </c>
      <c r="AA339" t="b">
        <v>1</v>
      </c>
      <c r="AB339" t="b">
        <v>1</v>
      </c>
      <c r="AC339" t="b">
        <v>1</v>
      </c>
      <c r="AD339" t="b">
        <v>1</v>
      </c>
      <c r="AE339" t="b">
        <v>1</v>
      </c>
      <c r="AF339" t="b">
        <v>1</v>
      </c>
      <c r="AG339" t="b">
        <v>1</v>
      </c>
    </row>
    <row r="340" spans="1:33" x14ac:dyDescent="0.25">
      <c r="A340" t="s">
        <v>33</v>
      </c>
      <c r="B340">
        <v>15</v>
      </c>
      <c r="C340" t="b">
        <v>1</v>
      </c>
      <c r="D340" t="s">
        <v>1263</v>
      </c>
      <c r="E340" t="s">
        <v>1264</v>
      </c>
      <c r="F340" t="s">
        <v>1279</v>
      </c>
      <c r="G340" t="s">
        <v>1280</v>
      </c>
      <c r="H340">
        <v>339</v>
      </c>
      <c r="I340" t="str">
        <f>IF(ISBLANK(Table1[[#This Row],[oid]]),"FALSE","TRUE")</f>
        <v>TRUE</v>
      </c>
      <c r="J340" t="str" cm="1">
        <f t="array" ref="J340">_xlfn.SWITCH(LEFT(Table1[[#This Row],[section]],1), "D", "Demographic", "S", "Social", "E", "Economic", "H", "Housing", "")</f>
        <v>Social</v>
      </c>
      <c r="K340" t="s">
        <v>1267</v>
      </c>
      <c r="L340" t="s">
        <v>1268</v>
      </c>
      <c r="M340" t="str">
        <f>IF(Table1[[#This Row],[used]], _xlfn.CONCAT("🆔 ", Table1[[#This Row],[variable]], ": ",Table1[[#This Row],[alias]]), "")</f>
        <v>🆔 B10002_004E: Grandparent householder responsible for own grandchildren under 18 years: No parent present</v>
      </c>
      <c r="O340" t="s">
        <v>1281</v>
      </c>
      <c r="P340" t="s">
        <v>1269</v>
      </c>
      <c r="Q340" t="s">
        <v>41</v>
      </c>
      <c r="R340" t="s">
        <v>1282</v>
      </c>
      <c r="S340" t="b">
        <v>1</v>
      </c>
      <c r="T340" t="b">
        <v>1</v>
      </c>
      <c r="U340" t="b">
        <v>1</v>
      </c>
      <c r="V340" t="b">
        <v>1</v>
      </c>
      <c r="W340" t="b">
        <v>1</v>
      </c>
      <c r="X340" t="b">
        <v>1</v>
      </c>
      <c r="Y340" t="b">
        <v>1</v>
      </c>
      <c r="Z340" t="b">
        <v>1</v>
      </c>
      <c r="AA340" t="b">
        <v>1</v>
      </c>
      <c r="AB340" t="b">
        <v>1</v>
      </c>
      <c r="AC340" t="b">
        <v>1</v>
      </c>
      <c r="AD340" t="b">
        <v>1</v>
      </c>
      <c r="AE340" t="b">
        <v>1</v>
      </c>
      <c r="AF340" t="b">
        <v>1</v>
      </c>
      <c r="AG340" t="b">
        <v>1</v>
      </c>
    </row>
    <row r="341" spans="1:33" x14ac:dyDescent="0.25">
      <c r="A341" t="s">
        <v>33</v>
      </c>
      <c r="B341">
        <v>15</v>
      </c>
      <c r="C341" t="b">
        <v>1</v>
      </c>
      <c r="D341" t="s">
        <v>1263</v>
      </c>
      <c r="E341" t="s">
        <v>1264</v>
      </c>
      <c r="F341" t="s">
        <v>1283</v>
      </c>
      <c r="G341" t="s">
        <v>1284</v>
      </c>
      <c r="H341">
        <v>340</v>
      </c>
      <c r="I341" t="str">
        <f>IF(ISBLANK(Table1[[#This Row],[oid]]),"FALSE","TRUE")</f>
        <v>TRUE</v>
      </c>
      <c r="J341" t="str" cm="1">
        <f t="array" ref="J341">_xlfn.SWITCH(LEFT(Table1[[#This Row],[section]],1), "D", "Demographic", "S", "Social", "E", "Economic", "H", "Housing", "")</f>
        <v>Social</v>
      </c>
      <c r="K341" t="s">
        <v>1267</v>
      </c>
      <c r="L341" t="s">
        <v>1268</v>
      </c>
      <c r="M341" t="str">
        <f>IF(Table1[[#This Row],[used]], _xlfn.CONCAT("🆔 ", Table1[[#This Row],[variable]], ": ",Table1[[#This Row],[alias]]), "")</f>
        <v>🆔 B10002_005E: Grandparent householder not responsible for own grandchildren under 18 years</v>
      </c>
      <c r="O341" t="s">
        <v>1285</v>
      </c>
      <c r="P341" t="s">
        <v>1269</v>
      </c>
      <c r="Q341" t="s">
        <v>41</v>
      </c>
      <c r="R341" t="s">
        <v>1286</v>
      </c>
      <c r="S341" t="b">
        <v>1</v>
      </c>
      <c r="T341" t="b">
        <v>1</v>
      </c>
      <c r="U341" t="b">
        <v>1</v>
      </c>
      <c r="V341" t="b">
        <v>1</v>
      </c>
      <c r="W341" t="b">
        <v>1</v>
      </c>
      <c r="X341" t="b">
        <v>1</v>
      </c>
      <c r="Y341" t="b">
        <v>1</v>
      </c>
      <c r="Z341" t="b">
        <v>1</v>
      </c>
      <c r="AA341" t="b">
        <v>1</v>
      </c>
      <c r="AB341" t="b">
        <v>1</v>
      </c>
      <c r="AC341" t="b">
        <v>1</v>
      </c>
      <c r="AD341" t="b">
        <v>1</v>
      </c>
      <c r="AE341" t="b">
        <v>1</v>
      </c>
      <c r="AF341" t="b">
        <v>1</v>
      </c>
      <c r="AG341" t="b">
        <v>1</v>
      </c>
    </row>
    <row r="342" spans="1:33" x14ac:dyDescent="0.25">
      <c r="A342" t="s">
        <v>33</v>
      </c>
      <c r="B342">
        <v>15</v>
      </c>
      <c r="C342" t="b">
        <v>1</v>
      </c>
      <c r="D342" t="s">
        <v>1263</v>
      </c>
      <c r="E342" t="s">
        <v>1287</v>
      </c>
      <c r="F342" t="s">
        <v>1288</v>
      </c>
      <c r="G342" t="s">
        <v>1289</v>
      </c>
      <c r="H342">
        <v>341</v>
      </c>
      <c r="I342" t="str">
        <f>IF(ISBLANK(Table1[[#This Row],[oid]]),"FALSE","TRUE")</f>
        <v>TRUE</v>
      </c>
      <c r="J342" t="str" cm="1">
        <f t="array" ref="J342">_xlfn.SWITCH(LEFT(Table1[[#This Row],[section]],1), "D", "Demographic", "S", "Social", "E", "Economic", "H", "Housing", "")</f>
        <v>Social</v>
      </c>
      <c r="K342" t="s">
        <v>1267</v>
      </c>
      <c r="L342" t="s">
        <v>1268</v>
      </c>
      <c r="M342" t="str">
        <f>IF(Table1[[#This Row],[used]], _xlfn.CONCAT("🆔 ", Table1[[#This Row],[variable]], ": ",Table1[[#This Row],[alias]]), "")</f>
        <v>🆔 B10050_001E: Grandparents, 30+ years</v>
      </c>
      <c r="O342" t="s">
        <v>39</v>
      </c>
      <c r="P342" t="s">
        <v>1290</v>
      </c>
      <c r="Q342" t="s">
        <v>41</v>
      </c>
      <c r="R342" t="s">
        <v>1291</v>
      </c>
      <c r="S342" t="b">
        <v>1</v>
      </c>
      <c r="T342" t="b">
        <v>1</v>
      </c>
      <c r="U342" t="b">
        <v>1</v>
      </c>
      <c r="V342" t="b">
        <v>1</v>
      </c>
      <c r="W342" t="b">
        <v>1</v>
      </c>
      <c r="X342" t="b">
        <v>1</v>
      </c>
      <c r="Y342" t="b">
        <v>1</v>
      </c>
      <c r="Z342" t="b">
        <v>1</v>
      </c>
      <c r="AA342" t="b">
        <v>1</v>
      </c>
      <c r="AB342" t="b">
        <v>1</v>
      </c>
      <c r="AC342" t="b">
        <v>1</v>
      </c>
      <c r="AD342" t="b">
        <v>1</v>
      </c>
      <c r="AE342" t="b">
        <v>1</v>
      </c>
      <c r="AF342" t="b">
        <v>1</v>
      </c>
      <c r="AG342" t="b">
        <v>1</v>
      </c>
    </row>
    <row r="343" spans="1:33" x14ac:dyDescent="0.25">
      <c r="A343" t="s">
        <v>33</v>
      </c>
      <c r="B343">
        <v>15</v>
      </c>
      <c r="C343" t="b">
        <v>1</v>
      </c>
      <c r="D343" t="s">
        <v>1263</v>
      </c>
      <c r="E343" t="s">
        <v>1287</v>
      </c>
      <c r="F343" t="s">
        <v>1292</v>
      </c>
      <c r="G343" t="s">
        <v>1293</v>
      </c>
      <c r="H343">
        <v>342</v>
      </c>
      <c r="I343" t="str">
        <f>IF(ISBLANK(Table1[[#This Row],[oid]]),"FALSE","TRUE")</f>
        <v>TRUE</v>
      </c>
      <c r="J343" t="str" cm="1">
        <f t="array" ref="J343">_xlfn.SWITCH(LEFT(Table1[[#This Row],[section]],1), "D", "Demographic", "S", "Social", "E", "Economic", "H", "Housing", "")</f>
        <v>Social</v>
      </c>
      <c r="K343" t="s">
        <v>1267</v>
      </c>
      <c r="L343" t="s">
        <v>1268</v>
      </c>
      <c r="M343" t="str">
        <f>IF(Table1[[#This Row],[used]], _xlfn.CONCAT("🆔 ", Table1[[#This Row],[variable]], ": ",Table1[[#This Row],[alias]]), "")</f>
        <v>🆔 B10050_002E: Living with own grandchildren under 18 years</v>
      </c>
      <c r="O343" t="s">
        <v>1294</v>
      </c>
      <c r="P343" t="s">
        <v>1290</v>
      </c>
      <c r="Q343" t="s">
        <v>41</v>
      </c>
      <c r="R343" t="s">
        <v>1295</v>
      </c>
      <c r="S343" t="b">
        <v>1</v>
      </c>
      <c r="T343" t="b">
        <v>1</v>
      </c>
      <c r="U343" t="b">
        <v>1</v>
      </c>
      <c r="V343" t="b">
        <v>1</v>
      </c>
      <c r="W343" t="b">
        <v>1</v>
      </c>
      <c r="X343" t="b">
        <v>1</v>
      </c>
      <c r="Y343" t="b">
        <v>1</v>
      </c>
      <c r="Z343" t="b">
        <v>1</v>
      </c>
      <c r="AA343" t="b">
        <v>1</v>
      </c>
      <c r="AB343" t="b">
        <v>1</v>
      </c>
      <c r="AC343" t="b">
        <v>1</v>
      </c>
      <c r="AD343" t="b">
        <v>1</v>
      </c>
      <c r="AE343" t="b">
        <v>1</v>
      </c>
      <c r="AF343" t="b">
        <v>1</v>
      </c>
      <c r="AG343" t="b">
        <v>1</v>
      </c>
    </row>
    <row r="344" spans="1:33" x14ac:dyDescent="0.25">
      <c r="A344" t="s">
        <v>33</v>
      </c>
      <c r="B344">
        <v>15</v>
      </c>
      <c r="C344" t="b">
        <v>1</v>
      </c>
      <c r="D344" t="s">
        <v>1263</v>
      </c>
      <c r="E344" t="s">
        <v>1287</v>
      </c>
      <c r="F344" t="s">
        <v>1296</v>
      </c>
      <c r="G344" t="s">
        <v>1297</v>
      </c>
      <c r="H344">
        <v>343</v>
      </c>
      <c r="I344" t="str">
        <f>IF(ISBLANK(Table1[[#This Row],[oid]]),"FALSE","TRUE")</f>
        <v>TRUE</v>
      </c>
      <c r="J344" t="str" cm="1">
        <f t="array" ref="J344">_xlfn.SWITCH(LEFT(Table1[[#This Row],[section]],1), "D", "Demographic", "S", "Social", "E", "Economic", "H", "Housing", "")</f>
        <v>Social</v>
      </c>
      <c r="K344" t="s">
        <v>1267</v>
      </c>
      <c r="L344" t="s">
        <v>1268</v>
      </c>
      <c r="M344" t="str">
        <f>IF(Table1[[#This Row],[used]], _xlfn.CONCAT("🆔 ", Table1[[#This Row],[variable]], ": ",Table1[[#This Row],[alias]]), "")</f>
        <v>🆔 B10050_003E: Living with own grandchildren under 18 years: Grandparent responsible for own grandchildren under 18 years</v>
      </c>
      <c r="O344" t="s">
        <v>1298</v>
      </c>
      <c r="P344" t="s">
        <v>1290</v>
      </c>
      <c r="Q344" t="s">
        <v>41</v>
      </c>
      <c r="R344" t="s">
        <v>1299</v>
      </c>
      <c r="S344" t="b">
        <v>1</v>
      </c>
      <c r="T344" t="b">
        <v>1</v>
      </c>
      <c r="U344" t="b">
        <v>1</v>
      </c>
      <c r="V344" t="b">
        <v>1</v>
      </c>
      <c r="W344" t="b">
        <v>1</v>
      </c>
      <c r="X344" t="b">
        <v>1</v>
      </c>
      <c r="Y344" t="b">
        <v>1</v>
      </c>
      <c r="Z344" t="b">
        <v>1</v>
      </c>
      <c r="AA344" t="b">
        <v>1</v>
      </c>
      <c r="AB344" t="b">
        <v>1</v>
      </c>
      <c r="AC344" t="b">
        <v>1</v>
      </c>
      <c r="AD344" t="b">
        <v>1</v>
      </c>
      <c r="AE344" t="b">
        <v>1</v>
      </c>
      <c r="AF344" t="b">
        <v>1</v>
      </c>
      <c r="AG344" t="b">
        <v>1</v>
      </c>
    </row>
    <row r="345" spans="1:33" x14ac:dyDescent="0.25">
      <c r="A345" t="s">
        <v>33</v>
      </c>
      <c r="B345">
        <v>15</v>
      </c>
      <c r="C345" t="b">
        <v>1</v>
      </c>
      <c r="D345" t="s">
        <v>1263</v>
      </c>
      <c r="E345" t="s">
        <v>1287</v>
      </c>
      <c r="F345" t="s">
        <v>1300</v>
      </c>
      <c r="G345" t="s">
        <v>1301</v>
      </c>
      <c r="H345">
        <v>344</v>
      </c>
      <c r="I345" t="str">
        <f>IF(ISBLANK(Table1[[#This Row],[oid]]),"FALSE","TRUE")</f>
        <v>TRUE</v>
      </c>
      <c r="J345" t="str" cm="1">
        <f t="array" ref="J345">_xlfn.SWITCH(LEFT(Table1[[#This Row],[section]],1), "D", "Demographic", "S", "Social", "E", "Economic", "H", "Housing", "")</f>
        <v>Social</v>
      </c>
      <c r="K345" t="s">
        <v>1267</v>
      </c>
      <c r="L345" t="s">
        <v>1268</v>
      </c>
      <c r="M345" t="str">
        <f>IF(Table1[[#This Row],[used]], _xlfn.CONCAT("🆔 ", Table1[[#This Row],[variable]], ": ",Table1[[#This Row],[alias]]), "")</f>
        <v>🆔 B10050_004E: Living with own grandchildren under 18 years: Grandparent responsible for own grandchildren under 18 years: Grandparent responsible less than 6 months</v>
      </c>
      <c r="O345" t="s">
        <v>1302</v>
      </c>
      <c r="P345" t="s">
        <v>1290</v>
      </c>
      <c r="Q345" t="s">
        <v>41</v>
      </c>
      <c r="R345" t="s">
        <v>1303</v>
      </c>
      <c r="S345" t="b">
        <v>1</v>
      </c>
      <c r="T345" t="b">
        <v>1</v>
      </c>
      <c r="U345" t="b">
        <v>1</v>
      </c>
      <c r="V345" t="b">
        <v>1</v>
      </c>
      <c r="W345" t="b">
        <v>1</v>
      </c>
      <c r="X345" t="b">
        <v>1</v>
      </c>
      <c r="Y345" t="b">
        <v>1</v>
      </c>
      <c r="Z345" t="b">
        <v>1</v>
      </c>
      <c r="AA345" t="b">
        <v>1</v>
      </c>
      <c r="AB345" t="b">
        <v>1</v>
      </c>
      <c r="AC345" t="b">
        <v>1</v>
      </c>
      <c r="AD345" t="b">
        <v>1</v>
      </c>
      <c r="AE345" t="b">
        <v>1</v>
      </c>
      <c r="AF345" t="b">
        <v>1</v>
      </c>
      <c r="AG345" t="b">
        <v>1</v>
      </c>
    </row>
    <row r="346" spans="1:33" x14ac:dyDescent="0.25">
      <c r="A346" t="s">
        <v>33</v>
      </c>
      <c r="B346">
        <v>15</v>
      </c>
      <c r="C346" t="b">
        <v>1</v>
      </c>
      <c r="D346" t="s">
        <v>1263</v>
      </c>
      <c r="E346" t="s">
        <v>1287</v>
      </c>
      <c r="F346" t="s">
        <v>1304</v>
      </c>
      <c r="G346" t="s">
        <v>1305</v>
      </c>
      <c r="H346">
        <v>345</v>
      </c>
      <c r="I346" t="str">
        <f>IF(ISBLANK(Table1[[#This Row],[oid]]),"FALSE","TRUE")</f>
        <v>TRUE</v>
      </c>
      <c r="J346" t="str" cm="1">
        <f t="array" ref="J346">_xlfn.SWITCH(LEFT(Table1[[#This Row],[section]],1), "D", "Demographic", "S", "Social", "E", "Economic", "H", "Housing", "")</f>
        <v>Social</v>
      </c>
      <c r="K346" t="s">
        <v>1267</v>
      </c>
      <c r="L346" t="s">
        <v>1268</v>
      </c>
      <c r="M346" t="str">
        <f>IF(Table1[[#This Row],[used]], _xlfn.CONCAT("🆔 ", Table1[[#This Row],[variable]], ": ",Table1[[#This Row],[alias]]), "")</f>
        <v>🆔 B10050_005E: Living with own grandchildren under 18 years: Grandparent responsible for own grandchildren under 18 years: Grandparent responsible 6 to 11 months</v>
      </c>
      <c r="O346" t="s">
        <v>1306</v>
      </c>
      <c r="P346" t="s">
        <v>1290</v>
      </c>
      <c r="Q346" t="s">
        <v>41</v>
      </c>
      <c r="R346" t="s">
        <v>1307</v>
      </c>
      <c r="S346" t="b">
        <v>1</v>
      </c>
      <c r="T346" t="b">
        <v>1</v>
      </c>
      <c r="U346" t="b">
        <v>1</v>
      </c>
      <c r="V346" t="b">
        <v>1</v>
      </c>
      <c r="W346" t="b">
        <v>1</v>
      </c>
      <c r="X346" t="b">
        <v>1</v>
      </c>
      <c r="Y346" t="b">
        <v>1</v>
      </c>
      <c r="Z346" t="b">
        <v>1</v>
      </c>
      <c r="AA346" t="b">
        <v>1</v>
      </c>
      <c r="AB346" t="b">
        <v>1</v>
      </c>
      <c r="AC346" t="b">
        <v>1</v>
      </c>
      <c r="AD346" t="b">
        <v>1</v>
      </c>
      <c r="AE346" t="b">
        <v>1</v>
      </c>
      <c r="AF346" t="b">
        <v>1</v>
      </c>
      <c r="AG346" t="b">
        <v>1</v>
      </c>
    </row>
    <row r="347" spans="1:33" x14ac:dyDescent="0.25">
      <c r="A347" t="s">
        <v>33</v>
      </c>
      <c r="B347">
        <v>15</v>
      </c>
      <c r="C347" t="b">
        <v>1</v>
      </c>
      <c r="D347" t="s">
        <v>1263</v>
      </c>
      <c r="E347" t="s">
        <v>1287</v>
      </c>
      <c r="F347" t="s">
        <v>1308</v>
      </c>
      <c r="G347" t="s">
        <v>1309</v>
      </c>
      <c r="H347">
        <v>346</v>
      </c>
      <c r="I347" t="str">
        <f>IF(ISBLANK(Table1[[#This Row],[oid]]),"FALSE","TRUE")</f>
        <v>TRUE</v>
      </c>
      <c r="J347" t="str" cm="1">
        <f t="array" ref="J347">_xlfn.SWITCH(LEFT(Table1[[#This Row],[section]],1), "D", "Demographic", "S", "Social", "E", "Economic", "H", "Housing", "")</f>
        <v>Social</v>
      </c>
      <c r="K347" t="s">
        <v>1267</v>
      </c>
      <c r="L347" t="s">
        <v>1268</v>
      </c>
      <c r="M347" t="str">
        <f>IF(Table1[[#This Row],[used]], _xlfn.CONCAT("🆔 ", Table1[[#This Row],[variable]], ": ",Table1[[#This Row],[alias]]), "")</f>
        <v>🆔 B10050_006E: Living with own grandchildren under 18 years: Grandparent responsible for own grandchildren under 18 years: Grandparent responsible 1 or 2 years</v>
      </c>
      <c r="O347" t="s">
        <v>1310</v>
      </c>
      <c r="P347" t="s">
        <v>1290</v>
      </c>
      <c r="Q347" t="s">
        <v>41</v>
      </c>
      <c r="R347" t="s">
        <v>1311</v>
      </c>
      <c r="S347" t="b">
        <v>1</v>
      </c>
      <c r="T347" t="b">
        <v>1</v>
      </c>
      <c r="U347" t="b">
        <v>1</v>
      </c>
      <c r="V347" t="b">
        <v>1</v>
      </c>
      <c r="W347" t="b">
        <v>1</v>
      </c>
      <c r="X347" t="b">
        <v>1</v>
      </c>
      <c r="Y347" t="b">
        <v>1</v>
      </c>
      <c r="Z347" t="b">
        <v>1</v>
      </c>
      <c r="AA347" t="b">
        <v>1</v>
      </c>
      <c r="AB347" t="b">
        <v>1</v>
      </c>
      <c r="AC347" t="b">
        <v>1</v>
      </c>
      <c r="AD347" t="b">
        <v>1</v>
      </c>
      <c r="AE347" t="b">
        <v>1</v>
      </c>
      <c r="AF347" t="b">
        <v>1</v>
      </c>
      <c r="AG347" t="b">
        <v>1</v>
      </c>
    </row>
    <row r="348" spans="1:33" x14ac:dyDescent="0.25">
      <c r="A348" t="s">
        <v>33</v>
      </c>
      <c r="B348">
        <v>15</v>
      </c>
      <c r="C348" t="b">
        <v>1</v>
      </c>
      <c r="D348" t="s">
        <v>1263</v>
      </c>
      <c r="E348" t="s">
        <v>1287</v>
      </c>
      <c r="F348" t="s">
        <v>1312</v>
      </c>
      <c r="G348" t="s">
        <v>1313</v>
      </c>
      <c r="H348">
        <v>347</v>
      </c>
      <c r="I348" t="str">
        <f>IF(ISBLANK(Table1[[#This Row],[oid]]),"FALSE","TRUE")</f>
        <v>TRUE</v>
      </c>
      <c r="J348" t="str" cm="1">
        <f t="array" ref="J348">_xlfn.SWITCH(LEFT(Table1[[#This Row],[section]],1), "D", "Demographic", "S", "Social", "E", "Economic", "H", "Housing", "")</f>
        <v>Social</v>
      </c>
      <c r="K348" t="s">
        <v>1267</v>
      </c>
      <c r="L348" t="s">
        <v>1268</v>
      </c>
      <c r="M348" t="str">
        <f>IF(Table1[[#This Row],[used]], _xlfn.CONCAT("🆔 ", Table1[[#This Row],[variable]], ": ",Table1[[#This Row],[alias]]), "")</f>
        <v>🆔 B10050_007E: Living with own grandchildren under 18 years: Grandparent responsible for own grandchildren under 18 years: Grandparent responsible 3 or 4 years</v>
      </c>
      <c r="O348" t="s">
        <v>1314</v>
      </c>
      <c r="P348" t="s">
        <v>1290</v>
      </c>
      <c r="Q348" t="s">
        <v>41</v>
      </c>
      <c r="R348" t="s">
        <v>1315</v>
      </c>
      <c r="S348" t="b">
        <v>1</v>
      </c>
      <c r="T348" t="b">
        <v>1</v>
      </c>
      <c r="U348" t="b">
        <v>1</v>
      </c>
      <c r="V348" t="b">
        <v>1</v>
      </c>
      <c r="W348" t="b">
        <v>1</v>
      </c>
      <c r="X348" t="b">
        <v>1</v>
      </c>
      <c r="Y348" t="b">
        <v>1</v>
      </c>
      <c r="Z348" t="b">
        <v>1</v>
      </c>
      <c r="AA348" t="b">
        <v>1</v>
      </c>
      <c r="AB348" t="b">
        <v>1</v>
      </c>
      <c r="AC348" t="b">
        <v>1</v>
      </c>
      <c r="AD348" t="b">
        <v>1</v>
      </c>
      <c r="AE348" t="b">
        <v>1</v>
      </c>
      <c r="AF348" t="b">
        <v>1</v>
      </c>
      <c r="AG348" t="b">
        <v>1</v>
      </c>
    </row>
    <row r="349" spans="1:33" x14ac:dyDescent="0.25">
      <c r="A349" t="s">
        <v>33</v>
      </c>
      <c r="B349">
        <v>15</v>
      </c>
      <c r="C349" t="b">
        <v>1</v>
      </c>
      <c r="D349" t="s">
        <v>1263</v>
      </c>
      <c r="E349" t="s">
        <v>1287</v>
      </c>
      <c r="F349" t="s">
        <v>1316</v>
      </c>
      <c r="G349" t="s">
        <v>1317</v>
      </c>
      <c r="H349">
        <v>348</v>
      </c>
      <c r="I349" t="str">
        <f>IF(ISBLANK(Table1[[#This Row],[oid]]),"FALSE","TRUE")</f>
        <v>TRUE</v>
      </c>
      <c r="J349" t="str" cm="1">
        <f t="array" ref="J349">_xlfn.SWITCH(LEFT(Table1[[#This Row],[section]],1), "D", "Demographic", "S", "Social", "E", "Economic", "H", "Housing", "")</f>
        <v>Social</v>
      </c>
      <c r="K349" t="s">
        <v>1267</v>
      </c>
      <c r="L349" t="s">
        <v>1268</v>
      </c>
      <c r="M349" t="str">
        <f>IF(Table1[[#This Row],[used]], _xlfn.CONCAT("🆔 ", Table1[[#This Row],[variable]], ": ",Table1[[#This Row],[alias]]), "")</f>
        <v>🆔 B10050_008E: Living with own grandchildren under 18 years: Grandparent responsible for own grandchildren under 18 years: Grandparent responsible 5 years or more</v>
      </c>
      <c r="O349" t="s">
        <v>1318</v>
      </c>
      <c r="P349" t="s">
        <v>1290</v>
      </c>
      <c r="Q349" t="s">
        <v>41</v>
      </c>
      <c r="R349" t="s">
        <v>1319</v>
      </c>
      <c r="S349" t="b">
        <v>1</v>
      </c>
      <c r="T349" t="b">
        <v>1</v>
      </c>
      <c r="U349" t="b">
        <v>1</v>
      </c>
      <c r="V349" t="b">
        <v>1</v>
      </c>
      <c r="W349" t="b">
        <v>1</v>
      </c>
      <c r="X349" t="b">
        <v>1</v>
      </c>
      <c r="Y349" t="b">
        <v>1</v>
      </c>
      <c r="Z349" t="b">
        <v>1</v>
      </c>
      <c r="AA349" t="b">
        <v>1</v>
      </c>
      <c r="AB349" t="b">
        <v>1</v>
      </c>
      <c r="AC349" t="b">
        <v>1</v>
      </c>
      <c r="AD349" t="b">
        <v>1</v>
      </c>
      <c r="AE349" t="b">
        <v>1</v>
      </c>
      <c r="AF349" t="b">
        <v>1</v>
      </c>
      <c r="AG349" t="b">
        <v>1</v>
      </c>
    </row>
    <row r="350" spans="1:33" x14ac:dyDescent="0.25">
      <c r="A350" t="s">
        <v>33</v>
      </c>
      <c r="B350">
        <v>15</v>
      </c>
      <c r="C350" t="b">
        <v>1</v>
      </c>
      <c r="D350" t="s">
        <v>1263</v>
      </c>
      <c r="E350" t="s">
        <v>1287</v>
      </c>
      <c r="F350" t="s">
        <v>1320</v>
      </c>
      <c r="G350" t="s">
        <v>1321</v>
      </c>
      <c r="H350">
        <v>349</v>
      </c>
      <c r="I350" t="str">
        <f>IF(ISBLANK(Table1[[#This Row],[oid]]),"FALSE","TRUE")</f>
        <v>TRUE</v>
      </c>
      <c r="J350" t="str" cm="1">
        <f t="array" ref="J350">_xlfn.SWITCH(LEFT(Table1[[#This Row],[section]],1), "D", "Demographic", "S", "Social", "E", "Economic", "H", "Housing", "")</f>
        <v>Social</v>
      </c>
      <c r="K350" t="s">
        <v>1267</v>
      </c>
      <c r="L350" t="s">
        <v>1268</v>
      </c>
      <c r="M350" t="str">
        <f>IF(Table1[[#This Row],[used]], _xlfn.CONCAT("🆔 ", Table1[[#This Row],[variable]], ": ",Table1[[#This Row],[alias]]), "")</f>
        <v>🆔 B10050_009E: Living with own grandchildren under 18 years: Grandparent not responsible for own grandchildren under 18 years</v>
      </c>
      <c r="O350" t="s">
        <v>1322</v>
      </c>
      <c r="P350" t="s">
        <v>1290</v>
      </c>
      <c r="Q350" t="s">
        <v>41</v>
      </c>
      <c r="R350" t="s">
        <v>1323</v>
      </c>
      <c r="S350" t="b">
        <v>1</v>
      </c>
      <c r="T350" t="b">
        <v>1</v>
      </c>
      <c r="U350" t="b">
        <v>1</v>
      </c>
      <c r="V350" t="b">
        <v>1</v>
      </c>
      <c r="W350" t="b">
        <v>1</v>
      </c>
      <c r="X350" t="b">
        <v>1</v>
      </c>
      <c r="Y350" t="b">
        <v>1</v>
      </c>
      <c r="Z350" t="b">
        <v>1</v>
      </c>
      <c r="AA350" t="b">
        <v>1</v>
      </c>
      <c r="AB350" t="b">
        <v>1</v>
      </c>
      <c r="AC350" t="b">
        <v>1</v>
      </c>
      <c r="AD350" t="b">
        <v>1</v>
      </c>
      <c r="AE350" t="b">
        <v>1</v>
      </c>
      <c r="AF350" t="b">
        <v>1</v>
      </c>
      <c r="AG350" t="b">
        <v>1</v>
      </c>
    </row>
    <row r="351" spans="1:33" x14ac:dyDescent="0.25">
      <c r="A351" t="s">
        <v>33</v>
      </c>
      <c r="B351">
        <v>15</v>
      </c>
      <c r="C351" t="b">
        <v>1</v>
      </c>
      <c r="D351" t="s">
        <v>1263</v>
      </c>
      <c r="E351" t="s">
        <v>1287</v>
      </c>
      <c r="F351" t="s">
        <v>1324</v>
      </c>
      <c r="G351" t="s">
        <v>1325</v>
      </c>
      <c r="H351">
        <v>350</v>
      </c>
      <c r="I351" t="str">
        <f>IF(ISBLANK(Table1[[#This Row],[oid]]),"FALSE","TRUE")</f>
        <v>TRUE</v>
      </c>
      <c r="J351" t="str" cm="1">
        <f t="array" ref="J351">_xlfn.SWITCH(LEFT(Table1[[#This Row],[section]],1), "D", "Demographic", "S", "Social", "E", "Economic", "H", "Housing", "")</f>
        <v>Social</v>
      </c>
      <c r="K351" t="s">
        <v>1267</v>
      </c>
      <c r="L351" t="s">
        <v>1268</v>
      </c>
      <c r="M351" t="str">
        <f>IF(Table1[[#This Row],[used]], _xlfn.CONCAT("🆔 ", Table1[[#This Row],[variable]], ": ",Table1[[#This Row],[alias]]), "")</f>
        <v>🆔 B10050_010E: Not living with own grandchildren under 18 years</v>
      </c>
      <c r="O351" t="s">
        <v>1326</v>
      </c>
      <c r="P351" t="s">
        <v>1290</v>
      </c>
      <c r="Q351" t="s">
        <v>41</v>
      </c>
      <c r="R351" t="s">
        <v>1327</v>
      </c>
      <c r="S351" t="b">
        <v>1</v>
      </c>
      <c r="T351" t="b">
        <v>1</v>
      </c>
      <c r="U351" t="b">
        <v>1</v>
      </c>
      <c r="V351" t="b">
        <v>1</v>
      </c>
      <c r="W351" t="b">
        <v>1</v>
      </c>
      <c r="X351" t="b">
        <v>1</v>
      </c>
      <c r="Y351" t="b">
        <v>1</v>
      </c>
      <c r="Z351" t="b">
        <v>1</v>
      </c>
      <c r="AA351" t="b">
        <v>1</v>
      </c>
      <c r="AB351" t="b">
        <v>1</v>
      </c>
      <c r="AC351" t="b">
        <v>1</v>
      </c>
      <c r="AD351" t="b">
        <v>1</v>
      </c>
      <c r="AE351" t="b">
        <v>1</v>
      </c>
      <c r="AF351" t="b">
        <v>1</v>
      </c>
      <c r="AG351" t="b">
        <v>1</v>
      </c>
    </row>
    <row r="352" spans="1:33" x14ac:dyDescent="0.25">
      <c r="A352" t="s">
        <v>33</v>
      </c>
      <c r="B352">
        <v>15</v>
      </c>
      <c r="C352" t="b">
        <v>1</v>
      </c>
      <c r="D352" t="s">
        <v>1263</v>
      </c>
      <c r="E352" t="s">
        <v>1328</v>
      </c>
      <c r="F352" t="s">
        <v>1329</v>
      </c>
      <c r="G352" s="1" t="s">
        <v>1330</v>
      </c>
      <c r="H352">
        <v>351</v>
      </c>
      <c r="I352" t="str">
        <f>IF(ISBLANK(Table1[[#This Row],[oid]]),"FALSE","TRUE")</f>
        <v>TRUE</v>
      </c>
      <c r="J352" t="str" cm="1">
        <f t="array" ref="J352">_xlfn.SWITCH(LEFT(Table1[[#This Row],[section]],1), "D", "Demographic", "S", "Social", "E", "Economic", "H", "Housing", "")</f>
        <v>Social</v>
      </c>
      <c r="K352" t="s">
        <v>1267</v>
      </c>
      <c r="L352" t="s">
        <v>1268</v>
      </c>
      <c r="M352" t="str">
        <f>IF(Table1[[#This Row],[used]], _xlfn.CONCAT("🆔 ", Table1[[#This Row],[variable]], ": ",Table1[[#This Row],[alias]]), "")</f>
        <v>🆔 B10056_002E: Male Grandparents Living With Own Grandchildren Under 18 Years</v>
      </c>
      <c r="O352" t="s">
        <v>52</v>
      </c>
      <c r="P352" t="s">
        <v>1331</v>
      </c>
      <c r="Q352" t="s">
        <v>41</v>
      </c>
      <c r="R352" t="s">
        <v>1332</v>
      </c>
      <c r="S352" t="b">
        <v>1</v>
      </c>
      <c r="T352" t="b">
        <v>1</v>
      </c>
      <c r="U352" t="b">
        <v>1</v>
      </c>
      <c r="V352" t="b">
        <v>1</v>
      </c>
      <c r="W352" t="b">
        <v>1</v>
      </c>
      <c r="X352" t="b">
        <v>1</v>
      </c>
      <c r="Y352" t="b">
        <v>1</v>
      </c>
      <c r="Z352" t="b">
        <v>1</v>
      </c>
      <c r="AA352" t="b">
        <v>1</v>
      </c>
      <c r="AB352" t="b">
        <v>1</v>
      </c>
      <c r="AC352" t="b">
        <v>1</v>
      </c>
      <c r="AD352" t="b">
        <v>1</v>
      </c>
      <c r="AE352" t="b">
        <v>1</v>
      </c>
      <c r="AF352" t="b">
        <v>1</v>
      </c>
      <c r="AG352" t="b">
        <v>1</v>
      </c>
    </row>
    <row r="353" spans="1:33" x14ac:dyDescent="0.25">
      <c r="A353" t="s">
        <v>33</v>
      </c>
      <c r="B353">
        <v>15</v>
      </c>
      <c r="C353" t="b">
        <v>1</v>
      </c>
      <c r="D353" t="s">
        <v>1263</v>
      </c>
      <c r="E353" t="s">
        <v>1328</v>
      </c>
      <c r="F353" t="s">
        <v>1333</v>
      </c>
      <c r="G353" t="s">
        <v>1334</v>
      </c>
      <c r="H353">
        <v>352</v>
      </c>
      <c r="I353" t="str">
        <f>IF(ISBLANK(Table1[[#This Row],[oid]]),"FALSE","TRUE")</f>
        <v>TRUE</v>
      </c>
      <c r="J353" t="str" cm="1">
        <f t="array" ref="J353">_xlfn.SWITCH(LEFT(Table1[[#This Row],[section]],1), "D", "Demographic", "S", "Social", "E", "Economic", "H", "Housing", "")</f>
        <v>Social</v>
      </c>
      <c r="K353" t="s">
        <v>1267</v>
      </c>
      <c r="L353" t="s">
        <v>1268</v>
      </c>
      <c r="M353" t="str">
        <f>IF(Table1[[#This Row],[used]], _xlfn.CONCAT("🆔 ", Table1[[#This Row],[variable]], ": ",Table1[[#This Row],[alias]]), "")</f>
        <v>🆔 B10056_003E: Male: Grandparent responsible for own grandchildren under 18 years</v>
      </c>
      <c r="O353" t="s">
        <v>1335</v>
      </c>
      <c r="P353" t="s">
        <v>1331</v>
      </c>
      <c r="Q353" t="s">
        <v>41</v>
      </c>
      <c r="R353" t="s">
        <v>1336</v>
      </c>
      <c r="S353" t="b">
        <v>1</v>
      </c>
      <c r="T353" t="b">
        <v>1</v>
      </c>
      <c r="U353" t="b">
        <v>1</v>
      </c>
      <c r="V353" t="b">
        <v>1</v>
      </c>
      <c r="W353" t="b">
        <v>1</v>
      </c>
      <c r="X353" t="b">
        <v>1</v>
      </c>
      <c r="Y353" t="b">
        <v>1</v>
      </c>
      <c r="Z353" t="b">
        <v>1</v>
      </c>
      <c r="AA353" t="b">
        <v>1</v>
      </c>
      <c r="AB353" t="b">
        <v>1</v>
      </c>
      <c r="AC353" t="b">
        <v>1</v>
      </c>
      <c r="AD353" t="b">
        <v>1</v>
      </c>
      <c r="AE353" t="b">
        <v>1</v>
      </c>
      <c r="AF353" t="b">
        <v>1</v>
      </c>
      <c r="AG353" t="b">
        <v>1</v>
      </c>
    </row>
    <row r="354" spans="1:33" x14ac:dyDescent="0.25">
      <c r="A354" t="s">
        <v>33</v>
      </c>
      <c r="B354">
        <v>15</v>
      </c>
      <c r="C354" t="b">
        <v>1</v>
      </c>
      <c r="D354" t="s">
        <v>1263</v>
      </c>
      <c r="E354" t="s">
        <v>1328</v>
      </c>
      <c r="F354" t="s">
        <v>1337</v>
      </c>
      <c r="G354" t="s">
        <v>1338</v>
      </c>
      <c r="H354">
        <v>353</v>
      </c>
      <c r="I354" t="str">
        <f>IF(ISBLANK(Table1[[#This Row],[oid]]),"FALSE","TRUE")</f>
        <v>TRUE</v>
      </c>
      <c r="J354" t="str" cm="1">
        <f t="array" ref="J354">_xlfn.SWITCH(LEFT(Table1[[#This Row],[section]],1), "D", "Demographic", "S", "Social", "E", "Economic", "H", "Housing", "")</f>
        <v>Social</v>
      </c>
      <c r="K354" t="s">
        <v>1267</v>
      </c>
      <c r="L354" t="s">
        <v>1268</v>
      </c>
      <c r="M354" t="str">
        <f>IF(Table1[[#This Row],[used]], _xlfn.CONCAT("🆔 ", Table1[[#This Row],[variable]], ": ",Table1[[#This Row],[alias]]), "")</f>
        <v>🆔 B10056_006E: Male: Grandparent not responsible for own grandchildren under 18 years</v>
      </c>
      <c r="O354" t="s">
        <v>1339</v>
      </c>
      <c r="P354" t="s">
        <v>1331</v>
      </c>
      <c r="Q354" t="s">
        <v>41</v>
      </c>
      <c r="R354" t="s">
        <v>1340</v>
      </c>
      <c r="S354" t="b">
        <v>1</v>
      </c>
      <c r="T354" t="b">
        <v>1</v>
      </c>
      <c r="U354" t="b">
        <v>1</v>
      </c>
      <c r="V354" t="b">
        <v>1</v>
      </c>
      <c r="W354" t="b">
        <v>1</v>
      </c>
      <c r="X354" t="b">
        <v>1</v>
      </c>
      <c r="Y354" t="b">
        <v>1</v>
      </c>
      <c r="Z354" t="b">
        <v>1</v>
      </c>
      <c r="AA354" t="b">
        <v>1</v>
      </c>
      <c r="AB354" t="b">
        <v>1</v>
      </c>
      <c r="AC354" t="b">
        <v>1</v>
      </c>
      <c r="AD354" t="b">
        <v>1</v>
      </c>
      <c r="AE354" t="b">
        <v>1</v>
      </c>
      <c r="AF354" t="b">
        <v>1</v>
      </c>
      <c r="AG354" t="b">
        <v>1</v>
      </c>
    </row>
    <row r="355" spans="1:33" x14ac:dyDescent="0.25">
      <c r="A355" t="s">
        <v>33</v>
      </c>
      <c r="B355">
        <v>15</v>
      </c>
      <c r="C355" t="b">
        <v>1</v>
      </c>
      <c r="D355" t="s">
        <v>1263</v>
      </c>
      <c r="E355" t="s">
        <v>1328</v>
      </c>
      <c r="F355" t="s">
        <v>1341</v>
      </c>
      <c r="G355" s="1" t="s">
        <v>1342</v>
      </c>
      <c r="H355">
        <v>354</v>
      </c>
      <c r="I355" t="str">
        <f>IF(ISBLANK(Table1[[#This Row],[oid]]),"FALSE","TRUE")</f>
        <v>TRUE</v>
      </c>
      <c r="J355" t="str" cm="1">
        <f t="array" ref="J355">_xlfn.SWITCH(LEFT(Table1[[#This Row],[section]],1), "D", "Demographic", "S", "Social", "E", "Economic", "H", "Housing", "")</f>
        <v>Social</v>
      </c>
      <c r="K355" t="s">
        <v>1267</v>
      </c>
      <c r="L355" t="s">
        <v>1268</v>
      </c>
      <c r="M355" t="str">
        <f>IF(Table1[[#This Row],[used]], _xlfn.CONCAT("🆔 ", Table1[[#This Row],[variable]], ": ",Table1[[#This Row],[alias]]), "")</f>
        <v>🆔 B10056_007E: Female Grandparents Living With Own Grandchildren Under 18 Years</v>
      </c>
      <c r="O355" t="s">
        <v>56</v>
      </c>
      <c r="P355" t="s">
        <v>1331</v>
      </c>
      <c r="Q355" t="s">
        <v>41</v>
      </c>
      <c r="R355" t="s">
        <v>1343</v>
      </c>
      <c r="S355" t="b">
        <v>1</v>
      </c>
      <c r="T355" t="b">
        <v>1</v>
      </c>
      <c r="U355" t="b">
        <v>1</v>
      </c>
      <c r="V355" t="b">
        <v>1</v>
      </c>
      <c r="W355" t="b">
        <v>1</v>
      </c>
      <c r="X355" t="b">
        <v>1</v>
      </c>
      <c r="Y355" t="b">
        <v>1</v>
      </c>
      <c r="Z355" t="b">
        <v>1</v>
      </c>
      <c r="AA355" t="b">
        <v>1</v>
      </c>
      <c r="AB355" t="b">
        <v>1</v>
      </c>
      <c r="AC355" t="b">
        <v>1</v>
      </c>
      <c r="AD355" t="b">
        <v>1</v>
      </c>
      <c r="AE355" t="b">
        <v>1</v>
      </c>
      <c r="AF355" t="b">
        <v>1</v>
      </c>
      <c r="AG355" t="b">
        <v>1</v>
      </c>
    </row>
    <row r="356" spans="1:33" x14ac:dyDescent="0.25">
      <c r="A356" t="s">
        <v>33</v>
      </c>
      <c r="B356">
        <v>15</v>
      </c>
      <c r="C356" t="b">
        <v>1</v>
      </c>
      <c r="D356" t="s">
        <v>1263</v>
      </c>
      <c r="E356" t="s">
        <v>1328</v>
      </c>
      <c r="F356" t="s">
        <v>1344</v>
      </c>
      <c r="G356" t="s">
        <v>1345</v>
      </c>
      <c r="H356">
        <v>355</v>
      </c>
      <c r="I356" t="str">
        <f>IF(ISBLANK(Table1[[#This Row],[oid]]),"FALSE","TRUE")</f>
        <v>TRUE</v>
      </c>
      <c r="J356" t="str" cm="1">
        <f t="array" ref="J356">_xlfn.SWITCH(LEFT(Table1[[#This Row],[section]],1), "D", "Demographic", "S", "Social", "E", "Economic", "H", "Housing", "")</f>
        <v>Social</v>
      </c>
      <c r="K356" t="s">
        <v>1267</v>
      </c>
      <c r="L356" t="s">
        <v>1268</v>
      </c>
      <c r="M356" t="str">
        <f>IF(Table1[[#This Row],[used]], _xlfn.CONCAT("🆔 ", Table1[[#This Row],[variable]], ": ",Table1[[#This Row],[alias]]), "")</f>
        <v>🆔 B10056_008E: Female: Grandparent responsible for own grandchildren under 18 years</v>
      </c>
      <c r="O356" t="s">
        <v>1346</v>
      </c>
      <c r="P356" t="s">
        <v>1331</v>
      </c>
      <c r="Q356" t="s">
        <v>41</v>
      </c>
      <c r="R356" t="s">
        <v>1347</v>
      </c>
      <c r="S356" t="b">
        <v>1</v>
      </c>
      <c r="T356" t="b">
        <v>1</v>
      </c>
      <c r="U356" t="b">
        <v>1</v>
      </c>
      <c r="V356" t="b">
        <v>1</v>
      </c>
      <c r="W356" t="b">
        <v>1</v>
      </c>
      <c r="X356" t="b">
        <v>1</v>
      </c>
      <c r="Y356" t="b">
        <v>1</v>
      </c>
      <c r="Z356" t="b">
        <v>1</v>
      </c>
      <c r="AA356" t="b">
        <v>1</v>
      </c>
      <c r="AB356" t="b">
        <v>1</v>
      </c>
      <c r="AC356" t="b">
        <v>1</v>
      </c>
      <c r="AD356" t="b">
        <v>1</v>
      </c>
      <c r="AE356" t="b">
        <v>1</v>
      </c>
      <c r="AF356" t="b">
        <v>1</v>
      </c>
      <c r="AG356" t="b">
        <v>1</v>
      </c>
    </row>
    <row r="357" spans="1:33" x14ac:dyDescent="0.25">
      <c r="A357" t="s">
        <v>33</v>
      </c>
      <c r="B357">
        <v>15</v>
      </c>
      <c r="C357" t="b">
        <v>1</v>
      </c>
      <c r="D357" t="s">
        <v>1263</v>
      </c>
      <c r="E357" t="s">
        <v>1328</v>
      </c>
      <c r="F357" t="s">
        <v>1348</v>
      </c>
      <c r="G357" t="s">
        <v>1349</v>
      </c>
      <c r="H357">
        <v>356</v>
      </c>
      <c r="I357" t="str">
        <f>IF(ISBLANK(Table1[[#This Row],[oid]]),"FALSE","TRUE")</f>
        <v>TRUE</v>
      </c>
      <c r="J357" t="str" cm="1">
        <f t="array" ref="J357">_xlfn.SWITCH(LEFT(Table1[[#This Row],[section]],1), "D", "Demographic", "S", "Social", "E", "Economic", "H", "Housing", "")</f>
        <v>Social</v>
      </c>
      <c r="K357" t="s">
        <v>1267</v>
      </c>
      <c r="L357" t="s">
        <v>1268</v>
      </c>
      <c r="M357" t="str">
        <f>IF(Table1[[#This Row],[used]], _xlfn.CONCAT("🆔 ", Table1[[#This Row],[variable]], ": ",Table1[[#This Row],[alias]]), "")</f>
        <v>🆔 B10056_011E: Female: Grandparent not responsible for own grandchildren under 18 years</v>
      </c>
      <c r="O357" t="s">
        <v>1350</v>
      </c>
      <c r="P357" t="s">
        <v>1331</v>
      </c>
      <c r="Q357" t="s">
        <v>41</v>
      </c>
      <c r="R357" t="s">
        <v>1351</v>
      </c>
      <c r="S357" t="b">
        <v>1</v>
      </c>
      <c r="T357" t="b">
        <v>1</v>
      </c>
      <c r="U357" t="b">
        <v>1</v>
      </c>
      <c r="V357" t="b">
        <v>1</v>
      </c>
      <c r="W357" t="b">
        <v>1</v>
      </c>
      <c r="X357" t="b">
        <v>1</v>
      </c>
      <c r="Y357" t="b">
        <v>1</v>
      </c>
      <c r="Z357" t="b">
        <v>1</v>
      </c>
      <c r="AA357" t="b">
        <v>1</v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  <c r="AG357" t="b">
        <v>1</v>
      </c>
    </row>
    <row r="358" spans="1:33" x14ac:dyDescent="0.25">
      <c r="A358" t="s">
        <v>33</v>
      </c>
      <c r="B358">
        <v>15</v>
      </c>
      <c r="C358" t="b">
        <v>1</v>
      </c>
      <c r="D358" t="s">
        <v>1263</v>
      </c>
      <c r="E358" t="s">
        <v>1352</v>
      </c>
      <c r="F358" t="s">
        <v>1353</v>
      </c>
      <c r="G358" t="s">
        <v>1354</v>
      </c>
      <c r="H358">
        <v>357</v>
      </c>
      <c r="I358" t="str">
        <f>IF(ISBLANK(Table1[[#This Row],[oid]]),"FALSE","TRUE")</f>
        <v>TRUE</v>
      </c>
      <c r="J358" t="str" cm="1">
        <f t="array" ref="J358">_xlfn.SWITCH(LEFT(Table1[[#This Row],[section]],1), "D", "Demographic", "S", "Social", "E", "Economic", "H", "Housing", "")</f>
        <v>Social</v>
      </c>
      <c r="K358" t="s">
        <v>1267</v>
      </c>
      <c r="L358" t="s">
        <v>1268</v>
      </c>
      <c r="M358" t="str">
        <f>IF(Table1[[#This Row],[used]], _xlfn.CONCAT("🆔 ", Table1[[#This Row],[variable]], ": ",Table1[[#This Row],[alias]]), "")</f>
        <v>🆔 B10057_008E: Unmarried never married widowed and divorced: Grandparent responsible for own grandchildren under 18 years</v>
      </c>
      <c r="O358" t="s">
        <v>1355</v>
      </c>
      <c r="P358" t="s">
        <v>1356</v>
      </c>
      <c r="Q358" t="s">
        <v>41</v>
      </c>
      <c r="R358" t="s">
        <v>1357</v>
      </c>
      <c r="S358" t="b">
        <v>1</v>
      </c>
      <c r="T358" t="b">
        <v>1</v>
      </c>
      <c r="U358" t="b">
        <v>1</v>
      </c>
      <c r="V358" t="b">
        <v>1</v>
      </c>
      <c r="W358" t="b">
        <v>1</v>
      </c>
      <c r="X358" t="b">
        <v>1</v>
      </c>
      <c r="Y358" t="b">
        <v>1</v>
      </c>
      <c r="Z358" t="b">
        <v>1</v>
      </c>
      <c r="AA358" t="b">
        <v>1</v>
      </c>
      <c r="AB358" t="b">
        <v>1</v>
      </c>
      <c r="AC358" t="b">
        <v>1</v>
      </c>
      <c r="AD358" t="b">
        <v>1</v>
      </c>
      <c r="AE358" t="b">
        <v>1</v>
      </c>
      <c r="AF358" t="b">
        <v>1</v>
      </c>
      <c r="AG358" t="b">
        <v>1</v>
      </c>
    </row>
    <row r="359" spans="1:33" x14ac:dyDescent="0.25">
      <c r="A359" t="s">
        <v>33</v>
      </c>
      <c r="B359">
        <v>15</v>
      </c>
      <c r="C359" t="b">
        <v>1</v>
      </c>
      <c r="D359" t="s">
        <v>1358</v>
      </c>
      <c r="E359" t="s">
        <v>1359</v>
      </c>
      <c r="F359" t="s">
        <v>1360</v>
      </c>
      <c r="G359" t="s">
        <v>1361</v>
      </c>
      <c r="H359">
        <v>358</v>
      </c>
      <c r="I359" t="str">
        <f>IF(ISBLANK(Table1[[#This Row],[oid]]),"FALSE","TRUE")</f>
        <v>TRUE</v>
      </c>
      <c r="J359" t="str" cm="1">
        <f t="array" ref="J359">_xlfn.SWITCH(LEFT(Table1[[#This Row],[section]],1), "D", "Demographic", "S", "Social", "E", "Economic", "H", "Housing", "")</f>
        <v>Social</v>
      </c>
      <c r="K359" t="s">
        <v>1362</v>
      </c>
      <c r="L359" t="s">
        <v>1363</v>
      </c>
      <c r="M359" t="str">
        <f>IF(Table1[[#This Row],[used]], _xlfn.CONCAT("🆔 ", Table1[[#This Row],[variable]], ": ",Table1[[#This Row],[alias]]), "")</f>
        <v>🆔 B14001_001E: Population 3+ years</v>
      </c>
      <c r="O359" t="s">
        <v>39</v>
      </c>
      <c r="P359" t="s">
        <v>1364</v>
      </c>
      <c r="Q359" t="s">
        <v>41</v>
      </c>
      <c r="R359" t="s">
        <v>1365</v>
      </c>
      <c r="S359" t="b">
        <v>1</v>
      </c>
      <c r="T359" t="b">
        <v>1</v>
      </c>
      <c r="U359" t="b">
        <v>1</v>
      </c>
      <c r="V359" t="b">
        <v>1</v>
      </c>
      <c r="W359" t="b">
        <v>1</v>
      </c>
      <c r="X359" t="b">
        <v>1</v>
      </c>
      <c r="Y359" t="b">
        <v>1</v>
      </c>
      <c r="Z359" t="b">
        <v>1</v>
      </c>
      <c r="AA359" t="b">
        <v>1</v>
      </c>
      <c r="AB359" t="b">
        <v>1</v>
      </c>
      <c r="AC359" t="b">
        <v>1</v>
      </c>
      <c r="AD359" t="b">
        <v>1</v>
      </c>
      <c r="AE359" t="b">
        <v>1</v>
      </c>
      <c r="AF359" t="b">
        <v>1</v>
      </c>
      <c r="AG359" t="b">
        <v>1</v>
      </c>
    </row>
    <row r="360" spans="1:33" x14ac:dyDescent="0.25">
      <c r="A360" t="s">
        <v>33</v>
      </c>
      <c r="B360">
        <v>15</v>
      </c>
      <c r="C360" t="b">
        <v>1</v>
      </c>
      <c r="D360" t="s">
        <v>1358</v>
      </c>
      <c r="E360" t="s">
        <v>1359</v>
      </c>
      <c r="F360" t="s">
        <v>1366</v>
      </c>
      <c r="G360" t="s">
        <v>1367</v>
      </c>
      <c r="H360">
        <v>359</v>
      </c>
      <c r="I360" t="str">
        <f>IF(ISBLANK(Table1[[#This Row],[oid]]),"FALSE","TRUE")</f>
        <v>TRUE</v>
      </c>
      <c r="J360" t="str" cm="1">
        <f t="array" ref="J360">_xlfn.SWITCH(LEFT(Table1[[#This Row],[section]],1), "D", "Demographic", "S", "Social", "E", "Economic", "H", "Housing", "")</f>
        <v>Social</v>
      </c>
      <c r="K360" t="s">
        <v>1362</v>
      </c>
      <c r="L360" t="s">
        <v>1363</v>
      </c>
      <c r="M360" t="str">
        <f>IF(Table1[[#This Row],[used]], _xlfn.CONCAT("🆔 ", Table1[[#This Row],[variable]], ": ",Table1[[#This Row],[alias]]), "")</f>
        <v>🆔 B14001_002E: Enrolled in school</v>
      </c>
      <c r="O360" t="s">
        <v>1368</v>
      </c>
      <c r="P360" t="s">
        <v>1364</v>
      </c>
      <c r="Q360" t="s">
        <v>41</v>
      </c>
      <c r="R360" t="s">
        <v>1369</v>
      </c>
      <c r="S360" t="b">
        <v>1</v>
      </c>
      <c r="T360" t="b">
        <v>1</v>
      </c>
      <c r="U360" t="b">
        <v>1</v>
      </c>
      <c r="V360" t="b">
        <v>1</v>
      </c>
      <c r="W360" t="b">
        <v>1</v>
      </c>
      <c r="X360" t="b">
        <v>1</v>
      </c>
      <c r="Y360" t="b">
        <v>1</v>
      </c>
      <c r="Z360" t="b">
        <v>1</v>
      </c>
      <c r="AA360" t="b">
        <v>1</v>
      </c>
      <c r="AB360" t="b">
        <v>1</v>
      </c>
      <c r="AC360" t="b">
        <v>1</v>
      </c>
      <c r="AD360" t="b">
        <v>1</v>
      </c>
      <c r="AE360" t="b">
        <v>1</v>
      </c>
      <c r="AF360" t="b">
        <v>1</v>
      </c>
      <c r="AG360" t="b">
        <v>1</v>
      </c>
    </row>
    <row r="361" spans="1:33" x14ac:dyDescent="0.25">
      <c r="A361" t="s">
        <v>33</v>
      </c>
      <c r="B361">
        <v>15</v>
      </c>
      <c r="C361" t="b">
        <v>1</v>
      </c>
      <c r="D361" t="s">
        <v>1358</v>
      </c>
      <c r="E361" t="s">
        <v>1359</v>
      </c>
      <c r="F361" t="s">
        <v>1370</v>
      </c>
      <c r="G361" t="s">
        <v>1371</v>
      </c>
      <c r="H361">
        <v>360</v>
      </c>
      <c r="I361" t="str">
        <f>IF(ISBLANK(Table1[[#This Row],[oid]]),"FALSE","TRUE")</f>
        <v>TRUE</v>
      </c>
      <c r="J361" t="str" cm="1">
        <f t="array" ref="J361">_xlfn.SWITCH(LEFT(Table1[[#This Row],[section]],1), "D", "Demographic", "S", "Social", "E", "Economic", "H", "Housing", "")</f>
        <v>Social</v>
      </c>
      <c r="K361" t="s">
        <v>1362</v>
      </c>
      <c r="L361" t="s">
        <v>1363</v>
      </c>
      <c r="M361" t="str">
        <f>IF(Table1[[#This Row],[used]], _xlfn.CONCAT("🆔 ", Table1[[#This Row],[variable]], ": ",Table1[[#This Row],[alias]]), "")</f>
        <v>🆔 B14001_003E: Enrolled in school: Enrolled in nursery school preschool</v>
      </c>
      <c r="O361" t="s">
        <v>1372</v>
      </c>
      <c r="P361" t="s">
        <v>1364</v>
      </c>
      <c r="Q361" t="s">
        <v>41</v>
      </c>
      <c r="R361" t="s">
        <v>1373</v>
      </c>
      <c r="S361" t="b">
        <v>1</v>
      </c>
      <c r="T361" t="b">
        <v>1</v>
      </c>
      <c r="U361" t="b">
        <v>1</v>
      </c>
      <c r="V361" t="b">
        <v>1</v>
      </c>
      <c r="W361" t="b">
        <v>1</v>
      </c>
      <c r="X361" t="b">
        <v>1</v>
      </c>
      <c r="Y361" t="b">
        <v>1</v>
      </c>
      <c r="Z361" t="b">
        <v>1</v>
      </c>
      <c r="AA361" t="b">
        <v>1</v>
      </c>
      <c r="AB361" t="b">
        <v>1</v>
      </c>
      <c r="AC361" t="b">
        <v>1</v>
      </c>
      <c r="AD361" t="b">
        <v>1</v>
      </c>
      <c r="AE361" t="b">
        <v>1</v>
      </c>
      <c r="AF361" t="b">
        <v>1</v>
      </c>
      <c r="AG361" t="b">
        <v>1</v>
      </c>
    </row>
    <row r="362" spans="1:33" x14ac:dyDescent="0.25">
      <c r="A362" t="s">
        <v>33</v>
      </c>
      <c r="B362">
        <v>15</v>
      </c>
      <c r="C362" t="b">
        <v>1</v>
      </c>
      <c r="D362" t="s">
        <v>1358</v>
      </c>
      <c r="E362" t="s">
        <v>1359</v>
      </c>
      <c r="F362" t="s">
        <v>1374</v>
      </c>
      <c r="G362" t="s">
        <v>1375</v>
      </c>
      <c r="H362">
        <v>361</v>
      </c>
      <c r="I362" t="str">
        <f>IF(ISBLANK(Table1[[#This Row],[oid]]),"FALSE","TRUE")</f>
        <v>TRUE</v>
      </c>
      <c r="J362" t="str" cm="1">
        <f t="array" ref="J362">_xlfn.SWITCH(LEFT(Table1[[#This Row],[section]],1), "D", "Demographic", "S", "Social", "E", "Economic", "H", "Housing", "")</f>
        <v>Social</v>
      </c>
      <c r="K362" t="s">
        <v>1362</v>
      </c>
      <c r="L362" t="s">
        <v>1363</v>
      </c>
      <c r="M362" t="str">
        <f>IF(Table1[[#This Row],[used]], _xlfn.CONCAT("🆔 ", Table1[[#This Row],[variable]], ": ",Table1[[#This Row],[alias]]), "")</f>
        <v>🆔 B14001_004E: Enrolled in school: Enrolled in kindergarten</v>
      </c>
      <c r="O362" t="s">
        <v>1376</v>
      </c>
      <c r="P362" t="s">
        <v>1364</v>
      </c>
      <c r="Q362" t="s">
        <v>41</v>
      </c>
      <c r="R362" t="s">
        <v>1377</v>
      </c>
      <c r="S362" t="b">
        <v>1</v>
      </c>
      <c r="T362" t="b">
        <v>1</v>
      </c>
      <c r="U362" t="b">
        <v>1</v>
      </c>
      <c r="V362" t="b">
        <v>1</v>
      </c>
      <c r="W362" t="b">
        <v>1</v>
      </c>
      <c r="X362" t="b">
        <v>1</v>
      </c>
      <c r="Y362" t="b">
        <v>1</v>
      </c>
      <c r="Z362" t="b">
        <v>1</v>
      </c>
      <c r="AA362" t="b">
        <v>1</v>
      </c>
      <c r="AB362" t="b">
        <v>1</v>
      </c>
      <c r="AC362" t="b">
        <v>1</v>
      </c>
      <c r="AD362" t="b">
        <v>1</v>
      </c>
      <c r="AE362" t="b">
        <v>1</v>
      </c>
      <c r="AF362" t="b">
        <v>1</v>
      </c>
      <c r="AG362" t="b">
        <v>1</v>
      </c>
    </row>
    <row r="363" spans="1:33" x14ac:dyDescent="0.25">
      <c r="A363" t="s">
        <v>33</v>
      </c>
      <c r="B363">
        <v>15</v>
      </c>
      <c r="C363" t="b">
        <v>1</v>
      </c>
      <c r="D363" t="s">
        <v>1358</v>
      </c>
      <c r="E363" t="s">
        <v>1359</v>
      </c>
      <c r="F363" t="s">
        <v>1378</v>
      </c>
      <c r="G363" t="s">
        <v>1379</v>
      </c>
      <c r="H363">
        <v>362</v>
      </c>
      <c r="I363" t="str">
        <f>IF(ISBLANK(Table1[[#This Row],[oid]]),"FALSE","TRUE")</f>
        <v>TRUE</v>
      </c>
      <c r="J363" t="str" cm="1">
        <f t="array" ref="J363">_xlfn.SWITCH(LEFT(Table1[[#This Row],[section]],1), "D", "Demographic", "S", "Social", "E", "Economic", "H", "Housing", "")</f>
        <v>Social</v>
      </c>
      <c r="K363" t="s">
        <v>1362</v>
      </c>
      <c r="L363" t="s">
        <v>1363</v>
      </c>
      <c r="M363" t="str">
        <f>IF(Table1[[#This Row],[used]], _xlfn.CONCAT("🆔 ", Table1[[#This Row],[variable]], ": ",Table1[[#This Row],[alias]]), "")</f>
        <v>🆔 B14001_005E: Enrolled in school: Enrolled in grade 1 to grade 4</v>
      </c>
      <c r="O363" t="s">
        <v>1380</v>
      </c>
      <c r="P363" t="s">
        <v>1364</v>
      </c>
      <c r="Q363" t="s">
        <v>41</v>
      </c>
      <c r="R363" t="s">
        <v>1381</v>
      </c>
      <c r="S363" t="b">
        <v>1</v>
      </c>
      <c r="T363" t="b">
        <v>1</v>
      </c>
      <c r="U363" t="b">
        <v>1</v>
      </c>
      <c r="V363" t="b">
        <v>1</v>
      </c>
      <c r="W363" t="b">
        <v>1</v>
      </c>
      <c r="X363" t="b">
        <v>1</v>
      </c>
      <c r="Y363" t="b">
        <v>1</v>
      </c>
      <c r="Z363" t="b">
        <v>1</v>
      </c>
      <c r="AA363" t="b">
        <v>1</v>
      </c>
      <c r="AB363" t="b">
        <v>1</v>
      </c>
      <c r="AC363" t="b">
        <v>1</v>
      </c>
      <c r="AD363" t="b">
        <v>1</v>
      </c>
      <c r="AE363" t="b">
        <v>1</v>
      </c>
      <c r="AF363" t="b">
        <v>1</v>
      </c>
      <c r="AG363" t="b">
        <v>1</v>
      </c>
    </row>
    <row r="364" spans="1:33" x14ac:dyDescent="0.25">
      <c r="A364" t="s">
        <v>33</v>
      </c>
      <c r="B364">
        <v>15</v>
      </c>
      <c r="C364" t="b">
        <v>1</v>
      </c>
      <c r="D364" t="s">
        <v>1358</v>
      </c>
      <c r="E364" t="s">
        <v>1359</v>
      </c>
      <c r="F364" t="s">
        <v>1382</v>
      </c>
      <c r="G364" t="s">
        <v>1383</v>
      </c>
      <c r="H364">
        <v>363</v>
      </c>
      <c r="I364" t="str">
        <f>IF(ISBLANK(Table1[[#This Row],[oid]]),"FALSE","TRUE")</f>
        <v>TRUE</v>
      </c>
      <c r="J364" t="str" cm="1">
        <f t="array" ref="J364">_xlfn.SWITCH(LEFT(Table1[[#This Row],[section]],1), "D", "Demographic", "S", "Social", "E", "Economic", "H", "Housing", "")</f>
        <v>Social</v>
      </c>
      <c r="K364" t="s">
        <v>1362</v>
      </c>
      <c r="L364" t="s">
        <v>1363</v>
      </c>
      <c r="M364" t="str">
        <f>IF(Table1[[#This Row],[used]], _xlfn.CONCAT("🆔 ", Table1[[#This Row],[variable]], ": ",Table1[[#This Row],[alias]]), "")</f>
        <v>🆔 B14001_006E: Enrolled in school: Enrolled in grade 5 to grade 8</v>
      </c>
      <c r="O364" t="s">
        <v>1384</v>
      </c>
      <c r="P364" t="s">
        <v>1364</v>
      </c>
      <c r="Q364" t="s">
        <v>41</v>
      </c>
      <c r="R364" t="s">
        <v>1385</v>
      </c>
      <c r="S364" t="b">
        <v>1</v>
      </c>
      <c r="T364" t="b">
        <v>1</v>
      </c>
      <c r="U364" t="b">
        <v>1</v>
      </c>
      <c r="V364" t="b">
        <v>1</v>
      </c>
      <c r="W364" t="b">
        <v>1</v>
      </c>
      <c r="X364" t="b">
        <v>1</v>
      </c>
      <c r="Y364" t="b">
        <v>1</v>
      </c>
      <c r="Z364" t="b">
        <v>1</v>
      </c>
      <c r="AA364" t="b">
        <v>1</v>
      </c>
      <c r="AB364" t="b">
        <v>1</v>
      </c>
      <c r="AC364" t="b">
        <v>1</v>
      </c>
      <c r="AD364" t="b">
        <v>1</v>
      </c>
      <c r="AE364" t="b">
        <v>1</v>
      </c>
      <c r="AF364" t="b">
        <v>1</v>
      </c>
      <c r="AG364" t="b">
        <v>1</v>
      </c>
    </row>
    <row r="365" spans="1:33" x14ac:dyDescent="0.25">
      <c r="A365" t="s">
        <v>33</v>
      </c>
      <c r="B365">
        <v>15</v>
      </c>
      <c r="C365" t="b">
        <v>1</v>
      </c>
      <c r="D365" t="s">
        <v>1358</v>
      </c>
      <c r="E365" t="s">
        <v>1359</v>
      </c>
      <c r="F365" t="s">
        <v>1386</v>
      </c>
      <c r="G365" t="s">
        <v>1387</v>
      </c>
      <c r="H365">
        <v>364</v>
      </c>
      <c r="I365" t="str">
        <f>IF(ISBLANK(Table1[[#This Row],[oid]]),"FALSE","TRUE")</f>
        <v>TRUE</v>
      </c>
      <c r="J365" t="str" cm="1">
        <f t="array" ref="J365">_xlfn.SWITCH(LEFT(Table1[[#This Row],[section]],1), "D", "Demographic", "S", "Social", "E", "Economic", "H", "Housing", "")</f>
        <v>Social</v>
      </c>
      <c r="K365" t="s">
        <v>1362</v>
      </c>
      <c r="L365" t="s">
        <v>1363</v>
      </c>
      <c r="M365" t="str">
        <f>IF(Table1[[#This Row],[used]], _xlfn.CONCAT("🆔 ", Table1[[#This Row],[variable]], ": ",Table1[[#This Row],[alias]]), "")</f>
        <v>🆔 B14001_007E: Enrolled in school: Enrolled in grade 9 to grade 12</v>
      </c>
      <c r="O365" t="s">
        <v>1388</v>
      </c>
      <c r="P365" t="s">
        <v>1364</v>
      </c>
      <c r="Q365" t="s">
        <v>41</v>
      </c>
      <c r="R365" t="s">
        <v>1389</v>
      </c>
      <c r="S365" t="b">
        <v>1</v>
      </c>
      <c r="T365" t="b">
        <v>1</v>
      </c>
      <c r="U365" t="b">
        <v>1</v>
      </c>
      <c r="V365" t="b">
        <v>1</v>
      </c>
      <c r="W365" t="b">
        <v>1</v>
      </c>
      <c r="X365" t="b">
        <v>1</v>
      </c>
      <c r="Y365" t="b">
        <v>1</v>
      </c>
      <c r="Z365" t="b">
        <v>1</v>
      </c>
      <c r="AA365" t="b">
        <v>1</v>
      </c>
      <c r="AB365" t="b">
        <v>1</v>
      </c>
      <c r="AC365" t="b">
        <v>1</v>
      </c>
      <c r="AD365" t="b">
        <v>1</v>
      </c>
      <c r="AE365" t="b">
        <v>1</v>
      </c>
      <c r="AF365" t="b">
        <v>1</v>
      </c>
      <c r="AG365" t="b">
        <v>1</v>
      </c>
    </row>
    <row r="366" spans="1:33" x14ac:dyDescent="0.25">
      <c r="A366" t="s">
        <v>33</v>
      </c>
      <c r="B366">
        <v>15</v>
      </c>
      <c r="C366" t="b">
        <v>1</v>
      </c>
      <c r="D366" t="s">
        <v>1358</v>
      </c>
      <c r="E366" t="s">
        <v>1359</v>
      </c>
      <c r="F366" t="s">
        <v>1390</v>
      </c>
      <c r="G366" t="s">
        <v>1391</v>
      </c>
      <c r="H366">
        <v>365</v>
      </c>
      <c r="I366" t="str">
        <f>IF(ISBLANK(Table1[[#This Row],[oid]]),"FALSE","TRUE")</f>
        <v>TRUE</v>
      </c>
      <c r="J366" t="str" cm="1">
        <f t="array" ref="J366">_xlfn.SWITCH(LEFT(Table1[[#This Row],[section]],1), "D", "Demographic", "S", "Social", "E", "Economic", "H", "Housing", "")</f>
        <v>Social</v>
      </c>
      <c r="K366" t="s">
        <v>1362</v>
      </c>
      <c r="L366" t="s">
        <v>1363</v>
      </c>
      <c r="M366" t="str">
        <f>IF(Table1[[#This Row],[used]], _xlfn.CONCAT("🆔 ", Table1[[#This Row],[variable]], ": ",Table1[[#This Row],[alias]]), "")</f>
        <v>🆔 B14001_008E: Enrolled in school: Enrolled in college undergraduate years</v>
      </c>
      <c r="O366" t="s">
        <v>1392</v>
      </c>
      <c r="P366" t="s">
        <v>1364</v>
      </c>
      <c r="Q366" t="s">
        <v>41</v>
      </c>
      <c r="R366" t="s">
        <v>1393</v>
      </c>
      <c r="S366" t="b">
        <v>1</v>
      </c>
      <c r="T366" t="b">
        <v>1</v>
      </c>
      <c r="U366" t="b">
        <v>1</v>
      </c>
      <c r="V366" t="b">
        <v>1</v>
      </c>
      <c r="W366" t="b">
        <v>1</v>
      </c>
      <c r="X366" t="b">
        <v>1</v>
      </c>
      <c r="Y366" t="b">
        <v>1</v>
      </c>
      <c r="Z366" t="b">
        <v>1</v>
      </c>
      <c r="AA366" t="b">
        <v>1</v>
      </c>
      <c r="AB366" t="b">
        <v>1</v>
      </c>
      <c r="AC366" t="b">
        <v>1</v>
      </c>
      <c r="AD366" t="b">
        <v>1</v>
      </c>
      <c r="AE366" t="b">
        <v>1</v>
      </c>
      <c r="AF366" t="b">
        <v>1</v>
      </c>
      <c r="AG366" t="b">
        <v>1</v>
      </c>
    </row>
    <row r="367" spans="1:33" x14ac:dyDescent="0.25">
      <c r="A367" t="s">
        <v>33</v>
      </c>
      <c r="B367">
        <v>15</v>
      </c>
      <c r="C367" t="b">
        <v>1</v>
      </c>
      <c r="D367" t="s">
        <v>1358</v>
      </c>
      <c r="E367" t="s">
        <v>1359</v>
      </c>
      <c r="F367" t="s">
        <v>1394</v>
      </c>
      <c r="G367" t="s">
        <v>1395</v>
      </c>
      <c r="H367">
        <v>366</v>
      </c>
      <c r="I367" t="str">
        <f>IF(ISBLANK(Table1[[#This Row],[oid]]),"FALSE","TRUE")</f>
        <v>TRUE</v>
      </c>
      <c r="J367" t="str" cm="1">
        <f t="array" ref="J367">_xlfn.SWITCH(LEFT(Table1[[#This Row],[section]],1), "D", "Demographic", "S", "Social", "E", "Economic", "H", "Housing", "")</f>
        <v>Social</v>
      </c>
      <c r="K367" t="s">
        <v>1362</v>
      </c>
      <c r="L367" t="s">
        <v>1363</v>
      </c>
      <c r="M367" t="str">
        <f>IF(Table1[[#This Row],[used]], _xlfn.CONCAT("🆔 ", Table1[[#This Row],[variable]], ": ",Table1[[#This Row],[alias]]), "")</f>
        <v>🆔 B14001_009E: Enrolled in school: Graduate or professional school</v>
      </c>
      <c r="O367" t="s">
        <v>1396</v>
      </c>
      <c r="P367" t="s">
        <v>1364</v>
      </c>
      <c r="Q367" t="s">
        <v>41</v>
      </c>
      <c r="R367" t="s">
        <v>1397</v>
      </c>
      <c r="S367" t="b">
        <v>1</v>
      </c>
      <c r="T367" t="b">
        <v>1</v>
      </c>
      <c r="U367" t="b">
        <v>1</v>
      </c>
      <c r="V367" t="b">
        <v>1</v>
      </c>
      <c r="W367" t="b">
        <v>1</v>
      </c>
      <c r="X367" t="b">
        <v>1</v>
      </c>
      <c r="Y367" t="b">
        <v>1</v>
      </c>
      <c r="Z367" t="b">
        <v>1</v>
      </c>
      <c r="AA367" t="b">
        <v>1</v>
      </c>
      <c r="AB367" t="b">
        <v>1</v>
      </c>
      <c r="AC367" t="b">
        <v>1</v>
      </c>
      <c r="AD367" t="b">
        <v>1</v>
      </c>
      <c r="AE367" t="b">
        <v>1</v>
      </c>
      <c r="AF367" t="b">
        <v>1</v>
      </c>
      <c r="AG367" t="b">
        <v>1</v>
      </c>
    </row>
    <row r="368" spans="1:33" x14ac:dyDescent="0.25">
      <c r="A368" t="s">
        <v>33</v>
      </c>
      <c r="B368">
        <v>15</v>
      </c>
      <c r="C368" t="b">
        <v>1</v>
      </c>
      <c r="D368" t="s">
        <v>1358</v>
      </c>
      <c r="E368" t="s">
        <v>1359</v>
      </c>
      <c r="F368" t="s">
        <v>1398</v>
      </c>
      <c r="G368" t="s">
        <v>1399</v>
      </c>
      <c r="H368">
        <v>367</v>
      </c>
      <c r="I368" t="str">
        <f>IF(ISBLANK(Table1[[#This Row],[oid]]),"FALSE","TRUE")</f>
        <v>TRUE</v>
      </c>
      <c r="J368" t="str" cm="1">
        <f t="array" ref="J368">_xlfn.SWITCH(LEFT(Table1[[#This Row],[section]],1), "D", "Demographic", "S", "Social", "E", "Economic", "H", "Housing", "")</f>
        <v>Social</v>
      </c>
      <c r="K368" t="s">
        <v>1362</v>
      </c>
      <c r="L368" t="s">
        <v>1363</v>
      </c>
      <c r="M368" t="str">
        <f>IF(Table1[[#This Row],[used]], _xlfn.CONCAT("🆔 ", Table1[[#This Row],[variable]], ": ",Table1[[#This Row],[alias]]), "")</f>
        <v>🆔 B14001_010E: Not enrolled in school</v>
      </c>
      <c r="O368" t="s">
        <v>1400</v>
      </c>
      <c r="P368" t="s">
        <v>1364</v>
      </c>
      <c r="Q368" t="s">
        <v>41</v>
      </c>
      <c r="R368" t="s">
        <v>1401</v>
      </c>
      <c r="S368" t="b">
        <v>1</v>
      </c>
      <c r="T368" t="b">
        <v>1</v>
      </c>
      <c r="U368" t="b">
        <v>1</v>
      </c>
      <c r="V368" t="b">
        <v>1</v>
      </c>
      <c r="W368" t="b">
        <v>1</v>
      </c>
      <c r="X368" t="b">
        <v>1</v>
      </c>
      <c r="Y368" t="b">
        <v>1</v>
      </c>
      <c r="Z368" t="b">
        <v>1</v>
      </c>
      <c r="AA368" t="b">
        <v>1</v>
      </c>
      <c r="AB368" t="b">
        <v>1</v>
      </c>
      <c r="AC368" t="b">
        <v>1</v>
      </c>
      <c r="AD368" t="b">
        <v>1</v>
      </c>
      <c r="AE368" t="b">
        <v>1</v>
      </c>
      <c r="AF368" t="b">
        <v>1</v>
      </c>
      <c r="AG368" t="b">
        <v>1</v>
      </c>
    </row>
    <row r="369" spans="1:33" x14ac:dyDescent="0.25">
      <c r="A369" t="s">
        <v>33</v>
      </c>
      <c r="B369">
        <v>15</v>
      </c>
      <c r="C369" t="b">
        <v>1</v>
      </c>
      <c r="D369" t="s">
        <v>1358</v>
      </c>
      <c r="E369" t="s">
        <v>1402</v>
      </c>
      <c r="F369" t="s">
        <v>1403</v>
      </c>
      <c r="G369" t="s">
        <v>1404</v>
      </c>
      <c r="H369">
        <v>368</v>
      </c>
      <c r="I369" t="str">
        <f>IF(ISBLANK(Table1[[#This Row],[oid]]),"FALSE","TRUE")</f>
        <v>TRUE</v>
      </c>
      <c r="J369" t="str" cm="1">
        <f t="array" ref="J369">_xlfn.SWITCH(LEFT(Table1[[#This Row],[section]],1), "D", "Demographic", "S", "Social", "E", "Economic", "H", "Housing", "")</f>
        <v>Social</v>
      </c>
      <c r="K369" t="s">
        <v>1362</v>
      </c>
      <c r="L369" t="s">
        <v>1363</v>
      </c>
      <c r="M369" t="str">
        <f>IF(Table1[[#This Row],[used]], _xlfn.CONCAT("🆔 ", Table1[[#This Row],[variable]], ": ",Table1[[#This Row],[alias]]), "")</f>
        <v>🆔 B14002_002E: Male, 3+ years</v>
      </c>
      <c r="O369" t="s">
        <v>52</v>
      </c>
      <c r="P369" t="s">
        <v>1405</v>
      </c>
      <c r="Q369" t="s">
        <v>41</v>
      </c>
      <c r="R369" t="s">
        <v>1406</v>
      </c>
      <c r="S369" t="b">
        <v>1</v>
      </c>
      <c r="T369" t="b">
        <v>1</v>
      </c>
      <c r="U369" t="b">
        <v>1</v>
      </c>
      <c r="V369" t="b">
        <v>1</v>
      </c>
      <c r="W369" t="b">
        <v>1</v>
      </c>
      <c r="X369" t="b">
        <v>1</v>
      </c>
      <c r="Y369" t="b">
        <v>1</v>
      </c>
      <c r="Z369" t="b">
        <v>1</v>
      </c>
      <c r="AA369" t="b">
        <v>1</v>
      </c>
      <c r="AB369" t="b">
        <v>1</v>
      </c>
      <c r="AC369" t="b">
        <v>1</v>
      </c>
      <c r="AD369" t="b">
        <v>1</v>
      </c>
      <c r="AE369" t="b">
        <v>1</v>
      </c>
      <c r="AF369" t="b">
        <v>1</v>
      </c>
      <c r="AG369" t="b">
        <v>1</v>
      </c>
    </row>
    <row r="370" spans="1:33" x14ac:dyDescent="0.25">
      <c r="A370" t="s">
        <v>33</v>
      </c>
      <c r="B370">
        <v>15</v>
      </c>
      <c r="C370" t="b">
        <v>1</v>
      </c>
      <c r="D370" t="s">
        <v>1358</v>
      </c>
      <c r="E370" t="s">
        <v>1402</v>
      </c>
      <c r="F370" t="s">
        <v>1407</v>
      </c>
      <c r="G370" t="s">
        <v>1408</v>
      </c>
      <c r="H370">
        <v>369</v>
      </c>
      <c r="I370" t="str">
        <f>IF(ISBLANK(Table1[[#This Row],[oid]]),"FALSE","TRUE")</f>
        <v>TRUE</v>
      </c>
      <c r="J370" t="str" cm="1">
        <f t="array" ref="J370">_xlfn.SWITCH(LEFT(Table1[[#This Row],[section]],1), "D", "Demographic", "S", "Social", "E", "Economic", "H", "Housing", "")</f>
        <v>Social</v>
      </c>
      <c r="K370" t="s">
        <v>1362</v>
      </c>
      <c r="L370" t="s">
        <v>1363</v>
      </c>
      <c r="M370" t="str">
        <f>IF(Table1[[#This Row],[used]], _xlfn.CONCAT("🆔 ", Table1[[#This Row],[variable]], ": ",Table1[[#This Row],[alias]]), "")</f>
        <v>🆔 B14002_003E: Male: Enrolled in school</v>
      </c>
      <c r="O370" t="s">
        <v>1409</v>
      </c>
      <c r="P370" t="s">
        <v>1405</v>
      </c>
      <c r="Q370" t="s">
        <v>41</v>
      </c>
      <c r="R370" t="s">
        <v>1410</v>
      </c>
      <c r="S370" t="b">
        <v>1</v>
      </c>
      <c r="T370" t="b">
        <v>1</v>
      </c>
      <c r="U370" t="b">
        <v>1</v>
      </c>
      <c r="V370" t="b">
        <v>1</v>
      </c>
      <c r="W370" t="b">
        <v>1</v>
      </c>
      <c r="X370" t="b">
        <v>1</v>
      </c>
      <c r="Y370" t="b">
        <v>1</v>
      </c>
      <c r="Z370" t="b">
        <v>1</v>
      </c>
      <c r="AA370" t="b">
        <v>1</v>
      </c>
      <c r="AB370" t="b">
        <v>1</v>
      </c>
      <c r="AC370" t="b">
        <v>1</v>
      </c>
      <c r="AD370" t="b">
        <v>1</v>
      </c>
      <c r="AE370" t="b">
        <v>1</v>
      </c>
      <c r="AF370" t="b">
        <v>1</v>
      </c>
      <c r="AG370" t="b">
        <v>1</v>
      </c>
    </row>
    <row r="371" spans="1:33" x14ac:dyDescent="0.25">
      <c r="A371" t="s">
        <v>33</v>
      </c>
      <c r="B371">
        <v>15</v>
      </c>
      <c r="C371" t="b">
        <v>1</v>
      </c>
      <c r="D371" t="s">
        <v>1358</v>
      </c>
      <c r="E371" t="s">
        <v>1402</v>
      </c>
      <c r="F371" t="s">
        <v>1411</v>
      </c>
      <c r="G371" t="s">
        <v>1412</v>
      </c>
      <c r="H371">
        <v>370</v>
      </c>
      <c r="I371" t="str">
        <f>IF(ISBLANK(Table1[[#This Row],[oid]]),"FALSE","TRUE")</f>
        <v>TRUE</v>
      </c>
      <c r="J371" t="str" cm="1">
        <f t="array" ref="J371">_xlfn.SWITCH(LEFT(Table1[[#This Row],[section]],1), "D", "Demographic", "S", "Social", "E", "Economic", "H", "Housing", "")</f>
        <v>Social</v>
      </c>
      <c r="K371" t="s">
        <v>1362</v>
      </c>
      <c r="L371" t="s">
        <v>1363</v>
      </c>
      <c r="M371" t="str">
        <f>IF(Table1[[#This Row],[used]], _xlfn.CONCAT("🆔 ", Table1[[#This Row],[variable]], ": ",Table1[[#This Row],[alias]]), "")</f>
        <v>🆔 B14002_004E: Male: Enrolled in school: Enrolled in nursery school preschool</v>
      </c>
      <c r="O371" t="s">
        <v>1413</v>
      </c>
      <c r="P371" t="s">
        <v>1405</v>
      </c>
      <c r="Q371" t="s">
        <v>41</v>
      </c>
      <c r="R371" t="s">
        <v>1414</v>
      </c>
      <c r="S371" t="b">
        <v>1</v>
      </c>
      <c r="T371" t="b">
        <v>1</v>
      </c>
      <c r="U371" t="b">
        <v>1</v>
      </c>
      <c r="V371" t="b">
        <v>1</v>
      </c>
      <c r="W371" t="b">
        <v>1</v>
      </c>
      <c r="X371" t="b">
        <v>1</v>
      </c>
      <c r="Y371" t="b">
        <v>1</v>
      </c>
      <c r="Z371" t="b">
        <v>1</v>
      </c>
      <c r="AA371" t="b">
        <v>1</v>
      </c>
      <c r="AB371" t="b">
        <v>1</v>
      </c>
      <c r="AC371" t="b">
        <v>1</v>
      </c>
      <c r="AD371" t="b">
        <v>1</v>
      </c>
      <c r="AE371" t="b">
        <v>1</v>
      </c>
      <c r="AF371" t="b">
        <v>1</v>
      </c>
      <c r="AG371" t="b">
        <v>1</v>
      </c>
    </row>
    <row r="372" spans="1:33" x14ac:dyDescent="0.25">
      <c r="A372" t="s">
        <v>33</v>
      </c>
      <c r="B372">
        <v>15</v>
      </c>
      <c r="C372" t="b">
        <v>1</v>
      </c>
      <c r="D372" t="s">
        <v>1358</v>
      </c>
      <c r="E372" t="s">
        <v>1402</v>
      </c>
      <c r="F372" t="s">
        <v>1415</v>
      </c>
      <c r="G372" t="s">
        <v>1416</v>
      </c>
      <c r="H372">
        <v>371</v>
      </c>
      <c r="I372" t="str">
        <f>IF(ISBLANK(Table1[[#This Row],[oid]]),"FALSE","TRUE")</f>
        <v>TRUE</v>
      </c>
      <c r="J372" t="str" cm="1">
        <f t="array" ref="J372">_xlfn.SWITCH(LEFT(Table1[[#This Row],[section]],1), "D", "Demographic", "S", "Social", "E", "Economic", "H", "Housing", "")</f>
        <v>Social</v>
      </c>
      <c r="K372" t="s">
        <v>1362</v>
      </c>
      <c r="L372" t="s">
        <v>1363</v>
      </c>
      <c r="M372" t="str">
        <f>IF(Table1[[#This Row],[used]], _xlfn.CONCAT("🆔 ", Table1[[#This Row],[variable]], ": ",Table1[[#This Row],[alias]]), "")</f>
        <v>🆔 B14002_005E: Male: Enrolled in school: Enrolled in nursery school preschool: Public school</v>
      </c>
      <c r="O372" t="s">
        <v>1417</v>
      </c>
      <c r="P372" t="s">
        <v>1405</v>
      </c>
      <c r="Q372" t="s">
        <v>41</v>
      </c>
      <c r="R372" t="s">
        <v>1418</v>
      </c>
      <c r="S372" t="b">
        <v>1</v>
      </c>
      <c r="T372" t="b">
        <v>1</v>
      </c>
      <c r="U372" t="b">
        <v>1</v>
      </c>
      <c r="V372" t="b">
        <v>1</v>
      </c>
      <c r="W372" t="b">
        <v>1</v>
      </c>
      <c r="X372" t="b">
        <v>1</v>
      </c>
      <c r="Y372" t="b">
        <v>1</v>
      </c>
      <c r="Z372" t="b">
        <v>1</v>
      </c>
      <c r="AA372" t="b">
        <v>1</v>
      </c>
      <c r="AB372" t="b">
        <v>1</v>
      </c>
      <c r="AC372" t="b">
        <v>1</v>
      </c>
      <c r="AD372" t="b">
        <v>1</v>
      </c>
      <c r="AE372" t="b">
        <v>1</v>
      </c>
      <c r="AF372" t="b">
        <v>1</v>
      </c>
      <c r="AG372" t="b">
        <v>1</v>
      </c>
    </row>
    <row r="373" spans="1:33" x14ac:dyDescent="0.25">
      <c r="A373" t="s">
        <v>33</v>
      </c>
      <c r="B373">
        <v>15</v>
      </c>
      <c r="C373" t="b">
        <v>1</v>
      </c>
      <c r="D373" t="s">
        <v>1358</v>
      </c>
      <c r="E373" t="s">
        <v>1402</v>
      </c>
      <c r="F373" t="s">
        <v>1419</v>
      </c>
      <c r="G373" t="s">
        <v>1420</v>
      </c>
      <c r="H373">
        <v>372</v>
      </c>
      <c r="I373" t="str">
        <f>IF(ISBLANK(Table1[[#This Row],[oid]]),"FALSE","TRUE")</f>
        <v>TRUE</v>
      </c>
      <c r="J373" t="str" cm="1">
        <f t="array" ref="J373">_xlfn.SWITCH(LEFT(Table1[[#This Row],[section]],1), "D", "Demographic", "S", "Social", "E", "Economic", "H", "Housing", "")</f>
        <v>Social</v>
      </c>
      <c r="K373" t="s">
        <v>1362</v>
      </c>
      <c r="L373" t="s">
        <v>1363</v>
      </c>
      <c r="M373" t="str">
        <f>IF(Table1[[#This Row],[used]], _xlfn.CONCAT("🆔 ", Table1[[#This Row],[variable]], ": ",Table1[[#This Row],[alias]]), "")</f>
        <v>🆔 B14002_006E: Male: Enrolled in school: Enrolled in nursery school preschool: Private school</v>
      </c>
      <c r="O373" t="s">
        <v>1421</v>
      </c>
      <c r="P373" t="s">
        <v>1405</v>
      </c>
      <c r="Q373" t="s">
        <v>41</v>
      </c>
      <c r="R373" t="s">
        <v>1422</v>
      </c>
      <c r="S373" t="b">
        <v>1</v>
      </c>
      <c r="T373" t="b">
        <v>1</v>
      </c>
      <c r="U373" t="b">
        <v>1</v>
      </c>
      <c r="V373" t="b">
        <v>1</v>
      </c>
      <c r="W373" t="b">
        <v>1</v>
      </c>
      <c r="X373" t="b">
        <v>1</v>
      </c>
      <c r="Y373" t="b">
        <v>1</v>
      </c>
      <c r="Z373" t="b">
        <v>1</v>
      </c>
      <c r="AA373" t="b">
        <v>1</v>
      </c>
      <c r="AB373" t="b">
        <v>1</v>
      </c>
      <c r="AC373" t="b">
        <v>1</v>
      </c>
      <c r="AD373" t="b">
        <v>1</v>
      </c>
      <c r="AE373" t="b">
        <v>1</v>
      </c>
      <c r="AF373" t="b">
        <v>1</v>
      </c>
      <c r="AG373" t="b">
        <v>1</v>
      </c>
    </row>
    <row r="374" spans="1:33" x14ac:dyDescent="0.25">
      <c r="A374" t="s">
        <v>33</v>
      </c>
      <c r="B374">
        <v>15</v>
      </c>
      <c r="C374" t="b">
        <v>1</v>
      </c>
      <c r="D374" t="s">
        <v>1358</v>
      </c>
      <c r="E374" t="s">
        <v>1402</v>
      </c>
      <c r="F374" t="s">
        <v>1423</v>
      </c>
      <c r="G374" t="s">
        <v>1424</v>
      </c>
      <c r="H374">
        <v>373</v>
      </c>
      <c r="I374" t="str">
        <f>IF(ISBLANK(Table1[[#This Row],[oid]]),"FALSE","TRUE")</f>
        <v>TRUE</v>
      </c>
      <c r="J374" t="str" cm="1">
        <f t="array" ref="J374">_xlfn.SWITCH(LEFT(Table1[[#This Row],[section]],1), "D", "Demographic", "S", "Social", "E", "Economic", "H", "Housing", "")</f>
        <v>Social</v>
      </c>
      <c r="K374" t="s">
        <v>1362</v>
      </c>
      <c r="L374" t="s">
        <v>1363</v>
      </c>
      <c r="M374" t="str">
        <f>IF(Table1[[#This Row],[used]], _xlfn.CONCAT("🆔 ", Table1[[#This Row],[variable]], ": ",Table1[[#This Row],[alias]]), "")</f>
        <v>🆔 B14002_007E: Male: Enrolled in school: Enrolled in kindergarten</v>
      </c>
      <c r="O374" t="s">
        <v>1425</v>
      </c>
      <c r="P374" t="s">
        <v>1405</v>
      </c>
      <c r="Q374" t="s">
        <v>41</v>
      </c>
      <c r="R374" t="s">
        <v>1426</v>
      </c>
      <c r="S374" t="b">
        <v>1</v>
      </c>
      <c r="T374" t="b">
        <v>1</v>
      </c>
      <c r="U374" t="b">
        <v>1</v>
      </c>
      <c r="V374" t="b">
        <v>1</v>
      </c>
      <c r="W374" t="b">
        <v>1</v>
      </c>
      <c r="X374" t="b">
        <v>1</v>
      </c>
      <c r="Y374" t="b">
        <v>1</v>
      </c>
      <c r="Z374" t="b">
        <v>1</v>
      </c>
      <c r="AA374" t="b">
        <v>1</v>
      </c>
      <c r="AB374" t="b">
        <v>1</v>
      </c>
      <c r="AC374" t="b">
        <v>1</v>
      </c>
      <c r="AD374" t="b">
        <v>1</v>
      </c>
      <c r="AE374" t="b">
        <v>1</v>
      </c>
      <c r="AF374" t="b">
        <v>1</v>
      </c>
      <c r="AG374" t="b">
        <v>1</v>
      </c>
    </row>
    <row r="375" spans="1:33" x14ac:dyDescent="0.25">
      <c r="A375" t="s">
        <v>33</v>
      </c>
      <c r="B375">
        <v>15</v>
      </c>
      <c r="C375" t="b">
        <v>1</v>
      </c>
      <c r="D375" t="s">
        <v>1358</v>
      </c>
      <c r="E375" t="s">
        <v>1402</v>
      </c>
      <c r="F375" t="s">
        <v>1427</v>
      </c>
      <c r="G375" t="s">
        <v>1428</v>
      </c>
      <c r="H375">
        <v>374</v>
      </c>
      <c r="I375" t="str">
        <f>IF(ISBLANK(Table1[[#This Row],[oid]]),"FALSE","TRUE")</f>
        <v>TRUE</v>
      </c>
      <c r="J375" t="str" cm="1">
        <f t="array" ref="J375">_xlfn.SWITCH(LEFT(Table1[[#This Row],[section]],1), "D", "Demographic", "S", "Social", "E", "Economic", "H", "Housing", "")</f>
        <v>Social</v>
      </c>
      <c r="K375" t="s">
        <v>1362</v>
      </c>
      <c r="L375" t="s">
        <v>1363</v>
      </c>
      <c r="M375" t="str">
        <f>IF(Table1[[#This Row],[used]], _xlfn.CONCAT("🆔 ", Table1[[#This Row],[variable]], ": ",Table1[[#This Row],[alias]]), "")</f>
        <v>🆔 B14002_008E: Male: Enrolled in school: Enrolled in kindergarten: Public school</v>
      </c>
      <c r="O375" t="s">
        <v>1429</v>
      </c>
      <c r="P375" t="s">
        <v>1405</v>
      </c>
      <c r="Q375" t="s">
        <v>41</v>
      </c>
      <c r="R375" t="s">
        <v>1430</v>
      </c>
      <c r="S375" t="b">
        <v>1</v>
      </c>
      <c r="T375" t="b">
        <v>1</v>
      </c>
      <c r="U375" t="b">
        <v>1</v>
      </c>
      <c r="V375" t="b">
        <v>1</v>
      </c>
      <c r="W375" t="b">
        <v>1</v>
      </c>
      <c r="X375" t="b">
        <v>1</v>
      </c>
      <c r="Y375" t="b">
        <v>1</v>
      </c>
      <c r="Z375" t="b">
        <v>1</v>
      </c>
      <c r="AA375" t="b">
        <v>1</v>
      </c>
      <c r="AB375" t="b">
        <v>1</v>
      </c>
      <c r="AC375" t="b">
        <v>1</v>
      </c>
      <c r="AD375" t="b">
        <v>1</v>
      </c>
      <c r="AE375" t="b">
        <v>1</v>
      </c>
      <c r="AF375" t="b">
        <v>1</v>
      </c>
      <c r="AG375" t="b">
        <v>1</v>
      </c>
    </row>
    <row r="376" spans="1:33" x14ac:dyDescent="0.25">
      <c r="A376" t="s">
        <v>33</v>
      </c>
      <c r="B376">
        <v>15</v>
      </c>
      <c r="C376" t="b">
        <v>1</v>
      </c>
      <c r="D376" t="s">
        <v>1358</v>
      </c>
      <c r="E376" t="s">
        <v>1402</v>
      </c>
      <c r="F376" t="s">
        <v>1431</v>
      </c>
      <c r="G376" t="s">
        <v>1432</v>
      </c>
      <c r="H376">
        <v>375</v>
      </c>
      <c r="I376" t="str">
        <f>IF(ISBLANK(Table1[[#This Row],[oid]]),"FALSE","TRUE")</f>
        <v>TRUE</v>
      </c>
      <c r="J376" t="str" cm="1">
        <f t="array" ref="J376">_xlfn.SWITCH(LEFT(Table1[[#This Row],[section]],1), "D", "Demographic", "S", "Social", "E", "Economic", "H", "Housing", "")</f>
        <v>Social</v>
      </c>
      <c r="K376" t="s">
        <v>1362</v>
      </c>
      <c r="L376" t="s">
        <v>1363</v>
      </c>
      <c r="M376" t="str">
        <f>IF(Table1[[#This Row],[used]], _xlfn.CONCAT("🆔 ", Table1[[#This Row],[variable]], ": ",Table1[[#This Row],[alias]]), "")</f>
        <v>🆔 B14002_009E: Male: Enrolled in school: Enrolled in kindergarten: Private school</v>
      </c>
      <c r="O376" t="s">
        <v>1433</v>
      </c>
      <c r="P376" t="s">
        <v>1405</v>
      </c>
      <c r="Q376" t="s">
        <v>41</v>
      </c>
      <c r="R376" t="s">
        <v>1434</v>
      </c>
      <c r="S376" t="b">
        <v>1</v>
      </c>
      <c r="T376" t="b">
        <v>1</v>
      </c>
      <c r="U376" t="b">
        <v>1</v>
      </c>
      <c r="V376" t="b">
        <v>1</v>
      </c>
      <c r="W376" t="b">
        <v>1</v>
      </c>
      <c r="X376" t="b">
        <v>1</v>
      </c>
      <c r="Y376" t="b">
        <v>1</v>
      </c>
      <c r="Z376" t="b">
        <v>1</v>
      </c>
      <c r="AA376" t="b">
        <v>1</v>
      </c>
      <c r="AB376" t="b">
        <v>1</v>
      </c>
      <c r="AC376" t="b">
        <v>1</v>
      </c>
      <c r="AD376" t="b">
        <v>1</v>
      </c>
      <c r="AE376" t="b">
        <v>1</v>
      </c>
      <c r="AF376" t="b">
        <v>1</v>
      </c>
      <c r="AG376" t="b">
        <v>1</v>
      </c>
    </row>
    <row r="377" spans="1:33" x14ac:dyDescent="0.25">
      <c r="A377" t="s">
        <v>33</v>
      </c>
      <c r="B377">
        <v>15</v>
      </c>
      <c r="C377" t="b">
        <v>1</v>
      </c>
      <c r="D377" t="s">
        <v>1358</v>
      </c>
      <c r="E377" t="s">
        <v>1402</v>
      </c>
      <c r="F377" t="s">
        <v>1435</v>
      </c>
      <c r="G377" t="s">
        <v>1436</v>
      </c>
      <c r="H377">
        <v>376</v>
      </c>
      <c r="I377" t="str">
        <f>IF(ISBLANK(Table1[[#This Row],[oid]]),"FALSE","TRUE")</f>
        <v>TRUE</v>
      </c>
      <c r="J377" t="str" cm="1">
        <f t="array" ref="J377">_xlfn.SWITCH(LEFT(Table1[[#This Row],[section]],1), "D", "Demographic", "S", "Social", "E", "Economic", "H", "Housing", "")</f>
        <v>Social</v>
      </c>
      <c r="K377" t="s">
        <v>1362</v>
      </c>
      <c r="L377" t="s">
        <v>1363</v>
      </c>
      <c r="M377" t="str">
        <f>IF(Table1[[#This Row],[used]], _xlfn.CONCAT("🆔 ", Table1[[#This Row],[variable]], ": ",Table1[[#This Row],[alias]]), "")</f>
        <v>🆔 B14002_010E: Male: Enrolled in school: Enrolled in grade 1 to grade 4</v>
      </c>
      <c r="O377" t="s">
        <v>1437</v>
      </c>
      <c r="P377" t="s">
        <v>1405</v>
      </c>
      <c r="Q377" t="s">
        <v>41</v>
      </c>
      <c r="R377" t="s">
        <v>1438</v>
      </c>
      <c r="S377" t="b">
        <v>1</v>
      </c>
      <c r="T377" t="b">
        <v>1</v>
      </c>
      <c r="U377" t="b">
        <v>1</v>
      </c>
      <c r="V377" t="b">
        <v>1</v>
      </c>
      <c r="W377" t="b">
        <v>1</v>
      </c>
      <c r="X377" t="b">
        <v>1</v>
      </c>
      <c r="Y377" t="b">
        <v>1</v>
      </c>
      <c r="Z377" t="b">
        <v>1</v>
      </c>
      <c r="AA377" t="b">
        <v>1</v>
      </c>
      <c r="AB377" t="b">
        <v>1</v>
      </c>
      <c r="AC377" t="b">
        <v>1</v>
      </c>
      <c r="AD377" t="b">
        <v>1</v>
      </c>
      <c r="AE377" t="b">
        <v>1</v>
      </c>
      <c r="AF377" t="b">
        <v>1</v>
      </c>
      <c r="AG377" t="b">
        <v>1</v>
      </c>
    </row>
    <row r="378" spans="1:33" x14ac:dyDescent="0.25">
      <c r="A378" t="s">
        <v>33</v>
      </c>
      <c r="B378">
        <v>15</v>
      </c>
      <c r="C378" t="b">
        <v>1</v>
      </c>
      <c r="D378" t="s">
        <v>1358</v>
      </c>
      <c r="E378" t="s">
        <v>1402</v>
      </c>
      <c r="F378" t="s">
        <v>1439</v>
      </c>
      <c r="G378" t="s">
        <v>1440</v>
      </c>
      <c r="H378">
        <v>377</v>
      </c>
      <c r="I378" t="str">
        <f>IF(ISBLANK(Table1[[#This Row],[oid]]),"FALSE","TRUE")</f>
        <v>TRUE</v>
      </c>
      <c r="J378" t="str" cm="1">
        <f t="array" ref="J378">_xlfn.SWITCH(LEFT(Table1[[#This Row],[section]],1), "D", "Demographic", "S", "Social", "E", "Economic", "H", "Housing", "")</f>
        <v>Social</v>
      </c>
      <c r="K378" t="s">
        <v>1362</v>
      </c>
      <c r="L378" t="s">
        <v>1363</v>
      </c>
      <c r="M378" t="str">
        <f>IF(Table1[[#This Row],[used]], _xlfn.CONCAT("🆔 ", Table1[[#This Row],[variable]], ": ",Table1[[#This Row],[alias]]), "")</f>
        <v>🆔 B14002_011E: Male: Enrolled in school: Enrolled in grade 1 to grade 4: Public school</v>
      </c>
      <c r="O378" t="s">
        <v>1441</v>
      </c>
      <c r="P378" t="s">
        <v>1405</v>
      </c>
      <c r="Q378" t="s">
        <v>41</v>
      </c>
      <c r="R378" t="s">
        <v>1442</v>
      </c>
      <c r="S378" t="b">
        <v>1</v>
      </c>
      <c r="T378" t="b">
        <v>1</v>
      </c>
      <c r="U378" t="b">
        <v>1</v>
      </c>
      <c r="V378" t="b">
        <v>1</v>
      </c>
      <c r="W378" t="b">
        <v>1</v>
      </c>
      <c r="X378" t="b">
        <v>1</v>
      </c>
      <c r="Y378" t="b">
        <v>1</v>
      </c>
      <c r="Z378" t="b">
        <v>1</v>
      </c>
      <c r="AA378" t="b">
        <v>1</v>
      </c>
      <c r="AB378" t="b">
        <v>1</v>
      </c>
      <c r="AC378" t="b">
        <v>1</v>
      </c>
      <c r="AD378" t="b">
        <v>1</v>
      </c>
      <c r="AE378" t="b">
        <v>1</v>
      </c>
      <c r="AF378" t="b">
        <v>1</v>
      </c>
      <c r="AG378" t="b">
        <v>1</v>
      </c>
    </row>
    <row r="379" spans="1:33" x14ac:dyDescent="0.25">
      <c r="A379" t="s">
        <v>33</v>
      </c>
      <c r="B379">
        <v>15</v>
      </c>
      <c r="C379" t="b">
        <v>1</v>
      </c>
      <c r="D379" t="s">
        <v>1358</v>
      </c>
      <c r="E379" t="s">
        <v>1402</v>
      </c>
      <c r="F379" t="s">
        <v>1443</v>
      </c>
      <c r="G379" t="s">
        <v>1444</v>
      </c>
      <c r="H379">
        <v>378</v>
      </c>
      <c r="I379" t="str">
        <f>IF(ISBLANK(Table1[[#This Row],[oid]]),"FALSE","TRUE")</f>
        <v>TRUE</v>
      </c>
      <c r="J379" t="str" cm="1">
        <f t="array" ref="J379">_xlfn.SWITCH(LEFT(Table1[[#This Row],[section]],1), "D", "Demographic", "S", "Social", "E", "Economic", "H", "Housing", "")</f>
        <v>Social</v>
      </c>
      <c r="K379" t="s">
        <v>1362</v>
      </c>
      <c r="L379" t="s">
        <v>1363</v>
      </c>
      <c r="M379" t="str">
        <f>IF(Table1[[#This Row],[used]], _xlfn.CONCAT("🆔 ", Table1[[#This Row],[variable]], ": ",Table1[[#This Row],[alias]]), "")</f>
        <v>🆔 B14002_012E: Male: Enrolled in school: Enrolled in grade 1 to grade 4: Private school</v>
      </c>
      <c r="O379" t="s">
        <v>1445</v>
      </c>
      <c r="P379" t="s">
        <v>1405</v>
      </c>
      <c r="Q379" t="s">
        <v>41</v>
      </c>
      <c r="R379" t="s">
        <v>1446</v>
      </c>
      <c r="S379" t="b">
        <v>1</v>
      </c>
      <c r="T379" t="b">
        <v>1</v>
      </c>
      <c r="U379" t="b">
        <v>1</v>
      </c>
      <c r="V379" t="b">
        <v>1</v>
      </c>
      <c r="W379" t="b">
        <v>1</v>
      </c>
      <c r="X379" t="b">
        <v>1</v>
      </c>
      <c r="Y379" t="b">
        <v>1</v>
      </c>
      <c r="Z379" t="b">
        <v>1</v>
      </c>
      <c r="AA379" t="b">
        <v>1</v>
      </c>
      <c r="AB379" t="b">
        <v>1</v>
      </c>
      <c r="AC379" t="b">
        <v>1</v>
      </c>
      <c r="AD379" t="b">
        <v>1</v>
      </c>
      <c r="AE379" t="b">
        <v>1</v>
      </c>
      <c r="AF379" t="b">
        <v>1</v>
      </c>
      <c r="AG379" t="b">
        <v>1</v>
      </c>
    </row>
    <row r="380" spans="1:33" x14ac:dyDescent="0.25">
      <c r="A380" t="s">
        <v>33</v>
      </c>
      <c r="B380">
        <v>15</v>
      </c>
      <c r="C380" t="b">
        <v>1</v>
      </c>
      <c r="D380" t="s">
        <v>1358</v>
      </c>
      <c r="E380" t="s">
        <v>1402</v>
      </c>
      <c r="F380" t="s">
        <v>1447</v>
      </c>
      <c r="G380" t="s">
        <v>1448</v>
      </c>
      <c r="H380">
        <v>379</v>
      </c>
      <c r="I380" t="str">
        <f>IF(ISBLANK(Table1[[#This Row],[oid]]),"FALSE","TRUE")</f>
        <v>TRUE</v>
      </c>
      <c r="J380" t="str" cm="1">
        <f t="array" ref="J380">_xlfn.SWITCH(LEFT(Table1[[#This Row],[section]],1), "D", "Demographic", "S", "Social", "E", "Economic", "H", "Housing", "")</f>
        <v>Social</v>
      </c>
      <c r="K380" t="s">
        <v>1362</v>
      </c>
      <c r="L380" t="s">
        <v>1363</v>
      </c>
      <c r="M380" t="str">
        <f>IF(Table1[[#This Row],[used]], _xlfn.CONCAT("🆔 ", Table1[[#This Row],[variable]], ": ",Table1[[#This Row],[alias]]), "")</f>
        <v>🆔 B14002_013E: Male: Enrolled in school: Enrolled in grade 5 to grade 8</v>
      </c>
      <c r="O380" t="s">
        <v>1449</v>
      </c>
      <c r="P380" t="s">
        <v>1405</v>
      </c>
      <c r="Q380" t="s">
        <v>41</v>
      </c>
      <c r="R380" t="s">
        <v>1450</v>
      </c>
      <c r="S380" t="b">
        <v>1</v>
      </c>
      <c r="T380" t="b">
        <v>1</v>
      </c>
      <c r="U380" t="b">
        <v>1</v>
      </c>
      <c r="V380" t="b">
        <v>1</v>
      </c>
      <c r="W380" t="b">
        <v>1</v>
      </c>
      <c r="X380" t="b">
        <v>1</v>
      </c>
      <c r="Y380" t="b">
        <v>1</v>
      </c>
      <c r="Z380" t="b">
        <v>1</v>
      </c>
      <c r="AA380" t="b">
        <v>1</v>
      </c>
      <c r="AB380" t="b">
        <v>1</v>
      </c>
      <c r="AC380" t="b">
        <v>1</v>
      </c>
      <c r="AD380" t="b">
        <v>1</v>
      </c>
      <c r="AE380" t="b">
        <v>1</v>
      </c>
      <c r="AF380" t="b">
        <v>1</v>
      </c>
      <c r="AG380" t="b">
        <v>1</v>
      </c>
    </row>
    <row r="381" spans="1:33" x14ac:dyDescent="0.25">
      <c r="A381" t="s">
        <v>33</v>
      </c>
      <c r="B381">
        <v>15</v>
      </c>
      <c r="C381" t="b">
        <v>1</v>
      </c>
      <c r="D381" t="s">
        <v>1358</v>
      </c>
      <c r="E381" t="s">
        <v>1402</v>
      </c>
      <c r="F381" t="s">
        <v>1451</v>
      </c>
      <c r="G381" t="s">
        <v>1452</v>
      </c>
      <c r="H381">
        <v>380</v>
      </c>
      <c r="I381" t="str">
        <f>IF(ISBLANK(Table1[[#This Row],[oid]]),"FALSE","TRUE")</f>
        <v>TRUE</v>
      </c>
      <c r="J381" t="str" cm="1">
        <f t="array" ref="J381">_xlfn.SWITCH(LEFT(Table1[[#This Row],[section]],1), "D", "Demographic", "S", "Social", "E", "Economic", "H", "Housing", "")</f>
        <v>Social</v>
      </c>
      <c r="K381" t="s">
        <v>1362</v>
      </c>
      <c r="L381" t="s">
        <v>1363</v>
      </c>
      <c r="M381" t="str">
        <f>IF(Table1[[#This Row],[used]], _xlfn.CONCAT("🆔 ", Table1[[#This Row],[variable]], ": ",Table1[[#This Row],[alias]]), "")</f>
        <v>🆔 B14002_014E: Male: Enrolled in school: Enrolled in grade 5 to grade 8: Public school</v>
      </c>
      <c r="O381" t="s">
        <v>1453</v>
      </c>
      <c r="P381" t="s">
        <v>1405</v>
      </c>
      <c r="Q381" t="s">
        <v>41</v>
      </c>
      <c r="R381" t="s">
        <v>1454</v>
      </c>
      <c r="S381" t="b">
        <v>1</v>
      </c>
      <c r="T381" t="b">
        <v>1</v>
      </c>
      <c r="U381" t="b">
        <v>1</v>
      </c>
      <c r="V381" t="b">
        <v>1</v>
      </c>
      <c r="W381" t="b">
        <v>1</v>
      </c>
      <c r="X381" t="b">
        <v>1</v>
      </c>
      <c r="Y381" t="b">
        <v>1</v>
      </c>
      <c r="Z381" t="b">
        <v>1</v>
      </c>
      <c r="AA381" t="b">
        <v>1</v>
      </c>
      <c r="AB381" t="b">
        <v>1</v>
      </c>
      <c r="AC381" t="b">
        <v>1</v>
      </c>
      <c r="AD381" t="b">
        <v>1</v>
      </c>
      <c r="AE381" t="b">
        <v>1</v>
      </c>
      <c r="AF381" t="b">
        <v>1</v>
      </c>
      <c r="AG381" t="b">
        <v>1</v>
      </c>
    </row>
    <row r="382" spans="1:33" x14ac:dyDescent="0.25">
      <c r="A382" t="s">
        <v>33</v>
      </c>
      <c r="B382">
        <v>15</v>
      </c>
      <c r="C382" t="b">
        <v>1</v>
      </c>
      <c r="D382" t="s">
        <v>1358</v>
      </c>
      <c r="E382" t="s">
        <v>1402</v>
      </c>
      <c r="F382" t="s">
        <v>1455</v>
      </c>
      <c r="G382" t="s">
        <v>1456</v>
      </c>
      <c r="H382">
        <v>381</v>
      </c>
      <c r="I382" t="str">
        <f>IF(ISBLANK(Table1[[#This Row],[oid]]),"FALSE","TRUE")</f>
        <v>TRUE</v>
      </c>
      <c r="J382" t="str" cm="1">
        <f t="array" ref="J382">_xlfn.SWITCH(LEFT(Table1[[#This Row],[section]],1), "D", "Demographic", "S", "Social", "E", "Economic", "H", "Housing", "")</f>
        <v>Social</v>
      </c>
      <c r="K382" t="s">
        <v>1362</v>
      </c>
      <c r="L382" t="s">
        <v>1363</v>
      </c>
      <c r="M382" t="str">
        <f>IF(Table1[[#This Row],[used]], _xlfn.CONCAT("🆔 ", Table1[[#This Row],[variable]], ": ",Table1[[#This Row],[alias]]), "")</f>
        <v>🆔 B14002_015E: Male: Enrolled in school: Enrolled in grade 5 to grade 8: Private school</v>
      </c>
      <c r="O382" t="s">
        <v>1457</v>
      </c>
      <c r="P382" t="s">
        <v>1405</v>
      </c>
      <c r="Q382" t="s">
        <v>41</v>
      </c>
      <c r="R382" t="s">
        <v>1458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</row>
    <row r="383" spans="1:33" x14ac:dyDescent="0.25">
      <c r="A383" t="s">
        <v>33</v>
      </c>
      <c r="B383">
        <v>15</v>
      </c>
      <c r="C383" t="b">
        <v>1</v>
      </c>
      <c r="D383" t="s">
        <v>1358</v>
      </c>
      <c r="E383" t="s">
        <v>1402</v>
      </c>
      <c r="F383" t="s">
        <v>1459</v>
      </c>
      <c r="G383" t="s">
        <v>1460</v>
      </c>
      <c r="H383">
        <v>382</v>
      </c>
      <c r="I383" t="str">
        <f>IF(ISBLANK(Table1[[#This Row],[oid]]),"FALSE","TRUE")</f>
        <v>TRUE</v>
      </c>
      <c r="J383" t="str" cm="1">
        <f t="array" ref="J383">_xlfn.SWITCH(LEFT(Table1[[#This Row],[section]],1), "D", "Demographic", "S", "Social", "E", "Economic", "H", "Housing", "")</f>
        <v>Social</v>
      </c>
      <c r="K383" t="s">
        <v>1362</v>
      </c>
      <c r="L383" t="s">
        <v>1363</v>
      </c>
      <c r="M383" t="str">
        <f>IF(Table1[[#This Row],[used]], _xlfn.CONCAT("🆔 ", Table1[[#This Row],[variable]], ": ",Table1[[#This Row],[alias]]), "")</f>
        <v>🆔 B14002_016E: Male: Enrolled in school: Enrolled in grade 9 to grade 12</v>
      </c>
      <c r="O383" t="s">
        <v>1461</v>
      </c>
      <c r="P383" t="s">
        <v>1405</v>
      </c>
      <c r="Q383" t="s">
        <v>41</v>
      </c>
      <c r="R383" t="s">
        <v>1462</v>
      </c>
      <c r="S383" t="b">
        <v>1</v>
      </c>
      <c r="T383" t="b">
        <v>1</v>
      </c>
      <c r="U383" t="b">
        <v>1</v>
      </c>
      <c r="V383" t="b">
        <v>1</v>
      </c>
      <c r="W383" t="b">
        <v>1</v>
      </c>
      <c r="X383" t="b">
        <v>1</v>
      </c>
      <c r="Y383" t="b">
        <v>1</v>
      </c>
      <c r="Z383" t="b">
        <v>1</v>
      </c>
      <c r="AA383" t="b">
        <v>1</v>
      </c>
      <c r="AB383" t="b">
        <v>1</v>
      </c>
      <c r="AC383" t="b">
        <v>1</v>
      </c>
      <c r="AD383" t="b">
        <v>1</v>
      </c>
      <c r="AE383" t="b">
        <v>1</v>
      </c>
      <c r="AF383" t="b">
        <v>1</v>
      </c>
      <c r="AG383" t="b">
        <v>1</v>
      </c>
    </row>
    <row r="384" spans="1:33" x14ac:dyDescent="0.25">
      <c r="A384" t="s">
        <v>33</v>
      </c>
      <c r="B384">
        <v>15</v>
      </c>
      <c r="C384" t="b">
        <v>1</v>
      </c>
      <c r="D384" t="s">
        <v>1358</v>
      </c>
      <c r="E384" t="s">
        <v>1402</v>
      </c>
      <c r="F384" t="s">
        <v>1463</v>
      </c>
      <c r="G384" t="s">
        <v>1464</v>
      </c>
      <c r="H384">
        <v>383</v>
      </c>
      <c r="I384" t="str">
        <f>IF(ISBLANK(Table1[[#This Row],[oid]]),"FALSE","TRUE")</f>
        <v>TRUE</v>
      </c>
      <c r="J384" t="str" cm="1">
        <f t="array" ref="J384">_xlfn.SWITCH(LEFT(Table1[[#This Row],[section]],1), "D", "Demographic", "S", "Social", "E", "Economic", "H", "Housing", "")</f>
        <v>Social</v>
      </c>
      <c r="K384" t="s">
        <v>1362</v>
      </c>
      <c r="L384" t="s">
        <v>1363</v>
      </c>
      <c r="M384" t="str">
        <f>IF(Table1[[#This Row],[used]], _xlfn.CONCAT("🆔 ", Table1[[#This Row],[variable]], ": ",Table1[[#This Row],[alias]]), "")</f>
        <v>🆔 B14002_017E: Male: Enrolled in school: Enrolled in grade 9 to grade 12: Public school</v>
      </c>
      <c r="O384" t="s">
        <v>1465</v>
      </c>
      <c r="P384" t="s">
        <v>1405</v>
      </c>
      <c r="Q384" t="s">
        <v>41</v>
      </c>
      <c r="R384" t="s">
        <v>1466</v>
      </c>
      <c r="S384" t="b">
        <v>1</v>
      </c>
      <c r="T384" t="b">
        <v>1</v>
      </c>
      <c r="U384" t="b">
        <v>1</v>
      </c>
      <c r="V384" t="b">
        <v>1</v>
      </c>
      <c r="W384" t="b">
        <v>1</v>
      </c>
      <c r="X384" t="b">
        <v>1</v>
      </c>
      <c r="Y384" t="b">
        <v>1</v>
      </c>
      <c r="Z384" t="b">
        <v>1</v>
      </c>
      <c r="AA384" t="b">
        <v>1</v>
      </c>
      <c r="AB384" t="b">
        <v>1</v>
      </c>
      <c r="AC384" t="b">
        <v>1</v>
      </c>
      <c r="AD384" t="b">
        <v>1</v>
      </c>
      <c r="AE384" t="b">
        <v>1</v>
      </c>
      <c r="AF384" t="b">
        <v>1</v>
      </c>
      <c r="AG384" t="b">
        <v>1</v>
      </c>
    </row>
    <row r="385" spans="1:33" x14ac:dyDescent="0.25">
      <c r="A385" t="s">
        <v>33</v>
      </c>
      <c r="B385">
        <v>15</v>
      </c>
      <c r="C385" t="b">
        <v>1</v>
      </c>
      <c r="D385" t="s">
        <v>1358</v>
      </c>
      <c r="E385" t="s">
        <v>1402</v>
      </c>
      <c r="F385" t="s">
        <v>1467</v>
      </c>
      <c r="G385" t="s">
        <v>1468</v>
      </c>
      <c r="H385">
        <v>384</v>
      </c>
      <c r="I385" t="str">
        <f>IF(ISBLANK(Table1[[#This Row],[oid]]),"FALSE","TRUE")</f>
        <v>TRUE</v>
      </c>
      <c r="J385" t="str" cm="1">
        <f t="array" ref="J385">_xlfn.SWITCH(LEFT(Table1[[#This Row],[section]],1), "D", "Demographic", "S", "Social", "E", "Economic", "H", "Housing", "")</f>
        <v>Social</v>
      </c>
      <c r="K385" t="s">
        <v>1362</v>
      </c>
      <c r="L385" t="s">
        <v>1363</v>
      </c>
      <c r="M385" t="str">
        <f>IF(Table1[[#This Row],[used]], _xlfn.CONCAT("🆔 ", Table1[[#This Row],[variable]], ": ",Table1[[#This Row],[alias]]), "")</f>
        <v>🆔 B14002_018E: Male: Enrolled in school: Enrolled in grade 9 to grade 12: Private school</v>
      </c>
      <c r="O385" t="s">
        <v>1469</v>
      </c>
      <c r="P385" t="s">
        <v>1405</v>
      </c>
      <c r="Q385" t="s">
        <v>41</v>
      </c>
      <c r="R385" t="s">
        <v>1470</v>
      </c>
      <c r="S385" t="b">
        <v>1</v>
      </c>
      <c r="T385" t="b">
        <v>1</v>
      </c>
      <c r="U385" t="b">
        <v>1</v>
      </c>
      <c r="V385" t="b">
        <v>1</v>
      </c>
      <c r="W385" t="b">
        <v>1</v>
      </c>
      <c r="X385" t="b">
        <v>1</v>
      </c>
      <c r="Y385" t="b">
        <v>1</v>
      </c>
      <c r="Z385" t="b">
        <v>1</v>
      </c>
      <c r="AA385" t="b">
        <v>1</v>
      </c>
      <c r="AB385" t="b">
        <v>1</v>
      </c>
      <c r="AC385" t="b">
        <v>1</v>
      </c>
      <c r="AD385" t="b">
        <v>1</v>
      </c>
      <c r="AE385" t="b">
        <v>1</v>
      </c>
      <c r="AF385" t="b">
        <v>1</v>
      </c>
      <c r="AG385" t="b">
        <v>1</v>
      </c>
    </row>
    <row r="386" spans="1:33" x14ac:dyDescent="0.25">
      <c r="A386" t="s">
        <v>33</v>
      </c>
      <c r="B386">
        <v>15</v>
      </c>
      <c r="C386" t="b">
        <v>1</v>
      </c>
      <c r="D386" t="s">
        <v>1358</v>
      </c>
      <c r="E386" t="s">
        <v>1402</v>
      </c>
      <c r="F386" t="s">
        <v>1471</v>
      </c>
      <c r="G386" t="s">
        <v>1472</v>
      </c>
      <c r="H386">
        <v>385</v>
      </c>
      <c r="I386" t="str">
        <f>IF(ISBLANK(Table1[[#This Row],[oid]]),"FALSE","TRUE")</f>
        <v>TRUE</v>
      </c>
      <c r="J386" t="str" cm="1">
        <f t="array" ref="J386">_xlfn.SWITCH(LEFT(Table1[[#This Row],[section]],1), "D", "Demographic", "S", "Social", "E", "Economic", "H", "Housing", "")</f>
        <v>Social</v>
      </c>
      <c r="K386" t="s">
        <v>1362</v>
      </c>
      <c r="L386" t="s">
        <v>1363</v>
      </c>
      <c r="M386" t="str">
        <f>IF(Table1[[#This Row],[used]], _xlfn.CONCAT("🆔 ", Table1[[#This Row],[variable]], ": ",Table1[[#This Row],[alias]]), "")</f>
        <v>🆔 B14002_019E: Male: Enrolled in school: Enrolled in college undergraduate years</v>
      </c>
      <c r="O386" t="s">
        <v>1473</v>
      </c>
      <c r="P386" t="s">
        <v>1405</v>
      </c>
      <c r="Q386" t="s">
        <v>41</v>
      </c>
      <c r="R386" t="s">
        <v>1474</v>
      </c>
      <c r="S386" t="b">
        <v>1</v>
      </c>
      <c r="T386" t="b">
        <v>1</v>
      </c>
      <c r="U386" t="b">
        <v>1</v>
      </c>
      <c r="V386" t="b">
        <v>1</v>
      </c>
      <c r="W386" t="b">
        <v>1</v>
      </c>
      <c r="X386" t="b">
        <v>1</v>
      </c>
      <c r="Y386" t="b">
        <v>1</v>
      </c>
      <c r="Z386" t="b">
        <v>1</v>
      </c>
      <c r="AA386" t="b">
        <v>1</v>
      </c>
      <c r="AB386" t="b">
        <v>1</v>
      </c>
      <c r="AC386" t="b">
        <v>1</v>
      </c>
      <c r="AD386" t="b">
        <v>1</v>
      </c>
      <c r="AE386" t="b">
        <v>1</v>
      </c>
      <c r="AF386" t="b">
        <v>1</v>
      </c>
      <c r="AG386" t="b">
        <v>1</v>
      </c>
    </row>
    <row r="387" spans="1:33" x14ac:dyDescent="0.25">
      <c r="A387" t="s">
        <v>33</v>
      </c>
      <c r="B387">
        <v>15</v>
      </c>
      <c r="C387" t="b">
        <v>1</v>
      </c>
      <c r="D387" t="s">
        <v>1358</v>
      </c>
      <c r="E387" t="s">
        <v>1402</v>
      </c>
      <c r="F387" t="s">
        <v>1475</v>
      </c>
      <c r="G387" t="s">
        <v>1476</v>
      </c>
      <c r="H387">
        <v>386</v>
      </c>
      <c r="I387" t="str">
        <f>IF(ISBLANK(Table1[[#This Row],[oid]]),"FALSE","TRUE")</f>
        <v>TRUE</v>
      </c>
      <c r="J387" t="str" cm="1">
        <f t="array" ref="J387">_xlfn.SWITCH(LEFT(Table1[[#This Row],[section]],1), "D", "Demographic", "S", "Social", "E", "Economic", "H", "Housing", "")</f>
        <v>Social</v>
      </c>
      <c r="K387" t="s">
        <v>1362</v>
      </c>
      <c r="L387" t="s">
        <v>1363</v>
      </c>
      <c r="M387" t="str">
        <f>IF(Table1[[#This Row],[used]], _xlfn.CONCAT("🆔 ", Table1[[#This Row],[variable]], ": ",Table1[[#This Row],[alias]]), "")</f>
        <v>🆔 B14002_020E: Male: Enrolled in school: Enrolled in college undergraduate years: Public school</v>
      </c>
      <c r="O387" t="s">
        <v>1477</v>
      </c>
      <c r="P387" t="s">
        <v>1405</v>
      </c>
      <c r="Q387" t="s">
        <v>41</v>
      </c>
      <c r="R387" t="s">
        <v>1478</v>
      </c>
      <c r="S387" t="b">
        <v>1</v>
      </c>
      <c r="T387" t="b">
        <v>1</v>
      </c>
      <c r="U387" t="b">
        <v>1</v>
      </c>
      <c r="V387" t="b">
        <v>1</v>
      </c>
      <c r="W387" t="b">
        <v>1</v>
      </c>
      <c r="X387" t="b">
        <v>1</v>
      </c>
      <c r="Y387" t="b">
        <v>1</v>
      </c>
      <c r="Z387" t="b">
        <v>1</v>
      </c>
      <c r="AA387" t="b">
        <v>1</v>
      </c>
      <c r="AB387" t="b">
        <v>1</v>
      </c>
      <c r="AC387" t="b">
        <v>1</v>
      </c>
      <c r="AD387" t="b">
        <v>1</v>
      </c>
      <c r="AE387" t="b">
        <v>1</v>
      </c>
      <c r="AF387" t="b">
        <v>1</v>
      </c>
      <c r="AG387" t="b">
        <v>1</v>
      </c>
    </row>
    <row r="388" spans="1:33" x14ac:dyDescent="0.25">
      <c r="A388" t="s">
        <v>33</v>
      </c>
      <c r="B388">
        <v>15</v>
      </c>
      <c r="C388" t="b">
        <v>1</v>
      </c>
      <c r="D388" t="s">
        <v>1358</v>
      </c>
      <c r="E388" t="s">
        <v>1402</v>
      </c>
      <c r="F388" t="s">
        <v>1479</v>
      </c>
      <c r="G388" t="s">
        <v>1480</v>
      </c>
      <c r="H388">
        <v>387</v>
      </c>
      <c r="I388" t="str">
        <f>IF(ISBLANK(Table1[[#This Row],[oid]]),"FALSE","TRUE")</f>
        <v>TRUE</v>
      </c>
      <c r="J388" t="str" cm="1">
        <f t="array" ref="J388">_xlfn.SWITCH(LEFT(Table1[[#This Row],[section]],1), "D", "Demographic", "S", "Social", "E", "Economic", "H", "Housing", "")</f>
        <v>Social</v>
      </c>
      <c r="K388" t="s">
        <v>1362</v>
      </c>
      <c r="L388" t="s">
        <v>1363</v>
      </c>
      <c r="M388" t="str">
        <f>IF(Table1[[#This Row],[used]], _xlfn.CONCAT("🆔 ", Table1[[#This Row],[variable]], ": ",Table1[[#This Row],[alias]]), "")</f>
        <v>🆔 B14002_021E: Male: Enrolled in school: Enrolled in college undergraduate years: Private school</v>
      </c>
      <c r="O388" t="s">
        <v>1481</v>
      </c>
      <c r="P388" t="s">
        <v>1405</v>
      </c>
      <c r="Q388" t="s">
        <v>41</v>
      </c>
      <c r="R388" t="s">
        <v>1482</v>
      </c>
      <c r="S388" t="b">
        <v>1</v>
      </c>
      <c r="T388" t="b">
        <v>1</v>
      </c>
      <c r="U388" t="b">
        <v>1</v>
      </c>
      <c r="V388" t="b">
        <v>1</v>
      </c>
      <c r="W388" t="b">
        <v>1</v>
      </c>
      <c r="X388" t="b">
        <v>1</v>
      </c>
      <c r="Y388" t="b">
        <v>1</v>
      </c>
      <c r="Z388" t="b">
        <v>1</v>
      </c>
      <c r="AA388" t="b">
        <v>1</v>
      </c>
      <c r="AB388" t="b">
        <v>1</v>
      </c>
      <c r="AC388" t="b">
        <v>1</v>
      </c>
      <c r="AD388" t="b">
        <v>1</v>
      </c>
      <c r="AE388" t="b">
        <v>1</v>
      </c>
      <c r="AF388" t="b">
        <v>1</v>
      </c>
      <c r="AG388" t="b">
        <v>1</v>
      </c>
    </row>
    <row r="389" spans="1:33" x14ac:dyDescent="0.25">
      <c r="A389" t="s">
        <v>33</v>
      </c>
      <c r="B389">
        <v>15</v>
      </c>
      <c r="C389" t="b">
        <v>1</v>
      </c>
      <c r="D389" t="s">
        <v>1358</v>
      </c>
      <c r="E389" t="s">
        <v>1402</v>
      </c>
      <c r="F389" t="s">
        <v>1483</v>
      </c>
      <c r="G389" t="s">
        <v>1484</v>
      </c>
      <c r="H389">
        <v>388</v>
      </c>
      <c r="I389" t="str">
        <f>IF(ISBLANK(Table1[[#This Row],[oid]]),"FALSE","TRUE")</f>
        <v>TRUE</v>
      </c>
      <c r="J389" t="str" cm="1">
        <f t="array" ref="J389">_xlfn.SWITCH(LEFT(Table1[[#This Row],[section]],1), "D", "Demographic", "S", "Social", "E", "Economic", "H", "Housing", "")</f>
        <v>Social</v>
      </c>
      <c r="K389" t="s">
        <v>1362</v>
      </c>
      <c r="L389" t="s">
        <v>1363</v>
      </c>
      <c r="M389" t="str">
        <f>IF(Table1[[#This Row],[used]], _xlfn.CONCAT("🆔 ", Table1[[#This Row],[variable]], ": ",Table1[[#This Row],[alias]]), "")</f>
        <v>🆔 B14002_022E: Male: Enrolled in school: Enrolled in graduate or professional school</v>
      </c>
      <c r="O389" t="s">
        <v>1485</v>
      </c>
      <c r="P389" t="s">
        <v>1405</v>
      </c>
      <c r="Q389" t="s">
        <v>41</v>
      </c>
      <c r="R389" t="s">
        <v>1486</v>
      </c>
      <c r="S389" t="b">
        <v>1</v>
      </c>
      <c r="T389" t="b">
        <v>1</v>
      </c>
      <c r="U389" t="b">
        <v>1</v>
      </c>
      <c r="V389" t="b">
        <v>1</v>
      </c>
      <c r="W389" t="b">
        <v>1</v>
      </c>
      <c r="X389" t="b">
        <v>1</v>
      </c>
      <c r="Y389" t="b">
        <v>1</v>
      </c>
      <c r="Z389" t="b">
        <v>1</v>
      </c>
      <c r="AA389" t="b">
        <v>1</v>
      </c>
      <c r="AB389" t="b">
        <v>1</v>
      </c>
      <c r="AC389" t="b">
        <v>1</v>
      </c>
      <c r="AD389" t="b">
        <v>1</v>
      </c>
      <c r="AE389" t="b">
        <v>1</v>
      </c>
      <c r="AF389" t="b">
        <v>1</v>
      </c>
      <c r="AG389" t="b">
        <v>1</v>
      </c>
    </row>
    <row r="390" spans="1:33" x14ac:dyDescent="0.25">
      <c r="A390" t="s">
        <v>33</v>
      </c>
      <c r="B390">
        <v>15</v>
      </c>
      <c r="C390" t="b">
        <v>1</v>
      </c>
      <c r="D390" t="s">
        <v>1358</v>
      </c>
      <c r="E390" t="s">
        <v>1402</v>
      </c>
      <c r="F390" t="s">
        <v>1487</v>
      </c>
      <c r="G390" t="s">
        <v>1488</v>
      </c>
      <c r="H390">
        <v>389</v>
      </c>
      <c r="I390" t="str">
        <f>IF(ISBLANK(Table1[[#This Row],[oid]]),"FALSE","TRUE")</f>
        <v>TRUE</v>
      </c>
      <c r="J390" t="str" cm="1">
        <f t="array" ref="J390">_xlfn.SWITCH(LEFT(Table1[[#This Row],[section]],1), "D", "Demographic", "S", "Social", "E", "Economic", "H", "Housing", "")</f>
        <v>Social</v>
      </c>
      <c r="K390" t="s">
        <v>1362</v>
      </c>
      <c r="L390" t="s">
        <v>1363</v>
      </c>
      <c r="M390" t="str">
        <f>IF(Table1[[#This Row],[used]], _xlfn.CONCAT("🆔 ", Table1[[#This Row],[variable]], ": ",Table1[[#This Row],[alias]]), "")</f>
        <v>🆔 B14002_023E: Male: Enrolled in school: Enrolled in graduate or professional school: Public school</v>
      </c>
      <c r="O390" t="s">
        <v>1489</v>
      </c>
      <c r="P390" t="s">
        <v>1405</v>
      </c>
      <c r="Q390" t="s">
        <v>41</v>
      </c>
      <c r="R390" t="s">
        <v>1490</v>
      </c>
      <c r="S390" t="b">
        <v>1</v>
      </c>
      <c r="T390" t="b">
        <v>1</v>
      </c>
      <c r="U390" t="b">
        <v>1</v>
      </c>
      <c r="V390" t="b">
        <v>1</v>
      </c>
      <c r="W390" t="b">
        <v>1</v>
      </c>
      <c r="X390" t="b">
        <v>1</v>
      </c>
      <c r="Y390" t="b">
        <v>1</v>
      </c>
      <c r="Z390" t="b">
        <v>1</v>
      </c>
      <c r="AA390" t="b">
        <v>1</v>
      </c>
      <c r="AB390" t="b">
        <v>1</v>
      </c>
      <c r="AC390" t="b">
        <v>1</v>
      </c>
      <c r="AD390" t="b">
        <v>1</v>
      </c>
      <c r="AE390" t="b">
        <v>1</v>
      </c>
      <c r="AF390" t="b">
        <v>1</v>
      </c>
      <c r="AG390" t="b">
        <v>1</v>
      </c>
    </row>
    <row r="391" spans="1:33" x14ac:dyDescent="0.25">
      <c r="A391" t="s">
        <v>33</v>
      </c>
      <c r="B391">
        <v>15</v>
      </c>
      <c r="C391" t="b">
        <v>1</v>
      </c>
      <c r="D391" t="s">
        <v>1358</v>
      </c>
      <c r="E391" t="s">
        <v>1402</v>
      </c>
      <c r="F391" t="s">
        <v>1491</v>
      </c>
      <c r="G391" t="s">
        <v>1492</v>
      </c>
      <c r="H391">
        <v>390</v>
      </c>
      <c r="I391" t="str">
        <f>IF(ISBLANK(Table1[[#This Row],[oid]]),"FALSE","TRUE")</f>
        <v>TRUE</v>
      </c>
      <c r="J391" t="str" cm="1">
        <f t="array" ref="J391">_xlfn.SWITCH(LEFT(Table1[[#This Row],[section]],1), "D", "Demographic", "S", "Social", "E", "Economic", "H", "Housing", "")</f>
        <v>Social</v>
      </c>
      <c r="K391" t="s">
        <v>1362</v>
      </c>
      <c r="L391" t="s">
        <v>1363</v>
      </c>
      <c r="M391" t="str">
        <f>IF(Table1[[#This Row],[used]], _xlfn.CONCAT("🆔 ", Table1[[#This Row],[variable]], ": ",Table1[[#This Row],[alias]]), "")</f>
        <v>🆔 B14002_024E: Male: Enrolled in school: Enrolled in graduate or professional school: Private school</v>
      </c>
      <c r="O391" t="s">
        <v>1493</v>
      </c>
      <c r="P391" t="s">
        <v>1405</v>
      </c>
      <c r="Q391" t="s">
        <v>41</v>
      </c>
      <c r="R391" t="s">
        <v>1494</v>
      </c>
      <c r="S391" t="b">
        <v>1</v>
      </c>
      <c r="T391" t="b">
        <v>1</v>
      </c>
      <c r="U391" t="b">
        <v>1</v>
      </c>
      <c r="V391" t="b">
        <v>1</v>
      </c>
      <c r="W391" t="b">
        <v>1</v>
      </c>
      <c r="X391" t="b">
        <v>1</v>
      </c>
      <c r="Y391" t="b">
        <v>1</v>
      </c>
      <c r="Z391" t="b">
        <v>1</v>
      </c>
      <c r="AA391" t="b">
        <v>1</v>
      </c>
      <c r="AB391" t="b">
        <v>1</v>
      </c>
      <c r="AC391" t="b">
        <v>1</v>
      </c>
      <c r="AD391" t="b">
        <v>1</v>
      </c>
      <c r="AE391" t="b">
        <v>1</v>
      </c>
      <c r="AF391" t="b">
        <v>1</v>
      </c>
      <c r="AG391" t="b">
        <v>1</v>
      </c>
    </row>
    <row r="392" spans="1:33" x14ac:dyDescent="0.25">
      <c r="A392" t="s">
        <v>33</v>
      </c>
      <c r="B392">
        <v>15</v>
      </c>
      <c r="C392" t="b">
        <v>1</v>
      </c>
      <c r="D392" t="s">
        <v>1358</v>
      </c>
      <c r="E392" t="s">
        <v>1402</v>
      </c>
      <c r="F392" t="s">
        <v>1495</v>
      </c>
      <c r="G392" t="s">
        <v>1496</v>
      </c>
      <c r="H392">
        <v>391</v>
      </c>
      <c r="I392" t="str">
        <f>IF(ISBLANK(Table1[[#This Row],[oid]]),"FALSE","TRUE")</f>
        <v>TRUE</v>
      </c>
      <c r="J392" t="str" cm="1">
        <f t="array" ref="J392">_xlfn.SWITCH(LEFT(Table1[[#This Row],[section]],1), "D", "Demographic", "S", "Social", "E", "Economic", "H", "Housing", "")</f>
        <v>Social</v>
      </c>
      <c r="K392" t="s">
        <v>1362</v>
      </c>
      <c r="L392" t="s">
        <v>1363</v>
      </c>
      <c r="M392" t="str">
        <f>IF(Table1[[#This Row],[used]], _xlfn.CONCAT("🆔 ", Table1[[#This Row],[variable]], ": ",Table1[[#This Row],[alias]]), "")</f>
        <v>🆔 B14002_025E: Male: Not enrolled in school</v>
      </c>
      <c r="O392" t="s">
        <v>1497</v>
      </c>
      <c r="P392" t="s">
        <v>1405</v>
      </c>
      <c r="Q392" t="s">
        <v>41</v>
      </c>
      <c r="R392" t="s">
        <v>1498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</row>
    <row r="393" spans="1:33" x14ac:dyDescent="0.25">
      <c r="A393" t="s">
        <v>33</v>
      </c>
      <c r="B393">
        <v>15</v>
      </c>
      <c r="C393" t="b">
        <v>1</v>
      </c>
      <c r="D393" t="s">
        <v>1358</v>
      </c>
      <c r="E393" t="s">
        <v>1402</v>
      </c>
      <c r="F393" t="s">
        <v>1499</v>
      </c>
      <c r="G393" t="s">
        <v>1500</v>
      </c>
      <c r="H393">
        <v>392</v>
      </c>
      <c r="I393" t="str">
        <f>IF(ISBLANK(Table1[[#This Row],[oid]]),"FALSE","TRUE")</f>
        <v>TRUE</v>
      </c>
      <c r="J393" t="str" cm="1">
        <f t="array" ref="J393">_xlfn.SWITCH(LEFT(Table1[[#This Row],[section]],1), "D", "Demographic", "S", "Social", "E", "Economic", "H", "Housing", "")</f>
        <v>Social</v>
      </c>
      <c r="K393" t="s">
        <v>1362</v>
      </c>
      <c r="L393" t="s">
        <v>1363</v>
      </c>
      <c r="M393" t="str">
        <f>IF(Table1[[#This Row],[used]], _xlfn.CONCAT("🆔 ", Table1[[#This Row],[variable]], ": ",Table1[[#This Row],[alias]]), "")</f>
        <v>🆔 B14002_026E: Female, 3+ years</v>
      </c>
      <c r="O393" t="s">
        <v>56</v>
      </c>
      <c r="P393" t="s">
        <v>1405</v>
      </c>
      <c r="Q393" t="s">
        <v>41</v>
      </c>
      <c r="R393" t="s">
        <v>1501</v>
      </c>
      <c r="S393" t="b">
        <v>1</v>
      </c>
      <c r="T393" t="b">
        <v>1</v>
      </c>
      <c r="U393" t="b">
        <v>1</v>
      </c>
      <c r="V393" t="b">
        <v>1</v>
      </c>
      <c r="W393" t="b">
        <v>1</v>
      </c>
      <c r="X393" t="b">
        <v>1</v>
      </c>
      <c r="Y393" t="b">
        <v>1</v>
      </c>
      <c r="Z393" t="b">
        <v>1</v>
      </c>
      <c r="AA393" t="b">
        <v>1</v>
      </c>
      <c r="AB393" t="b">
        <v>1</v>
      </c>
      <c r="AC393" t="b">
        <v>1</v>
      </c>
      <c r="AD393" t="b">
        <v>1</v>
      </c>
      <c r="AE393" t="b">
        <v>1</v>
      </c>
      <c r="AF393" t="b">
        <v>1</v>
      </c>
      <c r="AG393" t="b">
        <v>1</v>
      </c>
    </row>
    <row r="394" spans="1:33" x14ac:dyDescent="0.25">
      <c r="A394" t="s">
        <v>33</v>
      </c>
      <c r="B394">
        <v>15</v>
      </c>
      <c r="C394" t="b">
        <v>1</v>
      </c>
      <c r="D394" t="s">
        <v>1358</v>
      </c>
      <c r="E394" t="s">
        <v>1402</v>
      </c>
      <c r="F394" t="s">
        <v>1502</v>
      </c>
      <c r="G394" t="s">
        <v>1503</v>
      </c>
      <c r="H394">
        <v>393</v>
      </c>
      <c r="I394" t="str">
        <f>IF(ISBLANK(Table1[[#This Row],[oid]]),"FALSE","TRUE")</f>
        <v>TRUE</v>
      </c>
      <c r="J394" t="str" cm="1">
        <f t="array" ref="J394">_xlfn.SWITCH(LEFT(Table1[[#This Row],[section]],1), "D", "Demographic", "S", "Social", "E", "Economic", "H", "Housing", "")</f>
        <v>Social</v>
      </c>
      <c r="K394" t="s">
        <v>1362</v>
      </c>
      <c r="L394" t="s">
        <v>1363</v>
      </c>
      <c r="M394" t="str">
        <f>IF(Table1[[#This Row],[used]], _xlfn.CONCAT("🆔 ", Table1[[#This Row],[variable]], ": ",Table1[[#This Row],[alias]]), "")</f>
        <v>🆔 B14002_027E: Female: Enrolled in school</v>
      </c>
      <c r="O394" t="s">
        <v>1504</v>
      </c>
      <c r="P394" t="s">
        <v>1405</v>
      </c>
      <c r="Q394" t="s">
        <v>41</v>
      </c>
      <c r="R394" t="s">
        <v>1505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</row>
    <row r="395" spans="1:33" x14ac:dyDescent="0.25">
      <c r="A395" t="s">
        <v>33</v>
      </c>
      <c r="B395">
        <v>15</v>
      </c>
      <c r="C395" t="b">
        <v>1</v>
      </c>
      <c r="D395" t="s">
        <v>1358</v>
      </c>
      <c r="E395" t="s">
        <v>1402</v>
      </c>
      <c r="F395" t="s">
        <v>1506</v>
      </c>
      <c r="G395" t="s">
        <v>1507</v>
      </c>
      <c r="H395">
        <v>394</v>
      </c>
      <c r="I395" t="str">
        <f>IF(ISBLANK(Table1[[#This Row],[oid]]),"FALSE","TRUE")</f>
        <v>TRUE</v>
      </c>
      <c r="J395" t="str" cm="1">
        <f t="array" ref="J395">_xlfn.SWITCH(LEFT(Table1[[#This Row],[section]],1), "D", "Demographic", "S", "Social", "E", "Economic", "H", "Housing", "")</f>
        <v>Social</v>
      </c>
      <c r="K395" t="s">
        <v>1362</v>
      </c>
      <c r="L395" t="s">
        <v>1363</v>
      </c>
      <c r="M395" t="str">
        <f>IF(Table1[[#This Row],[used]], _xlfn.CONCAT("🆔 ", Table1[[#This Row],[variable]], ": ",Table1[[#This Row],[alias]]), "")</f>
        <v>🆔 B14002_028E: Female: Enrolled in school: Enrolled in nursery school preschool</v>
      </c>
      <c r="O395" t="s">
        <v>1508</v>
      </c>
      <c r="P395" t="s">
        <v>1405</v>
      </c>
      <c r="Q395" t="s">
        <v>41</v>
      </c>
      <c r="R395" t="s">
        <v>1509</v>
      </c>
      <c r="S395" t="b">
        <v>1</v>
      </c>
      <c r="T395" t="b">
        <v>1</v>
      </c>
      <c r="U395" t="b">
        <v>1</v>
      </c>
      <c r="V395" t="b">
        <v>1</v>
      </c>
      <c r="W395" t="b">
        <v>1</v>
      </c>
      <c r="X395" t="b">
        <v>1</v>
      </c>
      <c r="Y395" t="b">
        <v>1</v>
      </c>
      <c r="Z395" t="b">
        <v>1</v>
      </c>
      <c r="AA395" t="b">
        <v>1</v>
      </c>
      <c r="AB395" t="b">
        <v>1</v>
      </c>
      <c r="AC395" t="b">
        <v>1</v>
      </c>
      <c r="AD395" t="b">
        <v>1</v>
      </c>
      <c r="AE395" t="b">
        <v>1</v>
      </c>
      <c r="AF395" t="b">
        <v>1</v>
      </c>
      <c r="AG395" t="b">
        <v>1</v>
      </c>
    </row>
    <row r="396" spans="1:33" x14ac:dyDescent="0.25">
      <c r="A396" t="s">
        <v>33</v>
      </c>
      <c r="B396">
        <v>15</v>
      </c>
      <c r="C396" t="b">
        <v>1</v>
      </c>
      <c r="D396" t="s">
        <v>1358</v>
      </c>
      <c r="E396" t="s">
        <v>1402</v>
      </c>
      <c r="F396" t="s">
        <v>1510</v>
      </c>
      <c r="G396" t="s">
        <v>1511</v>
      </c>
      <c r="H396">
        <v>395</v>
      </c>
      <c r="I396" t="str">
        <f>IF(ISBLANK(Table1[[#This Row],[oid]]),"FALSE","TRUE")</f>
        <v>TRUE</v>
      </c>
      <c r="J396" t="str" cm="1">
        <f t="array" ref="J396">_xlfn.SWITCH(LEFT(Table1[[#This Row],[section]],1), "D", "Demographic", "S", "Social", "E", "Economic", "H", "Housing", "")</f>
        <v>Social</v>
      </c>
      <c r="K396" t="s">
        <v>1362</v>
      </c>
      <c r="L396" t="s">
        <v>1363</v>
      </c>
      <c r="M396" t="str">
        <f>IF(Table1[[#This Row],[used]], _xlfn.CONCAT("🆔 ", Table1[[#This Row],[variable]], ": ",Table1[[#This Row],[alias]]), "")</f>
        <v>🆔 B14002_029E: Female: Enrolled in school: Enrolled in nursery school preschool: Public school</v>
      </c>
      <c r="O396" t="s">
        <v>1512</v>
      </c>
      <c r="P396" t="s">
        <v>1405</v>
      </c>
      <c r="Q396" t="s">
        <v>41</v>
      </c>
      <c r="R396" t="s">
        <v>1513</v>
      </c>
      <c r="S396" t="b">
        <v>1</v>
      </c>
      <c r="T396" t="b">
        <v>1</v>
      </c>
      <c r="U396" t="b">
        <v>1</v>
      </c>
      <c r="V396" t="b">
        <v>1</v>
      </c>
      <c r="W396" t="b">
        <v>1</v>
      </c>
      <c r="X396" t="b">
        <v>1</v>
      </c>
      <c r="Y396" t="b">
        <v>1</v>
      </c>
      <c r="Z396" t="b">
        <v>1</v>
      </c>
      <c r="AA396" t="b">
        <v>1</v>
      </c>
      <c r="AB396" t="b">
        <v>1</v>
      </c>
      <c r="AC396" t="b">
        <v>1</v>
      </c>
      <c r="AD396" t="b">
        <v>1</v>
      </c>
      <c r="AE396" t="b">
        <v>1</v>
      </c>
      <c r="AF396" t="b">
        <v>1</v>
      </c>
      <c r="AG396" t="b">
        <v>1</v>
      </c>
    </row>
    <row r="397" spans="1:33" x14ac:dyDescent="0.25">
      <c r="A397" t="s">
        <v>33</v>
      </c>
      <c r="B397">
        <v>15</v>
      </c>
      <c r="C397" t="b">
        <v>1</v>
      </c>
      <c r="D397" t="s">
        <v>1358</v>
      </c>
      <c r="E397" t="s">
        <v>1402</v>
      </c>
      <c r="F397" t="s">
        <v>1514</v>
      </c>
      <c r="G397" t="s">
        <v>1515</v>
      </c>
      <c r="H397">
        <v>396</v>
      </c>
      <c r="I397" t="str">
        <f>IF(ISBLANK(Table1[[#This Row],[oid]]),"FALSE","TRUE")</f>
        <v>TRUE</v>
      </c>
      <c r="J397" t="str" cm="1">
        <f t="array" ref="J397">_xlfn.SWITCH(LEFT(Table1[[#This Row],[section]],1), "D", "Demographic", "S", "Social", "E", "Economic", "H", "Housing", "")</f>
        <v>Social</v>
      </c>
      <c r="K397" t="s">
        <v>1362</v>
      </c>
      <c r="L397" t="s">
        <v>1363</v>
      </c>
      <c r="M397" t="str">
        <f>IF(Table1[[#This Row],[used]], _xlfn.CONCAT("🆔 ", Table1[[#This Row],[variable]], ": ",Table1[[#This Row],[alias]]), "")</f>
        <v>🆔 B14002_030E: Female: Enrolled in school: Enrolled in nursery school preschool: Private school</v>
      </c>
      <c r="O397" t="s">
        <v>1516</v>
      </c>
      <c r="P397" t="s">
        <v>1405</v>
      </c>
      <c r="Q397" t="s">
        <v>41</v>
      </c>
      <c r="R397" t="s">
        <v>1517</v>
      </c>
      <c r="S397" t="b">
        <v>1</v>
      </c>
      <c r="T397" t="b">
        <v>1</v>
      </c>
      <c r="U397" t="b">
        <v>1</v>
      </c>
      <c r="V397" t="b">
        <v>1</v>
      </c>
      <c r="W397" t="b">
        <v>1</v>
      </c>
      <c r="X397" t="b">
        <v>1</v>
      </c>
      <c r="Y397" t="b">
        <v>1</v>
      </c>
      <c r="Z397" t="b">
        <v>1</v>
      </c>
      <c r="AA397" t="b">
        <v>1</v>
      </c>
      <c r="AB397" t="b">
        <v>1</v>
      </c>
      <c r="AC397" t="b">
        <v>1</v>
      </c>
      <c r="AD397" t="b">
        <v>1</v>
      </c>
      <c r="AE397" t="b">
        <v>1</v>
      </c>
      <c r="AF397" t="b">
        <v>1</v>
      </c>
      <c r="AG397" t="b">
        <v>1</v>
      </c>
    </row>
    <row r="398" spans="1:33" x14ac:dyDescent="0.25">
      <c r="A398" t="s">
        <v>33</v>
      </c>
      <c r="B398">
        <v>15</v>
      </c>
      <c r="C398" t="b">
        <v>1</v>
      </c>
      <c r="D398" t="s">
        <v>1358</v>
      </c>
      <c r="E398" t="s">
        <v>1402</v>
      </c>
      <c r="F398" t="s">
        <v>1518</v>
      </c>
      <c r="G398" t="s">
        <v>1519</v>
      </c>
      <c r="H398">
        <v>397</v>
      </c>
      <c r="I398" t="str">
        <f>IF(ISBLANK(Table1[[#This Row],[oid]]),"FALSE","TRUE")</f>
        <v>TRUE</v>
      </c>
      <c r="J398" t="str" cm="1">
        <f t="array" ref="J398">_xlfn.SWITCH(LEFT(Table1[[#This Row],[section]],1), "D", "Demographic", "S", "Social", "E", "Economic", "H", "Housing", "")</f>
        <v>Social</v>
      </c>
      <c r="K398" t="s">
        <v>1362</v>
      </c>
      <c r="L398" t="s">
        <v>1363</v>
      </c>
      <c r="M398" t="str">
        <f>IF(Table1[[#This Row],[used]], _xlfn.CONCAT("🆔 ", Table1[[#This Row],[variable]], ": ",Table1[[#This Row],[alias]]), "")</f>
        <v>🆔 B14002_031E: Female: Enrolled in school: Enrolled in kindergarten</v>
      </c>
      <c r="O398" t="s">
        <v>1520</v>
      </c>
      <c r="P398" t="s">
        <v>1405</v>
      </c>
      <c r="Q398" t="s">
        <v>41</v>
      </c>
      <c r="R398" t="s">
        <v>1521</v>
      </c>
      <c r="S398" t="b">
        <v>1</v>
      </c>
      <c r="T398" t="b">
        <v>1</v>
      </c>
      <c r="U398" t="b">
        <v>1</v>
      </c>
      <c r="V398" t="b">
        <v>1</v>
      </c>
      <c r="W398" t="b">
        <v>1</v>
      </c>
      <c r="X398" t="b">
        <v>1</v>
      </c>
      <c r="Y398" t="b">
        <v>1</v>
      </c>
      <c r="Z398" t="b">
        <v>1</v>
      </c>
      <c r="AA398" t="b">
        <v>1</v>
      </c>
      <c r="AB398" t="b">
        <v>1</v>
      </c>
      <c r="AC398" t="b">
        <v>1</v>
      </c>
      <c r="AD398" t="b">
        <v>1</v>
      </c>
      <c r="AE398" t="b">
        <v>1</v>
      </c>
      <c r="AF398" t="b">
        <v>1</v>
      </c>
      <c r="AG398" t="b">
        <v>1</v>
      </c>
    </row>
    <row r="399" spans="1:33" x14ac:dyDescent="0.25">
      <c r="A399" t="s">
        <v>33</v>
      </c>
      <c r="B399">
        <v>15</v>
      </c>
      <c r="C399" t="b">
        <v>1</v>
      </c>
      <c r="D399" t="s">
        <v>1358</v>
      </c>
      <c r="E399" t="s">
        <v>1402</v>
      </c>
      <c r="F399" t="s">
        <v>1522</v>
      </c>
      <c r="G399" t="s">
        <v>1523</v>
      </c>
      <c r="H399">
        <v>398</v>
      </c>
      <c r="I399" t="str">
        <f>IF(ISBLANK(Table1[[#This Row],[oid]]),"FALSE","TRUE")</f>
        <v>TRUE</v>
      </c>
      <c r="J399" t="str" cm="1">
        <f t="array" ref="J399">_xlfn.SWITCH(LEFT(Table1[[#This Row],[section]],1), "D", "Demographic", "S", "Social", "E", "Economic", "H", "Housing", "")</f>
        <v>Social</v>
      </c>
      <c r="K399" t="s">
        <v>1362</v>
      </c>
      <c r="L399" t="s">
        <v>1363</v>
      </c>
      <c r="M399" t="str">
        <f>IF(Table1[[#This Row],[used]], _xlfn.CONCAT("🆔 ", Table1[[#This Row],[variable]], ": ",Table1[[#This Row],[alias]]), "")</f>
        <v>🆔 B14002_032E: Female: Enrolled in school: Enrolled in kindergarten: Public school</v>
      </c>
      <c r="O399" t="s">
        <v>1524</v>
      </c>
      <c r="P399" t="s">
        <v>1405</v>
      </c>
      <c r="Q399" t="s">
        <v>41</v>
      </c>
      <c r="R399" t="s">
        <v>1525</v>
      </c>
      <c r="S399" t="b">
        <v>1</v>
      </c>
      <c r="T399" t="b">
        <v>1</v>
      </c>
      <c r="U399" t="b">
        <v>1</v>
      </c>
      <c r="V399" t="b">
        <v>1</v>
      </c>
      <c r="W399" t="b">
        <v>1</v>
      </c>
      <c r="X399" t="b">
        <v>1</v>
      </c>
      <c r="Y399" t="b">
        <v>1</v>
      </c>
      <c r="Z399" t="b">
        <v>1</v>
      </c>
      <c r="AA399" t="b">
        <v>1</v>
      </c>
      <c r="AB399" t="b">
        <v>1</v>
      </c>
      <c r="AC399" t="b">
        <v>1</v>
      </c>
      <c r="AD399" t="b">
        <v>1</v>
      </c>
      <c r="AE399" t="b">
        <v>1</v>
      </c>
      <c r="AF399" t="b">
        <v>1</v>
      </c>
      <c r="AG399" t="b">
        <v>1</v>
      </c>
    </row>
    <row r="400" spans="1:33" x14ac:dyDescent="0.25">
      <c r="A400" t="s">
        <v>33</v>
      </c>
      <c r="B400">
        <v>15</v>
      </c>
      <c r="C400" t="b">
        <v>1</v>
      </c>
      <c r="D400" t="s">
        <v>1358</v>
      </c>
      <c r="E400" t="s">
        <v>1402</v>
      </c>
      <c r="F400" t="s">
        <v>1526</v>
      </c>
      <c r="G400" t="s">
        <v>1527</v>
      </c>
      <c r="H400">
        <v>399</v>
      </c>
      <c r="I400" t="str">
        <f>IF(ISBLANK(Table1[[#This Row],[oid]]),"FALSE","TRUE")</f>
        <v>TRUE</v>
      </c>
      <c r="J400" t="str" cm="1">
        <f t="array" ref="J400">_xlfn.SWITCH(LEFT(Table1[[#This Row],[section]],1), "D", "Demographic", "S", "Social", "E", "Economic", "H", "Housing", "")</f>
        <v>Social</v>
      </c>
      <c r="K400" t="s">
        <v>1362</v>
      </c>
      <c r="L400" t="s">
        <v>1363</v>
      </c>
      <c r="M400" t="str">
        <f>IF(Table1[[#This Row],[used]], _xlfn.CONCAT("🆔 ", Table1[[#This Row],[variable]], ": ",Table1[[#This Row],[alias]]), "")</f>
        <v>🆔 B14002_033E: Female: Enrolled in school: Enrolled in kindergarten: Private school</v>
      </c>
      <c r="O400" t="s">
        <v>1528</v>
      </c>
      <c r="P400" t="s">
        <v>1405</v>
      </c>
      <c r="Q400" t="s">
        <v>41</v>
      </c>
      <c r="R400" t="s">
        <v>1529</v>
      </c>
      <c r="S400" t="b">
        <v>1</v>
      </c>
      <c r="T400" t="b">
        <v>1</v>
      </c>
      <c r="U400" t="b">
        <v>1</v>
      </c>
      <c r="V400" t="b">
        <v>1</v>
      </c>
      <c r="W400" t="b">
        <v>1</v>
      </c>
      <c r="X400" t="b">
        <v>1</v>
      </c>
      <c r="Y400" t="b">
        <v>1</v>
      </c>
      <c r="Z400" t="b">
        <v>1</v>
      </c>
      <c r="AA400" t="b">
        <v>1</v>
      </c>
      <c r="AB400" t="b">
        <v>1</v>
      </c>
      <c r="AC400" t="b">
        <v>1</v>
      </c>
      <c r="AD400" t="b">
        <v>1</v>
      </c>
      <c r="AE400" t="b">
        <v>1</v>
      </c>
      <c r="AF400" t="b">
        <v>1</v>
      </c>
      <c r="AG400" t="b">
        <v>1</v>
      </c>
    </row>
    <row r="401" spans="1:33" x14ac:dyDescent="0.25">
      <c r="A401" t="s">
        <v>33</v>
      </c>
      <c r="B401">
        <v>15</v>
      </c>
      <c r="C401" t="b">
        <v>1</v>
      </c>
      <c r="D401" t="s">
        <v>1358</v>
      </c>
      <c r="E401" t="s">
        <v>1402</v>
      </c>
      <c r="F401" t="s">
        <v>1530</v>
      </c>
      <c r="G401" t="s">
        <v>1531</v>
      </c>
      <c r="H401">
        <v>400</v>
      </c>
      <c r="I401" t="str">
        <f>IF(ISBLANK(Table1[[#This Row],[oid]]),"FALSE","TRUE")</f>
        <v>TRUE</v>
      </c>
      <c r="J401" t="str" cm="1">
        <f t="array" ref="J401">_xlfn.SWITCH(LEFT(Table1[[#This Row],[section]],1), "D", "Demographic", "S", "Social", "E", "Economic", "H", "Housing", "")</f>
        <v>Social</v>
      </c>
      <c r="K401" t="s">
        <v>1362</v>
      </c>
      <c r="L401" t="s">
        <v>1363</v>
      </c>
      <c r="M401" t="str">
        <f>IF(Table1[[#This Row],[used]], _xlfn.CONCAT("🆔 ", Table1[[#This Row],[variable]], ": ",Table1[[#This Row],[alias]]), "")</f>
        <v>🆔 B14002_034E: Female: Enrolled in school: Enrolled in grade 1 to grade 4</v>
      </c>
      <c r="O401" t="s">
        <v>1532</v>
      </c>
      <c r="P401" t="s">
        <v>1405</v>
      </c>
      <c r="Q401" t="s">
        <v>41</v>
      </c>
      <c r="R401" t="s">
        <v>1533</v>
      </c>
      <c r="S401" t="b">
        <v>1</v>
      </c>
      <c r="T401" t="b">
        <v>1</v>
      </c>
      <c r="U401" t="b">
        <v>1</v>
      </c>
      <c r="V401" t="b">
        <v>1</v>
      </c>
      <c r="W401" t="b">
        <v>1</v>
      </c>
      <c r="X401" t="b">
        <v>1</v>
      </c>
      <c r="Y401" t="b">
        <v>1</v>
      </c>
      <c r="Z401" t="b">
        <v>1</v>
      </c>
      <c r="AA401" t="b">
        <v>1</v>
      </c>
      <c r="AB401" t="b">
        <v>1</v>
      </c>
      <c r="AC401" t="b">
        <v>1</v>
      </c>
      <c r="AD401" t="b">
        <v>1</v>
      </c>
      <c r="AE401" t="b">
        <v>1</v>
      </c>
      <c r="AF401" t="b">
        <v>1</v>
      </c>
      <c r="AG401" t="b">
        <v>1</v>
      </c>
    </row>
    <row r="402" spans="1:33" x14ac:dyDescent="0.25">
      <c r="A402" t="s">
        <v>33</v>
      </c>
      <c r="B402">
        <v>15</v>
      </c>
      <c r="C402" t="b">
        <v>1</v>
      </c>
      <c r="D402" t="s">
        <v>1358</v>
      </c>
      <c r="E402" t="s">
        <v>1402</v>
      </c>
      <c r="F402" t="s">
        <v>1534</v>
      </c>
      <c r="G402" t="s">
        <v>1535</v>
      </c>
      <c r="H402">
        <v>401</v>
      </c>
      <c r="I402" t="str">
        <f>IF(ISBLANK(Table1[[#This Row],[oid]]),"FALSE","TRUE")</f>
        <v>TRUE</v>
      </c>
      <c r="J402" t="str" cm="1">
        <f t="array" ref="J402">_xlfn.SWITCH(LEFT(Table1[[#This Row],[section]],1), "D", "Demographic", "S", "Social", "E", "Economic", "H", "Housing", "")</f>
        <v>Social</v>
      </c>
      <c r="K402" t="s">
        <v>1362</v>
      </c>
      <c r="L402" t="s">
        <v>1363</v>
      </c>
      <c r="M402" t="str">
        <f>IF(Table1[[#This Row],[used]], _xlfn.CONCAT("🆔 ", Table1[[#This Row],[variable]], ": ",Table1[[#This Row],[alias]]), "")</f>
        <v>🆔 B14002_035E: Female: Enrolled in school: Enrolled in grade 1 to grade 4: Public school</v>
      </c>
      <c r="O402" t="s">
        <v>1536</v>
      </c>
      <c r="P402" t="s">
        <v>1405</v>
      </c>
      <c r="Q402" t="s">
        <v>41</v>
      </c>
      <c r="R402" t="s">
        <v>1537</v>
      </c>
      <c r="S402" t="b">
        <v>1</v>
      </c>
      <c r="T402" t="b">
        <v>1</v>
      </c>
      <c r="U402" t="b">
        <v>1</v>
      </c>
      <c r="V402" t="b">
        <v>1</v>
      </c>
      <c r="W402" t="b">
        <v>1</v>
      </c>
      <c r="X402" t="b">
        <v>1</v>
      </c>
      <c r="Y402" t="b">
        <v>1</v>
      </c>
      <c r="Z402" t="b">
        <v>1</v>
      </c>
      <c r="AA402" t="b">
        <v>1</v>
      </c>
      <c r="AB402" t="b">
        <v>1</v>
      </c>
      <c r="AC402" t="b">
        <v>1</v>
      </c>
      <c r="AD402" t="b">
        <v>1</v>
      </c>
      <c r="AE402" t="b">
        <v>1</v>
      </c>
      <c r="AF402" t="b">
        <v>1</v>
      </c>
      <c r="AG402" t="b">
        <v>1</v>
      </c>
    </row>
    <row r="403" spans="1:33" x14ac:dyDescent="0.25">
      <c r="A403" t="s">
        <v>33</v>
      </c>
      <c r="B403">
        <v>15</v>
      </c>
      <c r="C403" t="b">
        <v>1</v>
      </c>
      <c r="D403" t="s">
        <v>1358</v>
      </c>
      <c r="E403" t="s">
        <v>1402</v>
      </c>
      <c r="F403" t="s">
        <v>1538</v>
      </c>
      <c r="G403" t="s">
        <v>1539</v>
      </c>
      <c r="H403">
        <v>402</v>
      </c>
      <c r="I403" t="str">
        <f>IF(ISBLANK(Table1[[#This Row],[oid]]),"FALSE","TRUE")</f>
        <v>TRUE</v>
      </c>
      <c r="J403" t="str" cm="1">
        <f t="array" ref="J403">_xlfn.SWITCH(LEFT(Table1[[#This Row],[section]],1), "D", "Demographic", "S", "Social", "E", "Economic", "H", "Housing", "")</f>
        <v>Social</v>
      </c>
      <c r="K403" t="s">
        <v>1362</v>
      </c>
      <c r="L403" t="s">
        <v>1363</v>
      </c>
      <c r="M403" t="str">
        <f>IF(Table1[[#This Row],[used]], _xlfn.CONCAT("🆔 ", Table1[[#This Row],[variable]], ": ",Table1[[#This Row],[alias]]), "")</f>
        <v>🆔 B14002_036E: Female: Enrolled in school: Enrolled in grade 1 to grade 4: Private school</v>
      </c>
      <c r="O403" t="s">
        <v>1540</v>
      </c>
      <c r="P403" t="s">
        <v>1405</v>
      </c>
      <c r="Q403" t="s">
        <v>41</v>
      </c>
      <c r="R403" t="s">
        <v>1541</v>
      </c>
      <c r="S403" t="b">
        <v>1</v>
      </c>
      <c r="T403" t="b">
        <v>1</v>
      </c>
      <c r="U403" t="b">
        <v>1</v>
      </c>
      <c r="V403" t="b">
        <v>1</v>
      </c>
      <c r="W403" t="b">
        <v>1</v>
      </c>
      <c r="X403" t="b">
        <v>1</v>
      </c>
      <c r="Y403" t="b">
        <v>1</v>
      </c>
      <c r="Z403" t="b">
        <v>1</v>
      </c>
      <c r="AA403" t="b">
        <v>1</v>
      </c>
      <c r="AB403" t="b">
        <v>1</v>
      </c>
      <c r="AC403" t="b">
        <v>1</v>
      </c>
      <c r="AD403" t="b">
        <v>1</v>
      </c>
      <c r="AE403" t="b">
        <v>1</v>
      </c>
      <c r="AF403" t="b">
        <v>1</v>
      </c>
      <c r="AG403" t="b">
        <v>1</v>
      </c>
    </row>
    <row r="404" spans="1:33" x14ac:dyDescent="0.25">
      <c r="A404" t="s">
        <v>33</v>
      </c>
      <c r="B404">
        <v>15</v>
      </c>
      <c r="C404" t="b">
        <v>1</v>
      </c>
      <c r="D404" t="s">
        <v>1358</v>
      </c>
      <c r="E404" t="s">
        <v>1402</v>
      </c>
      <c r="F404" t="s">
        <v>1542</v>
      </c>
      <c r="G404" t="s">
        <v>1543</v>
      </c>
      <c r="H404">
        <v>403</v>
      </c>
      <c r="I404" t="str">
        <f>IF(ISBLANK(Table1[[#This Row],[oid]]),"FALSE","TRUE")</f>
        <v>TRUE</v>
      </c>
      <c r="J404" t="str" cm="1">
        <f t="array" ref="J404">_xlfn.SWITCH(LEFT(Table1[[#This Row],[section]],1), "D", "Demographic", "S", "Social", "E", "Economic", "H", "Housing", "")</f>
        <v>Social</v>
      </c>
      <c r="K404" t="s">
        <v>1362</v>
      </c>
      <c r="L404" t="s">
        <v>1363</v>
      </c>
      <c r="M404" t="str">
        <f>IF(Table1[[#This Row],[used]], _xlfn.CONCAT("🆔 ", Table1[[#This Row],[variable]], ": ",Table1[[#This Row],[alias]]), "")</f>
        <v>🆔 B14002_037E: Female: Enrolled in school: Enrolled in grade 5 to grade 8</v>
      </c>
      <c r="O404" t="s">
        <v>1544</v>
      </c>
      <c r="P404" t="s">
        <v>1405</v>
      </c>
      <c r="Q404" t="s">
        <v>41</v>
      </c>
      <c r="R404" t="s">
        <v>1545</v>
      </c>
      <c r="S404" t="b">
        <v>1</v>
      </c>
      <c r="T404" t="b">
        <v>1</v>
      </c>
      <c r="U404" t="b">
        <v>1</v>
      </c>
      <c r="V404" t="b">
        <v>1</v>
      </c>
      <c r="W404" t="b">
        <v>1</v>
      </c>
      <c r="X404" t="b">
        <v>1</v>
      </c>
      <c r="Y404" t="b">
        <v>1</v>
      </c>
      <c r="Z404" t="b">
        <v>1</v>
      </c>
      <c r="AA404" t="b">
        <v>1</v>
      </c>
      <c r="AB404" t="b">
        <v>1</v>
      </c>
      <c r="AC404" t="b">
        <v>1</v>
      </c>
      <c r="AD404" t="b">
        <v>1</v>
      </c>
      <c r="AE404" t="b">
        <v>1</v>
      </c>
      <c r="AF404" t="b">
        <v>1</v>
      </c>
      <c r="AG404" t="b">
        <v>1</v>
      </c>
    </row>
    <row r="405" spans="1:33" x14ac:dyDescent="0.25">
      <c r="A405" t="s">
        <v>33</v>
      </c>
      <c r="B405">
        <v>15</v>
      </c>
      <c r="C405" t="b">
        <v>1</v>
      </c>
      <c r="D405" t="s">
        <v>1358</v>
      </c>
      <c r="E405" t="s">
        <v>1402</v>
      </c>
      <c r="F405" t="s">
        <v>1546</v>
      </c>
      <c r="G405" t="s">
        <v>1547</v>
      </c>
      <c r="H405">
        <v>404</v>
      </c>
      <c r="I405" t="str">
        <f>IF(ISBLANK(Table1[[#This Row],[oid]]),"FALSE","TRUE")</f>
        <v>TRUE</v>
      </c>
      <c r="J405" t="str" cm="1">
        <f t="array" ref="J405">_xlfn.SWITCH(LEFT(Table1[[#This Row],[section]],1), "D", "Demographic", "S", "Social", "E", "Economic", "H", "Housing", "")</f>
        <v>Social</v>
      </c>
      <c r="K405" t="s">
        <v>1362</v>
      </c>
      <c r="L405" t="s">
        <v>1363</v>
      </c>
      <c r="M405" t="str">
        <f>IF(Table1[[#This Row],[used]], _xlfn.CONCAT("🆔 ", Table1[[#This Row],[variable]], ": ",Table1[[#This Row],[alias]]), "")</f>
        <v>🆔 B14002_038E: Female: Enrolled in school: Enrolled in grade 5 to grade 8: Public school</v>
      </c>
      <c r="O405" t="s">
        <v>1548</v>
      </c>
      <c r="P405" t="s">
        <v>1405</v>
      </c>
      <c r="Q405" t="s">
        <v>41</v>
      </c>
      <c r="R405" t="s">
        <v>1549</v>
      </c>
      <c r="S405" t="b">
        <v>1</v>
      </c>
      <c r="T405" t="b">
        <v>1</v>
      </c>
      <c r="U405" t="b">
        <v>1</v>
      </c>
      <c r="V405" t="b">
        <v>1</v>
      </c>
      <c r="W405" t="b">
        <v>1</v>
      </c>
      <c r="X405" t="b">
        <v>1</v>
      </c>
      <c r="Y405" t="b">
        <v>1</v>
      </c>
      <c r="Z405" t="b">
        <v>1</v>
      </c>
      <c r="AA405" t="b">
        <v>1</v>
      </c>
      <c r="AB405" t="b">
        <v>1</v>
      </c>
      <c r="AC405" t="b">
        <v>1</v>
      </c>
      <c r="AD405" t="b">
        <v>1</v>
      </c>
      <c r="AE405" t="b">
        <v>1</v>
      </c>
      <c r="AF405" t="b">
        <v>1</v>
      </c>
      <c r="AG405" t="b">
        <v>1</v>
      </c>
    </row>
    <row r="406" spans="1:33" x14ac:dyDescent="0.25">
      <c r="A406" t="s">
        <v>33</v>
      </c>
      <c r="B406">
        <v>15</v>
      </c>
      <c r="C406" t="b">
        <v>1</v>
      </c>
      <c r="D406" t="s">
        <v>1358</v>
      </c>
      <c r="E406" t="s">
        <v>1402</v>
      </c>
      <c r="F406" t="s">
        <v>1550</v>
      </c>
      <c r="G406" t="s">
        <v>1551</v>
      </c>
      <c r="H406">
        <v>405</v>
      </c>
      <c r="I406" t="str">
        <f>IF(ISBLANK(Table1[[#This Row],[oid]]),"FALSE","TRUE")</f>
        <v>TRUE</v>
      </c>
      <c r="J406" t="str" cm="1">
        <f t="array" ref="J406">_xlfn.SWITCH(LEFT(Table1[[#This Row],[section]],1), "D", "Demographic", "S", "Social", "E", "Economic", "H", "Housing", "")</f>
        <v>Social</v>
      </c>
      <c r="K406" t="s">
        <v>1362</v>
      </c>
      <c r="L406" t="s">
        <v>1363</v>
      </c>
      <c r="M406" t="str">
        <f>IF(Table1[[#This Row],[used]], _xlfn.CONCAT("🆔 ", Table1[[#This Row],[variable]], ": ",Table1[[#This Row],[alias]]), "")</f>
        <v>🆔 B14002_039E: Female: Enrolled in school: Enrolled in grade 5 to grade 8: Private school</v>
      </c>
      <c r="O406" t="s">
        <v>1552</v>
      </c>
      <c r="P406" t="s">
        <v>1405</v>
      </c>
      <c r="Q406" t="s">
        <v>41</v>
      </c>
      <c r="R406" t="s">
        <v>1553</v>
      </c>
      <c r="S406" t="b">
        <v>1</v>
      </c>
      <c r="T406" t="b">
        <v>1</v>
      </c>
      <c r="U406" t="b">
        <v>1</v>
      </c>
      <c r="V406" t="b">
        <v>1</v>
      </c>
      <c r="W406" t="b">
        <v>1</v>
      </c>
      <c r="X406" t="b">
        <v>1</v>
      </c>
      <c r="Y406" t="b">
        <v>1</v>
      </c>
      <c r="Z406" t="b">
        <v>1</v>
      </c>
      <c r="AA406" t="b">
        <v>1</v>
      </c>
      <c r="AB406" t="b">
        <v>1</v>
      </c>
      <c r="AC406" t="b">
        <v>1</v>
      </c>
      <c r="AD406" t="b">
        <v>1</v>
      </c>
      <c r="AE406" t="b">
        <v>1</v>
      </c>
      <c r="AF406" t="b">
        <v>1</v>
      </c>
      <c r="AG406" t="b">
        <v>1</v>
      </c>
    </row>
    <row r="407" spans="1:33" x14ac:dyDescent="0.25">
      <c r="A407" t="s">
        <v>33</v>
      </c>
      <c r="B407">
        <v>15</v>
      </c>
      <c r="C407" t="b">
        <v>1</v>
      </c>
      <c r="D407" t="s">
        <v>1358</v>
      </c>
      <c r="E407" t="s">
        <v>1402</v>
      </c>
      <c r="F407" t="s">
        <v>1554</v>
      </c>
      <c r="G407" t="s">
        <v>1555</v>
      </c>
      <c r="H407">
        <v>406</v>
      </c>
      <c r="I407" t="str">
        <f>IF(ISBLANK(Table1[[#This Row],[oid]]),"FALSE","TRUE")</f>
        <v>TRUE</v>
      </c>
      <c r="J407" t="str" cm="1">
        <f t="array" ref="J407">_xlfn.SWITCH(LEFT(Table1[[#This Row],[section]],1), "D", "Demographic", "S", "Social", "E", "Economic", "H", "Housing", "")</f>
        <v>Social</v>
      </c>
      <c r="K407" t="s">
        <v>1362</v>
      </c>
      <c r="L407" t="s">
        <v>1363</v>
      </c>
      <c r="M407" t="str">
        <f>IF(Table1[[#This Row],[used]], _xlfn.CONCAT("🆔 ", Table1[[#This Row],[variable]], ": ",Table1[[#This Row],[alias]]), "")</f>
        <v>🆔 B14002_040E: Female: Enrolled in school: Enrolled in grade 9 to grade 12</v>
      </c>
      <c r="O407" t="s">
        <v>1556</v>
      </c>
      <c r="P407" t="s">
        <v>1405</v>
      </c>
      <c r="Q407" t="s">
        <v>41</v>
      </c>
      <c r="R407" t="s">
        <v>1557</v>
      </c>
      <c r="S407" t="b">
        <v>1</v>
      </c>
      <c r="T407" t="b">
        <v>1</v>
      </c>
      <c r="U407" t="b">
        <v>1</v>
      </c>
      <c r="V407" t="b">
        <v>1</v>
      </c>
      <c r="W407" t="b">
        <v>1</v>
      </c>
      <c r="X407" t="b">
        <v>1</v>
      </c>
      <c r="Y407" t="b">
        <v>1</v>
      </c>
      <c r="Z407" t="b">
        <v>1</v>
      </c>
      <c r="AA407" t="b">
        <v>1</v>
      </c>
      <c r="AB407" t="b">
        <v>1</v>
      </c>
      <c r="AC407" t="b">
        <v>1</v>
      </c>
      <c r="AD407" t="b">
        <v>1</v>
      </c>
      <c r="AE407" t="b">
        <v>1</v>
      </c>
      <c r="AF407" t="b">
        <v>1</v>
      </c>
      <c r="AG407" t="b">
        <v>1</v>
      </c>
    </row>
    <row r="408" spans="1:33" x14ac:dyDescent="0.25">
      <c r="A408" t="s">
        <v>33</v>
      </c>
      <c r="B408">
        <v>15</v>
      </c>
      <c r="C408" t="b">
        <v>1</v>
      </c>
      <c r="D408" t="s">
        <v>1358</v>
      </c>
      <c r="E408" t="s">
        <v>1402</v>
      </c>
      <c r="F408" t="s">
        <v>1558</v>
      </c>
      <c r="G408" t="s">
        <v>1559</v>
      </c>
      <c r="H408">
        <v>407</v>
      </c>
      <c r="I408" t="str">
        <f>IF(ISBLANK(Table1[[#This Row],[oid]]),"FALSE","TRUE")</f>
        <v>TRUE</v>
      </c>
      <c r="J408" t="str" cm="1">
        <f t="array" ref="J408">_xlfn.SWITCH(LEFT(Table1[[#This Row],[section]],1), "D", "Demographic", "S", "Social", "E", "Economic", "H", "Housing", "")</f>
        <v>Social</v>
      </c>
      <c r="K408" t="s">
        <v>1362</v>
      </c>
      <c r="L408" t="s">
        <v>1363</v>
      </c>
      <c r="M408" t="str">
        <f>IF(Table1[[#This Row],[used]], _xlfn.CONCAT("🆔 ", Table1[[#This Row],[variable]], ": ",Table1[[#This Row],[alias]]), "")</f>
        <v>🆔 B14002_041E: Female: Enrolled in school: Enrolled in grade 9 to grade 12: Public school</v>
      </c>
      <c r="O408" t="s">
        <v>1560</v>
      </c>
      <c r="P408" t="s">
        <v>1405</v>
      </c>
      <c r="Q408" t="s">
        <v>41</v>
      </c>
      <c r="R408" t="s">
        <v>1561</v>
      </c>
      <c r="S408" t="b">
        <v>1</v>
      </c>
      <c r="T408" t="b">
        <v>1</v>
      </c>
      <c r="U408" t="b">
        <v>1</v>
      </c>
      <c r="V408" t="b">
        <v>1</v>
      </c>
      <c r="W408" t="b">
        <v>1</v>
      </c>
      <c r="X408" t="b">
        <v>1</v>
      </c>
      <c r="Y408" t="b">
        <v>1</v>
      </c>
      <c r="Z408" t="b">
        <v>1</v>
      </c>
      <c r="AA408" t="b">
        <v>1</v>
      </c>
      <c r="AB408" t="b">
        <v>1</v>
      </c>
      <c r="AC408" t="b">
        <v>1</v>
      </c>
      <c r="AD408" t="b">
        <v>1</v>
      </c>
      <c r="AE408" t="b">
        <v>1</v>
      </c>
      <c r="AF408" t="b">
        <v>1</v>
      </c>
      <c r="AG408" t="b">
        <v>1</v>
      </c>
    </row>
    <row r="409" spans="1:33" x14ac:dyDescent="0.25">
      <c r="A409" t="s">
        <v>33</v>
      </c>
      <c r="B409">
        <v>15</v>
      </c>
      <c r="C409" t="b">
        <v>1</v>
      </c>
      <c r="D409" t="s">
        <v>1358</v>
      </c>
      <c r="E409" t="s">
        <v>1402</v>
      </c>
      <c r="F409" t="s">
        <v>1562</v>
      </c>
      <c r="G409" t="s">
        <v>1563</v>
      </c>
      <c r="H409">
        <v>408</v>
      </c>
      <c r="I409" t="str">
        <f>IF(ISBLANK(Table1[[#This Row],[oid]]),"FALSE","TRUE")</f>
        <v>TRUE</v>
      </c>
      <c r="J409" t="str" cm="1">
        <f t="array" ref="J409">_xlfn.SWITCH(LEFT(Table1[[#This Row],[section]],1), "D", "Demographic", "S", "Social", "E", "Economic", "H", "Housing", "")</f>
        <v>Social</v>
      </c>
      <c r="K409" t="s">
        <v>1362</v>
      </c>
      <c r="L409" t="s">
        <v>1363</v>
      </c>
      <c r="M409" t="str">
        <f>IF(Table1[[#This Row],[used]], _xlfn.CONCAT("🆔 ", Table1[[#This Row],[variable]], ": ",Table1[[#This Row],[alias]]), "")</f>
        <v>🆔 B14002_042E: Female: Enrolled in school: Enrolled in grade 9 to grade 12: Private school</v>
      </c>
      <c r="O409" t="s">
        <v>1564</v>
      </c>
      <c r="P409" t="s">
        <v>1405</v>
      </c>
      <c r="Q409" t="s">
        <v>41</v>
      </c>
      <c r="R409" t="s">
        <v>1565</v>
      </c>
      <c r="S409" t="b">
        <v>1</v>
      </c>
      <c r="T409" t="b">
        <v>1</v>
      </c>
      <c r="U409" t="b">
        <v>1</v>
      </c>
      <c r="V409" t="b">
        <v>1</v>
      </c>
      <c r="W409" t="b">
        <v>1</v>
      </c>
      <c r="X409" t="b">
        <v>1</v>
      </c>
      <c r="Y409" t="b">
        <v>1</v>
      </c>
      <c r="Z409" t="b">
        <v>1</v>
      </c>
      <c r="AA409" t="b">
        <v>1</v>
      </c>
      <c r="AB409" t="b">
        <v>1</v>
      </c>
      <c r="AC409" t="b">
        <v>1</v>
      </c>
      <c r="AD409" t="b">
        <v>1</v>
      </c>
      <c r="AE409" t="b">
        <v>1</v>
      </c>
      <c r="AF409" t="b">
        <v>1</v>
      </c>
      <c r="AG409" t="b">
        <v>1</v>
      </c>
    </row>
    <row r="410" spans="1:33" x14ac:dyDescent="0.25">
      <c r="A410" t="s">
        <v>33</v>
      </c>
      <c r="B410">
        <v>15</v>
      </c>
      <c r="C410" t="b">
        <v>1</v>
      </c>
      <c r="D410" t="s">
        <v>1358</v>
      </c>
      <c r="E410" t="s">
        <v>1402</v>
      </c>
      <c r="F410" t="s">
        <v>1566</v>
      </c>
      <c r="G410" t="s">
        <v>1567</v>
      </c>
      <c r="H410">
        <v>409</v>
      </c>
      <c r="I410" t="str">
        <f>IF(ISBLANK(Table1[[#This Row],[oid]]),"FALSE","TRUE")</f>
        <v>TRUE</v>
      </c>
      <c r="J410" t="str" cm="1">
        <f t="array" ref="J410">_xlfn.SWITCH(LEFT(Table1[[#This Row],[section]],1), "D", "Demographic", "S", "Social", "E", "Economic", "H", "Housing", "")</f>
        <v>Social</v>
      </c>
      <c r="K410" t="s">
        <v>1362</v>
      </c>
      <c r="L410" t="s">
        <v>1363</v>
      </c>
      <c r="M410" t="str">
        <f>IF(Table1[[#This Row],[used]], _xlfn.CONCAT("🆔 ", Table1[[#This Row],[variable]], ": ",Table1[[#This Row],[alias]]), "")</f>
        <v>🆔 B14002_043E: Female: Enrolled in school: Enrolled in college undergraduate years</v>
      </c>
      <c r="O410" t="s">
        <v>1568</v>
      </c>
      <c r="P410" t="s">
        <v>1405</v>
      </c>
      <c r="Q410" t="s">
        <v>41</v>
      </c>
      <c r="R410" t="s">
        <v>1569</v>
      </c>
      <c r="S410" t="b">
        <v>1</v>
      </c>
      <c r="T410" t="b">
        <v>1</v>
      </c>
      <c r="U410" t="b">
        <v>1</v>
      </c>
      <c r="V410" t="b">
        <v>1</v>
      </c>
      <c r="W410" t="b">
        <v>1</v>
      </c>
      <c r="X410" t="b">
        <v>1</v>
      </c>
      <c r="Y410" t="b">
        <v>1</v>
      </c>
      <c r="Z410" t="b">
        <v>1</v>
      </c>
      <c r="AA410" t="b">
        <v>1</v>
      </c>
      <c r="AB410" t="b">
        <v>1</v>
      </c>
      <c r="AC410" t="b">
        <v>1</v>
      </c>
      <c r="AD410" t="b">
        <v>1</v>
      </c>
      <c r="AE410" t="b">
        <v>1</v>
      </c>
      <c r="AF410" t="b">
        <v>1</v>
      </c>
      <c r="AG410" t="b">
        <v>1</v>
      </c>
    </row>
    <row r="411" spans="1:33" x14ac:dyDescent="0.25">
      <c r="A411" t="s">
        <v>33</v>
      </c>
      <c r="B411">
        <v>15</v>
      </c>
      <c r="C411" t="b">
        <v>1</v>
      </c>
      <c r="D411" t="s">
        <v>1358</v>
      </c>
      <c r="E411" t="s">
        <v>1402</v>
      </c>
      <c r="F411" t="s">
        <v>1570</v>
      </c>
      <c r="G411" t="s">
        <v>1571</v>
      </c>
      <c r="H411">
        <v>410</v>
      </c>
      <c r="I411" t="str">
        <f>IF(ISBLANK(Table1[[#This Row],[oid]]),"FALSE","TRUE")</f>
        <v>TRUE</v>
      </c>
      <c r="J411" t="str" cm="1">
        <f t="array" ref="J411">_xlfn.SWITCH(LEFT(Table1[[#This Row],[section]],1), "D", "Demographic", "S", "Social", "E", "Economic", "H", "Housing", "")</f>
        <v>Social</v>
      </c>
      <c r="K411" t="s">
        <v>1362</v>
      </c>
      <c r="L411" t="s">
        <v>1363</v>
      </c>
      <c r="M411" t="str">
        <f>IF(Table1[[#This Row],[used]], _xlfn.CONCAT("🆔 ", Table1[[#This Row],[variable]], ": ",Table1[[#This Row],[alias]]), "")</f>
        <v>🆔 B14002_044E: Female: Enrolled in school: Enrolled in college undergraduate years: Public school</v>
      </c>
      <c r="O411" t="s">
        <v>1572</v>
      </c>
      <c r="P411" t="s">
        <v>1405</v>
      </c>
      <c r="Q411" t="s">
        <v>41</v>
      </c>
      <c r="R411" t="s">
        <v>1573</v>
      </c>
      <c r="S411" t="b">
        <v>1</v>
      </c>
      <c r="T411" t="b">
        <v>1</v>
      </c>
      <c r="U411" t="b">
        <v>1</v>
      </c>
      <c r="V411" t="b">
        <v>1</v>
      </c>
      <c r="W411" t="b">
        <v>1</v>
      </c>
      <c r="X411" t="b">
        <v>1</v>
      </c>
      <c r="Y411" t="b">
        <v>1</v>
      </c>
      <c r="Z411" t="b">
        <v>1</v>
      </c>
      <c r="AA411" t="b">
        <v>1</v>
      </c>
      <c r="AB411" t="b">
        <v>1</v>
      </c>
      <c r="AC411" t="b">
        <v>1</v>
      </c>
      <c r="AD411" t="b">
        <v>1</v>
      </c>
      <c r="AE411" t="b">
        <v>1</v>
      </c>
      <c r="AF411" t="b">
        <v>1</v>
      </c>
      <c r="AG411" t="b">
        <v>1</v>
      </c>
    </row>
    <row r="412" spans="1:33" x14ac:dyDescent="0.25">
      <c r="A412" t="s">
        <v>33</v>
      </c>
      <c r="B412">
        <v>15</v>
      </c>
      <c r="C412" t="b">
        <v>1</v>
      </c>
      <c r="D412" t="s">
        <v>1358</v>
      </c>
      <c r="E412" t="s">
        <v>1402</v>
      </c>
      <c r="F412" t="s">
        <v>1574</v>
      </c>
      <c r="G412" t="s">
        <v>1575</v>
      </c>
      <c r="H412">
        <v>411</v>
      </c>
      <c r="I412" t="str">
        <f>IF(ISBLANK(Table1[[#This Row],[oid]]),"FALSE","TRUE")</f>
        <v>TRUE</v>
      </c>
      <c r="J412" t="str" cm="1">
        <f t="array" ref="J412">_xlfn.SWITCH(LEFT(Table1[[#This Row],[section]],1), "D", "Demographic", "S", "Social", "E", "Economic", "H", "Housing", "")</f>
        <v>Social</v>
      </c>
      <c r="K412" t="s">
        <v>1362</v>
      </c>
      <c r="L412" t="s">
        <v>1363</v>
      </c>
      <c r="M412" t="str">
        <f>IF(Table1[[#This Row],[used]], _xlfn.CONCAT("🆔 ", Table1[[#This Row],[variable]], ": ",Table1[[#This Row],[alias]]), "")</f>
        <v>🆔 B14002_045E: Female: Enrolled in school: Enrolled in college undergraduate years: Private school</v>
      </c>
      <c r="O412" t="s">
        <v>1576</v>
      </c>
      <c r="P412" t="s">
        <v>1405</v>
      </c>
      <c r="Q412" t="s">
        <v>41</v>
      </c>
      <c r="R412" t="s">
        <v>1577</v>
      </c>
      <c r="S412" t="b">
        <v>1</v>
      </c>
      <c r="T412" t="b">
        <v>1</v>
      </c>
      <c r="U412" t="b">
        <v>1</v>
      </c>
      <c r="V412" t="b">
        <v>1</v>
      </c>
      <c r="W412" t="b">
        <v>1</v>
      </c>
      <c r="X412" t="b">
        <v>1</v>
      </c>
      <c r="Y412" t="b">
        <v>1</v>
      </c>
      <c r="Z412" t="b">
        <v>1</v>
      </c>
      <c r="AA412" t="b">
        <v>1</v>
      </c>
      <c r="AB412" t="b">
        <v>1</v>
      </c>
      <c r="AC412" t="b">
        <v>1</v>
      </c>
      <c r="AD412" t="b">
        <v>1</v>
      </c>
      <c r="AE412" t="b">
        <v>1</v>
      </c>
      <c r="AF412" t="b">
        <v>1</v>
      </c>
      <c r="AG412" t="b">
        <v>1</v>
      </c>
    </row>
    <row r="413" spans="1:33" x14ac:dyDescent="0.25">
      <c r="A413" t="s">
        <v>33</v>
      </c>
      <c r="B413">
        <v>15</v>
      </c>
      <c r="C413" t="b">
        <v>1</v>
      </c>
      <c r="D413" t="s">
        <v>1358</v>
      </c>
      <c r="E413" t="s">
        <v>1402</v>
      </c>
      <c r="F413" t="s">
        <v>1578</v>
      </c>
      <c r="G413" t="s">
        <v>1579</v>
      </c>
      <c r="H413">
        <v>412</v>
      </c>
      <c r="I413" t="str">
        <f>IF(ISBLANK(Table1[[#This Row],[oid]]),"FALSE","TRUE")</f>
        <v>TRUE</v>
      </c>
      <c r="J413" t="str" cm="1">
        <f t="array" ref="J413">_xlfn.SWITCH(LEFT(Table1[[#This Row],[section]],1), "D", "Demographic", "S", "Social", "E", "Economic", "H", "Housing", "")</f>
        <v>Social</v>
      </c>
      <c r="K413" t="s">
        <v>1362</v>
      </c>
      <c r="L413" t="s">
        <v>1363</v>
      </c>
      <c r="M413" t="str">
        <f>IF(Table1[[#This Row],[used]], _xlfn.CONCAT("🆔 ", Table1[[#This Row],[variable]], ": ",Table1[[#This Row],[alias]]), "")</f>
        <v>🆔 B14002_046E: Female: Enrolled in school: Enrolled in graduate or professional school</v>
      </c>
      <c r="O413" t="s">
        <v>1580</v>
      </c>
      <c r="P413" t="s">
        <v>1405</v>
      </c>
      <c r="Q413" t="s">
        <v>41</v>
      </c>
      <c r="R413" t="s">
        <v>1581</v>
      </c>
      <c r="S413" t="b">
        <v>1</v>
      </c>
      <c r="T413" t="b">
        <v>1</v>
      </c>
      <c r="U413" t="b">
        <v>1</v>
      </c>
      <c r="V413" t="b">
        <v>1</v>
      </c>
      <c r="W413" t="b">
        <v>1</v>
      </c>
      <c r="X413" t="b">
        <v>1</v>
      </c>
      <c r="Y413" t="b">
        <v>1</v>
      </c>
      <c r="Z413" t="b">
        <v>1</v>
      </c>
      <c r="AA413" t="b">
        <v>1</v>
      </c>
      <c r="AB413" t="b">
        <v>1</v>
      </c>
      <c r="AC413" t="b">
        <v>1</v>
      </c>
      <c r="AD413" t="b">
        <v>1</v>
      </c>
      <c r="AE413" t="b">
        <v>1</v>
      </c>
      <c r="AF413" t="b">
        <v>1</v>
      </c>
      <c r="AG413" t="b">
        <v>1</v>
      </c>
    </row>
    <row r="414" spans="1:33" x14ac:dyDescent="0.25">
      <c r="A414" t="s">
        <v>33</v>
      </c>
      <c r="B414">
        <v>15</v>
      </c>
      <c r="C414" t="b">
        <v>1</v>
      </c>
      <c r="D414" t="s">
        <v>1358</v>
      </c>
      <c r="E414" t="s">
        <v>1402</v>
      </c>
      <c r="F414" t="s">
        <v>1582</v>
      </c>
      <c r="G414" t="s">
        <v>1583</v>
      </c>
      <c r="H414">
        <v>413</v>
      </c>
      <c r="I414" t="str">
        <f>IF(ISBLANK(Table1[[#This Row],[oid]]),"FALSE","TRUE")</f>
        <v>TRUE</v>
      </c>
      <c r="J414" t="str" cm="1">
        <f t="array" ref="J414">_xlfn.SWITCH(LEFT(Table1[[#This Row],[section]],1), "D", "Demographic", "S", "Social", "E", "Economic", "H", "Housing", "")</f>
        <v>Social</v>
      </c>
      <c r="K414" t="s">
        <v>1362</v>
      </c>
      <c r="L414" t="s">
        <v>1363</v>
      </c>
      <c r="M414" t="str">
        <f>IF(Table1[[#This Row],[used]], _xlfn.CONCAT("🆔 ", Table1[[#This Row],[variable]], ": ",Table1[[#This Row],[alias]]), "")</f>
        <v>🆔 B14002_047E: Female: Enrolled in school: Enrolled in graduate or professional school: Public school</v>
      </c>
      <c r="O414" t="s">
        <v>1584</v>
      </c>
      <c r="P414" t="s">
        <v>1405</v>
      </c>
      <c r="Q414" t="s">
        <v>41</v>
      </c>
      <c r="R414" t="s">
        <v>1585</v>
      </c>
      <c r="S414" t="b">
        <v>1</v>
      </c>
      <c r="T414" t="b">
        <v>1</v>
      </c>
      <c r="U414" t="b">
        <v>1</v>
      </c>
      <c r="V414" t="b">
        <v>1</v>
      </c>
      <c r="W414" t="b">
        <v>1</v>
      </c>
      <c r="X414" t="b">
        <v>1</v>
      </c>
      <c r="Y414" t="b">
        <v>1</v>
      </c>
      <c r="Z414" t="b">
        <v>1</v>
      </c>
      <c r="AA414" t="b">
        <v>1</v>
      </c>
      <c r="AB414" t="b">
        <v>1</v>
      </c>
      <c r="AC414" t="b">
        <v>1</v>
      </c>
      <c r="AD414" t="b">
        <v>1</v>
      </c>
      <c r="AE414" t="b">
        <v>1</v>
      </c>
      <c r="AF414" t="b">
        <v>1</v>
      </c>
      <c r="AG414" t="b">
        <v>1</v>
      </c>
    </row>
    <row r="415" spans="1:33" x14ac:dyDescent="0.25">
      <c r="A415" t="s">
        <v>33</v>
      </c>
      <c r="B415">
        <v>15</v>
      </c>
      <c r="C415" t="b">
        <v>1</v>
      </c>
      <c r="D415" t="s">
        <v>1358</v>
      </c>
      <c r="E415" t="s">
        <v>1402</v>
      </c>
      <c r="F415" t="s">
        <v>1586</v>
      </c>
      <c r="G415" t="s">
        <v>1587</v>
      </c>
      <c r="H415">
        <v>414</v>
      </c>
      <c r="I415" t="str">
        <f>IF(ISBLANK(Table1[[#This Row],[oid]]),"FALSE","TRUE")</f>
        <v>TRUE</v>
      </c>
      <c r="J415" t="str" cm="1">
        <f t="array" ref="J415">_xlfn.SWITCH(LEFT(Table1[[#This Row],[section]],1), "D", "Demographic", "S", "Social", "E", "Economic", "H", "Housing", "")</f>
        <v>Social</v>
      </c>
      <c r="K415" t="s">
        <v>1362</v>
      </c>
      <c r="L415" t="s">
        <v>1363</v>
      </c>
      <c r="M415" t="str">
        <f>IF(Table1[[#This Row],[used]], _xlfn.CONCAT("🆔 ", Table1[[#This Row],[variable]], ": ",Table1[[#This Row],[alias]]), "")</f>
        <v>🆔 B14002_048E: Female: Enrolled in school: Enrolled in graduate or professional school: Private school</v>
      </c>
      <c r="O415" t="s">
        <v>1588</v>
      </c>
      <c r="P415" t="s">
        <v>1405</v>
      </c>
      <c r="Q415" t="s">
        <v>41</v>
      </c>
      <c r="R415" t="s">
        <v>1589</v>
      </c>
      <c r="S415" t="b">
        <v>1</v>
      </c>
      <c r="T415" t="b">
        <v>1</v>
      </c>
      <c r="U415" t="b">
        <v>1</v>
      </c>
      <c r="V415" t="b">
        <v>1</v>
      </c>
      <c r="W415" t="b">
        <v>1</v>
      </c>
      <c r="X415" t="b">
        <v>1</v>
      </c>
      <c r="Y415" t="b">
        <v>1</v>
      </c>
      <c r="Z415" t="b">
        <v>1</v>
      </c>
      <c r="AA415" t="b">
        <v>1</v>
      </c>
      <c r="AB415" t="b">
        <v>1</v>
      </c>
      <c r="AC415" t="b">
        <v>1</v>
      </c>
      <c r="AD415" t="b">
        <v>1</v>
      </c>
      <c r="AE415" t="b">
        <v>1</v>
      </c>
      <c r="AF415" t="b">
        <v>1</v>
      </c>
      <c r="AG415" t="b">
        <v>1</v>
      </c>
    </row>
    <row r="416" spans="1:33" x14ac:dyDescent="0.25">
      <c r="A416" t="s">
        <v>33</v>
      </c>
      <c r="B416">
        <v>15</v>
      </c>
      <c r="C416" t="b">
        <v>1</v>
      </c>
      <c r="D416" t="s">
        <v>1358</v>
      </c>
      <c r="E416" t="s">
        <v>1402</v>
      </c>
      <c r="F416" t="s">
        <v>1590</v>
      </c>
      <c r="G416" t="s">
        <v>1591</v>
      </c>
      <c r="H416">
        <v>415</v>
      </c>
      <c r="I416" t="str">
        <f>IF(ISBLANK(Table1[[#This Row],[oid]]),"FALSE","TRUE")</f>
        <v>TRUE</v>
      </c>
      <c r="J416" t="str" cm="1">
        <f t="array" ref="J416">_xlfn.SWITCH(LEFT(Table1[[#This Row],[section]],1), "D", "Demographic", "S", "Social", "E", "Economic", "H", "Housing", "")</f>
        <v>Social</v>
      </c>
      <c r="K416" t="s">
        <v>1362</v>
      </c>
      <c r="L416" t="s">
        <v>1363</v>
      </c>
      <c r="M416" t="str">
        <f>IF(Table1[[#This Row],[used]], _xlfn.CONCAT("🆔 ", Table1[[#This Row],[variable]], ": ",Table1[[#This Row],[alias]]), "")</f>
        <v>🆔 B14002_049E: Female: Not enrolled in school</v>
      </c>
      <c r="O416" t="s">
        <v>1592</v>
      </c>
      <c r="P416" t="s">
        <v>1405</v>
      </c>
      <c r="Q416" t="s">
        <v>41</v>
      </c>
      <c r="R416" t="s">
        <v>1593</v>
      </c>
      <c r="S416" t="b">
        <v>1</v>
      </c>
      <c r="T416" t="b">
        <v>1</v>
      </c>
      <c r="U416" t="b">
        <v>1</v>
      </c>
      <c r="V416" t="b">
        <v>1</v>
      </c>
      <c r="W416" t="b">
        <v>1</v>
      </c>
      <c r="X416" t="b">
        <v>1</v>
      </c>
      <c r="Y416" t="b">
        <v>1</v>
      </c>
      <c r="Z416" t="b">
        <v>1</v>
      </c>
      <c r="AA416" t="b">
        <v>1</v>
      </c>
      <c r="AB416" t="b">
        <v>1</v>
      </c>
      <c r="AC416" t="b">
        <v>1</v>
      </c>
      <c r="AD416" t="b">
        <v>1</v>
      </c>
      <c r="AE416" t="b">
        <v>1</v>
      </c>
      <c r="AF416" t="b">
        <v>1</v>
      </c>
      <c r="AG416" t="b">
        <v>1</v>
      </c>
    </row>
    <row r="417" spans="1:33" x14ac:dyDescent="0.25">
      <c r="A417" t="s">
        <v>33</v>
      </c>
      <c r="B417">
        <v>15</v>
      </c>
      <c r="C417" t="b">
        <v>1</v>
      </c>
      <c r="D417" t="s">
        <v>1594</v>
      </c>
      <c r="E417" t="s">
        <v>1595</v>
      </c>
      <c r="F417" t="s">
        <v>1596</v>
      </c>
      <c r="G417" s="1" t="s">
        <v>1597</v>
      </c>
      <c r="H417">
        <v>416</v>
      </c>
      <c r="I417" t="str">
        <f>IF(ISBLANK(Table1[[#This Row],[oid]]),"FALSE","TRUE")</f>
        <v>TRUE</v>
      </c>
      <c r="J417" t="str" cm="1">
        <f t="array" ref="J417">_xlfn.SWITCH(LEFT(Table1[[#This Row],[section]],1), "D", "Demographic", "S", "Social", "E", "Economic", "H", "Housing", "")</f>
        <v>Social</v>
      </c>
      <c r="K417" t="s">
        <v>1598</v>
      </c>
      <c r="L417" t="s">
        <v>1599</v>
      </c>
      <c r="M417" t="str">
        <f>IF(Table1[[#This Row],[used]], _xlfn.CONCAT("🆔 ", Table1[[#This Row],[variable]], ": ",Table1[[#This Row],[alias]]), "")</f>
        <v>🆔 B15002_001E: Population 25 Years and Over</v>
      </c>
      <c r="O417" t="s">
        <v>39</v>
      </c>
      <c r="P417" t="s">
        <v>1600</v>
      </c>
      <c r="Q417" t="s">
        <v>41</v>
      </c>
      <c r="R417" t="s">
        <v>1601</v>
      </c>
      <c r="S417" t="b">
        <v>1</v>
      </c>
      <c r="T417" t="b">
        <v>1</v>
      </c>
      <c r="U417" t="b">
        <v>1</v>
      </c>
      <c r="V417" t="b">
        <v>1</v>
      </c>
      <c r="W417" t="b">
        <v>1</v>
      </c>
      <c r="X417" t="b">
        <v>1</v>
      </c>
      <c r="Y417" t="b">
        <v>1</v>
      </c>
      <c r="Z417" t="b">
        <v>1</v>
      </c>
      <c r="AA417" t="b">
        <v>1</v>
      </c>
      <c r="AB417" t="b">
        <v>1</v>
      </c>
      <c r="AC417" t="b">
        <v>1</v>
      </c>
      <c r="AD417" t="b">
        <v>1</v>
      </c>
      <c r="AE417" t="b">
        <v>1</v>
      </c>
      <c r="AF417" t="b">
        <v>1</v>
      </c>
      <c r="AG417" t="b">
        <v>1</v>
      </c>
    </row>
    <row r="418" spans="1:33" x14ac:dyDescent="0.25">
      <c r="A418" t="s">
        <v>33</v>
      </c>
      <c r="B418">
        <v>15</v>
      </c>
      <c r="C418" t="b">
        <v>1</v>
      </c>
      <c r="D418" t="s">
        <v>1594</v>
      </c>
      <c r="E418" t="s">
        <v>1595</v>
      </c>
      <c r="F418" t="s">
        <v>1602</v>
      </c>
      <c r="G418" t="s">
        <v>1603</v>
      </c>
      <c r="H418">
        <v>417</v>
      </c>
      <c r="I418" t="str">
        <f>IF(ISBLANK(Table1[[#This Row],[oid]]),"FALSE","TRUE")</f>
        <v>TRUE</v>
      </c>
      <c r="J418" t="str" cm="1">
        <f t="array" ref="J418">_xlfn.SWITCH(LEFT(Table1[[#This Row],[section]],1), "D", "Demographic", "S", "Social", "E", "Economic", "H", "Housing", "")</f>
        <v>Social</v>
      </c>
      <c r="K418" t="s">
        <v>1598</v>
      </c>
      <c r="L418" t="s">
        <v>1599</v>
      </c>
      <c r="M418" t="str">
        <f>IF(Table1[[#This Row],[used]], _xlfn.CONCAT("🆔 ", Table1[[#This Row],[variable]], ": ",Table1[[#This Row],[alias]]), "")</f>
        <v>🆔 B15002_002E: Male, 25+ years</v>
      </c>
      <c r="O418" t="s">
        <v>52</v>
      </c>
      <c r="P418" t="s">
        <v>1600</v>
      </c>
      <c r="Q418" t="s">
        <v>41</v>
      </c>
      <c r="R418" t="s">
        <v>1604</v>
      </c>
      <c r="S418" t="b">
        <v>1</v>
      </c>
      <c r="T418" t="b">
        <v>1</v>
      </c>
      <c r="U418" t="b">
        <v>1</v>
      </c>
      <c r="V418" t="b">
        <v>1</v>
      </c>
      <c r="W418" t="b">
        <v>1</v>
      </c>
      <c r="X418" t="b">
        <v>1</v>
      </c>
      <c r="Y418" t="b">
        <v>1</v>
      </c>
      <c r="Z418" t="b">
        <v>1</v>
      </c>
      <c r="AA418" t="b">
        <v>1</v>
      </c>
      <c r="AB418" t="b">
        <v>1</v>
      </c>
      <c r="AC418" t="b">
        <v>1</v>
      </c>
      <c r="AD418" t="b">
        <v>1</v>
      </c>
      <c r="AE418" t="b">
        <v>1</v>
      </c>
      <c r="AF418" t="b">
        <v>1</v>
      </c>
      <c r="AG418" t="b">
        <v>1</v>
      </c>
    </row>
    <row r="419" spans="1:33" x14ac:dyDescent="0.25">
      <c r="A419" t="s">
        <v>33</v>
      </c>
      <c r="B419">
        <v>15</v>
      </c>
      <c r="C419" t="b">
        <v>1</v>
      </c>
      <c r="D419" t="s">
        <v>1594</v>
      </c>
      <c r="E419" t="s">
        <v>1595</v>
      </c>
      <c r="F419" t="s">
        <v>1605</v>
      </c>
      <c r="G419" t="s">
        <v>1606</v>
      </c>
      <c r="H419">
        <v>418</v>
      </c>
      <c r="I419" t="str">
        <f>IF(ISBLANK(Table1[[#This Row],[oid]]),"FALSE","TRUE")</f>
        <v>TRUE</v>
      </c>
      <c r="J419" t="str" cm="1">
        <f t="array" ref="J419">_xlfn.SWITCH(LEFT(Table1[[#This Row],[section]],1), "D", "Demographic", "S", "Social", "E", "Economic", "H", "Housing", "")</f>
        <v>Social</v>
      </c>
      <c r="K419" t="s">
        <v>1598</v>
      </c>
      <c r="L419" t="s">
        <v>1599</v>
      </c>
      <c r="M419" t="str">
        <f>IF(Table1[[#This Row],[used]], _xlfn.CONCAT("🆔 ", Table1[[#This Row],[variable]], ": ",Table1[[#This Row],[alias]]), "")</f>
        <v>🆔 B15002_003E: Male: No schooling completed</v>
      </c>
      <c r="O419" t="s">
        <v>1607</v>
      </c>
      <c r="P419" t="s">
        <v>1600</v>
      </c>
      <c r="Q419" t="s">
        <v>41</v>
      </c>
      <c r="R419" t="s">
        <v>1608</v>
      </c>
      <c r="S419" t="b">
        <v>1</v>
      </c>
      <c r="T419" t="b">
        <v>1</v>
      </c>
      <c r="U419" t="b">
        <v>1</v>
      </c>
      <c r="V419" t="b">
        <v>1</v>
      </c>
      <c r="W419" t="b">
        <v>1</v>
      </c>
      <c r="X419" t="b">
        <v>1</v>
      </c>
      <c r="Y419" t="b">
        <v>1</v>
      </c>
      <c r="Z419" t="b">
        <v>1</v>
      </c>
      <c r="AA419" t="b">
        <v>1</v>
      </c>
      <c r="AB419" t="b">
        <v>1</v>
      </c>
      <c r="AC419" t="b">
        <v>1</v>
      </c>
      <c r="AD419" t="b">
        <v>1</v>
      </c>
      <c r="AE419" t="b">
        <v>1</v>
      </c>
      <c r="AF419" t="b">
        <v>1</v>
      </c>
      <c r="AG419" t="b">
        <v>1</v>
      </c>
    </row>
    <row r="420" spans="1:33" x14ac:dyDescent="0.25">
      <c r="A420" t="s">
        <v>33</v>
      </c>
      <c r="B420">
        <v>15</v>
      </c>
      <c r="C420" t="b">
        <v>1</v>
      </c>
      <c r="D420" t="s">
        <v>1594</v>
      </c>
      <c r="E420" t="s">
        <v>1595</v>
      </c>
      <c r="F420" t="s">
        <v>1609</v>
      </c>
      <c r="G420" t="s">
        <v>1610</v>
      </c>
      <c r="H420">
        <v>419</v>
      </c>
      <c r="I420" t="str">
        <f>IF(ISBLANK(Table1[[#This Row],[oid]]),"FALSE","TRUE")</f>
        <v>TRUE</v>
      </c>
      <c r="J420" t="str" cm="1">
        <f t="array" ref="J420">_xlfn.SWITCH(LEFT(Table1[[#This Row],[section]],1), "D", "Demographic", "S", "Social", "E", "Economic", "H", "Housing", "")</f>
        <v>Social</v>
      </c>
      <c r="K420" t="s">
        <v>1598</v>
      </c>
      <c r="L420" t="s">
        <v>1599</v>
      </c>
      <c r="M420" t="str">
        <f>IF(Table1[[#This Row],[used]], _xlfn.CONCAT("🆔 ", Table1[[#This Row],[variable]], ": ",Table1[[#This Row],[alias]]), "")</f>
        <v>🆔 B15002_004E: Male: Nursery to 4th grade</v>
      </c>
      <c r="O420" t="s">
        <v>1611</v>
      </c>
      <c r="P420" t="s">
        <v>1600</v>
      </c>
      <c r="Q420" t="s">
        <v>41</v>
      </c>
      <c r="R420" t="s">
        <v>1612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</row>
    <row r="421" spans="1:33" x14ac:dyDescent="0.25">
      <c r="A421" t="s">
        <v>33</v>
      </c>
      <c r="B421">
        <v>15</v>
      </c>
      <c r="C421" t="b">
        <v>1</v>
      </c>
      <c r="D421" t="s">
        <v>1594</v>
      </c>
      <c r="E421" t="s">
        <v>1595</v>
      </c>
      <c r="F421" t="s">
        <v>1613</v>
      </c>
      <c r="G421" t="s">
        <v>1614</v>
      </c>
      <c r="H421">
        <v>420</v>
      </c>
      <c r="I421" t="str">
        <f>IF(ISBLANK(Table1[[#This Row],[oid]]),"FALSE","TRUE")</f>
        <v>TRUE</v>
      </c>
      <c r="J421" t="str" cm="1">
        <f t="array" ref="J421">_xlfn.SWITCH(LEFT(Table1[[#This Row],[section]],1), "D", "Demographic", "S", "Social", "E", "Economic", "H", "Housing", "")</f>
        <v>Social</v>
      </c>
      <c r="K421" t="s">
        <v>1598</v>
      </c>
      <c r="L421" t="s">
        <v>1599</v>
      </c>
      <c r="M421" t="str">
        <f>IF(Table1[[#This Row],[used]], _xlfn.CONCAT("🆔 ", Table1[[#This Row],[variable]], ": ",Table1[[#This Row],[alias]]), "")</f>
        <v>🆔 B15002_005E: Male: 5th and 6th grade</v>
      </c>
      <c r="O421" t="s">
        <v>1615</v>
      </c>
      <c r="P421" t="s">
        <v>1600</v>
      </c>
      <c r="Q421" t="s">
        <v>41</v>
      </c>
      <c r="R421" t="s">
        <v>1616</v>
      </c>
      <c r="S421" t="b">
        <v>1</v>
      </c>
      <c r="T421" t="b">
        <v>1</v>
      </c>
      <c r="U421" t="b">
        <v>1</v>
      </c>
      <c r="V421" t="b">
        <v>1</v>
      </c>
      <c r="W421" t="b">
        <v>1</v>
      </c>
      <c r="X421" t="b">
        <v>1</v>
      </c>
      <c r="Y421" t="b">
        <v>1</v>
      </c>
      <c r="Z421" t="b">
        <v>1</v>
      </c>
      <c r="AA421" t="b">
        <v>1</v>
      </c>
      <c r="AB421" t="b">
        <v>1</v>
      </c>
      <c r="AC421" t="b">
        <v>1</v>
      </c>
      <c r="AD421" t="b">
        <v>1</v>
      </c>
      <c r="AE421" t="b">
        <v>1</v>
      </c>
      <c r="AF421" t="b">
        <v>1</v>
      </c>
      <c r="AG421" t="b">
        <v>1</v>
      </c>
    </row>
    <row r="422" spans="1:33" x14ac:dyDescent="0.25">
      <c r="A422" t="s">
        <v>33</v>
      </c>
      <c r="B422">
        <v>15</v>
      </c>
      <c r="C422" t="b">
        <v>1</v>
      </c>
      <c r="D422" t="s">
        <v>1594</v>
      </c>
      <c r="E422" t="s">
        <v>1595</v>
      </c>
      <c r="F422" t="s">
        <v>1617</v>
      </c>
      <c r="G422" t="s">
        <v>1618</v>
      </c>
      <c r="H422">
        <v>421</v>
      </c>
      <c r="I422" t="str">
        <f>IF(ISBLANK(Table1[[#This Row],[oid]]),"FALSE","TRUE")</f>
        <v>TRUE</v>
      </c>
      <c r="J422" t="str" cm="1">
        <f t="array" ref="J422">_xlfn.SWITCH(LEFT(Table1[[#This Row],[section]],1), "D", "Demographic", "S", "Social", "E", "Economic", "H", "Housing", "")</f>
        <v>Social</v>
      </c>
      <c r="K422" t="s">
        <v>1598</v>
      </c>
      <c r="L422" t="s">
        <v>1599</v>
      </c>
      <c r="M422" t="str">
        <f>IF(Table1[[#This Row],[used]], _xlfn.CONCAT("🆔 ", Table1[[#This Row],[variable]], ": ",Table1[[#This Row],[alias]]), "")</f>
        <v>🆔 B15002_006E: Male: 7th and 8th grade</v>
      </c>
      <c r="O422" t="s">
        <v>1619</v>
      </c>
      <c r="P422" t="s">
        <v>1600</v>
      </c>
      <c r="Q422" t="s">
        <v>41</v>
      </c>
      <c r="R422" t="s">
        <v>1620</v>
      </c>
      <c r="S422" t="b">
        <v>1</v>
      </c>
      <c r="T422" t="b">
        <v>1</v>
      </c>
      <c r="U422" t="b">
        <v>1</v>
      </c>
      <c r="V422" t="b">
        <v>1</v>
      </c>
      <c r="W422" t="b">
        <v>1</v>
      </c>
      <c r="X422" t="b">
        <v>1</v>
      </c>
      <c r="Y422" t="b">
        <v>1</v>
      </c>
      <c r="Z422" t="b">
        <v>1</v>
      </c>
      <c r="AA422" t="b">
        <v>1</v>
      </c>
      <c r="AB422" t="b">
        <v>1</v>
      </c>
      <c r="AC422" t="b">
        <v>1</v>
      </c>
      <c r="AD422" t="b">
        <v>1</v>
      </c>
      <c r="AE422" t="b">
        <v>1</v>
      </c>
      <c r="AF422" t="b">
        <v>1</v>
      </c>
      <c r="AG422" t="b">
        <v>1</v>
      </c>
    </row>
    <row r="423" spans="1:33" x14ac:dyDescent="0.25">
      <c r="A423" t="s">
        <v>33</v>
      </c>
      <c r="B423">
        <v>15</v>
      </c>
      <c r="C423" t="b">
        <v>1</v>
      </c>
      <c r="D423" t="s">
        <v>1594</v>
      </c>
      <c r="E423" t="s">
        <v>1595</v>
      </c>
      <c r="F423" t="s">
        <v>1621</v>
      </c>
      <c r="G423" t="s">
        <v>1622</v>
      </c>
      <c r="H423">
        <v>422</v>
      </c>
      <c r="I423" t="str">
        <f>IF(ISBLANK(Table1[[#This Row],[oid]]),"FALSE","TRUE")</f>
        <v>TRUE</v>
      </c>
      <c r="J423" t="str" cm="1">
        <f t="array" ref="J423">_xlfn.SWITCH(LEFT(Table1[[#This Row],[section]],1), "D", "Demographic", "S", "Social", "E", "Economic", "H", "Housing", "")</f>
        <v>Social</v>
      </c>
      <c r="K423" t="s">
        <v>1598</v>
      </c>
      <c r="L423" t="s">
        <v>1599</v>
      </c>
      <c r="M423" t="str">
        <f>IF(Table1[[#This Row],[used]], _xlfn.CONCAT("🆔 ", Table1[[#This Row],[variable]], ": ",Table1[[#This Row],[alias]]), "")</f>
        <v>🆔 B15002_007E: Male: 9th grade</v>
      </c>
      <c r="O423" t="s">
        <v>1623</v>
      </c>
      <c r="P423" t="s">
        <v>1600</v>
      </c>
      <c r="Q423" t="s">
        <v>41</v>
      </c>
      <c r="R423" t="s">
        <v>1624</v>
      </c>
      <c r="S423" t="b">
        <v>1</v>
      </c>
      <c r="T423" t="b">
        <v>1</v>
      </c>
      <c r="U423" t="b">
        <v>1</v>
      </c>
      <c r="V423" t="b">
        <v>1</v>
      </c>
      <c r="W423" t="b">
        <v>1</v>
      </c>
      <c r="X423" t="b">
        <v>1</v>
      </c>
      <c r="Y423" t="b">
        <v>1</v>
      </c>
      <c r="Z423" t="b">
        <v>1</v>
      </c>
      <c r="AA423" t="b">
        <v>1</v>
      </c>
      <c r="AB423" t="b">
        <v>1</v>
      </c>
      <c r="AC423" t="b">
        <v>1</v>
      </c>
      <c r="AD423" t="b">
        <v>1</v>
      </c>
      <c r="AE423" t="b">
        <v>1</v>
      </c>
      <c r="AF423" t="b">
        <v>1</v>
      </c>
      <c r="AG423" t="b">
        <v>1</v>
      </c>
    </row>
    <row r="424" spans="1:33" x14ac:dyDescent="0.25">
      <c r="A424" t="s">
        <v>33</v>
      </c>
      <c r="B424">
        <v>15</v>
      </c>
      <c r="C424" t="b">
        <v>1</v>
      </c>
      <c r="D424" t="s">
        <v>1594</v>
      </c>
      <c r="E424" t="s">
        <v>1595</v>
      </c>
      <c r="F424" t="s">
        <v>1625</v>
      </c>
      <c r="G424" t="s">
        <v>1626</v>
      </c>
      <c r="H424">
        <v>423</v>
      </c>
      <c r="I424" t="str">
        <f>IF(ISBLANK(Table1[[#This Row],[oid]]),"FALSE","TRUE")</f>
        <v>TRUE</v>
      </c>
      <c r="J424" t="str" cm="1">
        <f t="array" ref="J424">_xlfn.SWITCH(LEFT(Table1[[#This Row],[section]],1), "D", "Demographic", "S", "Social", "E", "Economic", "H", "Housing", "")</f>
        <v>Social</v>
      </c>
      <c r="K424" t="s">
        <v>1598</v>
      </c>
      <c r="L424" t="s">
        <v>1599</v>
      </c>
      <c r="M424" t="str">
        <f>IF(Table1[[#This Row],[used]], _xlfn.CONCAT("🆔 ", Table1[[#This Row],[variable]], ": ",Table1[[#This Row],[alias]]), "")</f>
        <v>🆔 B15002_008E: Male: 10th grade</v>
      </c>
      <c r="O424" t="s">
        <v>1627</v>
      </c>
      <c r="P424" t="s">
        <v>1600</v>
      </c>
      <c r="Q424" t="s">
        <v>41</v>
      </c>
      <c r="R424" t="s">
        <v>1628</v>
      </c>
      <c r="S424" t="b">
        <v>1</v>
      </c>
      <c r="T424" t="b">
        <v>1</v>
      </c>
      <c r="U424" t="b">
        <v>1</v>
      </c>
      <c r="V424" t="b">
        <v>1</v>
      </c>
      <c r="W424" t="b">
        <v>1</v>
      </c>
      <c r="X424" t="b">
        <v>1</v>
      </c>
      <c r="Y424" t="b">
        <v>1</v>
      </c>
      <c r="Z424" t="b">
        <v>1</v>
      </c>
      <c r="AA424" t="b">
        <v>1</v>
      </c>
      <c r="AB424" t="b">
        <v>1</v>
      </c>
      <c r="AC424" t="b">
        <v>1</v>
      </c>
      <c r="AD424" t="b">
        <v>1</v>
      </c>
      <c r="AE424" t="b">
        <v>1</v>
      </c>
      <c r="AF424" t="b">
        <v>1</v>
      </c>
      <c r="AG424" t="b">
        <v>1</v>
      </c>
    </row>
    <row r="425" spans="1:33" x14ac:dyDescent="0.25">
      <c r="A425" t="s">
        <v>33</v>
      </c>
      <c r="B425">
        <v>15</v>
      </c>
      <c r="C425" t="b">
        <v>1</v>
      </c>
      <c r="D425" t="s">
        <v>1594</v>
      </c>
      <c r="E425" t="s">
        <v>1595</v>
      </c>
      <c r="F425" t="s">
        <v>1629</v>
      </c>
      <c r="G425" t="s">
        <v>1630</v>
      </c>
      <c r="H425">
        <v>424</v>
      </c>
      <c r="I425" t="str">
        <f>IF(ISBLANK(Table1[[#This Row],[oid]]),"FALSE","TRUE")</f>
        <v>TRUE</v>
      </c>
      <c r="J425" t="str" cm="1">
        <f t="array" ref="J425">_xlfn.SWITCH(LEFT(Table1[[#This Row],[section]],1), "D", "Demographic", "S", "Social", "E", "Economic", "H", "Housing", "")</f>
        <v>Social</v>
      </c>
      <c r="K425" t="s">
        <v>1598</v>
      </c>
      <c r="L425" t="s">
        <v>1599</v>
      </c>
      <c r="M425" t="str">
        <f>IF(Table1[[#This Row],[used]], _xlfn.CONCAT("🆔 ", Table1[[#This Row],[variable]], ": ",Table1[[#This Row],[alias]]), "")</f>
        <v>🆔 B15002_009E: Male: 11th grade</v>
      </c>
      <c r="O425" t="s">
        <v>1631</v>
      </c>
      <c r="P425" t="s">
        <v>1600</v>
      </c>
      <c r="Q425" t="s">
        <v>41</v>
      </c>
      <c r="R425" t="s">
        <v>1632</v>
      </c>
      <c r="S425" t="b">
        <v>1</v>
      </c>
      <c r="T425" t="b">
        <v>1</v>
      </c>
      <c r="U425" t="b">
        <v>1</v>
      </c>
      <c r="V425" t="b">
        <v>1</v>
      </c>
      <c r="W425" t="b">
        <v>1</v>
      </c>
      <c r="X425" t="b">
        <v>1</v>
      </c>
      <c r="Y425" t="b">
        <v>1</v>
      </c>
      <c r="Z425" t="b">
        <v>1</v>
      </c>
      <c r="AA425" t="b">
        <v>1</v>
      </c>
      <c r="AB425" t="b">
        <v>1</v>
      </c>
      <c r="AC425" t="b">
        <v>1</v>
      </c>
      <c r="AD425" t="b">
        <v>1</v>
      </c>
      <c r="AE425" t="b">
        <v>1</v>
      </c>
      <c r="AF425" t="b">
        <v>1</v>
      </c>
      <c r="AG425" t="b">
        <v>1</v>
      </c>
    </row>
    <row r="426" spans="1:33" x14ac:dyDescent="0.25">
      <c r="A426" t="s">
        <v>33</v>
      </c>
      <c r="B426">
        <v>15</v>
      </c>
      <c r="C426" t="b">
        <v>1</v>
      </c>
      <c r="D426" t="s">
        <v>1594</v>
      </c>
      <c r="E426" t="s">
        <v>1595</v>
      </c>
      <c r="F426" t="s">
        <v>1633</v>
      </c>
      <c r="G426" t="s">
        <v>1634</v>
      </c>
      <c r="H426">
        <v>425</v>
      </c>
      <c r="I426" t="str">
        <f>IF(ISBLANK(Table1[[#This Row],[oid]]),"FALSE","TRUE")</f>
        <v>TRUE</v>
      </c>
      <c r="J426" t="str" cm="1">
        <f t="array" ref="J426">_xlfn.SWITCH(LEFT(Table1[[#This Row],[section]],1), "D", "Demographic", "S", "Social", "E", "Economic", "H", "Housing", "")</f>
        <v>Social</v>
      </c>
      <c r="K426" t="s">
        <v>1598</v>
      </c>
      <c r="L426" t="s">
        <v>1599</v>
      </c>
      <c r="M426" t="str">
        <f>IF(Table1[[#This Row],[used]], _xlfn.CONCAT("🆔 ", Table1[[#This Row],[variable]], ": ",Table1[[#This Row],[alias]]), "")</f>
        <v>🆔 B15002_010E: Male: 12th grade no diploma</v>
      </c>
      <c r="O426" t="s">
        <v>1635</v>
      </c>
      <c r="P426" t="s">
        <v>1600</v>
      </c>
      <c r="Q426" t="s">
        <v>41</v>
      </c>
      <c r="R426" t="s">
        <v>1636</v>
      </c>
      <c r="S426" t="b">
        <v>1</v>
      </c>
      <c r="T426" t="b">
        <v>1</v>
      </c>
      <c r="U426" t="b">
        <v>1</v>
      </c>
      <c r="V426" t="b">
        <v>1</v>
      </c>
      <c r="W426" t="b">
        <v>1</v>
      </c>
      <c r="X426" t="b">
        <v>1</v>
      </c>
      <c r="Y426" t="b">
        <v>1</v>
      </c>
      <c r="Z426" t="b">
        <v>1</v>
      </c>
      <c r="AA426" t="b">
        <v>1</v>
      </c>
      <c r="AB426" t="b">
        <v>1</v>
      </c>
      <c r="AC426" t="b">
        <v>1</v>
      </c>
      <c r="AD426" t="b">
        <v>1</v>
      </c>
      <c r="AE426" t="b">
        <v>1</v>
      </c>
      <c r="AF426" t="b">
        <v>1</v>
      </c>
      <c r="AG426" t="b">
        <v>1</v>
      </c>
    </row>
    <row r="427" spans="1:33" x14ac:dyDescent="0.25">
      <c r="A427" t="s">
        <v>1637</v>
      </c>
      <c r="B427">
        <v>3</v>
      </c>
      <c r="C427" t="b">
        <v>0</v>
      </c>
      <c r="D427" t="s">
        <v>1594</v>
      </c>
      <c r="E427" t="s">
        <v>1595</v>
      </c>
      <c r="F427" t="s">
        <v>1638</v>
      </c>
      <c r="G427" t="s">
        <v>1639</v>
      </c>
      <c r="H427">
        <v>426</v>
      </c>
      <c r="I427" t="str">
        <f>IF(ISBLANK(Table1[[#This Row],[oid]]),"FALSE","TRUE")</f>
        <v>TRUE</v>
      </c>
      <c r="J427" t="str" cm="1">
        <f t="array" ref="J427">_xlfn.SWITCH(LEFT(Table1[[#This Row],[section]],1), "D", "Demographic", "S", "Social", "E", "Economic", "H", "Housing", "")</f>
        <v>Social</v>
      </c>
      <c r="K427" t="s">
        <v>1598</v>
      </c>
      <c r="L427" t="s">
        <v>1599</v>
      </c>
      <c r="M427" t="str">
        <f>IF(Table1[[#This Row],[used]], _xlfn.CONCAT("🆔 ", Table1[[#This Row],[variable]], ": ",Table1[[#This Row],[alias]]), "")</f>
        <v>🆔 B15002_011E: Male: High school graduate GED or alternative</v>
      </c>
      <c r="O427" t="s">
        <v>1640</v>
      </c>
      <c r="P427" t="s">
        <v>1600</v>
      </c>
      <c r="Q427" t="s">
        <v>41</v>
      </c>
      <c r="R427" t="s">
        <v>1641</v>
      </c>
      <c r="S427" t="b">
        <v>1</v>
      </c>
      <c r="T427" t="b">
        <v>1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</row>
    <row r="428" spans="1:33" x14ac:dyDescent="0.25">
      <c r="A428" t="s">
        <v>1642</v>
      </c>
      <c r="B428">
        <v>12</v>
      </c>
      <c r="C428" t="b">
        <v>0</v>
      </c>
      <c r="D428" t="s">
        <v>1594</v>
      </c>
      <c r="E428" t="s">
        <v>1595</v>
      </c>
      <c r="F428" t="s">
        <v>1638</v>
      </c>
      <c r="G428" t="s">
        <v>1643</v>
      </c>
      <c r="H428">
        <v>427</v>
      </c>
      <c r="I428" t="str">
        <f>IF(ISBLANK(Table1[[#This Row],[oid]]),"FALSE","TRUE")</f>
        <v>TRUE</v>
      </c>
      <c r="J428" t="str" cm="1">
        <f t="array" ref="J428">_xlfn.SWITCH(LEFT(Table1[[#This Row],[section]],1), "D", "Demographic", "S", "Social", "E", "Economic", "H", "Housing", "")</f>
        <v>Social</v>
      </c>
      <c r="K428" t="s">
        <v>1598</v>
      </c>
      <c r="L428" t="s">
        <v>1599</v>
      </c>
      <c r="M428" t="str">
        <f>IF(Table1[[#This Row],[used]], _xlfn.CONCAT("🆔 ", Table1[[#This Row],[variable]], ": ",Table1[[#This Row],[alias]]), "")</f>
        <v>🆔 B15002_011E: Male: High school graduate includes equivalency</v>
      </c>
      <c r="O428" t="s">
        <v>1644</v>
      </c>
      <c r="P428" t="s">
        <v>1600</v>
      </c>
      <c r="Q428" t="s">
        <v>41</v>
      </c>
      <c r="R428" t="s">
        <v>1641</v>
      </c>
      <c r="S428" t="b">
        <v>0</v>
      </c>
      <c r="T428" t="b">
        <v>0</v>
      </c>
      <c r="U428" t="b">
        <v>0</v>
      </c>
      <c r="V428" t="b">
        <v>1</v>
      </c>
      <c r="W428" t="b">
        <v>1</v>
      </c>
      <c r="X428" t="b">
        <v>1</v>
      </c>
      <c r="Y428" t="b">
        <v>1</v>
      </c>
      <c r="Z428" t="b">
        <v>1</v>
      </c>
      <c r="AA428" t="b">
        <v>1</v>
      </c>
      <c r="AB428" t="b">
        <v>1</v>
      </c>
      <c r="AC428" t="b">
        <v>1</v>
      </c>
      <c r="AD428" t="b">
        <v>1</v>
      </c>
      <c r="AE428" t="b">
        <v>1</v>
      </c>
      <c r="AF428" t="b">
        <v>1</v>
      </c>
      <c r="AG428" t="b">
        <v>1</v>
      </c>
    </row>
    <row r="429" spans="1:33" x14ac:dyDescent="0.25">
      <c r="A429" t="s">
        <v>33</v>
      </c>
      <c r="B429">
        <v>15</v>
      </c>
      <c r="C429" t="b">
        <v>1</v>
      </c>
      <c r="D429" t="s">
        <v>1594</v>
      </c>
      <c r="E429" t="s">
        <v>1595</v>
      </c>
      <c r="F429" t="s">
        <v>1645</v>
      </c>
      <c r="G429" t="s">
        <v>1646</v>
      </c>
      <c r="H429">
        <v>428</v>
      </c>
      <c r="I429" t="str">
        <f>IF(ISBLANK(Table1[[#This Row],[oid]]),"FALSE","TRUE")</f>
        <v>TRUE</v>
      </c>
      <c r="J429" t="str" cm="1">
        <f t="array" ref="J429">_xlfn.SWITCH(LEFT(Table1[[#This Row],[section]],1), "D", "Demographic", "S", "Social", "E", "Economic", "H", "Housing", "")</f>
        <v>Social</v>
      </c>
      <c r="K429" t="s">
        <v>1598</v>
      </c>
      <c r="L429" t="s">
        <v>1599</v>
      </c>
      <c r="M429" t="str">
        <f>IF(Table1[[#This Row],[used]], _xlfn.CONCAT("🆔 ", Table1[[#This Row],[variable]], ": ",Table1[[#This Row],[alias]]), "")</f>
        <v>🆔 B15002_012E: Male: Some college less than 1 year</v>
      </c>
      <c r="O429" t="s">
        <v>1647</v>
      </c>
      <c r="P429" t="s">
        <v>1600</v>
      </c>
      <c r="Q429" t="s">
        <v>41</v>
      </c>
      <c r="R429" t="s">
        <v>1648</v>
      </c>
      <c r="S429" t="b">
        <v>1</v>
      </c>
      <c r="T429" t="b">
        <v>1</v>
      </c>
      <c r="U429" t="b">
        <v>1</v>
      </c>
      <c r="V429" t="b">
        <v>1</v>
      </c>
      <c r="W429" t="b">
        <v>1</v>
      </c>
      <c r="X429" t="b">
        <v>1</v>
      </c>
      <c r="Y429" t="b">
        <v>1</v>
      </c>
      <c r="Z429" t="b">
        <v>1</v>
      </c>
      <c r="AA429" t="b">
        <v>1</v>
      </c>
      <c r="AB429" t="b">
        <v>1</v>
      </c>
      <c r="AC429" t="b">
        <v>1</v>
      </c>
      <c r="AD429" t="b">
        <v>1</v>
      </c>
      <c r="AE429" t="b">
        <v>1</v>
      </c>
      <c r="AF429" t="b">
        <v>1</v>
      </c>
      <c r="AG429" t="b">
        <v>1</v>
      </c>
    </row>
    <row r="430" spans="1:33" x14ac:dyDescent="0.25">
      <c r="A430" t="s">
        <v>33</v>
      </c>
      <c r="B430">
        <v>15</v>
      </c>
      <c r="C430" t="b">
        <v>1</v>
      </c>
      <c r="D430" t="s">
        <v>1594</v>
      </c>
      <c r="E430" t="s">
        <v>1595</v>
      </c>
      <c r="F430" t="s">
        <v>1649</v>
      </c>
      <c r="G430" t="s">
        <v>1650</v>
      </c>
      <c r="H430">
        <v>429</v>
      </c>
      <c r="I430" t="str">
        <f>IF(ISBLANK(Table1[[#This Row],[oid]]),"FALSE","TRUE")</f>
        <v>TRUE</v>
      </c>
      <c r="J430" t="str" cm="1">
        <f t="array" ref="J430">_xlfn.SWITCH(LEFT(Table1[[#This Row],[section]],1), "D", "Demographic", "S", "Social", "E", "Economic", "H", "Housing", "")</f>
        <v>Social</v>
      </c>
      <c r="K430" t="s">
        <v>1598</v>
      </c>
      <c r="L430" t="s">
        <v>1599</v>
      </c>
      <c r="M430" t="str">
        <f>IF(Table1[[#This Row],[used]], _xlfn.CONCAT("🆔 ", Table1[[#This Row],[variable]], ": ",Table1[[#This Row],[alias]]), "")</f>
        <v>🆔 B15002_013E: Male: Some college 1 or more years no degree</v>
      </c>
      <c r="O430" t="s">
        <v>1651</v>
      </c>
      <c r="P430" t="s">
        <v>1600</v>
      </c>
      <c r="Q430" t="s">
        <v>41</v>
      </c>
      <c r="R430" t="s">
        <v>1652</v>
      </c>
      <c r="S430" t="b">
        <v>1</v>
      </c>
      <c r="T430" t="b">
        <v>1</v>
      </c>
      <c r="U430" t="b">
        <v>1</v>
      </c>
      <c r="V430" t="b">
        <v>1</v>
      </c>
      <c r="W430" t="b">
        <v>1</v>
      </c>
      <c r="X430" t="b">
        <v>1</v>
      </c>
      <c r="Y430" t="b">
        <v>1</v>
      </c>
      <c r="Z430" t="b">
        <v>1</v>
      </c>
      <c r="AA430" t="b">
        <v>1</v>
      </c>
      <c r="AB430" t="b">
        <v>1</v>
      </c>
      <c r="AC430" t="b">
        <v>1</v>
      </c>
      <c r="AD430" t="b">
        <v>1</v>
      </c>
      <c r="AE430" t="b">
        <v>1</v>
      </c>
      <c r="AF430" t="b">
        <v>1</v>
      </c>
      <c r="AG430" t="b">
        <v>1</v>
      </c>
    </row>
    <row r="431" spans="1:33" x14ac:dyDescent="0.25">
      <c r="A431" t="s">
        <v>33</v>
      </c>
      <c r="B431">
        <v>15</v>
      </c>
      <c r="C431" t="b">
        <v>1</v>
      </c>
      <c r="D431" t="s">
        <v>1594</v>
      </c>
      <c r="E431" t="s">
        <v>1595</v>
      </c>
      <c r="F431" t="s">
        <v>1653</v>
      </c>
      <c r="G431" t="s">
        <v>1654</v>
      </c>
      <c r="H431">
        <v>430</v>
      </c>
      <c r="I431" t="str">
        <f>IF(ISBLANK(Table1[[#This Row],[oid]]),"FALSE","TRUE")</f>
        <v>TRUE</v>
      </c>
      <c r="J431" t="str" cm="1">
        <f t="array" ref="J431">_xlfn.SWITCH(LEFT(Table1[[#This Row],[section]],1), "D", "Demographic", "S", "Social", "E", "Economic", "H", "Housing", "")</f>
        <v>Social</v>
      </c>
      <c r="K431" t="s">
        <v>1598</v>
      </c>
      <c r="L431" t="s">
        <v>1599</v>
      </c>
      <c r="M431" t="str">
        <f>IF(Table1[[#This Row],[used]], _xlfn.CONCAT("🆔 ", Table1[[#This Row],[variable]], ": ",Table1[[#This Row],[alias]]), "")</f>
        <v>🆔 B15002_014E: Male: Associates degree</v>
      </c>
      <c r="O431" t="s">
        <v>1655</v>
      </c>
      <c r="P431" t="s">
        <v>1600</v>
      </c>
      <c r="Q431" t="s">
        <v>41</v>
      </c>
      <c r="R431" t="s">
        <v>1656</v>
      </c>
      <c r="S431" t="b">
        <v>1</v>
      </c>
      <c r="T431" t="b">
        <v>1</v>
      </c>
      <c r="U431" t="b">
        <v>1</v>
      </c>
      <c r="V431" t="b">
        <v>1</v>
      </c>
      <c r="W431" t="b">
        <v>1</v>
      </c>
      <c r="X431" t="b">
        <v>1</v>
      </c>
      <c r="Y431" t="b">
        <v>1</v>
      </c>
      <c r="Z431" t="b">
        <v>1</v>
      </c>
      <c r="AA431" t="b">
        <v>1</v>
      </c>
      <c r="AB431" t="b">
        <v>1</v>
      </c>
      <c r="AC431" t="b">
        <v>1</v>
      </c>
      <c r="AD431" t="b">
        <v>1</v>
      </c>
      <c r="AE431" t="b">
        <v>1</v>
      </c>
      <c r="AF431" t="b">
        <v>1</v>
      </c>
      <c r="AG431" t="b">
        <v>1</v>
      </c>
    </row>
    <row r="432" spans="1:33" x14ac:dyDescent="0.25">
      <c r="A432" t="s">
        <v>33</v>
      </c>
      <c r="B432">
        <v>15</v>
      </c>
      <c r="C432" t="b">
        <v>1</v>
      </c>
      <c r="D432" t="s">
        <v>1594</v>
      </c>
      <c r="E432" t="s">
        <v>1595</v>
      </c>
      <c r="F432" t="s">
        <v>1657</v>
      </c>
      <c r="G432" t="s">
        <v>1658</v>
      </c>
      <c r="H432">
        <v>431</v>
      </c>
      <c r="I432" t="str">
        <f>IF(ISBLANK(Table1[[#This Row],[oid]]),"FALSE","TRUE")</f>
        <v>TRUE</v>
      </c>
      <c r="J432" t="str" cm="1">
        <f t="array" ref="J432">_xlfn.SWITCH(LEFT(Table1[[#This Row],[section]],1), "D", "Demographic", "S", "Social", "E", "Economic", "H", "Housing", "")</f>
        <v>Social</v>
      </c>
      <c r="K432" t="s">
        <v>1598</v>
      </c>
      <c r="L432" t="s">
        <v>1599</v>
      </c>
      <c r="M432" t="str">
        <f>IF(Table1[[#This Row],[used]], _xlfn.CONCAT("🆔 ", Table1[[#This Row],[variable]], ": ",Table1[[#This Row],[alias]]), "")</f>
        <v>🆔 B15002_015E: Male: Bachelors degree</v>
      </c>
      <c r="O432" t="s">
        <v>1659</v>
      </c>
      <c r="P432" t="s">
        <v>1600</v>
      </c>
      <c r="Q432" t="s">
        <v>41</v>
      </c>
      <c r="R432" t="s">
        <v>1660</v>
      </c>
      <c r="S432" t="b">
        <v>1</v>
      </c>
      <c r="T432" t="b">
        <v>1</v>
      </c>
      <c r="U432" t="b">
        <v>1</v>
      </c>
      <c r="V432" t="b">
        <v>1</v>
      </c>
      <c r="W432" t="b">
        <v>1</v>
      </c>
      <c r="X432" t="b">
        <v>1</v>
      </c>
      <c r="Y432" t="b">
        <v>1</v>
      </c>
      <c r="Z432" t="b">
        <v>1</v>
      </c>
      <c r="AA432" t="b">
        <v>1</v>
      </c>
      <c r="AB432" t="b">
        <v>1</v>
      </c>
      <c r="AC432" t="b">
        <v>1</v>
      </c>
      <c r="AD432" t="b">
        <v>1</v>
      </c>
      <c r="AE432" t="b">
        <v>1</v>
      </c>
      <c r="AF432" t="b">
        <v>1</v>
      </c>
      <c r="AG432" t="b">
        <v>1</v>
      </c>
    </row>
    <row r="433" spans="1:33" x14ac:dyDescent="0.25">
      <c r="A433" t="s">
        <v>33</v>
      </c>
      <c r="B433">
        <v>15</v>
      </c>
      <c r="C433" t="b">
        <v>1</v>
      </c>
      <c r="D433" t="s">
        <v>1594</v>
      </c>
      <c r="E433" t="s">
        <v>1595</v>
      </c>
      <c r="F433" t="s">
        <v>1661</v>
      </c>
      <c r="G433" t="s">
        <v>1662</v>
      </c>
      <c r="H433">
        <v>432</v>
      </c>
      <c r="I433" t="str">
        <f>IF(ISBLANK(Table1[[#This Row],[oid]]),"FALSE","TRUE")</f>
        <v>TRUE</v>
      </c>
      <c r="J433" t="str" cm="1">
        <f t="array" ref="J433">_xlfn.SWITCH(LEFT(Table1[[#This Row],[section]],1), "D", "Demographic", "S", "Social", "E", "Economic", "H", "Housing", "")</f>
        <v>Social</v>
      </c>
      <c r="K433" t="s">
        <v>1598</v>
      </c>
      <c r="L433" t="s">
        <v>1599</v>
      </c>
      <c r="M433" t="str">
        <f>IF(Table1[[#This Row],[used]], _xlfn.CONCAT("🆔 ", Table1[[#This Row],[variable]], ": ",Table1[[#This Row],[alias]]), "")</f>
        <v>🆔 B15002_016E: Male: Masters degree</v>
      </c>
      <c r="O433" t="s">
        <v>1663</v>
      </c>
      <c r="P433" t="s">
        <v>1600</v>
      </c>
      <c r="Q433" t="s">
        <v>41</v>
      </c>
      <c r="R433" t="s">
        <v>1664</v>
      </c>
      <c r="S433" t="b">
        <v>1</v>
      </c>
      <c r="T433" t="b">
        <v>1</v>
      </c>
      <c r="U433" t="b">
        <v>1</v>
      </c>
      <c r="V433" t="b">
        <v>1</v>
      </c>
      <c r="W433" t="b">
        <v>1</v>
      </c>
      <c r="X433" t="b">
        <v>1</v>
      </c>
      <c r="Y433" t="b">
        <v>1</v>
      </c>
      <c r="Z433" t="b">
        <v>1</v>
      </c>
      <c r="AA433" t="b">
        <v>1</v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  <c r="AG433" t="b">
        <v>1</v>
      </c>
    </row>
    <row r="434" spans="1:33" x14ac:dyDescent="0.25">
      <c r="A434" t="s">
        <v>33</v>
      </c>
      <c r="B434">
        <v>15</v>
      </c>
      <c r="C434" t="b">
        <v>1</v>
      </c>
      <c r="D434" t="s">
        <v>1594</v>
      </c>
      <c r="E434" t="s">
        <v>1595</v>
      </c>
      <c r="F434" t="s">
        <v>1665</v>
      </c>
      <c r="G434" t="s">
        <v>1666</v>
      </c>
      <c r="H434">
        <v>433</v>
      </c>
      <c r="I434" t="str">
        <f>IF(ISBLANK(Table1[[#This Row],[oid]]),"FALSE","TRUE")</f>
        <v>TRUE</v>
      </c>
      <c r="J434" t="str" cm="1">
        <f t="array" ref="J434">_xlfn.SWITCH(LEFT(Table1[[#This Row],[section]],1), "D", "Demographic", "S", "Social", "E", "Economic", "H", "Housing", "")</f>
        <v>Social</v>
      </c>
      <c r="K434" t="s">
        <v>1598</v>
      </c>
      <c r="L434" t="s">
        <v>1599</v>
      </c>
      <c r="M434" t="str">
        <f>IF(Table1[[#This Row],[used]], _xlfn.CONCAT("🆔 ", Table1[[#This Row],[variable]], ": ",Table1[[#This Row],[alias]]), "")</f>
        <v>🆔 B15002_017E: Male: Professional school degree</v>
      </c>
      <c r="O434" t="s">
        <v>1667</v>
      </c>
      <c r="P434" t="s">
        <v>1600</v>
      </c>
      <c r="Q434" t="s">
        <v>41</v>
      </c>
      <c r="R434" t="s">
        <v>1668</v>
      </c>
      <c r="S434" t="b">
        <v>1</v>
      </c>
      <c r="T434" t="b">
        <v>1</v>
      </c>
      <c r="U434" t="b">
        <v>1</v>
      </c>
      <c r="V434" t="b">
        <v>1</v>
      </c>
      <c r="W434" t="b">
        <v>1</v>
      </c>
      <c r="X434" t="b">
        <v>1</v>
      </c>
      <c r="Y434" t="b">
        <v>1</v>
      </c>
      <c r="Z434" t="b">
        <v>1</v>
      </c>
      <c r="AA434" t="b">
        <v>1</v>
      </c>
      <c r="AB434" t="b">
        <v>1</v>
      </c>
      <c r="AC434" t="b">
        <v>1</v>
      </c>
      <c r="AD434" t="b">
        <v>1</v>
      </c>
      <c r="AE434" t="b">
        <v>1</v>
      </c>
      <c r="AF434" t="b">
        <v>1</v>
      </c>
      <c r="AG434" t="b">
        <v>1</v>
      </c>
    </row>
    <row r="435" spans="1:33" x14ac:dyDescent="0.25">
      <c r="A435" t="s">
        <v>33</v>
      </c>
      <c r="B435">
        <v>15</v>
      </c>
      <c r="C435" t="b">
        <v>1</v>
      </c>
      <c r="D435" t="s">
        <v>1594</v>
      </c>
      <c r="E435" t="s">
        <v>1595</v>
      </c>
      <c r="F435" t="s">
        <v>1669</v>
      </c>
      <c r="G435" t="s">
        <v>1670</v>
      </c>
      <c r="H435">
        <v>434</v>
      </c>
      <c r="I435" t="str">
        <f>IF(ISBLANK(Table1[[#This Row],[oid]]),"FALSE","TRUE")</f>
        <v>TRUE</v>
      </c>
      <c r="J435" t="str" cm="1">
        <f t="array" ref="J435">_xlfn.SWITCH(LEFT(Table1[[#This Row],[section]],1), "D", "Demographic", "S", "Social", "E", "Economic", "H", "Housing", "")</f>
        <v>Social</v>
      </c>
      <c r="K435" t="s">
        <v>1598</v>
      </c>
      <c r="L435" t="s">
        <v>1599</v>
      </c>
      <c r="M435" t="str">
        <f>IF(Table1[[#This Row],[used]], _xlfn.CONCAT("🆔 ", Table1[[#This Row],[variable]], ": ",Table1[[#This Row],[alias]]), "")</f>
        <v>🆔 B15002_018E: Male: Doctorate degree</v>
      </c>
      <c r="O435" t="s">
        <v>1671</v>
      </c>
      <c r="P435" t="s">
        <v>1600</v>
      </c>
      <c r="Q435" t="s">
        <v>41</v>
      </c>
      <c r="R435" t="s">
        <v>1672</v>
      </c>
      <c r="S435" t="b">
        <v>1</v>
      </c>
      <c r="T435" t="b">
        <v>1</v>
      </c>
      <c r="U435" t="b">
        <v>1</v>
      </c>
      <c r="V435" t="b">
        <v>1</v>
      </c>
      <c r="W435" t="b">
        <v>1</v>
      </c>
      <c r="X435" t="b">
        <v>1</v>
      </c>
      <c r="Y435" t="b">
        <v>1</v>
      </c>
      <c r="Z435" t="b">
        <v>1</v>
      </c>
      <c r="AA435" t="b">
        <v>1</v>
      </c>
      <c r="AB435" t="b">
        <v>1</v>
      </c>
      <c r="AC435" t="b">
        <v>1</v>
      </c>
      <c r="AD435" t="b">
        <v>1</v>
      </c>
      <c r="AE435" t="b">
        <v>1</v>
      </c>
      <c r="AF435" t="b">
        <v>1</v>
      </c>
      <c r="AG435" t="b">
        <v>1</v>
      </c>
    </row>
    <row r="436" spans="1:33" x14ac:dyDescent="0.25">
      <c r="A436" t="s">
        <v>33</v>
      </c>
      <c r="B436">
        <v>15</v>
      </c>
      <c r="C436" t="b">
        <v>1</v>
      </c>
      <c r="D436" t="s">
        <v>1594</v>
      </c>
      <c r="E436" t="s">
        <v>1595</v>
      </c>
      <c r="F436" t="s">
        <v>1673</v>
      </c>
      <c r="G436" t="s">
        <v>1674</v>
      </c>
      <c r="H436">
        <v>435</v>
      </c>
      <c r="I436" t="str">
        <f>IF(ISBLANK(Table1[[#This Row],[oid]]),"FALSE","TRUE")</f>
        <v>TRUE</v>
      </c>
      <c r="J436" t="str" cm="1">
        <f t="array" ref="J436">_xlfn.SWITCH(LEFT(Table1[[#This Row],[section]],1), "D", "Demographic", "S", "Social", "E", "Economic", "H", "Housing", "")</f>
        <v>Social</v>
      </c>
      <c r="K436" t="s">
        <v>1598</v>
      </c>
      <c r="L436" t="s">
        <v>1599</v>
      </c>
      <c r="M436" t="str">
        <f>IF(Table1[[#This Row],[used]], _xlfn.CONCAT("🆔 ", Table1[[#This Row],[variable]], ": ",Table1[[#This Row],[alias]]), "")</f>
        <v>🆔 B15002_019E: Female, 25+ years</v>
      </c>
      <c r="O436" t="s">
        <v>56</v>
      </c>
      <c r="P436" t="s">
        <v>1600</v>
      </c>
      <c r="Q436" t="s">
        <v>41</v>
      </c>
      <c r="R436" t="s">
        <v>1675</v>
      </c>
      <c r="S436" t="b">
        <v>1</v>
      </c>
      <c r="T436" t="b">
        <v>1</v>
      </c>
      <c r="U436" t="b">
        <v>1</v>
      </c>
      <c r="V436" t="b">
        <v>1</v>
      </c>
      <c r="W436" t="b">
        <v>1</v>
      </c>
      <c r="X436" t="b">
        <v>1</v>
      </c>
      <c r="Y436" t="b">
        <v>1</v>
      </c>
      <c r="Z436" t="b">
        <v>1</v>
      </c>
      <c r="AA436" t="b">
        <v>1</v>
      </c>
      <c r="AB436" t="b">
        <v>1</v>
      </c>
      <c r="AC436" t="b">
        <v>1</v>
      </c>
      <c r="AD436" t="b">
        <v>1</v>
      </c>
      <c r="AE436" t="b">
        <v>1</v>
      </c>
      <c r="AF436" t="b">
        <v>1</v>
      </c>
      <c r="AG436" t="b">
        <v>1</v>
      </c>
    </row>
    <row r="437" spans="1:33" x14ac:dyDescent="0.25">
      <c r="A437" t="s">
        <v>33</v>
      </c>
      <c r="B437">
        <v>15</v>
      </c>
      <c r="C437" t="b">
        <v>1</v>
      </c>
      <c r="D437" t="s">
        <v>1594</v>
      </c>
      <c r="E437" t="s">
        <v>1595</v>
      </c>
      <c r="F437" t="s">
        <v>1676</v>
      </c>
      <c r="G437" t="s">
        <v>1677</v>
      </c>
      <c r="H437">
        <v>436</v>
      </c>
      <c r="I437" t="str">
        <f>IF(ISBLANK(Table1[[#This Row],[oid]]),"FALSE","TRUE")</f>
        <v>TRUE</v>
      </c>
      <c r="J437" t="str" cm="1">
        <f t="array" ref="J437">_xlfn.SWITCH(LEFT(Table1[[#This Row],[section]],1), "D", "Demographic", "S", "Social", "E", "Economic", "H", "Housing", "")</f>
        <v>Social</v>
      </c>
      <c r="K437" t="s">
        <v>1598</v>
      </c>
      <c r="L437" t="s">
        <v>1599</v>
      </c>
      <c r="M437" t="str">
        <f>IF(Table1[[#This Row],[used]], _xlfn.CONCAT("🆔 ", Table1[[#This Row],[variable]], ": ",Table1[[#This Row],[alias]]), "")</f>
        <v>🆔 B15002_020E: Female: No schooling completed</v>
      </c>
      <c r="O437" t="s">
        <v>1678</v>
      </c>
      <c r="P437" t="s">
        <v>1600</v>
      </c>
      <c r="Q437" t="s">
        <v>41</v>
      </c>
      <c r="R437" t="s">
        <v>1679</v>
      </c>
      <c r="S437" t="b">
        <v>1</v>
      </c>
      <c r="T437" t="b">
        <v>1</v>
      </c>
      <c r="U437" t="b">
        <v>1</v>
      </c>
      <c r="V437" t="b">
        <v>1</v>
      </c>
      <c r="W437" t="b">
        <v>1</v>
      </c>
      <c r="X437" t="b">
        <v>1</v>
      </c>
      <c r="Y437" t="b">
        <v>1</v>
      </c>
      <c r="Z437" t="b">
        <v>1</v>
      </c>
      <c r="AA437" t="b">
        <v>1</v>
      </c>
      <c r="AB437" t="b">
        <v>1</v>
      </c>
      <c r="AC437" t="b">
        <v>1</v>
      </c>
      <c r="AD437" t="b">
        <v>1</v>
      </c>
      <c r="AE437" t="b">
        <v>1</v>
      </c>
      <c r="AF437" t="b">
        <v>1</v>
      </c>
      <c r="AG437" t="b">
        <v>1</v>
      </c>
    </row>
    <row r="438" spans="1:33" x14ac:dyDescent="0.25">
      <c r="A438" t="s">
        <v>33</v>
      </c>
      <c r="B438">
        <v>15</v>
      </c>
      <c r="C438" t="b">
        <v>1</v>
      </c>
      <c r="D438" t="s">
        <v>1594</v>
      </c>
      <c r="E438" t="s">
        <v>1595</v>
      </c>
      <c r="F438" t="s">
        <v>1680</v>
      </c>
      <c r="G438" t="s">
        <v>1681</v>
      </c>
      <c r="H438">
        <v>437</v>
      </c>
      <c r="I438" t="str">
        <f>IF(ISBLANK(Table1[[#This Row],[oid]]),"FALSE","TRUE")</f>
        <v>TRUE</v>
      </c>
      <c r="J438" t="str" cm="1">
        <f t="array" ref="J438">_xlfn.SWITCH(LEFT(Table1[[#This Row],[section]],1), "D", "Demographic", "S", "Social", "E", "Economic", "H", "Housing", "")</f>
        <v>Social</v>
      </c>
      <c r="K438" t="s">
        <v>1598</v>
      </c>
      <c r="L438" t="s">
        <v>1599</v>
      </c>
      <c r="M438" t="str">
        <f>IF(Table1[[#This Row],[used]], _xlfn.CONCAT("🆔 ", Table1[[#This Row],[variable]], ": ",Table1[[#This Row],[alias]]), "")</f>
        <v>🆔 B15002_021E: Female: Nursery to 4th grade</v>
      </c>
      <c r="O438" t="s">
        <v>1682</v>
      </c>
      <c r="P438" t="s">
        <v>1600</v>
      </c>
      <c r="Q438" t="s">
        <v>41</v>
      </c>
      <c r="R438" t="s">
        <v>1683</v>
      </c>
      <c r="S438" t="b">
        <v>1</v>
      </c>
      <c r="T438" t="b">
        <v>1</v>
      </c>
      <c r="U438" t="b">
        <v>1</v>
      </c>
      <c r="V438" t="b">
        <v>1</v>
      </c>
      <c r="W438" t="b">
        <v>1</v>
      </c>
      <c r="X438" t="b">
        <v>1</v>
      </c>
      <c r="Y438" t="b">
        <v>1</v>
      </c>
      <c r="Z438" t="b">
        <v>1</v>
      </c>
      <c r="AA438" t="b">
        <v>1</v>
      </c>
      <c r="AB438" t="b">
        <v>1</v>
      </c>
      <c r="AC438" t="b">
        <v>1</v>
      </c>
      <c r="AD438" t="b">
        <v>1</v>
      </c>
      <c r="AE438" t="b">
        <v>1</v>
      </c>
      <c r="AF438" t="b">
        <v>1</v>
      </c>
      <c r="AG438" t="b">
        <v>1</v>
      </c>
    </row>
    <row r="439" spans="1:33" x14ac:dyDescent="0.25">
      <c r="A439" t="s">
        <v>33</v>
      </c>
      <c r="B439">
        <v>15</v>
      </c>
      <c r="C439" t="b">
        <v>1</v>
      </c>
      <c r="D439" t="s">
        <v>1594</v>
      </c>
      <c r="E439" t="s">
        <v>1595</v>
      </c>
      <c r="F439" t="s">
        <v>1684</v>
      </c>
      <c r="G439" t="s">
        <v>1685</v>
      </c>
      <c r="H439">
        <v>438</v>
      </c>
      <c r="I439" t="str">
        <f>IF(ISBLANK(Table1[[#This Row],[oid]]),"FALSE","TRUE")</f>
        <v>TRUE</v>
      </c>
      <c r="J439" t="str" cm="1">
        <f t="array" ref="J439">_xlfn.SWITCH(LEFT(Table1[[#This Row],[section]],1), "D", "Demographic", "S", "Social", "E", "Economic", "H", "Housing", "")</f>
        <v>Social</v>
      </c>
      <c r="K439" t="s">
        <v>1598</v>
      </c>
      <c r="L439" t="s">
        <v>1599</v>
      </c>
      <c r="M439" t="str">
        <f>IF(Table1[[#This Row],[used]], _xlfn.CONCAT("🆔 ", Table1[[#This Row],[variable]], ": ",Table1[[#This Row],[alias]]), "")</f>
        <v>🆔 B15002_022E: Female: 5th and 6th grade</v>
      </c>
      <c r="O439" t="s">
        <v>1686</v>
      </c>
      <c r="P439" t="s">
        <v>1600</v>
      </c>
      <c r="Q439" t="s">
        <v>41</v>
      </c>
      <c r="R439" t="s">
        <v>1687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</row>
    <row r="440" spans="1:33" x14ac:dyDescent="0.25">
      <c r="A440" t="s">
        <v>33</v>
      </c>
      <c r="B440">
        <v>15</v>
      </c>
      <c r="C440" t="b">
        <v>1</v>
      </c>
      <c r="D440" t="s">
        <v>1594</v>
      </c>
      <c r="E440" t="s">
        <v>1595</v>
      </c>
      <c r="F440" t="s">
        <v>1688</v>
      </c>
      <c r="G440" t="s">
        <v>1689</v>
      </c>
      <c r="H440">
        <v>439</v>
      </c>
      <c r="I440" t="str">
        <f>IF(ISBLANK(Table1[[#This Row],[oid]]),"FALSE","TRUE")</f>
        <v>TRUE</v>
      </c>
      <c r="J440" t="str" cm="1">
        <f t="array" ref="J440">_xlfn.SWITCH(LEFT(Table1[[#This Row],[section]],1), "D", "Demographic", "S", "Social", "E", "Economic", "H", "Housing", "")</f>
        <v>Social</v>
      </c>
      <c r="K440" t="s">
        <v>1598</v>
      </c>
      <c r="L440" t="s">
        <v>1599</v>
      </c>
      <c r="M440" t="str">
        <f>IF(Table1[[#This Row],[used]], _xlfn.CONCAT("🆔 ", Table1[[#This Row],[variable]], ": ",Table1[[#This Row],[alias]]), "")</f>
        <v>🆔 B15002_023E: Female: 7th and 8th grade</v>
      </c>
      <c r="O440" t="s">
        <v>1690</v>
      </c>
      <c r="P440" t="s">
        <v>1600</v>
      </c>
      <c r="Q440" t="s">
        <v>41</v>
      </c>
      <c r="R440" t="s">
        <v>1691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</row>
    <row r="441" spans="1:33" x14ac:dyDescent="0.25">
      <c r="A441" t="s">
        <v>33</v>
      </c>
      <c r="B441">
        <v>15</v>
      </c>
      <c r="C441" t="b">
        <v>1</v>
      </c>
      <c r="D441" t="s">
        <v>1594</v>
      </c>
      <c r="E441" t="s">
        <v>1595</v>
      </c>
      <c r="F441" t="s">
        <v>1692</v>
      </c>
      <c r="G441" t="s">
        <v>1693</v>
      </c>
      <c r="H441">
        <v>440</v>
      </c>
      <c r="I441" t="str">
        <f>IF(ISBLANK(Table1[[#This Row],[oid]]),"FALSE","TRUE")</f>
        <v>TRUE</v>
      </c>
      <c r="J441" t="str" cm="1">
        <f t="array" ref="J441">_xlfn.SWITCH(LEFT(Table1[[#This Row],[section]],1), "D", "Demographic", "S", "Social", "E", "Economic", "H", "Housing", "")</f>
        <v>Social</v>
      </c>
      <c r="K441" t="s">
        <v>1598</v>
      </c>
      <c r="L441" t="s">
        <v>1599</v>
      </c>
      <c r="M441" t="str">
        <f>IF(Table1[[#This Row],[used]], _xlfn.CONCAT("🆔 ", Table1[[#This Row],[variable]], ": ",Table1[[#This Row],[alias]]), "")</f>
        <v>🆔 B15002_024E: Female: 9th grade</v>
      </c>
      <c r="O441" t="s">
        <v>1694</v>
      </c>
      <c r="P441" t="s">
        <v>1600</v>
      </c>
      <c r="Q441" t="s">
        <v>41</v>
      </c>
      <c r="R441" t="s">
        <v>1695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</row>
    <row r="442" spans="1:33" x14ac:dyDescent="0.25">
      <c r="A442" t="s">
        <v>33</v>
      </c>
      <c r="B442">
        <v>15</v>
      </c>
      <c r="C442" t="b">
        <v>1</v>
      </c>
      <c r="D442" t="s">
        <v>1594</v>
      </c>
      <c r="E442" t="s">
        <v>1595</v>
      </c>
      <c r="F442" t="s">
        <v>1696</v>
      </c>
      <c r="G442" t="s">
        <v>1697</v>
      </c>
      <c r="H442">
        <v>441</v>
      </c>
      <c r="I442" t="str">
        <f>IF(ISBLANK(Table1[[#This Row],[oid]]),"FALSE","TRUE")</f>
        <v>TRUE</v>
      </c>
      <c r="J442" t="str" cm="1">
        <f t="array" ref="J442">_xlfn.SWITCH(LEFT(Table1[[#This Row],[section]],1), "D", "Demographic", "S", "Social", "E", "Economic", "H", "Housing", "")</f>
        <v>Social</v>
      </c>
      <c r="K442" t="s">
        <v>1598</v>
      </c>
      <c r="L442" t="s">
        <v>1599</v>
      </c>
      <c r="M442" t="str">
        <f>IF(Table1[[#This Row],[used]], _xlfn.CONCAT("🆔 ", Table1[[#This Row],[variable]], ": ",Table1[[#This Row],[alias]]), "")</f>
        <v>🆔 B15002_025E: Female: 10th grade</v>
      </c>
      <c r="O442" t="s">
        <v>1698</v>
      </c>
      <c r="P442" t="s">
        <v>1600</v>
      </c>
      <c r="Q442" t="s">
        <v>41</v>
      </c>
      <c r="R442" t="s">
        <v>1699</v>
      </c>
      <c r="S442" t="b">
        <v>1</v>
      </c>
      <c r="T442" t="b">
        <v>1</v>
      </c>
      <c r="U442" t="b">
        <v>1</v>
      </c>
      <c r="V442" t="b">
        <v>1</v>
      </c>
      <c r="W442" t="b">
        <v>1</v>
      </c>
      <c r="X442" t="b">
        <v>1</v>
      </c>
      <c r="Y442" t="b">
        <v>1</v>
      </c>
      <c r="Z442" t="b">
        <v>1</v>
      </c>
      <c r="AA442" t="b">
        <v>1</v>
      </c>
      <c r="AB442" t="b">
        <v>1</v>
      </c>
      <c r="AC442" t="b">
        <v>1</v>
      </c>
      <c r="AD442" t="b">
        <v>1</v>
      </c>
      <c r="AE442" t="b">
        <v>1</v>
      </c>
      <c r="AF442" t="b">
        <v>1</v>
      </c>
      <c r="AG442" t="b">
        <v>1</v>
      </c>
    </row>
    <row r="443" spans="1:33" x14ac:dyDescent="0.25">
      <c r="A443" t="s">
        <v>33</v>
      </c>
      <c r="B443">
        <v>15</v>
      </c>
      <c r="C443" t="b">
        <v>1</v>
      </c>
      <c r="D443" t="s">
        <v>1594</v>
      </c>
      <c r="E443" t="s">
        <v>1595</v>
      </c>
      <c r="F443" t="s">
        <v>1700</v>
      </c>
      <c r="G443" t="s">
        <v>1701</v>
      </c>
      <c r="H443">
        <v>442</v>
      </c>
      <c r="I443" t="str">
        <f>IF(ISBLANK(Table1[[#This Row],[oid]]),"FALSE","TRUE")</f>
        <v>TRUE</v>
      </c>
      <c r="J443" t="str" cm="1">
        <f t="array" ref="J443">_xlfn.SWITCH(LEFT(Table1[[#This Row],[section]],1), "D", "Demographic", "S", "Social", "E", "Economic", "H", "Housing", "")</f>
        <v>Social</v>
      </c>
      <c r="K443" t="s">
        <v>1598</v>
      </c>
      <c r="L443" t="s">
        <v>1599</v>
      </c>
      <c r="M443" t="str">
        <f>IF(Table1[[#This Row],[used]], _xlfn.CONCAT("🆔 ", Table1[[#This Row],[variable]], ": ",Table1[[#This Row],[alias]]), "")</f>
        <v>🆔 B15002_026E: Female: 11th grade</v>
      </c>
      <c r="O443" t="s">
        <v>1702</v>
      </c>
      <c r="P443" t="s">
        <v>1600</v>
      </c>
      <c r="Q443" t="s">
        <v>41</v>
      </c>
      <c r="R443" t="s">
        <v>1703</v>
      </c>
      <c r="S443" t="b">
        <v>1</v>
      </c>
      <c r="T443" t="b">
        <v>1</v>
      </c>
      <c r="U443" t="b">
        <v>1</v>
      </c>
      <c r="V443" t="b">
        <v>1</v>
      </c>
      <c r="W443" t="b">
        <v>1</v>
      </c>
      <c r="X443" t="b">
        <v>1</v>
      </c>
      <c r="Y443" t="b">
        <v>1</v>
      </c>
      <c r="Z443" t="b">
        <v>1</v>
      </c>
      <c r="AA443" t="b">
        <v>1</v>
      </c>
      <c r="AB443" t="b">
        <v>1</v>
      </c>
      <c r="AC443" t="b">
        <v>1</v>
      </c>
      <c r="AD443" t="b">
        <v>1</v>
      </c>
      <c r="AE443" t="b">
        <v>1</v>
      </c>
      <c r="AF443" t="b">
        <v>1</v>
      </c>
      <c r="AG443" t="b">
        <v>1</v>
      </c>
    </row>
    <row r="444" spans="1:33" x14ac:dyDescent="0.25">
      <c r="A444" t="s">
        <v>33</v>
      </c>
      <c r="B444">
        <v>15</v>
      </c>
      <c r="C444" t="b">
        <v>1</v>
      </c>
      <c r="D444" t="s">
        <v>1594</v>
      </c>
      <c r="E444" t="s">
        <v>1595</v>
      </c>
      <c r="F444" t="s">
        <v>1704</v>
      </c>
      <c r="G444" t="s">
        <v>1705</v>
      </c>
      <c r="H444">
        <v>443</v>
      </c>
      <c r="I444" t="str">
        <f>IF(ISBLANK(Table1[[#This Row],[oid]]),"FALSE","TRUE")</f>
        <v>TRUE</v>
      </c>
      <c r="J444" t="str" cm="1">
        <f t="array" ref="J444">_xlfn.SWITCH(LEFT(Table1[[#This Row],[section]],1), "D", "Demographic", "S", "Social", "E", "Economic", "H", "Housing", "")</f>
        <v>Social</v>
      </c>
      <c r="K444" t="s">
        <v>1598</v>
      </c>
      <c r="L444" t="s">
        <v>1599</v>
      </c>
      <c r="M444" t="str">
        <f>IF(Table1[[#This Row],[used]], _xlfn.CONCAT("🆔 ", Table1[[#This Row],[variable]], ": ",Table1[[#This Row],[alias]]), "")</f>
        <v>🆔 B15002_027E: Female: 12th grade no diploma</v>
      </c>
      <c r="O444" t="s">
        <v>1706</v>
      </c>
      <c r="P444" t="s">
        <v>1600</v>
      </c>
      <c r="Q444" t="s">
        <v>41</v>
      </c>
      <c r="R444" t="s">
        <v>1707</v>
      </c>
      <c r="S444" t="b">
        <v>1</v>
      </c>
      <c r="T444" t="b">
        <v>1</v>
      </c>
      <c r="U444" t="b">
        <v>1</v>
      </c>
      <c r="V444" t="b">
        <v>1</v>
      </c>
      <c r="W444" t="b">
        <v>1</v>
      </c>
      <c r="X444" t="b">
        <v>1</v>
      </c>
      <c r="Y444" t="b">
        <v>1</v>
      </c>
      <c r="Z444" t="b">
        <v>1</v>
      </c>
      <c r="AA444" t="b">
        <v>1</v>
      </c>
      <c r="AB444" t="b">
        <v>1</v>
      </c>
      <c r="AC444" t="b">
        <v>1</v>
      </c>
      <c r="AD444" t="b">
        <v>1</v>
      </c>
      <c r="AE444" t="b">
        <v>1</v>
      </c>
      <c r="AF444" t="b">
        <v>1</v>
      </c>
      <c r="AG444" t="b">
        <v>1</v>
      </c>
    </row>
    <row r="445" spans="1:33" x14ac:dyDescent="0.25">
      <c r="A445" t="s">
        <v>1637</v>
      </c>
      <c r="B445">
        <v>3</v>
      </c>
      <c r="C445" t="b">
        <v>0</v>
      </c>
      <c r="D445" t="s">
        <v>1594</v>
      </c>
      <c r="E445" t="s">
        <v>1595</v>
      </c>
      <c r="F445" t="s">
        <v>1708</v>
      </c>
      <c r="G445" t="s">
        <v>1709</v>
      </c>
      <c r="H445">
        <v>444</v>
      </c>
      <c r="I445" t="str">
        <f>IF(ISBLANK(Table1[[#This Row],[oid]]),"FALSE","TRUE")</f>
        <v>TRUE</v>
      </c>
      <c r="J445" t="str" cm="1">
        <f t="array" ref="J445">_xlfn.SWITCH(LEFT(Table1[[#This Row],[section]],1), "D", "Demographic", "S", "Social", "E", "Economic", "H", "Housing", "")</f>
        <v>Social</v>
      </c>
      <c r="K445" t="s">
        <v>1598</v>
      </c>
      <c r="L445" t="s">
        <v>1599</v>
      </c>
      <c r="M445" t="str">
        <f>IF(Table1[[#This Row],[used]], _xlfn.CONCAT("🆔 ", Table1[[#This Row],[variable]], ": ",Table1[[#This Row],[alias]]), "")</f>
        <v>🆔 B15002_028E: Female: High school graduate GED or alternative</v>
      </c>
      <c r="O445" t="s">
        <v>1710</v>
      </c>
      <c r="P445" t="s">
        <v>1600</v>
      </c>
      <c r="Q445" t="s">
        <v>41</v>
      </c>
      <c r="R445" t="s">
        <v>1711</v>
      </c>
      <c r="S445" t="b">
        <v>1</v>
      </c>
      <c r="T445" t="b">
        <v>1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</row>
    <row r="446" spans="1:33" x14ac:dyDescent="0.25">
      <c r="A446" t="s">
        <v>1642</v>
      </c>
      <c r="B446">
        <v>12</v>
      </c>
      <c r="C446" t="b">
        <v>0</v>
      </c>
      <c r="D446" t="s">
        <v>1594</v>
      </c>
      <c r="E446" t="s">
        <v>1595</v>
      </c>
      <c r="F446" t="s">
        <v>1708</v>
      </c>
      <c r="G446" t="s">
        <v>1712</v>
      </c>
      <c r="H446">
        <v>445</v>
      </c>
      <c r="I446" t="str">
        <f>IF(ISBLANK(Table1[[#This Row],[oid]]),"FALSE","TRUE")</f>
        <v>TRUE</v>
      </c>
      <c r="J446" t="str" cm="1">
        <f t="array" ref="J446">_xlfn.SWITCH(LEFT(Table1[[#This Row],[section]],1), "D", "Demographic", "S", "Social", "E", "Economic", "H", "Housing", "")</f>
        <v>Social</v>
      </c>
      <c r="K446" t="s">
        <v>1598</v>
      </c>
      <c r="L446" t="s">
        <v>1599</v>
      </c>
      <c r="M446" t="str">
        <f>IF(Table1[[#This Row],[used]], _xlfn.CONCAT("🆔 ", Table1[[#This Row],[variable]], ": ",Table1[[#This Row],[alias]]), "")</f>
        <v>🆔 B15002_028E: Female: High school graduate includes equivalency</v>
      </c>
      <c r="O446" t="s">
        <v>1713</v>
      </c>
      <c r="P446" t="s">
        <v>1600</v>
      </c>
      <c r="Q446" t="s">
        <v>41</v>
      </c>
      <c r="R446" t="s">
        <v>1711</v>
      </c>
      <c r="S446" t="b">
        <v>0</v>
      </c>
      <c r="T446" t="b">
        <v>0</v>
      </c>
      <c r="U446" t="b">
        <v>0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</row>
    <row r="447" spans="1:33" x14ac:dyDescent="0.25">
      <c r="A447" t="s">
        <v>33</v>
      </c>
      <c r="B447">
        <v>15</v>
      </c>
      <c r="C447" t="b">
        <v>1</v>
      </c>
      <c r="D447" t="s">
        <v>1594</v>
      </c>
      <c r="E447" t="s">
        <v>1595</v>
      </c>
      <c r="F447" t="s">
        <v>1714</v>
      </c>
      <c r="G447" t="s">
        <v>1715</v>
      </c>
      <c r="H447">
        <v>446</v>
      </c>
      <c r="I447" t="str">
        <f>IF(ISBLANK(Table1[[#This Row],[oid]]),"FALSE","TRUE")</f>
        <v>TRUE</v>
      </c>
      <c r="J447" t="str" cm="1">
        <f t="array" ref="J447">_xlfn.SWITCH(LEFT(Table1[[#This Row],[section]],1), "D", "Demographic", "S", "Social", "E", "Economic", "H", "Housing", "")</f>
        <v>Social</v>
      </c>
      <c r="K447" t="s">
        <v>1598</v>
      </c>
      <c r="L447" t="s">
        <v>1599</v>
      </c>
      <c r="M447" t="str">
        <f>IF(Table1[[#This Row],[used]], _xlfn.CONCAT("🆔 ", Table1[[#This Row],[variable]], ": ",Table1[[#This Row],[alias]]), "")</f>
        <v>🆔 B15002_029E: Female: Some college less than 1 year</v>
      </c>
      <c r="O447" t="s">
        <v>1716</v>
      </c>
      <c r="P447" t="s">
        <v>1600</v>
      </c>
      <c r="Q447" t="s">
        <v>41</v>
      </c>
      <c r="R447" t="s">
        <v>1717</v>
      </c>
      <c r="S447" t="b">
        <v>1</v>
      </c>
      <c r="T447" t="b">
        <v>1</v>
      </c>
      <c r="U447" t="b">
        <v>1</v>
      </c>
      <c r="V447" t="b">
        <v>1</v>
      </c>
      <c r="W447" t="b">
        <v>1</v>
      </c>
      <c r="X447" t="b">
        <v>1</v>
      </c>
      <c r="Y447" t="b">
        <v>1</v>
      </c>
      <c r="Z447" t="b">
        <v>1</v>
      </c>
      <c r="AA447" t="b">
        <v>1</v>
      </c>
      <c r="AB447" t="b">
        <v>1</v>
      </c>
      <c r="AC447" t="b">
        <v>1</v>
      </c>
      <c r="AD447" t="b">
        <v>1</v>
      </c>
      <c r="AE447" t="b">
        <v>1</v>
      </c>
      <c r="AF447" t="b">
        <v>1</v>
      </c>
      <c r="AG447" t="b">
        <v>1</v>
      </c>
    </row>
    <row r="448" spans="1:33" x14ac:dyDescent="0.25">
      <c r="A448" t="s">
        <v>33</v>
      </c>
      <c r="B448">
        <v>15</v>
      </c>
      <c r="C448" t="b">
        <v>1</v>
      </c>
      <c r="D448" t="s">
        <v>1594</v>
      </c>
      <c r="E448" t="s">
        <v>1595</v>
      </c>
      <c r="F448" t="s">
        <v>1718</v>
      </c>
      <c r="G448" t="s">
        <v>1719</v>
      </c>
      <c r="H448">
        <v>447</v>
      </c>
      <c r="I448" t="str">
        <f>IF(ISBLANK(Table1[[#This Row],[oid]]),"FALSE","TRUE")</f>
        <v>TRUE</v>
      </c>
      <c r="J448" t="str" cm="1">
        <f t="array" ref="J448">_xlfn.SWITCH(LEFT(Table1[[#This Row],[section]],1), "D", "Demographic", "S", "Social", "E", "Economic", "H", "Housing", "")</f>
        <v>Social</v>
      </c>
      <c r="K448" t="s">
        <v>1598</v>
      </c>
      <c r="L448" t="s">
        <v>1599</v>
      </c>
      <c r="M448" t="str">
        <f>IF(Table1[[#This Row],[used]], _xlfn.CONCAT("🆔 ", Table1[[#This Row],[variable]], ": ",Table1[[#This Row],[alias]]), "")</f>
        <v>🆔 B15002_030E: Female: Some college 1 or more years no degree</v>
      </c>
      <c r="O448" t="s">
        <v>1720</v>
      </c>
      <c r="P448" t="s">
        <v>1600</v>
      </c>
      <c r="Q448" t="s">
        <v>41</v>
      </c>
      <c r="R448" t="s">
        <v>1721</v>
      </c>
      <c r="S448" t="b">
        <v>1</v>
      </c>
      <c r="T448" t="b">
        <v>1</v>
      </c>
      <c r="U448" t="b">
        <v>1</v>
      </c>
      <c r="V448" t="b">
        <v>1</v>
      </c>
      <c r="W448" t="b">
        <v>1</v>
      </c>
      <c r="X448" t="b">
        <v>1</v>
      </c>
      <c r="Y448" t="b">
        <v>1</v>
      </c>
      <c r="Z448" t="b">
        <v>1</v>
      </c>
      <c r="AA448" t="b">
        <v>1</v>
      </c>
      <c r="AB448" t="b">
        <v>1</v>
      </c>
      <c r="AC448" t="b">
        <v>1</v>
      </c>
      <c r="AD448" t="b">
        <v>1</v>
      </c>
      <c r="AE448" t="b">
        <v>1</v>
      </c>
      <c r="AF448" t="b">
        <v>1</v>
      </c>
      <c r="AG448" t="b">
        <v>1</v>
      </c>
    </row>
    <row r="449" spans="1:33" x14ac:dyDescent="0.25">
      <c r="A449" t="s">
        <v>33</v>
      </c>
      <c r="B449">
        <v>15</v>
      </c>
      <c r="C449" t="b">
        <v>1</v>
      </c>
      <c r="D449" t="s">
        <v>1594</v>
      </c>
      <c r="E449" t="s">
        <v>1595</v>
      </c>
      <c r="F449" t="s">
        <v>1722</v>
      </c>
      <c r="G449" t="s">
        <v>1723</v>
      </c>
      <c r="H449">
        <v>448</v>
      </c>
      <c r="I449" t="str">
        <f>IF(ISBLANK(Table1[[#This Row],[oid]]),"FALSE","TRUE")</f>
        <v>TRUE</v>
      </c>
      <c r="J449" t="str" cm="1">
        <f t="array" ref="J449">_xlfn.SWITCH(LEFT(Table1[[#This Row],[section]],1), "D", "Demographic", "S", "Social", "E", "Economic", "H", "Housing", "")</f>
        <v>Social</v>
      </c>
      <c r="K449" t="s">
        <v>1598</v>
      </c>
      <c r="L449" t="s">
        <v>1599</v>
      </c>
      <c r="M449" t="str">
        <f>IF(Table1[[#This Row],[used]], _xlfn.CONCAT("🆔 ", Table1[[#This Row],[variable]], ": ",Table1[[#This Row],[alias]]), "")</f>
        <v>🆔 B15002_031E: Female: Associates degree</v>
      </c>
      <c r="O449" t="s">
        <v>1724</v>
      </c>
      <c r="P449" t="s">
        <v>1600</v>
      </c>
      <c r="Q449" t="s">
        <v>41</v>
      </c>
      <c r="R449" t="s">
        <v>1725</v>
      </c>
      <c r="S449" t="b">
        <v>1</v>
      </c>
      <c r="T449" t="b">
        <v>1</v>
      </c>
      <c r="U449" t="b">
        <v>1</v>
      </c>
      <c r="V449" t="b">
        <v>1</v>
      </c>
      <c r="W449" t="b">
        <v>1</v>
      </c>
      <c r="X449" t="b">
        <v>1</v>
      </c>
      <c r="Y449" t="b">
        <v>1</v>
      </c>
      <c r="Z449" t="b">
        <v>1</v>
      </c>
      <c r="AA449" t="b">
        <v>1</v>
      </c>
      <c r="AB449" t="b">
        <v>1</v>
      </c>
      <c r="AC449" t="b">
        <v>1</v>
      </c>
      <c r="AD449" t="b">
        <v>1</v>
      </c>
      <c r="AE449" t="b">
        <v>1</v>
      </c>
      <c r="AF449" t="b">
        <v>1</v>
      </c>
      <c r="AG449" t="b">
        <v>1</v>
      </c>
    </row>
    <row r="450" spans="1:33" x14ac:dyDescent="0.25">
      <c r="A450" t="s">
        <v>33</v>
      </c>
      <c r="B450">
        <v>15</v>
      </c>
      <c r="C450" t="b">
        <v>1</v>
      </c>
      <c r="D450" t="s">
        <v>1594</v>
      </c>
      <c r="E450" t="s">
        <v>1595</v>
      </c>
      <c r="F450" t="s">
        <v>1726</v>
      </c>
      <c r="G450" t="s">
        <v>1727</v>
      </c>
      <c r="H450">
        <v>449</v>
      </c>
      <c r="I450" t="str">
        <f>IF(ISBLANK(Table1[[#This Row],[oid]]),"FALSE","TRUE")</f>
        <v>TRUE</v>
      </c>
      <c r="J450" t="str" cm="1">
        <f t="array" ref="J450">_xlfn.SWITCH(LEFT(Table1[[#This Row],[section]],1), "D", "Demographic", "S", "Social", "E", "Economic", "H", "Housing", "")</f>
        <v>Social</v>
      </c>
      <c r="K450" t="s">
        <v>1598</v>
      </c>
      <c r="L450" t="s">
        <v>1599</v>
      </c>
      <c r="M450" t="str">
        <f>IF(Table1[[#This Row],[used]], _xlfn.CONCAT("🆔 ", Table1[[#This Row],[variable]], ": ",Table1[[#This Row],[alias]]), "")</f>
        <v>🆔 B15002_032E: Female: Bachelors degree</v>
      </c>
      <c r="O450" t="s">
        <v>1728</v>
      </c>
      <c r="P450" t="s">
        <v>1600</v>
      </c>
      <c r="Q450" t="s">
        <v>41</v>
      </c>
      <c r="R450" t="s">
        <v>1729</v>
      </c>
      <c r="S450" t="b">
        <v>1</v>
      </c>
      <c r="T450" t="b">
        <v>1</v>
      </c>
      <c r="U450" t="b">
        <v>1</v>
      </c>
      <c r="V450" t="b">
        <v>1</v>
      </c>
      <c r="W450" t="b">
        <v>1</v>
      </c>
      <c r="X450" t="b">
        <v>1</v>
      </c>
      <c r="Y450" t="b">
        <v>1</v>
      </c>
      <c r="Z450" t="b">
        <v>1</v>
      </c>
      <c r="AA450" t="b">
        <v>1</v>
      </c>
      <c r="AB450" t="b">
        <v>1</v>
      </c>
      <c r="AC450" t="b">
        <v>1</v>
      </c>
      <c r="AD450" t="b">
        <v>1</v>
      </c>
      <c r="AE450" t="b">
        <v>1</v>
      </c>
      <c r="AF450" t="b">
        <v>1</v>
      </c>
      <c r="AG450" t="b">
        <v>1</v>
      </c>
    </row>
    <row r="451" spans="1:33" x14ac:dyDescent="0.25">
      <c r="A451" t="s">
        <v>33</v>
      </c>
      <c r="B451">
        <v>15</v>
      </c>
      <c r="C451" t="b">
        <v>1</v>
      </c>
      <c r="D451" t="s">
        <v>1594</v>
      </c>
      <c r="E451" t="s">
        <v>1595</v>
      </c>
      <c r="F451" t="s">
        <v>1730</v>
      </c>
      <c r="G451" t="s">
        <v>1731</v>
      </c>
      <c r="H451">
        <v>450</v>
      </c>
      <c r="I451" t="str">
        <f>IF(ISBLANK(Table1[[#This Row],[oid]]),"FALSE","TRUE")</f>
        <v>TRUE</v>
      </c>
      <c r="J451" t="str" cm="1">
        <f t="array" ref="J451">_xlfn.SWITCH(LEFT(Table1[[#This Row],[section]],1), "D", "Demographic", "S", "Social", "E", "Economic", "H", "Housing", "")</f>
        <v>Social</v>
      </c>
      <c r="K451" t="s">
        <v>1598</v>
      </c>
      <c r="L451" t="s">
        <v>1599</v>
      </c>
      <c r="M451" t="str">
        <f>IF(Table1[[#This Row],[used]], _xlfn.CONCAT("🆔 ", Table1[[#This Row],[variable]], ": ",Table1[[#This Row],[alias]]), "")</f>
        <v>🆔 B15002_033E: Female: Masters degree</v>
      </c>
      <c r="O451" t="s">
        <v>1732</v>
      </c>
      <c r="P451" t="s">
        <v>1600</v>
      </c>
      <c r="Q451" t="s">
        <v>41</v>
      </c>
      <c r="R451" t="s">
        <v>1733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</row>
    <row r="452" spans="1:33" x14ac:dyDescent="0.25">
      <c r="A452" t="s">
        <v>33</v>
      </c>
      <c r="B452">
        <v>15</v>
      </c>
      <c r="C452" t="b">
        <v>1</v>
      </c>
      <c r="D452" t="s">
        <v>1594</v>
      </c>
      <c r="E452" t="s">
        <v>1595</v>
      </c>
      <c r="F452" t="s">
        <v>1734</v>
      </c>
      <c r="G452" t="s">
        <v>1735</v>
      </c>
      <c r="H452">
        <v>451</v>
      </c>
      <c r="I452" t="str">
        <f>IF(ISBLANK(Table1[[#This Row],[oid]]),"FALSE","TRUE")</f>
        <v>TRUE</v>
      </c>
      <c r="J452" t="str" cm="1">
        <f t="array" ref="J452">_xlfn.SWITCH(LEFT(Table1[[#This Row],[section]],1), "D", "Demographic", "S", "Social", "E", "Economic", "H", "Housing", "")</f>
        <v>Social</v>
      </c>
      <c r="K452" t="s">
        <v>1598</v>
      </c>
      <c r="L452" t="s">
        <v>1599</v>
      </c>
      <c r="M452" t="str">
        <f>IF(Table1[[#This Row],[used]], _xlfn.CONCAT("🆔 ", Table1[[#This Row],[variable]], ": ",Table1[[#This Row],[alias]]), "")</f>
        <v>🆔 B15002_034E: Female: Professional school degree</v>
      </c>
      <c r="O452" t="s">
        <v>1736</v>
      </c>
      <c r="P452" t="s">
        <v>1600</v>
      </c>
      <c r="Q452" t="s">
        <v>41</v>
      </c>
      <c r="R452" t="s">
        <v>1737</v>
      </c>
      <c r="S452" t="b">
        <v>1</v>
      </c>
      <c r="T452" t="b">
        <v>1</v>
      </c>
      <c r="U452" t="b">
        <v>1</v>
      </c>
      <c r="V452" t="b">
        <v>1</v>
      </c>
      <c r="W452" t="b">
        <v>1</v>
      </c>
      <c r="X452" t="b">
        <v>1</v>
      </c>
      <c r="Y452" t="b">
        <v>1</v>
      </c>
      <c r="Z452" t="b">
        <v>1</v>
      </c>
      <c r="AA452" t="b">
        <v>1</v>
      </c>
      <c r="AB452" t="b">
        <v>1</v>
      </c>
      <c r="AC452" t="b">
        <v>1</v>
      </c>
      <c r="AD452" t="b">
        <v>1</v>
      </c>
      <c r="AE452" t="b">
        <v>1</v>
      </c>
      <c r="AF452" t="b">
        <v>1</v>
      </c>
      <c r="AG452" t="b">
        <v>1</v>
      </c>
    </row>
    <row r="453" spans="1:33" x14ac:dyDescent="0.25">
      <c r="A453" t="s">
        <v>33</v>
      </c>
      <c r="B453">
        <v>15</v>
      </c>
      <c r="C453" t="b">
        <v>1</v>
      </c>
      <c r="D453" t="s">
        <v>1594</v>
      </c>
      <c r="E453" t="s">
        <v>1595</v>
      </c>
      <c r="F453" t="s">
        <v>1738</v>
      </c>
      <c r="G453" t="s">
        <v>1739</v>
      </c>
      <c r="H453">
        <v>452</v>
      </c>
      <c r="I453" t="str">
        <f>IF(ISBLANK(Table1[[#This Row],[oid]]),"FALSE","TRUE")</f>
        <v>TRUE</v>
      </c>
      <c r="J453" t="str" cm="1">
        <f t="array" ref="J453">_xlfn.SWITCH(LEFT(Table1[[#This Row],[section]],1), "D", "Demographic", "S", "Social", "E", "Economic", "H", "Housing", "")</f>
        <v>Social</v>
      </c>
      <c r="K453" t="s">
        <v>1598</v>
      </c>
      <c r="L453" t="s">
        <v>1599</v>
      </c>
      <c r="M453" t="str">
        <f>IF(Table1[[#This Row],[used]], _xlfn.CONCAT("🆔 ", Table1[[#This Row],[variable]], ": ",Table1[[#This Row],[alias]]), "")</f>
        <v>🆔 B15002_035E: Female: Doctorate degree</v>
      </c>
      <c r="O453" t="s">
        <v>1740</v>
      </c>
      <c r="P453" t="s">
        <v>1600</v>
      </c>
      <c r="Q453" t="s">
        <v>41</v>
      </c>
      <c r="R453" t="s">
        <v>1741</v>
      </c>
      <c r="S453" t="b">
        <v>1</v>
      </c>
      <c r="T453" t="b">
        <v>1</v>
      </c>
      <c r="U453" t="b">
        <v>1</v>
      </c>
      <c r="V453" t="b">
        <v>1</v>
      </c>
      <c r="W453" t="b">
        <v>1</v>
      </c>
      <c r="X453" t="b">
        <v>1</v>
      </c>
      <c r="Y453" t="b">
        <v>1</v>
      </c>
      <c r="Z453" t="b">
        <v>1</v>
      </c>
      <c r="AA453" t="b">
        <v>1</v>
      </c>
      <c r="AB453" t="b">
        <v>1</v>
      </c>
      <c r="AC453" t="b">
        <v>1</v>
      </c>
      <c r="AD453" t="b">
        <v>1</v>
      </c>
      <c r="AE453" t="b">
        <v>1</v>
      </c>
      <c r="AF453" t="b">
        <v>1</v>
      </c>
      <c r="AG453" t="b">
        <v>1</v>
      </c>
    </row>
    <row r="454" spans="1:33" x14ac:dyDescent="0.25">
      <c r="A454" t="s">
        <v>972</v>
      </c>
      <c r="B454">
        <v>13</v>
      </c>
      <c r="C454" t="b">
        <v>0</v>
      </c>
      <c r="D454" t="s">
        <v>1594</v>
      </c>
      <c r="E454" t="s">
        <v>1742</v>
      </c>
      <c r="F454" t="s">
        <v>1743</v>
      </c>
      <c r="G454" t="s">
        <v>1744</v>
      </c>
      <c r="H454">
        <v>453</v>
      </c>
      <c r="I454" t="str">
        <f>IF(ISBLANK(Table1[[#This Row],[oid]]),"FALSE","TRUE")</f>
        <v>TRUE</v>
      </c>
      <c r="J454" t="str" cm="1">
        <f t="array" ref="J454">_xlfn.SWITCH(LEFT(Table1[[#This Row],[section]],1), "D", "Demographic", "S", "Social", "E", "Economic", "H", "Housing", "")</f>
        <v>Social</v>
      </c>
      <c r="K454" t="s">
        <v>1598</v>
      </c>
      <c r="L454" t="s">
        <v>1599</v>
      </c>
      <c r="M454" t="str">
        <f>IF(Table1[[#This Row],[used]], _xlfn.CONCAT("🆔 ", Table1[[#This Row],[variable]], ": ",Table1[[#This Row],[alias]]), "")</f>
        <v>🆔 B15003_002E: No schooling completed</v>
      </c>
      <c r="O454" t="s">
        <v>1745</v>
      </c>
      <c r="P454" t="s">
        <v>1746</v>
      </c>
      <c r="Q454" t="s">
        <v>41</v>
      </c>
      <c r="R454" t="s">
        <v>1747</v>
      </c>
      <c r="S454" t="b">
        <v>0</v>
      </c>
      <c r="T454" t="b">
        <v>0</v>
      </c>
      <c r="U454" t="b">
        <v>1</v>
      </c>
      <c r="V454" t="b">
        <v>1</v>
      </c>
      <c r="W454" t="b">
        <v>1</v>
      </c>
      <c r="X454" t="b">
        <v>1</v>
      </c>
      <c r="Y454" t="b">
        <v>1</v>
      </c>
      <c r="Z454" t="b">
        <v>1</v>
      </c>
      <c r="AA454" t="b">
        <v>1</v>
      </c>
      <c r="AB454" t="b">
        <v>1</v>
      </c>
      <c r="AC454" t="b">
        <v>1</v>
      </c>
      <c r="AD454" t="b">
        <v>1</v>
      </c>
      <c r="AE454" t="b">
        <v>1</v>
      </c>
      <c r="AF454" t="b">
        <v>1</v>
      </c>
      <c r="AG454" t="b">
        <v>1</v>
      </c>
    </row>
    <row r="455" spans="1:33" x14ac:dyDescent="0.25">
      <c r="A455" t="s">
        <v>972</v>
      </c>
      <c r="B455">
        <v>13</v>
      </c>
      <c r="C455" t="b">
        <v>0</v>
      </c>
      <c r="D455" t="s">
        <v>1594</v>
      </c>
      <c r="E455" t="s">
        <v>1742</v>
      </c>
      <c r="F455" t="s">
        <v>1748</v>
      </c>
      <c r="G455" t="s">
        <v>1749</v>
      </c>
      <c r="H455">
        <v>454</v>
      </c>
      <c r="I455" t="str">
        <f>IF(ISBLANK(Table1[[#This Row],[oid]]),"FALSE","TRUE")</f>
        <v>TRUE</v>
      </c>
      <c r="J455" t="str" cm="1">
        <f t="array" ref="J455">_xlfn.SWITCH(LEFT(Table1[[#This Row],[section]],1), "D", "Demographic", "S", "Social", "E", "Economic", "H", "Housing", "")</f>
        <v>Social</v>
      </c>
      <c r="K455" t="s">
        <v>1598</v>
      </c>
      <c r="L455" t="s">
        <v>1599</v>
      </c>
      <c r="M455" t="str">
        <f>IF(Table1[[#This Row],[used]], _xlfn.CONCAT("🆔 ", Table1[[#This Row],[variable]], ": ",Table1[[#This Row],[alias]]), "")</f>
        <v>🆔 B15003_003E: Nursery school</v>
      </c>
      <c r="O455" t="s">
        <v>1750</v>
      </c>
      <c r="P455" t="s">
        <v>1746</v>
      </c>
      <c r="Q455" t="s">
        <v>41</v>
      </c>
      <c r="R455" t="s">
        <v>1751</v>
      </c>
      <c r="S455" t="b">
        <v>0</v>
      </c>
      <c r="T455" t="b">
        <v>0</v>
      </c>
      <c r="U455" t="b">
        <v>1</v>
      </c>
      <c r="V455" t="b">
        <v>1</v>
      </c>
      <c r="W455" t="b">
        <v>1</v>
      </c>
      <c r="X455" t="b">
        <v>1</v>
      </c>
      <c r="Y455" t="b">
        <v>1</v>
      </c>
      <c r="Z455" t="b">
        <v>1</v>
      </c>
      <c r="AA455" t="b">
        <v>1</v>
      </c>
      <c r="AB455" t="b">
        <v>1</v>
      </c>
      <c r="AC455" t="b">
        <v>1</v>
      </c>
      <c r="AD455" t="b">
        <v>1</v>
      </c>
      <c r="AE455" t="b">
        <v>1</v>
      </c>
      <c r="AF455" t="b">
        <v>1</v>
      </c>
      <c r="AG455" t="b">
        <v>1</v>
      </c>
    </row>
    <row r="456" spans="1:33" x14ac:dyDescent="0.25">
      <c r="A456" t="s">
        <v>972</v>
      </c>
      <c r="B456">
        <v>13</v>
      </c>
      <c r="C456" t="b">
        <v>0</v>
      </c>
      <c r="D456" t="s">
        <v>1594</v>
      </c>
      <c r="E456" t="s">
        <v>1742</v>
      </c>
      <c r="F456" t="s">
        <v>1752</v>
      </c>
      <c r="G456" t="s">
        <v>1753</v>
      </c>
      <c r="H456">
        <v>455</v>
      </c>
      <c r="I456" t="str">
        <f>IF(ISBLANK(Table1[[#This Row],[oid]]),"FALSE","TRUE")</f>
        <v>TRUE</v>
      </c>
      <c r="J456" t="str" cm="1">
        <f t="array" ref="J456">_xlfn.SWITCH(LEFT(Table1[[#This Row],[section]],1), "D", "Demographic", "S", "Social", "E", "Economic", "H", "Housing", "")</f>
        <v>Social</v>
      </c>
      <c r="K456" t="s">
        <v>1598</v>
      </c>
      <c r="L456" t="s">
        <v>1599</v>
      </c>
      <c r="M456" t="str">
        <f>IF(Table1[[#This Row],[used]], _xlfn.CONCAT("🆔 ", Table1[[#This Row],[variable]], ": ",Table1[[#This Row],[alias]]), "")</f>
        <v>🆔 B15003_004E: Kindergarten</v>
      </c>
      <c r="O456" t="s">
        <v>1754</v>
      </c>
      <c r="P456" t="s">
        <v>1746</v>
      </c>
      <c r="Q456" t="s">
        <v>41</v>
      </c>
      <c r="R456" t="s">
        <v>1755</v>
      </c>
      <c r="S456" t="b">
        <v>0</v>
      </c>
      <c r="T456" t="b">
        <v>0</v>
      </c>
      <c r="U456" t="b">
        <v>1</v>
      </c>
      <c r="V456" t="b">
        <v>1</v>
      </c>
      <c r="W456" t="b">
        <v>1</v>
      </c>
      <c r="X456" t="b">
        <v>1</v>
      </c>
      <c r="Y456" t="b">
        <v>1</v>
      </c>
      <c r="Z456" t="b">
        <v>1</v>
      </c>
      <c r="AA456" t="b">
        <v>1</v>
      </c>
      <c r="AB456" t="b">
        <v>1</v>
      </c>
      <c r="AC456" t="b">
        <v>1</v>
      </c>
      <c r="AD456" t="b">
        <v>1</v>
      </c>
      <c r="AE456" t="b">
        <v>1</v>
      </c>
      <c r="AF456" t="b">
        <v>1</v>
      </c>
      <c r="AG456" t="b">
        <v>1</v>
      </c>
    </row>
    <row r="457" spans="1:33" x14ac:dyDescent="0.25">
      <c r="A457" t="s">
        <v>972</v>
      </c>
      <c r="B457">
        <v>13</v>
      </c>
      <c r="C457" t="b">
        <v>0</v>
      </c>
      <c r="D457" t="s">
        <v>1594</v>
      </c>
      <c r="E457" t="s">
        <v>1742</v>
      </c>
      <c r="F457" t="s">
        <v>1756</v>
      </c>
      <c r="G457" t="s">
        <v>1757</v>
      </c>
      <c r="H457">
        <v>456</v>
      </c>
      <c r="I457" t="str">
        <f>IF(ISBLANK(Table1[[#This Row],[oid]]),"FALSE","TRUE")</f>
        <v>TRUE</v>
      </c>
      <c r="J457" t="str" cm="1">
        <f t="array" ref="J457">_xlfn.SWITCH(LEFT(Table1[[#This Row],[section]],1), "D", "Demographic", "S", "Social", "E", "Economic", "H", "Housing", "")</f>
        <v>Social</v>
      </c>
      <c r="K457" t="s">
        <v>1598</v>
      </c>
      <c r="L457" t="s">
        <v>1599</v>
      </c>
      <c r="M457" t="str">
        <f>IF(Table1[[#This Row],[used]], _xlfn.CONCAT("🆔 ", Table1[[#This Row],[variable]], ": ",Table1[[#This Row],[alias]]), "")</f>
        <v>🆔 B15003_005E: 1st grade</v>
      </c>
      <c r="O457" t="s">
        <v>1758</v>
      </c>
      <c r="P457" t="s">
        <v>1746</v>
      </c>
      <c r="Q457" t="s">
        <v>41</v>
      </c>
      <c r="R457" t="s">
        <v>1759</v>
      </c>
      <c r="S457" t="b">
        <v>0</v>
      </c>
      <c r="T457" t="b">
        <v>0</v>
      </c>
      <c r="U457" t="b">
        <v>1</v>
      </c>
      <c r="V457" t="b">
        <v>1</v>
      </c>
      <c r="W457" t="b">
        <v>1</v>
      </c>
      <c r="X457" t="b">
        <v>1</v>
      </c>
      <c r="Y457" t="b">
        <v>1</v>
      </c>
      <c r="Z457" t="b">
        <v>1</v>
      </c>
      <c r="AA457" t="b">
        <v>1</v>
      </c>
      <c r="AB457" t="b">
        <v>1</v>
      </c>
      <c r="AC457" t="b">
        <v>1</v>
      </c>
      <c r="AD457" t="b">
        <v>1</v>
      </c>
      <c r="AE457" t="b">
        <v>1</v>
      </c>
      <c r="AF457" t="b">
        <v>1</v>
      </c>
      <c r="AG457" t="b">
        <v>1</v>
      </c>
    </row>
    <row r="458" spans="1:33" x14ac:dyDescent="0.25">
      <c r="A458" t="s">
        <v>972</v>
      </c>
      <c r="B458">
        <v>13</v>
      </c>
      <c r="C458" t="b">
        <v>0</v>
      </c>
      <c r="D458" t="s">
        <v>1594</v>
      </c>
      <c r="E458" t="s">
        <v>1742</v>
      </c>
      <c r="F458" t="s">
        <v>1760</v>
      </c>
      <c r="G458" t="s">
        <v>1761</v>
      </c>
      <c r="H458">
        <v>457</v>
      </c>
      <c r="I458" t="str">
        <f>IF(ISBLANK(Table1[[#This Row],[oid]]),"FALSE","TRUE")</f>
        <v>TRUE</v>
      </c>
      <c r="J458" t="str" cm="1">
        <f t="array" ref="J458">_xlfn.SWITCH(LEFT(Table1[[#This Row],[section]],1), "D", "Demographic", "S", "Social", "E", "Economic", "H", "Housing", "")</f>
        <v>Social</v>
      </c>
      <c r="K458" t="s">
        <v>1598</v>
      </c>
      <c r="L458" t="s">
        <v>1599</v>
      </c>
      <c r="M458" t="str">
        <f>IF(Table1[[#This Row],[used]], _xlfn.CONCAT("🆔 ", Table1[[#This Row],[variable]], ": ",Table1[[#This Row],[alias]]), "")</f>
        <v>🆔 B15003_006E: 2nd grade</v>
      </c>
      <c r="O458" t="s">
        <v>1762</v>
      </c>
      <c r="P458" t="s">
        <v>1746</v>
      </c>
      <c r="Q458" t="s">
        <v>41</v>
      </c>
      <c r="R458" t="s">
        <v>1763</v>
      </c>
      <c r="S458" t="b">
        <v>0</v>
      </c>
      <c r="T458" t="b">
        <v>0</v>
      </c>
      <c r="U458" t="b">
        <v>1</v>
      </c>
      <c r="V458" t="b">
        <v>1</v>
      </c>
      <c r="W458" t="b">
        <v>1</v>
      </c>
      <c r="X458" t="b">
        <v>1</v>
      </c>
      <c r="Y458" t="b">
        <v>1</v>
      </c>
      <c r="Z458" t="b">
        <v>1</v>
      </c>
      <c r="AA458" t="b">
        <v>1</v>
      </c>
      <c r="AB458" t="b">
        <v>1</v>
      </c>
      <c r="AC458" t="b">
        <v>1</v>
      </c>
      <c r="AD458" t="b">
        <v>1</v>
      </c>
      <c r="AE458" t="b">
        <v>1</v>
      </c>
      <c r="AF458" t="b">
        <v>1</v>
      </c>
      <c r="AG458" t="b">
        <v>1</v>
      </c>
    </row>
    <row r="459" spans="1:33" x14ac:dyDescent="0.25">
      <c r="A459" t="s">
        <v>972</v>
      </c>
      <c r="B459">
        <v>13</v>
      </c>
      <c r="C459" t="b">
        <v>0</v>
      </c>
      <c r="D459" t="s">
        <v>1594</v>
      </c>
      <c r="E459" t="s">
        <v>1742</v>
      </c>
      <c r="F459" t="s">
        <v>1764</v>
      </c>
      <c r="G459" t="s">
        <v>1765</v>
      </c>
      <c r="H459">
        <v>458</v>
      </c>
      <c r="I459" t="str">
        <f>IF(ISBLANK(Table1[[#This Row],[oid]]),"FALSE","TRUE")</f>
        <v>TRUE</v>
      </c>
      <c r="J459" t="str" cm="1">
        <f t="array" ref="J459">_xlfn.SWITCH(LEFT(Table1[[#This Row],[section]],1), "D", "Demographic", "S", "Social", "E", "Economic", "H", "Housing", "")</f>
        <v>Social</v>
      </c>
      <c r="K459" t="s">
        <v>1598</v>
      </c>
      <c r="L459" t="s">
        <v>1599</v>
      </c>
      <c r="M459" t="str">
        <f>IF(Table1[[#This Row],[used]], _xlfn.CONCAT("🆔 ", Table1[[#This Row],[variable]], ": ",Table1[[#This Row],[alias]]), "")</f>
        <v>🆔 B15003_007E: 3rd grade</v>
      </c>
      <c r="O459" t="s">
        <v>1766</v>
      </c>
      <c r="P459" t="s">
        <v>1746</v>
      </c>
      <c r="Q459" t="s">
        <v>41</v>
      </c>
      <c r="R459" t="s">
        <v>1767</v>
      </c>
      <c r="S459" t="b">
        <v>0</v>
      </c>
      <c r="T459" t="b">
        <v>0</v>
      </c>
      <c r="U459" t="b">
        <v>1</v>
      </c>
      <c r="V459" t="b">
        <v>1</v>
      </c>
      <c r="W459" t="b">
        <v>1</v>
      </c>
      <c r="X459" t="b">
        <v>1</v>
      </c>
      <c r="Y459" t="b">
        <v>1</v>
      </c>
      <c r="Z459" t="b">
        <v>1</v>
      </c>
      <c r="AA459" t="b">
        <v>1</v>
      </c>
      <c r="AB459" t="b">
        <v>1</v>
      </c>
      <c r="AC459" t="b">
        <v>1</v>
      </c>
      <c r="AD459" t="b">
        <v>1</v>
      </c>
      <c r="AE459" t="b">
        <v>1</v>
      </c>
      <c r="AF459" t="b">
        <v>1</v>
      </c>
      <c r="AG459" t="b">
        <v>1</v>
      </c>
    </row>
    <row r="460" spans="1:33" x14ac:dyDescent="0.25">
      <c r="A460" t="s">
        <v>972</v>
      </c>
      <c r="B460">
        <v>13</v>
      </c>
      <c r="C460" t="b">
        <v>0</v>
      </c>
      <c r="D460" t="s">
        <v>1594</v>
      </c>
      <c r="E460" t="s">
        <v>1742</v>
      </c>
      <c r="F460" t="s">
        <v>1768</v>
      </c>
      <c r="G460" t="s">
        <v>1769</v>
      </c>
      <c r="H460">
        <v>459</v>
      </c>
      <c r="I460" t="str">
        <f>IF(ISBLANK(Table1[[#This Row],[oid]]),"FALSE","TRUE")</f>
        <v>TRUE</v>
      </c>
      <c r="J460" t="str" cm="1">
        <f t="array" ref="J460">_xlfn.SWITCH(LEFT(Table1[[#This Row],[section]],1), "D", "Demographic", "S", "Social", "E", "Economic", "H", "Housing", "")</f>
        <v>Social</v>
      </c>
      <c r="K460" t="s">
        <v>1598</v>
      </c>
      <c r="L460" t="s">
        <v>1599</v>
      </c>
      <c r="M460" t="str">
        <f>IF(Table1[[#This Row],[used]], _xlfn.CONCAT("🆔 ", Table1[[#This Row],[variable]], ": ",Table1[[#This Row],[alias]]), "")</f>
        <v>🆔 B15003_008E: 4th grade</v>
      </c>
      <c r="O460" t="s">
        <v>1770</v>
      </c>
      <c r="P460" t="s">
        <v>1746</v>
      </c>
      <c r="Q460" t="s">
        <v>41</v>
      </c>
      <c r="R460" t="s">
        <v>1771</v>
      </c>
      <c r="S460" t="b">
        <v>0</v>
      </c>
      <c r="T460" t="b">
        <v>0</v>
      </c>
      <c r="U460" t="b">
        <v>1</v>
      </c>
      <c r="V460" t="b">
        <v>1</v>
      </c>
      <c r="W460" t="b">
        <v>1</v>
      </c>
      <c r="X460" t="b">
        <v>1</v>
      </c>
      <c r="Y460" t="b">
        <v>1</v>
      </c>
      <c r="Z460" t="b">
        <v>1</v>
      </c>
      <c r="AA460" t="b">
        <v>1</v>
      </c>
      <c r="AB460" t="b">
        <v>1</v>
      </c>
      <c r="AC460" t="b">
        <v>1</v>
      </c>
      <c r="AD460" t="b">
        <v>1</v>
      </c>
      <c r="AE460" t="b">
        <v>1</v>
      </c>
      <c r="AF460" t="b">
        <v>1</v>
      </c>
      <c r="AG460" t="b">
        <v>1</v>
      </c>
    </row>
    <row r="461" spans="1:33" x14ac:dyDescent="0.25">
      <c r="A461" t="s">
        <v>972</v>
      </c>
      <c r="B461">
        <v>13</v>
      </c>
      <c r="C461" t="b">
        <v>0</v>
      </c>
      <c r="D461" t="s">
        <v>1594</v>
      </c>
      <c r="E461" t="s">
        <v>1742</v>
      </c>
      <c r="F461" t="s">
        <v>1772</v>
      </c>
      <c r="G461" t="s">
        <v>1773</v>
      </c>
      <c r="H461">
        <v>460</v>
      </c>
      <c r="I461" t="str">
        <f>IF(ISBLANK(Table1[[#This Row],[oid]]),"FALSE","TRUE")</f>
        <v>TRUE</v>
      </c>
      <c r="J461" t="str" cm="1">
        <f t="array" ref="J461">_xlfn.SWITCH(LEFT(Table1[[#This Row],[section]],1), "D", "Demographic", "S", "Social", "E", "Economic", "H", "Housing", "")</f>
        <v>Social</v>
      </c>
      <c r="K461" t="s">
        <v>1598</v>
      </c>
      <c r="L461" t="s">
        <v>1599</v>
      </c>
      <c r="M461" t="str">
        <f>IF(Table1[[#This Row],[used]], _xlfn.CONCAT("🆔 ", Table1[[#This Row],[variable]], ": ",Table1[[#This Row],[alias]]), "")</f>
        <v>🆔 B15003_009E: 5th grade</v>
      </c>
      <c r="O461" t="s">
        <v>1774</v>
      </c>
      <c r="P461" t="s">
        <v>1746</v>
      </c>
      <c r="Q461" t="s">
        <v>41</v>
      </c>
      <c r="R461" t="s">
        <v>1775</v>
      </c>
      <c r="S461" t="b">
        <v>0</v>
      </c>
      <c r="T461" t="b">
        <v>0</v>
      </c>
      <c r="U461" t="b">
        <v>1</v>
      </c>
      <c r="V461" t="b">
        <v>1</v>
      </c>
      <c r="W461" t="b">
        <v>1</v>
      </c>
      <c r="X461" t="b">
        <v>1</v>
      </c>
      <c r="Y461" t="b">
        <v>1</v>
      </c>
      <c r="Z461" t="b">
        <v>1</v>
      </c>
      <c r="AA461" t="b">
        <v>1</v>
      </c>
      <c r="AB461" t="b">
        <v>1</v>
      </c>
      <c r="AC461" t="b">
        <v>1</v>
      </c>
      <c r="AD461" t="b">
        <v>1</v>
      </c>
      <c r="AE461" t="b">
        <v>1</v>
      </c>
      <c r="AF461" t="b">
        <v>1</v>
      </c>
      <c r="AG461" t="b">
        <v>1</v>
      </c>
    </row>
    <row r="462" spans="1:33" x14ac:dyDescent="0.25">
      <c r="A462" t="s">
        <v>972</v>
      </c>
      <c r="B462">
        <v>13</v>
      </c>
      <c r="C462" t="b">
        <v>0</v>
      </c>
      <c r="D462" t="s">
        <v>1594</v>
      </c>
      <c r="E462" t="s">
        <v>1742</v>
      </c>
      <c r="F462" t="s">
        <v>1776</v>
      </c>
      <c r="G462" t="s">
        <v>1777</v>
      </c>
      <c r="H462">
        <v>461</v>
      </c>
      <c r="I462" t="str">
        <f>IF(ISBLANK(Table1[[#This Row],[oid]]),"FALSE","TRUE")</f>
        <v>TRUE</v>
      </c>
      <c r="J462" t="str" cm="1">
        <f t="array" ref="J462">_xlfn.SWITCH(LEFT(Table1[[#This Row],[section]],1), "D", "Demographic", "S", "Social", "E", "Economic", "H", "Housing", "")</f>
        <v>Social</v>
      </c>
      <c r="K462" t="s">
        <v>1598</v>
      </c>
      <c r="L462" t="s">
        <v>1599</v>
      </c>
      <c r="M462" t="str">
        <f>IF(Table1[[#This Row],[used]], _xlfn.CONCAT("🆔 ", Table1[[#This Row],[variable]], ": ",Table1[[#This Row],[alias]]), "")</f>
        <v>🆔 B15003_010E: 6th grade</v>
      </c>
      <c r="O462" t="s">
        <v>1778</v>
      </c>
      <c r="P462" t="s">
        <v>1746</v>
      </c>
      <c r="Q462" t="s">
        <v>41</v>
      </c>
      <c r="R462" t="s">
        <v>1779</v>
      </c>
      <c r="S462" t="b">
        <v>0</v>
      </c>
      <c r="T462" t="b">
        <v>0</v>
      </c>
      <c r="U462" t="b">
        <v>1</v>
      </c>
      <c r="V462" t="b">
        <v>1</v>
      </c>
      <c r="W462" t="b">
        <v>1</v>
      </c>
      <c r="X462" t="b">
        <v>1</v>
      </c>
      <c r="Y462" t="b">
        <v>1</v>
      </c>
      <c r="Z462" t="b">
        <v>1</v>
      </c>
      <c r="AA462" t="b">
        <v>1</v>
      </c>
      <c r="AB462" t="b">
        <v>1</v>
      </c>
      <c r="AC462" t="b">
        <v>1</v>
      </c>
      <c r="AD462" t="b">
        <v>1</v>
      </c>
      <c r="AE462" t="b">
        <v>1</v>
      </c>
      <c r="AF462" t="b">
        <v>1</v>
      </c>
      <c r="AG462" t="b">
        <v>1</v>
      </c>
    </row>
    <row r="463" spans="1:33" x14ac:dyDescent="0.25">
      <c r="A463" t="s">
        <v>972</v>
      </c>
      <c r="B463">
        <v>13</v>
      </c>
      <c r="C463" t="b">
        <v>0</v>
      </c>
      <c r="D463" t="s">
        <v>1594</v>
      </c>
      <c r="E463" t="s">
        <v>1742</v>
      </c>
      <c r="F463" t="s">
        <v>1780</v>
      </c>
      <c r="G463" t="s">
        <v>1781</v>
      </c>
      <c r="H463">
        <v>462</v>
      </c>
      <c r="I463" t="str">
        <f>IF(ISBLANK(Table1[[#This Row],[oid]]),"FALSE","TRUE")</f>
        <v>TRUE</v>
      </c>
      <c r="J463" t="str" cm="1">
        <f t="array" ref="J463">_xlfn.SWITCH(LEFT(Table1[[#This Row],[section]],1), "D", "Demographic", "S", "Social", "E", "Economic", "H", "Housing", "")</f>
        <v>Social</v>
      </c>
      <c r="K463" t="s">
        <v>1598</v>
      </c>
      <c r="L463" t="s">
        <v>1599</v>
      </c>
      <c r="M463" t="str">
        <f>IF(Table1[[#This Row],[used]], _xlfn.CONCAT("🆔 ", Table1[[#This Row],[variable]], ": ",Table1[[#This Row],[alias]]), "")</f>
        <v>🆔 B15003_011E: 7th grade</v>
      </c>
      <c r="O463" t="s">
        <v>1782</v>
      </c>
      <c r="P463" t="s">
        <v>1746</v>
      </c>
      <c r="Q463" t="s">
        <v>41</v>
      </c>
      <c r="R463" t="s">
        <v>1783</v>
      </c>
      <c r="S463" t="b">
        <v>0</v>
      </c>
      <c r="T463" t="b">
        <v>0</v>
      </c>
      <c r="U463" t="b">
        <v>1</v>
      </c>
      <c r="V463" t="b">
        <v>1</v>
      </c>
      <c r="W463" t="b">
        <v>1</v>
      </c>
      <c r="X463" t="b">
        <v>1</v>
      </c>
      <c r="Y463" t="b">
        <v>1</v>
      </c>
      <c r="Z463" t="b">
        <v>1</v>
      </c>
      <c r="AA463" t="b">
        <v>1</v>
      </c>
      <c r="AB463" t="b">
        <v>1</v>
      </c>
      <c r="AC463" t="b">
        <v>1</v>
      </c>
      <c r="AD463" t="b">
        <v>1</v>
      </c>
      <c r="AE463" t="b">
        <v>1</v>
      </c>
      <c r="AF463" t="b">
        <v>1</v>
      </c>
      <c r="AG463" t="b">
        <v>1</v>
      </c>
    </row>
    <row r="464" spans="1:33" x14ac:dyDescent="0.25">
      <c r="A464" t="s">
        <v>972</v>
      </c>
      <c r="B464">
        <v>13</v>
      </c>
      <c r="C464" t="b">
        <v>0</v>
      </c>
      <c r="D464" t="s">
        <v>1594</v>
      </c>
      <c r="E464" t="s">
        <v>1742</v>
      </c>
      <c r="F464" t="s">
        <v>1784</v>
      </c>
      <c r="G464" t="s">
        <v>1785</v>
      </c>
      <c r="H464">
        <v>463</v>
      </c>
      <c r="I464" t="str">
        <f>IF(ISBLANK(Table1[[#This Row],[oid]]),"FALSE","TRUE")</f>
        <v>TRUE</v>
      </c>
      <c r="J464" t="str" cm="1">
        <f t="array" ref="J464">_xlfn.SWITCH(LEFT(Table1[[#This Row],[section]],1), "D", "Demographic", "S", "Social", "E", "Economic", "H", "Housing", "")</f>
        <v>Social</v>
      </c>
      <c r="K464" t="s">
        <v>1598</v>
      </c>
      <c r="L464" t="s">
        <v>1599</v>
      </c>
      <c r="M464" t="str">
        <f>IF(Table1[[#This Row],[used]], _xlfn.CONCAT("🆔 ", Table1[[#This Row],[variable]], ": ",Table1[[#This Row],[alias]]), "")</f>
        <v>🆔 B15003_012E: 8th grade</v>
      </c>
      <c r="O464" t="s">
        <v>1786</v>
      </c>
      <c r="P464" t="s">
        <v>1746</v>
      </c>
      <c r="Q464" t="s">
        <v>41</v>
      </c>
      <c r="R464" t="s">
        <v>1787</v>
      </c>
      <c r="S464" t="b">
        <v>0</v>
      </c>
      <c r="T464" t="b">
        <v>0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</row>
    <row r="465" spans="1:33" x14ac:dyDescent="0.25">
      <c r="A465" t="s">
        <v>972</v>
      </c>
      <c r="B465">
        <v>13</v>
      </c>
      <c r="C465" t="b">
        <v>0</v>
      </c>
      <c r="D465" t="s">
        <v>1594</v>
      </c>
      <c r="E465" t="s">
        <v>1742</v>
      </c>
      <c r="F465" t="s">
        <v>1788</v>
      </c>
      <c r="G465" t="s">
        <v>1789</v>
      </c>
      <c r="H465">
        <v>464</v>
      </c>
      <c r="I465" t="str">
        <f>IF(ISBLANK(Table1[[#This Row],[oid]]),"FALSE","TRUE")</f>
        <v>TRUE</v>
      </c>
      <c r="J465" t="str" cm="1">
        <f t="array" ref="J465">_xlfn.SWITCH(LEFT(Table1[[#This Row],[section]],1), "D", "Demographic", "S", "Social", "E", "Economic", "H", "Housing", "")</f>
        <v>Social</v>
      </c>
      <c r="K465" t="s">
        <v>1598</v>
      </c>
      <c r="L465" t="s">
        <v>1599</v>
      </c>
      <c r="M465" t="str">
        <f>IF(Table1[[#This Row],[used]], _xlfn.CONCAT("🆔 ", Table1[[#This Row],[variable]], ": ",Table1[[#This Row],[alias]]), "")</f>
        <v>🆔 B15003_013E: 9th grade</v>
      </c>
      <c r="O465" t="s">
        <v>1790</v>
      </c>
      <c r="P465" t="s">
        <v>1746</v>
      </c>
      <c r="Q465" t="s">
        <v>41</v>
      </c>
      <c r="R465" t="s">
        <v>1791</v>
      </c>
      <c r="S465" t="b">
        <v>0</v>
      </c>
      <c r="T465" t="b">
        <v>0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</row>
    <row r="466" spans="1:33" x14ac:dyDescent="0.25">
      <c r="A466" t="s">
        <v>972</v>
      </c>
      <c r="B466">
        <v>13</v>
      </c>
      <c r="C466" t="b">
        <v>0</v>
      </c>
      <c r="D466" t="s">
        <v>1594</v>
      </c>
      <c r="E466" t="s">
        <v>1742</v>
      </c>
      <c r="F466" t="s">
        <v>1792</v>
      </c>
      <c r="G466" t="s">
        <v>1793</v>
      </c>
      <c r="H466">
        <v>465</v>
      </c>
      <c r="I466" t="str">
        <f>IF(ISBLANK(Table1[[#This Row],[oid]]),"FALSE","TRUE")</f>
        <v>TRUE</v>
      </c>
      <c r="J466" t="str" cm="1">
        <f t="array" ref="J466">_xlfn.SWITCH(LEFT(Table1[[#This Row],[section]],1), "D", "Demographic", "S", "Social", "E", "Economic", "H", "Housing", "")</f>
        <v>Social</v>
      </c>
      <c r="K466" t="s">
        <v>1598</v>
      </c>
      <c r="L466" t="s">
        <v>1599</v>
      </c>
      <c r="M466" t="str">
        <f>IF(Table1[[#This Row],[used]], _xlfn.CONCAT("🆔 ", Table1[[#This Row],[variable]], ": ",Table1[[#This Row],[alias]]), "")</f>
        <v>🆔 B15003_014E: 10th grade</v>
      </c>
      <c r="O466" t="s">
        <v>1794</v>
      </c>
      <c r="P466" t="s">
        <v>1746</v>
      </c>
      <c r="Q466" t="s">
        <v>41</v>
      </c>
      <c r="R466" t="s">
        <v>1795</v>
      </c>
      <c r="S466" t="b">
        <v>0</v>
      </c>
      <c r="T466" t="b">
        <v>0</v>
      </c>
      <c r="U466" t="b">
        <v>1</v>
      </c>
      <c r="V466" t="b">
        <v>1</v>
      </c>
      <c r="W466" t="b">
        <v>1</v>
      </c>
      <c r="X466" t="b">
        <v>1</v>
      </c>
      <c r="Y466" t="b">
        <v>1</v>
      </c>
      <c r="Z466" t="b">
        <v>1</v>
      </c>
      <c r="AA466" t="b">
        <v>1</v>
      </c>
      <c r="AB466" t="b">
        <v>1</v>
      </c>
      <c r="AC466" t="b">
        <v>1</v>
      </c>
      <c r="AD466" t="b">
        <v>1</v>
      </c>
      <c r="AE466" t="b">
        <v>1</v>
      </c>
      <c r="AF466" t="b">
        <v>1</v>
      </c>
      <c r="AG466" t="b">
        <v>1</v>
      </c>
    </row>
    <row r="467" spans="1:33" x14ac:dyDescent="0.25">
      <c r="A467" t="s">
        <v>972</v>
      </c>
      <c r="B467">
        <v>13</v>
      </c>
      <c r="C467" t="b">
        <v>0</v>
      </c>
      <c r="D467" t="s">
        <v>1594</v>
      </c>
      <c r="E467" t="s">
        <v>1742</v>
      </c>
      <c r="F467" t="s">
        <v>1796</v>
      </c>
      <c r="G467" t="s">
        <v>1797</v>
      </c>
      <c r="H467">
        <v>466</v>
      </c>
      <c r="I467" t="str">
        <f>IF(ISBLANK(Table1[[#This Row],[oid]]),"FALSE","TRUE")</f>
        <v>TRUE</v>
      </c>
      <c r="J467" t="str" cm="1">
        <f t="array" ref="J467">_xlfn.SWITCH(LEFT(Table1[[#This Row],[section]],1), "D", "Demographic", "S", "Social", "E", "Economic", "H", "Housing", "")</f>
        <v>Social</v>
      </c>
      <c r="K467" t="s">
        <v>1598</v>
      </c>
      <c r="L467" t="s">
        <v>1599</v>
      </c>
      <c r="M467" t="str">
        <f>IF(Table1[[#This Row],[used]], _xlfn.CONCAT("🆔 ", Table1[[#This Row],[variable]], ": ",Table1[[#This Row],[alias]]), "")</f>
        <v>🆔 B15003_015E: 11th grade</v>
      </c>
      <c r="O467" t="s">
        <v>1798</v>
      </c>
      <c r="P467" t="s">
        <v>1746</v>
      </c>
      <c r="Q467" t="s">
        <v>41</v>
      </c>
      <c r="R467" t="s">
        <v>1799</v>
      </c>
      <c r="S467" t="b">
        <v>0</v>
      </c>
      <c r="T467" t="b">
        <v>0</v>
      </c>
      <c r="U467" t="b">
        <v>1</v>
      </c>
      <c r="V467" t="b">
        <v>1</v>
      </c>
      <c r="W467" t="b">
        <v>1</v>
      </c>
      <c r="X467" t="b">
        <v>1</v>
      </c>
      <c r="Y467" t="b">
        <v>1</v>
      </c>
      <c r="Z467" t="b">
        <v>1</v>
      </c>
      <c r="AA467" t="b">
        <v>1</v>
      </c>
      <c r="AB467" t="b">
        <v>1</v>
      </c>
      <c r="AC467" t="b">
        <v>1</v>
      </c>
      <c r="AD467" t="b">
        <v>1</v>
      </c>
      <c r="AE467" t="b">
        <v>1</v>
      </c>
      <c r="AF467" t="b">
        <v>1</v>
      </c>
      <c r="AG467" t="b">
        <v>1</v>
      </c>
    </row>
    <row r="468" spans="1:33" x14ac:dyDescent="0.25">
      <c r="A468" t="s">
        <v>972</v>
      </c>
      <c r="B468">
        <v>13</v>
      </c>
      <c r="C468" t="b">
        <v>0</v>
      </c>
      <c r="D468" t="s">
        <v>1594</v>
      </c>
      <c r="E468" t="s">
        <v>1742</v>
      </c>
      <c r="F468" t="s">
        <v>1800</v>
      </c>
      <c r="G468" t="s">
        <v>1801</v>
      </c>
      <c r="H468">
        <v>467</v>
      </c>
      <c r="I468" t="str">
        <f>IF(ISBLANK(Table1[[#This Row],[oid]]),"FALSE","TRUE")</f>
        <v>TRUE</v>
      </c>
      <c r="J468" t="str" cm="1">
        <f t="array" ref="J468">_xlfn.SWITCH(LEFT(Table1[[#This Row],[section]],1), "D", "Demographic", "S", "Social", "E", "Economic", "H", "Housing", "")</f>
        <v>Social</v>
      </c>
      <c r="K468" t="s">
        <v>1598</v>
      </c>
      <c r="L468" t="s">
        <v>1599</v>
      </c>
      <c r="M468" t="str">
        <f>IF(Table1[[#This Row],[used]], _xlfn.CONCAT("🆔 ", Table1[[#This Row],[variable]], ": ",Table1[[#This Row],[alias]]), "")</f>
        <v>🆔 B15003_016E: 12th grade no diploma</v>
      </c>
      <c r="O468" t="s">
        <v>1802</v>
      </c>
      <c r="P468" t="s">
        <v>1746</v>
      </c>
      <c r="Q468" t="s">
        <v>41</v>
      </c>
      <c r="R468" t="s">
        <v>1803</v>
      </c>
      <c r="S468" t="b">
        <v>0</v>
      </c>
      <c r="T468" t="b">
        <v>0</v>
      </c>
      <c r="U468" t="b">
        <v>1</v>
      </c>
      <c r="V468" t="b">
        <v>1</v>
      </c>
      <c r="W468" t="b">
        <v>1</v>
      </c>
      <c r="X468" t="b">
        <v>1</v>
      </c>
      <c r="Y468" t="b">
        <v>1</v>
      </c>
      <c r="Z468" t="b">
        <v>1</v>
      </c>
      <c r="AA468" t="b">
        <v>1</v>
      </c>
      <c r="AB468" t="b">
        <v>1</v>
      </c>
      <c r="AC468" t="b">
        <v>1</v>
      </c>
      <c r="AD468" t="b">
        <v>1</v>
      </c>
      <c r="AE468" t="b">
        <v>1</v>
      </c>
      <c r="AF468" t="b">
        <v>1</v>
      </c>
      <c r="AG468" t="b">
        <v>1</v>
      </c>
    </row>
    <row r="469" spans="1:33" x14ac:dyDescent="0.25">
      <c r="A469" t="s">
        <v>972</v>
      </c>
      <c r="B469">
        <v>13</v>
      </c>
      <c r="C469" t="b">
        <v>0</v>
      </c>
      <c r="D469" t="s">
        <v>1594</v>
      </c>
      <c r="E469" t="s">
        <v>1742</v>
      </c>
      <c r="F469" t="s">
        <v>1804</v>
      </c>
      <c r="G469" t="s">
        <v>1805</v>
      </c>
      <c r="H469">
        <v>468</v>
      </c>
      <c r="I469" t="str">
        <f>IF(ISBLANK(Table1[[#This Row],[oid]]),"FALSE","TRUE")</f>
        <v>TRUE</v>
      </c>
      <c r="J469" t="str" cm="1">
        <f t="array" ref="J469">_xlfn.SWITCH(LEFT(Table1[[#This Row],[section]],1), "D", "Demographic", "S", "Social", "E", "Economic", "H", "Housing", "")</f>
        <v>Social</v>
      </c>
      <c r="K469" t="s">
        <v>1598</v>
      </c>
      <c r="L469" t="s">
        <v>1599</v>
      </c>
      <c r="M469" t="str">
        <f>IF(Table1[[#This Row],[used]], _xlfn.CONCAT("🆔 ", Table1[[#This Row],[variable]], ": ",Table1[[#This Row],[alias]]), "")</f>
        <v>🆔 B15003_017E: Regular high school diploma</v>
      </c>
      <c r="O469" t="s">
        <v>1806</v>
      </c>
      <c r="P469" t="s">
        <v>1746</v>
      </c>
      <c r="Q469" t="s">
        <v>41</v>
      </c>
      <c r="R469" t="s">
        <v>1807</v>
      </c>
      <c r="S469" t="b">
        <v>0</v>
      </c>
      <c r="T469" t="b">
        <v>0</v>
      </c>
      <c r="U469" t="b">
        <v>1</v>
      </c>
      <c r="V469" t="b">
        <v>1</v>
      </c>
      <c r="W469" t="b">
        <v>1</v>
      </c>
      <c r="X469" t="b">
        <v>1</v>
      </c>
      <c r="Y469" t="b">
        <v>1</v>
      </c>
      <c r="Z469" t="b">
        <v>1</v>
      </c>
      <c r="AA469" t="b">
        <v>1</v>
      </c>
      <c r="AB469" t="b">
        <v>1</v>
      </c>
      <c r="AC469" t="b">
        <v>1</v>
      </c>
      <c r="AD469" t="b">
        <v>1</v>
      </c>
      <c r="AE469" t="b">
        <v>1</v>
      </c>
      <c r="AF469" t="b">
        <v>1</v>
      </c>
      <c r="AG469" t="b">
        <v>1</v>
      </c>
    </row>
    <row r="470" spans="1:33" x14ac:dyDescent="0.25">
      <c r="A470" t="s">
        <v>972</v>
      </c>
      <c r="B470">
        <v>13</v>
      </c>
      <c r="C470" t="b">
        <v>0</v>
      </c>
      <c r="D470" t="s">
        <v>1594</v>
      </c>
      <c r="E470" t="s">
        <v>1742</v>
      </c>
      <c r="F470" t="s">
        <v>1808</v>
      </c>
      <c r="G470" t="s">
        <v>1809</v>
      </c>
      <c r="H470">
        <v>469</v>
      </c>
      <c r="I470" t="str">
        <f>IF(ISBLANK(Table1[[#This Row],[oid]]),"FALSE","TRUE")</f>
        <v>TRUE</v>
      </c>
      <c r="J470" t="str" cm="1">
        <f t="array" ref="J470">_xlfn.SWITCH(LEFT(Table1[[#This Row],[section]],1), "D", "Demographic", "S", "Social", "E", "Economic", "H", "Housing", "")</f>
        <v>Social</v>
      </c>
      <c r="K470" t="s">
        <v>1598</v>
      </c>
      <c r="L470" t="s">
        <v>1599</v>
      </c>
      <c r="M470" t="str">
        <f>IF(Table1[[#This Row],[used]], _xlfn.CONCAT("🆔 ", Table1[[#This Row],[variable]], ": ",Table1[[#This Row],[alias]]), "")</f>
        <v>🆔 B15003_018E: GED or alternative credential</v>
      </c>
      <c r="O470" t="s">
        <v>1810</v>
      </c>
      <c r="P470" t="s">
        <v>1746</v>
      </c>
      <c r="Q470" t="s">
        <v>41</v>
      </c>
      <c r="R470" t="s">
        <v>1811</v>
      </c>
      <c r="S470" t="b">
        <v>0</v>
      </c>
      <c r="T470" t="b">
        <v>0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</row>
    <row r="471" spans="1:33" x14ac:dyDescent="0.25">
      <c r="A471" t="s">
        <v>972</v>
      </c>
      <c r="B471">
        <v>13</v>
      </c>
      <c r="C471" t="b">
        <v>0</v>
      </c>
      <c r="D471" t="s">
        <v>1594</v>
      </c>
      <c r="E471" t="s">
        <v>1742</v>
      </c>
      <c r="F471" t="s">
        <v>1812</v>
      </c>
      <c r="G471" t="s">
        <v>1813</v>
      </c>
      <c r="H471">
        <v>470</v>
      </c>
      <c r="I471" t="str">
        <f>IF(ISBLANK(Table1[[#This Row],[oid]]),"FALSE","TRUE")</f>
        <v>TRUE</v>
      </c>
      <c r="J471" t="str" cm="1">
        <f t="array" ref="J471">_xlfn.SWITCH(LEFT(Table1[[#This Row],[section]],1), "D", "Demographic", "S", "Social", "E", "Economic", "H", "Housing", "")</f>
        <v>Social</v>
      </c>
      <c r="K471" t="s">
        <v>1598</v>
      </c>
      <c r="L471" t="s">
        <v>1599</v>
      </c>
      <c r="M471" t="str">
        <f>IF(Table1[[#This Row],[used]], _xlfn.CONCAT("🆔 ", Table1[[#This Row],[variable]], ": ",Table1[[#This Row],[alias]]), "")</f>
        <v>🆔 B15003_019E: Some college less than 1 year</v>
      </c>
      <c r="O471" t="s">
        <v>1814</v>
      </c>
      <c r="P471" t="s">
        <v>1746</v>
      </c>
      <c r="Q471" t="s">
        <v>41</v>
      </c>
      <c r="R471" t="s">
        <v>1815</v>
      </c>
      <c r="S471" t="b">
        <v>0</v>
      </c>
      <c r="T471" t="b">
        <v>0</v>
      </c>
      <c r="U471" t="b">
        <v>1</v>
      </c>
      <c r="V471" t="b">
        <v>1</v>
      </c>
      <c r="W471" t="b">
        <v>1</v>
      </c>
      <c r="X471" t="b">
        <v>1</v>
      </c>
      <c r="Y471" t="b">
        <v>1</v>
      </c>
      <c r="Z471" t="b">
        <v>1</v>
      </c>
      <c r="AA471" t="b">
        <v>1</v>
      </c>
      <c r="AB471" t="b">
        <v>1</v>
      </c>
      <c r="AC471" t="b">
        <v>1</v>
      </c>
      <c r="AD471" t="b">
        <v>1</v>
      </c>
      <c r="AE471" t="b">
        <v>1</v>
      </c>
      <c r="AF471" t="b">
        <v>1</v>
      </c>
      <c r="AG471" t="b">
        <v>1</v>
      </c>
    </row>
    <row r="472" spans="1:33" x14ac:dyDescent="0.25">
      <c r="A472" t="s">
        <v>972</v>
      </c>
      <c r="B472">
        <v>13</v>
      </c>
      <c r="C472" t="b">
        <v>0</v>
      </c>
      <c r="D472" t="s">
        <v>1594</v>
      </c>
      <c r="E472" t="s">
        <v>1742</v>
      </c>
      <c r="F472" t="s">
        <v>1816</v>
      </c>
      <c r="G472" t="s">
        <v>1817</v>
      </c>
      <c r="H472">
        <v>471</v>
      </c>
      <c r="I472" t="str">
        <f>IF(ISBLANK(Table1[[#This Row],[oid]]),"FALSE","TRUE")</f>
        <v>TRUE</v>
      </c>
      <c r="J472" t="str" cm="1">
        <f t="array" ref="J472">_xlfn.SWITCH(LEFT(Table1[[#This Row],[section]],1), "D", "Demographic", "S", "Social", "E", "Economic", "H", "Housing", "")</f>
        <v>Social</v>
      </c>
      <c r="K472" t="s">
        <v>1598</v>
      </c>
      <c r="L472" t="s">
        <v>1599</v>
      </c>
      <c r="M472" t="str">
        <f>IF(Table1[[#This Row],[used]], _xlfn.CONCAT("🆔 ", Table1[[#This Row],[variable]], ": ",Table1[[#This Row],[alias]]), "")</f>
        <v>🆔 B15003_020E: Some college 1 or more years no degree</v>
      </c>
      <c r="O472" t="s">
        <v>1818</v>
      </c>
      <c r="P472" t="s">
        <v>1746</v>
      </c>
      <c r="Q472" t="s">
        <v>41</v>
      </c>
      <c r="R472" t="s">
        <v>1819</v>
      </c>
      <c r="S472" t="b">
        <v>0</v>
      </c>
      <c r="T472" t="b">
        <v>0</v>
      </c>
      <c r="U472" t="b">
        <v>1</v>
      </c>
      <c r="V472" t="b">
        <v>1</v>
      </c>
      <c r="W472" t="b">
        <v>1</v>
      </c>
      <c r="X472" t="b">
        <v>1</v>
      </c>
      <c r="Y472" t="b">
        <v>1</v>
      </c>
      <c r="Z472" t="b">
        <v>1</v>
      </c>
      <c r="AA472" t="b">
        <v>1</v>
      </c>
      <c r="AB472" t="b">
        <v>1</v>
      </c>
      <c r="AC472" t="b">
        <v>1</v>
      </c>
      <c r="AD472" t="b">
        <v>1</v>
      </c>
      <c r="AE472" t="b">
        <v>1</v>
      </c>
      <c r="AF472" t="b">
        <v>1</v>
      </c>
      <c r="AG472" t="b">
        <v>1</v>
      </c>
    </row>
    <row r="473" spans="1:33" x14ac:dyDescent="0.25">
      <c r="A473" t="s">
        <v>972</v>
      </c>
      <c r="B473">
        <v>13</v>
      </c>
      <c r="C473" t="b">
        <v>0</v>
      </c>
      <c r="D473" t="s">
        <v>1594</v>
      </c>
      <c r="E473" t="s">
        <v>1742</v>
      </c>
      <c r="F473" t="s">
        <v>1820</v>
      </c>
      <c r="G473" t="s">
        <v>1821</v>
      </c>
      <c r="H473">
        <v>472</v>
      </c>
      <c r="I473" t="str">
        <f>IF(ISBLANK(Table1[[#This Row],[oid]]),"FALSE","TRUE")</f>
        <v>TRUE</v>
      </c>
      <c r="J473" t="str" cm="1">
        <f t="array" ref="J473">_xlfn.SWITCH(LEFT(Table1[[#This Row],[section]],1), "D", "Demographic", "S", "Social", "E", "Economic", "H", "Housing", "")</f>
        <v>Social</v>
      </c>
      <c r="K473" t="s">
        <v>1598</v>
      </c>
      <c r="L473" t="s">
        <v>1599</v>
      </c>
      <c r="M473" t="str">
        <f>IF(Table1[[#This Row],[used]], _xlfn.CONCAT("🆔 ", Table1[[#This Row],[variable]], ": ",Table1[[#This Row],[alias]]), "")</f>
        <v>🆔 B15003_021E: Associates degree</v>
      </c>
      <c r="O473" t="s">
        <v>1822</v>
      </c>
      <c r="P473" t="s">
        <v>1746</v>
      </c>
      <c r="Q473" t="s">
        <v>41</v>
      </c>
      <c r="R473" t="s">
        <v>1823</v>
      </c>
      <c r="S473" t="b">
        <v>0</v>
      </c>
      <c r="T473" t="b">
        <v>0</v>
      </c>
      <c r="U473" t="b">
        <v>1</v>
      </c>
      <c r="V473" t="b">
        <v>1</v>
      </c>
      <c r="W473" t="b">
        <v>1</v>
      </c>
      <c r="X473" t="b">
        <v>1</v>
      </c>
      <c r="Y473" t="b">
        <v>1</v>
      </c>
      <c r="Z473" t="b">
        <v>1</v>
      </c>
      <c r="AA473" t="b">
        <v>1</v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  <c r="AG473" t="b">
        <v>1</v>
      </c>
    </row>
    <row r="474" spans="1:33" x14ac:dyDescent="0.25">
      <c r="A474" t="s">
        <v>972</v>
      </c>
      <c r="B474">
        <v>13</v>
      </c>
      <c r="C474" t="b">
        <v>0</v>
      </c>
      <c r="D474" t="s">
        <v>1594</v>
      </c>
      <c r="E474" t="s">
        <v>1742</v>
      </c>
      <c r="F474" t="s">
        <v>1824</v>
      </c>
      <c r="G474" t="s">
        <v>1825</v>
      </c>
      <c r="H474">
        <v>473</v>
      </c>
      <c r="I474" t="str">
        <f>IF(ISBLANK(Table1[[#This Row],[oid]]),"FALSE","TRUE")</f>
        <v>TRUE</v>
      </c>
      <c r="J474" t="str" cm="1">
        <f t="array" ref="J474">_xlfn.SWITCH(LEFT(Table1[[#This Row],[section]],1), "D", "Demographic", "S", "Social", "E", "Economic", "H", "Housing", "")</f>
        <v>Social</v>
      </c>
      <c r="K474" t="s">
        <v>1598</v>
      </c>
      <c r="L474" t="s">
        <v>1599</v>
      </c>
      <c r="M474" t="str">
        <f>IF(Table1[[#This Row],[used]], _xlfn.CONCAT("🆔 ", Table1[[#This Row],[variable]], ": ",Table1[[#This Row],[alias]]), "")</f>
        <v>🆔 B15003_022E: Bachelors degree</v>
      </c>
      <c r="O474" t="s">
        <v>1826</v>
      </c>
      <c r="P474" t="s">
        <v>1746</v>
      </c>
      <c r="Q474" t="s">
        <v>41</v>
      </c>
      <c r="R474" t="s">
        <v>1827</v>
      </c>
      <c r="S474" t="b">
        <v>0</v>
      </c>
      <c r="T474" t="b">
        <v>0</v>
      </c>
      <c r="U474" t="b">
        <v>1</v>
      </c>
      <c r="V474" t="b">
        <v>1</v>
      </c>
      <c r="W474" t="b">
        <v>1</v>
      </c>
      <c r="X474" t="b">
        <v>1</v>
      </c>
      <c r="Y474" t="b">
        <v>1</v>
      </c>
      <c r="Z474" t="b">
        <v>1</v>
      </c>
      <c r="AA474" t="b">
        <v>1</v>
      </c>
      <c r="AB474" t="b">
        <v>1</v>
      </c>
      <c r="AC474" t="b">
        <v>1</v>
      </c>
      <c r="AD474" t="b">
        <v>1</v>
      </c>
      <c r="AE474" t="b">
        <v>1</v>
      </c>
      <c r="AF474" t="b">
        <v>1</v>
      </c>
      <c r="AG474" t="b">
        <v>1</v>
      </c>
    </row>
    <row r="475" spans="1:33" x14ac:dyDescent="0.25">
      <c r="A475" t="s">
        <v>972</v>
      </c>
      <c r="B475">
        <v>13</v>
      </c>
      <c r="C475" t="b">
        <v>0</v>
      </c>
      <c r="D475" t="s">
        <v>1594</v>
      </c>
      <c r="E475" t="s">
        <v>1742</v>
      </c>
      <c r="F475" t="s">
        <v>1828</v>
      </c>
      <c r="G475" t="s">
        <v>1829</v>
      </c>
      <c r="H475">
        <v>474</v>
      </c>
      <c r="I475" t="str">
        <f>IF(ISBLANK(Table1[[#This Row],[oid]]),"FALSE","TRUE")</f>
        <v>TRUE</v>
      </c>
      <c r="J475" t="str" cm="1">
        <f t="array" ref="J475">_xlfn.SWITCH(LEFT(Table1[[#This Row],[section]],1), "D", "Demographic", "S", "Social", "E", "Economic", "H", "Housing", "")</f>
        <v>Social</v>
      </c>
      <c r="K475" t="s">
        <v>1598</v>
      </c>
      <c r="L475" t="s">
        <v>1599</v>
      </c>
      <c r="M475" t="str">
        <f>IF(Table1[[#This Row],[used]], _xlfn.CONCAT("🆔 ", Table1[[#This Row],[variable]], ": ",Table1[[#This Row],[alias]]), "")</f>
        <v>🆔 B15003_023E: Masters degree</v>
      </c>
      <c r="O475" t="s">
        <v>1830</v>
      </c>
      <c r="P475" t="s">
        <v>1746</v>
      </c>
      <c r="Q475" t="s">
        <v>41</v>
      </c>
      <c r="R475" t="s">
        <v>1831</v>
      </c>
      <c r="S475" t="b">
        <v>0</v>
      </c>
      <c r="T475" t="b">
        <v>0</v>
      </c>
      <c r="U475" t="b">
        <v>1</v>
      </c>
      <c r="V475" t="b">
        <v>1</v>
      </c>
      <c r="W475" t="b">
        <v>1</v>
      </c>
      <c r="X475" t="b">
        <v>1</v>
      </c>
      <c r="Y475" t="b">
        <v>1</v>
      </c>
      <c r="Z475" t="b">
        <v>1</v>
      </c>
      <c r="AA475" t="b">
        <v>1</v>
      </c>
      <c r="AB475" t="b">
        <v>1</v>
      </c>
      <c r="AC475" t="b">
        <v>1</v>
      </c>
      <c r="AD475" t="b">
        <v>1</v>
      </c>
      <c r="AE475" t="b">
        <v>1</v>
      </c>
      <c r="AF475" t="b">
        <v>1</v>
      </c>
      <c r="AG475" t="b">
        <v>1</v>
      </c>
    </row>
    <row r="476" spans="1:33" x14ac:dyDescent="0.25">
      <c r="A476" t="s">
        <v>972</v>
      </c>
      <c r="B476">
        <v>13</v>
      </c>
      <c r="C476" t="b">
        <v>0</v>
      </c>
      <c r="D476" t="s">
        <v>1594</v>
      </c>
      <c r="E476" t="s">
        <v>1742</v>
      </c>
      <c r="F476" t="s">
        <v>1832</v>
      </c>
      <c r="G476" t="s">
        <v>1833</v>
      </c>
      <c r="H476">
        <v>475</v>
      </c>
      <c r="I476" t="str">
        <f>IF(ISBLANK(Table1[[#This Row],[oid]]),"FALSE","TRUE")</f>
        <v>TRUE</v>
      </c>
      <c r="J476" t="str" cm="1">
        <f t="array" ref="J476">_xlfn.SWITCH(LEFT(Table1[[#This Row],[section]],1), "D", "Demographic", "S", "Social", "E", "Economic", "H", "Housing", "")</f>
        <v>Social</v>
      </c>
      <c r="K476" t="s">
        <v>1598</v>
      </c>
      <c r="L476" t="s">
        <v>1599</v>
      </c>
      <c r="M476" t="str">
        <f>IF(Table1[[#This Row],[used]], _xlfn.CONCAT("🆔 ", Table1[[#This Row],[variable]], ": ",Table1[[#This Row],[alias]]), "")</f>
        <v>🆔 B15003_024E: Professional school degree</v>
      </c>
      <c r="O476" t="s">
        <v>1834</v>
      </c>
      <c r="P476" t="s">
        <v>1746</v>
      </c>
      <c r="Q476" t="s">
        <v>41</v>
      </c>
      <c r="R476" t="s">
        <v>1835</v>
      </c>
      <c r="S476" t="b">
        <v>0</v>
      </c>
      <c r="T476" t="b">
        <v>0</v>
      </c>
      <c r="U476" t="b">
        <v>1</v>
      </c>
      <c r="V476" t="b">
        <v>1</v>
      </c>
      <c r="W476" t="b">
        <v>1</v>
      </c>
      <c r="X476" t="b">
        <v>1</v>
      </c>
      <c r="Y476" t="b">
        <v>1</v>
      </c>
      <c r="Z476" t="b">
        <v>1</v>
      </c>
      <c r="AA476" t="b">
        <v>1</v>
      </c>
      <c r="AB476" t="b">
        <v>1</v>
      </c>
      <c r="AC476" t="b">
        <v>1</v>
      </c>
      <c r="AD476" t="b">
        <v>1</v>
      </c>
      <c r="AE476" t="b">
        <v>1</v>
      </c>
      <c r="AF476" t="b">
        <v>1</v>
      </c>
      <c r="AG476" t="b">
        <v>1</v>
      </c>
    </row>
    <row r="477" spans="1:33" x14ac:dyDescent="0.25">
      <c r="A477" t="s">
        <v>972</v>
      </c>
      <c r="B477">
        <v>13</v>
      </c>
      <c r="C477" t="b">
        <v>0</v>
      </c>
      <c r="D477" t="s">
        <v>1594</v>
      </c>
      <c r="E477" t="s">
        <v>1742</v>
      </c>
      <c r="F477" t="s">
        <v>1836</v>
      </c>
      <c r="G477" t="s">
        <v>1837</v>
      </c>
      <c r="H477">
        <v>476</v>
      </c>
      <c r="I477" t="str">
        <f>IF(ISBLANK(Table1[[#This Row],[oid]]),"FALSE","TRUE")</f>
        <v>TRUE</v>
      </c>
      <c r="J477" t="str" cm="1">
        <f t="array" ref="J477">_xlfn.SWITCH(LEFT(Table1[[#This Row],[section]],1), "D", "Demographic", "S", "Social", "E", "Economic", "H", "Housing", "")</f>
        <v>Social</v>
      </c>
      <c r="K477" t="s">
        <v>1598</v>
      </c>
      <c r="L477" t="s">
        <v>1599</v>
      </c>
      <c r="M477" t="str">
        <f>IF(Table1[[#This Row],[used]], _xlfn.CONCAT("🆔 ", Table1[[#This Row],[variable]], ": ",Table1[[#This Row],[alias]]), "")</f>
        <v>🆔 B15003_025E: Doctorate degree</v>
      </c>
      <c r="O477" t="s">
        <v>1838</v>
      </c>
      <c r="P477" t="s">
        <v>1746</v>
      </c>
      <c r="Q477" t="s">
        <v>41</v>
      </c>
      <c r="R477" t="s">
        <v>1839</v>
      </c>
      <c r="S477" t="b">
        <v>0</v>
      </c>
      <c r="T477" t="b">
        <v>0</v>
      </c>
      <c r="U477" t="b">
        <v>1</v>
      </c>
      <c r="V477" t="b">
        <v>1</v>
      </c>
      <c r="W477" t="b">
        <v>1</v>
      </c>
      <c r="X477" t="b">
        <v>1</v>
      </c>
      <c r="Y477" t="b">
        <v>1</v>
      </c>
      <c r="Z477" t="b">
        <v>1</v>
      </c>
      <c r="AA477" t="b">
        <v>1</v>
      </c>
      <c r="AB477" t="b">
        <v>1</v>
      </c>
      <c r="AC477" t="b">
        <v>1</v>
      </c>
      <c r="AD477" t="b">
        <v>1</v>
      </c>
      <c r="AE477" t="b">
        <v>1</v>
      </c>
      <c r="AF477" t="b">
        <v>1</v>
      </c>
      <c r="AG477" t="b">
        <v>1</v>
      </c>
    </row>
    <row r="478" spans="1:33" x14ac:dyDescent="0.25">
      <c r="A478" t="s">
        <v>33</v>
      </c>
      <c r="B478">
        <v>15</v>
      </c>
      <c r="C478" t="b">
        <v>1</v>
      </c>
      <c r="D478" t="s">
        <v>1840</v>
      </c>
      <c r="E478" t="s">
        <v>1841</v>
      </c>
      <c r="F478" t="s">
        <v>1842</v>
      </c>
      <c r="G478" t="s">
        <v>1843</v>
      </c>
      <c r="H478">
        <v>477</v>
      </c>
      <c r="I478" t="str">
        <f>IF(ISBLANK(Table1[[#This Row],[oid]]),"FALSE","TRUE")</f>
        <v>TRUE</v>
      </c>
      <c r="J478" t="str" cm="1">
        <f t="array" ref="J478">_xlfn.SWITCH(LEFT(Table1[[#This Row],[section]],1), "D", "Demographic", "S", "Social", "E", "Economic", "H", "Housing", "")</f>
        <v>Social</v>
      </c>
      <c r="K478" t="s">
        <v>1844</v>
      </c>
      <c r="L478" t="s">
        <v>1845</v>
      </c>
      <c r="M478" t="str">
        <f>IF(Table1[[#This Row],[used]], _xlfn.CONCAT("🆔 ", Table1[[#This Row],[variable]], ": ",Table1[[#This Row],[alias]]), "")</f>
        <v>🆔 B21001_001E: Civilian Population 18+ years</v>
      </c>
      <c r="O478" t="s">
        <v>39</v>
      </c>
      <c r="P478" t="s">
        <v>1846</v>
      </c>
      <c r="Q478" t="s">
        <v>41</v>
      </c>
      <c r="R478" t="s">
        <v>1847</v>
      </c>
      <c r="S478" t="b">
        <v>1</v>
      </c>
      <c r="T478" t="b">
        <v>1</v>
      </c>
      <c r="U478" t="b">
        <v>1</v>
      </c>
      <c r="V478" t="b">
        <v>1</v>
      </c>
      <c r="W478" t="b">
        <v>1</v>
      </c>
      <c r="X478" t="b">
        <v>1</v>
      </c>
      <c r="Y478" t="b">
        <v>1</v>
      </c>
      <c r="Z478" t="b">
        <v>1</v>
      </c>
      <c r="AA478" t="b">
        <v>1</v>
      </c>
      <c r="AB478" t="b">
        <v>1</v>
      </c>
      <c r="AC478" t="b">
        <v>1</v>
      </c>
      <c r="AD478" t="b">
        <v>1</v>
      </c>
      <c r="AE478" t="b">
        <v>1</v>
      </c>
      <c r="AF478" t="b">
        <v>1</v>
      </c>
      <c r="AG478" t="b">
        <v>1</v>
      </c>
    </row>
    <row r="479" spans="1:33" x14ac:dyDescent="0.25">
      <c r="A479" t="s">
        <v>33</v>
      </c>
      <c r="B479">
        <v>15</v>
      </c>
      <c r="C479" t="b">
        <v>1</v>
      </c>
      <c r="D479" t="s">
        <v>1840</v>
      </c>
      <c r="E479" t="s">
        <v>1841</v>
      </c>
      <c r="F479" t="s">
        <v>1848</v>
      </c>
      <c r="G479" t="s">
        <v>1849</v>
      </c>
      <c r="H479">
        <v>478</v>
      </c>
      <c r="I479" t="str">
        <f>IF(ISBLANK(Table1[[#This Row],[oid]]),"FALSE","TRUE")</f>
        <v>TRUE</v>
      </c>
      <c r="J479" t="str" cm="1">
        <f t="array" ref="J479">_xlfn.SWITCH(LEFT(Table1[[#This Row],[section]],1), "D", "Demographic", "S", "Social", "E", "Economic", "H", "Housing", "")</f>
        <v>Social</v>
      </c>
      <c r="K479" t="s">
        <v>1844</v>
      </c>
      <c r="L479" t="s">
        <v>1845</v>
      </c>
      <c r="M479" t="str">
        <f>IF(Table1[[#This Row],[used]], _xlfn.CONCAT("🆔 ", Table1[[#This Row],[variable]], ": ",Table1[[#This Row],[alias]]), "")</f>
        <v>🆔 B21001_002E: Veteran</v>
      </c>
      <c r="O479" t="s">
        <v>1850</v>
      </c>
      <c r="P479" t="s">
        <v>1846</v>
      </c>
      <c r="Q479" t="s">
        <v>41</v>
      </c>
      <c r="R479" t="s">
        <v>1851</v>
      </c>
      <c r="S479" t="b">
        <v>1</v>
      </c>
      <c r="T479" t="b">
        <v>1</v>
      </c>
      <c r="U479" t="b">
        <v>1</v>
      </c>
      <c r="V479" t="b">
        <v>1</v>
      </c>
      <c r="W479" t="b">
        <v>1</v>
      </c>
      <c r="X479" t="b">
        <v>1</v>
      </c>
      <c r="Y479" t="b">
        <v>1</v>
      </c>
      <c r="Z479" t="b">
        <v>1</v>
      </c>
      <c r="AA479" t="b">
        <v>1</v>
      </c>
      <c r="AB479" t="b">
        <v>1</v>
      </c>
      <c r="AC479" t="b">
        <v>1</v>
      </c>
      <c r="AD479" t="b">
        <v>1</v>
      </c>
      <c r="AE479" t="b">
        <v>1</v>
      </c>
      <c r="AF479" t="b">
        <v>1</v>
      </c>
      <c r="AG479" t="b">
        <v>1</v>
      </c>
    </row>
    <row r="480" spans="1:33" x14ac:dyDescent="0.25">
      <c r="A480" t="s">
        <v>33</v>
      </c>
      <c r="B480">
        <v>15</v>
      </c>
      <c r="C480" t="b">
        <v>1</v>
      </c>
      <c r="D480" t="s">
        <v>1840</v>
      </c>
      <c r="E480" t="s">
        <v>1841</v>
      </c>
      <c r="F480" t="s">
        <v>1852</v>
      </c>
      <c r="G480" t="s">
        <v>1853</v>
      </c>
      <c r="H480">
        <v>479</v>
      </c>
      <c r="I480" t="str">
        <f>IF(ISBLANK(Table1[[#This Row],[oid]]),"FALSE","TRUE")</f>
        <v>TRUE</v>
      </c>
      <c r="J480" t="str" cm="1">
        <f t="array" ref="J480">_xlfn.SWITCH(LEFT(Table1[[#This Row],[section]],1), "D", "Demographic", "S", "Social", "E", "Economic", "H", "Housing", "")</f>
        <v>Social</v>
      </c>
      <c r="K480" t="s">
        <v>1844</v>
      </c>
      <c r="L480" t="s">
        <v>1845</v>
      </c>
      <c r="M480" t="str">
        <f>IF(Table1[[#This Row],[used]], _xlfn.CONCAT("🆔 ", Table1[[#This Row],[variable]], ": ",Table1[[#This Row],[alias]]), "")</f>
        <v>🆔 B21001_003E: Non-veteran</v>
      </c>
      <c r="O480" t="s">
        <v>1854</v>
      </c>
      <c r="P480" t="s">
        <v>1846</v>
      </c>
      <c r="Q480" t="s">
        <v>41</v>
      </c>
      <c r="R480" t="s">
        <v>1855</v>
      </c>
      <c r="S480" t="b">
        <v>1</v>
      </c>
      <c r="T480" t="b">
        <v>1</v>
      </c>
      <c r="U480" t="b">
        <v>1</v>
      </c>
      <c r="V480" t="b">
        <v>1</v>
      </c>
      <c r="W480" t="b">
        <v>1</v>
      </c>
      <c r="X480" t="b">
        <v>1</v>
      </c>
      <c r="Y480" t="b">
        <v>1</v>
      </c>
      <c r="Z480" t="b">
        <v>1</v>
      </c>
      <c r="AA480" t="b">
        <v>1</v>
      </c>
      <c r="AB480" t="b">
        <v>1</v>
      </c>
      <c r="AC480" t="b">
        <v>1</v>
      </c>
      <c r="AD480" t="b">
        <v>1</v>
      </c>
      <c r="AE480" t="b">
        <v>1</v>
      </c>
      <c r="AF480" t="b">
        <v>1</v>
      </c>
      <c r="AG480" t="b">
        <v>1</v>
      </c>
    </row>
    <row r="481" spans="1:33" x14ac:dyDescent="0.25">
      <c r="A481" t="s">
        <v>33</v>
      </c>
      <c r="B481">
        <v>15</v>
      </c>
      <c r="C481" t="b">
        <v>1</v>
      </c>
      <c r="D481" t="s">
        <v>1840</v>
      </c>
      <c r="E481" t="s">
        <v>1841</v>
      </c>
      <c r="F481" t="s">
        <v>1856</v>
      </c>
      <c r="G481" t="s">
        <v>1857</v>
      </c>
      <c r="H481">
        <v>480</v>
      </c>
      <c r="I481" t="str">
        <f>IF(ISBLANK(Table1[[#This Row],[oid]]),"FALSE","TRUE")</f>
        <v>TRUE</v>
      </c>
      <c r="J481" t="str" cm="1">
        <f t="array" ref="J481">_xlfn.SWITCH(LEFT(Table1[[#This Row],[section]],1), "D", "Demographic", "S", "Social", "E", "Economic", "H", "Housing", "")</f>
        <v>Social</v>
      </c>
      <c r="K481" t="s">
        <v>1844</v>
      </c>
      <c r="L481" t="s">
        <v>1845</v>
      </c>
      <c r="M481" t="str">
        <f>IF(Table1[[#This Row],[used]], _xlfn.CONCAT("🆔 ", Table1[[#This Row],[variable]], ": ",Table1[[#This Row],[alias]]), "")</f>
        <v>🆔 B21001_005E: Male: Veteran</v>
      </c>
      <c r="O481" t="s">
        <v>1858</v>
      </c>
      <c r="P481" t="s">
        <v>1846</v>
      </c>
      <c r="Q481" t="s">
        <v>41</v>
      </c>
      <c r="R481" t="s">
        <v>1859</v>
      </c>
      <c r="S481" t="b">
        <v>1</v>
      </c>
      <c r="T481" t="b">
        <v>1</v>
      </c>
      <c r="U481" t="b">
        <v>1</v>
      </c>
      <c r="V481" t="b">
        <v>1</v>
      </c>
      <c r="W481" t="b">
        <v>1</v>
      </c>
      <c r="X481" t="b">
        <v>1</v>
      </c>
      <c r="Y481" t="b">
        <v>1</v>
      </c>
      <c r="Z481" t="b">
        <v>1</v>
      </c>
      <c r="AA481" t="b">
        <v>1</v>
      </c>
      <c r="AB481" t="b">
        <v>1</v>
      </c>
      <c r="AC481" t="b">
        <v>1</v>
      </c>
      <c r="AD481" t="b">
        <v>1</v>
      </c>
      <c r="AE481" t="b">
        <v>1</v>
      </c>
      <c r="AF481" t="b">
        <v>1</v>
      </c>
      <c r="AG481" t="b">
        <v>1</v>
      </c>
    </row>
    <row r="482" spans="1:33" x14ac:dyDescent="0.25">
      <c r="A482" t="s">
        <v>33</v>
      </c>
      <c r="B482">
        <v>15</v>
      </c>
      <c r="C482" t="b">
        <v>1</v>
      </c>
      <c r="D482" t="s">
        <v>1840</v>
      </c>
      <c r="E482" t="s">
        <v>1841</v>
      </c>
      <c r="F482" t="s">
        <v>1860</v>
      </c>
      <c r="G482" t="s">
        <v>1861</v>
      </c>
      <c r="H482">
        <v>481</v>
      </c>
      <c r="I482" t="str">
        <f>IF(ISBLANK(Table1[[#This Row],[oid]]),"FALSE","TRUE")</f>
        <v>TRUE</v>
      </c>
      <c r="J482" t="str" cm="1">
        <f t="array" ref="J482">_xlfn.SWITCH(LEFT(Table1[[#This Row],[section]],1), "D", "Demographic", "S", "Social", "E", "Economic", "H", "Housing", "")</f>
        <v>Social</v>
      </c>
      <c r="K482" t="s">
        <v>1844</v>
      </c>
      <c r="L482" t="s">
        <v>1845</v>
      </c>
      <c r="M482" t="str">
        <f>IF(Table1[[#This Row],[used]], _xlfn.CONCAT("🆔 ", Table1[[#This Row],[variable]], ": ",Table1[[#This Row],[alias]]), "")</f>
        <v>🆔 B21001_006E: Male: Non-veteran</v>
      </c>
      <c r="O482" t="s">
        <v>1862</v>
      </c>
      <c r="P482" t="s">
        <v>1846</v>
      </c>
      <c r="Q482" t="s">
        <v>41</v>
      </c>
      <c r="R482" t="s">
        <v>1863</v>
      </c>
      <c r="S482" t="b">
        <v>1</v>
      </c>
      <c r="T482" t="b">
        <v>1</v>
      </c>
      <c r="U482" t="b">
        <v>1</v>
      </c>
      <c r="V482" t="b">
        <v>1</v>
      </c>
      <c r="W482" t="b">
        <v>1</v>
      </c>
      <c r="X482" t="b">
        <v>1</v>
      </c>
      <c r="Y482" t="b">
        <v>1</v>
      </c>
      <c r="Z482" t="b">
        <v>1</v>
      </c>
      <c r="AA482" t="b">
        <v>1</v>
      </c>
      <c r="AB482" t="b">
        <v>1</v>
      </c>
      <c r="AC482" t="b">
        <v>1</v>
      </c>
      <c r="AD482" t="b">
        <v>1</v>
      </c>
      <c r="AE482" t="b">
        <v>1</v>
      </c>
      <c r="AF482" t="b">
        <v>1</v>
      </c>
      <c r="AG482" t="b">
        <v>1</v>
      </c>
    </row>
    <row r="483" spans="1:33" x14ac:dyDescent="0.25">
      <c r="A483" t="s">
        <v>33</v>
      </c>
      <c r="B483">
        <v>15</v>
      </c>
      <c r="C483" t="b">
        <v>1</v>
      </c>
      <c r="D483" t="s">
        <v>1840</v>
      </c>
      <c r="E483" t="s">
        <v>1841</v>
      </c>
      <c r="F483" t="s">
        <v>1864</v>
      </c>
      <c r="G483" t="s">
        <v>1865</v>
      </c>
      <c r="H483">
        <v>482</v>
      </c>
      <c r="I483" t="str">
        <f>IF(ISBLANK(Table1[[#This Row],[oid]]),"FALSE","TRUE")</f>
        <v>TRUE</v>
      </c>
      <c r="J483" t="str" cm="1">
        <f t="array" ref="J483">_xlfn.SWITCH(LEFT(Table1[[#This Row],[section]],1), "D", "Demographic", "S", "Social", "E", "Economic", "H", "Housing", "")</f>
        <v>Social</v>
      </c>
      <c r="K483" t="s">
        <v>1844</v>
      </c>
      <c r="L483" t="s">
        <v>1845</v>
      </c>
      <c r="M483" t="str">
        <f>IF(Table1[[#This Row],[used]], _xlfn.CONCAT("🆔 ", Table1[[#This Row],[variable]], ": ",Table1[[#This Row],[alias]]), "")</f>
        <v>🆔 B21001_023E: Female: Veteran</v>
      </c>
      <c r="O483" t="s">
        <v>1866</v>
      </c>
      <c r="P483" t="s">
        <v>1846</v>
      </c>
      <c r="Q483" t="s">
        <v>41</v>
      </c>
      <c r="R483" t="s">
        <v>1867</v>
      </c>
      <c r="S483" t="b">
        <v>1</v>
      </c>
      <c r="T483" t="b">
        <v>1</v>
      </c>
      <c r="U483" t="b">
        <v>1</v>
      </c>
      <c r="V483" t="b">
        <v>1</v>
      </c>
      <c r="W483" t="b">
        <v>1</v>
      </c>
      <c r="X483" t="b">
        <v>1</v>
      </c>
      <c r="Y483" t="b">
        <v>1</v>
      </c>
      <c r="Z483" t="b">
        <v>1</v>
      </c>
      <c r="AA483" t="b">
        <v>1</v>
      </c>
      <c r="AB483" t="b">
        <v>1</v>
      </c>
      <c r="AC483" t="b">
        <v>1</v>
      </c>
      <c r="AD483" t="b">
        <v>1</v>
      </c>
      <c r="AE483" t="b">
        <v>1</v>
      </c>
      <c r="AF483" t="b">
        <v>1</v>
      </c>
      <c r="AG483" t="b">
        <v>1</v>
      </c>
    </row>
    <row r="484" spans="1:33" x14ac:dyDescent="0.25">
      <c r="A484" t="s">
        <v>33</v>
      </c>
      <c r="B484">
        <v>15</v>
      </c>
      <c r="C484" t="b">
        <v>1</v>
      </c>
      <c r="D484" t="s">
        <v>1840</v>
      </c>
      <c r="E484" t="s">
        <v>1841</v>
      </c>
      <c r="F484" t="s">
        <v>1868</v>
      </c>
      <c r="G484" t="s">
        <v>1869</v>
      </c>
      <c r="H484">
        <v>483</v>
      </c>
      <c r="I484" t="str">
        <f>IF(ISBLANK(Table1[[#This Row],[oid]]),"FALSE","TRUE")</f>
        <v>TRUE</v>
      </c>
      <c r="J484" t="str" cm="1">
        <f t="array" ref="J484">_xlfn.SWITCH(LEFT(Table1[[#This Row],[section]],1), "D", "Demographic", "S", "Social", "E", "Economic", "H", "Housing", "")</f>
        <v>Social</v>
      </c>
      <c r="K484" t="s">
        <v>1844</v>
      </c>
      <c r="L484" t="s">
        <v>1845</v>
      </c>
      <c r="M484" t="str">
        <f>IF(Table1[[#This Row],[used]], _xlfn.CONCAT("🆔 ", Table1[[#This Row],[variable]], ": ",Table1[[#This Row],[alias]]), "")</f>
        <v>🆔 B21001_024E: Female: Non-veteran</v>
      </c>
      <c r="O484" t="s">
        <v>1870</v>
      </c>
      <c r="P484" t="s">
        <v>1846</v>
      </c>
      <c r="Q484" t="s">
        <v>41</v>
      </c>
      <c r="R484" t="s">
        <v>1871</v>
      </c>
      <c r="S484" t="b">
        <v>1</v>
      </c>
      <c r="T484" t="b">
        <v>1</v>
      </c>
      <c r="U484" t="b">
        <v>1</v>
      </c>
      <c r="V484" t="b">
        <v>1</v>
      </c>
      <c r="W484" t="b">
        <v>1</v>
      </c>
      <c r="X484" t="b">
        <v>1</v>
      </c>
      <c r="Y484" t="b">
        <v>1</v>
      </c>
      <c r="Z484" t="b">
        <v>1</v>
      </c>
      <c r="AA484" t="b">
        <v>1</v>
      </c>
      <c r="AB484" t="b">
        <v>1</v>
      </c>
      <c r="AC484" t="b">
        <v>1</v>
      </c>
      <c r="AD484" t="b">
        <v>1</v>
      </c>
      <c r="AE484" t="b">
        <v>1</v>
      </c>
      <c r="AF484" t="b">
        <v>1</v>
      </c>
      <c r="AG484" t="b">
        <v>1</v>
      </c>
    </row>
    <row r="485" spans="1:33" x14ac:dyDescent="0.25">
      <c r="A485" t="s">
        <v>972</v>
      </c>
      <c r="B485">
        <v>13</v>
      </c>
      <c r="C485" t="b">
        <v>0</v>
      </c>
      <c r="D485" t="s">
        <v>1840</v>
      </c>
      <c r="E485" t="s">
        <v>1872</v>
      </c>
      <c r="F485" t="s">
        <v>1873</v>
      </c>
      <c r="G485" s="1" t="s">
        <v>1874</v>
      </c>
      <c r="H485">
        <v>484</v>
      </c>
      <c r="I485" t="str">
        <f>IF(ISBLANK(Table1[[#This Row],[oid]]),"FALSE","TRUE")</f>
        <v>TRUE</v>
      </c>
      <c r="J485" t="str" cm="1">
        <f t="array" ref="J485">_xlfn.SWITCH(LEFT(Table1[[#This Row],[section]],1), "D", "Demographic", "S", "Social", "E", "Economic", "H", "Housing", "")</f>
        <v>Social</v>
      </c>
      <c r="K485" t="s">
        <v>1875</v>
      </c>
      <c r="L485" t="s">
        <v>1876</v>
      </c>
      <c r="M485" t="str">
        <f>IF(Table1[[#This Row],[used]], _xlfn.CONCAT("🆔 ", Table1[[#This Row],[variable]], ": ",Table1[[#This Row],[alias]]), "")</f>
        <v>🆔 B21100_001E: Civilian veterans 18+ years</v>
      </c>
      <c r="O485" t="s">
        <v>39</v>
      </c>
      <c r="P485" t="s">
        <v>1877</v>
      </c>
      <c r="Q485" t="s">
        <v>41</v>
      </c>
      <c r="R485" t="s">
        <v>1878</v>
      </c>
      <c r="S485" t="b">
        <v>0</v>
      </c>
      <c r="T485" t="b">
        <v>0</v>
      </c>
      <c r="U485" t="b">
        <v>1</v>
      </c>
      <c r="V485" t="b">
        <v>1</v>
      </c>
      <c r="W485" t="b">
        <v>1</v>
      </c>
      <c r="X485" t="b">
        <v>1</v>
      </c>
      <c r="Y485" t="b">
        <v>1</v>
      </c>
      <c r="Z485" t="b">
        <v>1</v>
      </c>
      <c r="AA485" t="b">
        <v>1</v>
      </c>
      <c r="AB485" t="b">
        <v>1</v>
      </c>
      <c r="AC485" t="b">
        <v>1</v>
      </c>
      <c r="AD485" t="b">
        <v>1</v>
      </c>
      <c r="AE485" t="b">
        <v>1</v>
      </c>
      <c r="AF485" t="b">
        <v>1</v>
      </c>
      <c r="AG485" t="b">
        <v>1</v>
      </c>
    </row>
    <row r="486" spans="1:33" x14ac:dyDescent="0.25">
      <c r="A486" t="s">
        <v>972</v>
      </c>
      <c r="B486">
        <v>13</v>
      </c>
      <c r="C486" t="b">
        <v>0</v>
      </c>
      <c r="D486" t="s">
        <v>1840</v>
      </c>
      <c r="E486" t="s">
        <v>1872</v>
      </c>
      <c r="F486" t="s">
        <v>1879</v>
      </c>
      <c r="G486" t="s">
        <v>1880</v>
      </c>
      <c r="H486">
        <v>485</v>
      </c>
      <c r="I486" t="str">
        <f>IF(ISBLANK(Table1[[#This Row],[oid]]),"FALSE","TRUE")</f>
        <v>TRUE</v>
      </c>
      <c r="J486" t="str" cm="1">
        <f t="array" ref="J486">_xlfn.SWITCH(LEFT(Table1[[#This Row],[section]],1), "D", "Demographic", "S", "Social", "E", "Economic", "H", "Housing", "")</f>
        <v>Social</v>
      </c>
      <c r="K486" t="s">
        <v>1875</v>
      </c>
      <c r="L486" t="s">
        <v>1876</v>
      </c>
      <c r="M486" t="str">
        <f>IF(Table1[[#This Row],[used]], _xlfn.CONCAT("🆔 ", Table1[[#This Row],[variable]], ": ",Table1[[#This Row],[alias]]), "")</f>
        <v>🆔 B21100_002E: Has no service-connected disability rating</v>
      </c>
      <c r="O486" t="s">
        <v>1881</v>
      </c>
      <c r="P486" t="s">
        <v>1877</v>
      </c>
      <c r="Q486" t="s">
        <v>41</v>
      </c>
      <c r="R486" t="s">
        <v>1882</v>
      </c>
      <c r="S486" t="b">
        <v>0</v>
      </c>
      <c r="T486" t="b">
        <v>0</v>
      </c>
      <c r="U486" t="b">
        <v>1</v>
      </c>
      <c r="V486" t="b">
        <v>1</v>
      </c>
      <c r="W486" t="b">
        <v>1</v>
      </c>
      <c r="X486" t="b">
        <v>1</v>
      </c>
      <c r="Y486" t="b">
        <v>1</v>
      </c>
      <c r="Z486" t="b">
        <v>1</v>
      </c>
      <c r="AA486" t="b">
        <v>1</v>
      </c>
      <c r="AB486" t="b">
        <v>1</v>
      </c>
      <c r="AC486" t="b">
        <v>1</v>
      </c>
      <c r="AD486" t="b">
        <v>1</v>
      </c>
      <c r="AE486" t="b">
        <v>1</v>
      </c>
      <c r="AF486" t="b">
        <v>1</v>
      </c>
      <c r="AG486" t="b">
        <v>1</v>
      </c>
    </row>
    <row r="487" spans="1:33" x14ac:dyDescent="0.25">
      <c r="A487" t="s">
        <v>972</v>
      </c>
      <c r="B487">
        <v>13</v>
      </c>
      <c r="C487" t="b">
        <v>0</v>
      </c>
      <c r="D487" t="s">
        <v>1840</v>
      </c>
      <c r="E487" t="s">
        <v>1872</v>
      </c>
      <c r="F487" t="s">
        <v>1883</v>
      </c>
      <c r="G487" t="s">
        <v>1884</v>
      </c>
      <c r="H487">
        <v>486</v>
      </c>
      <c r="I487" t="str">
        <f>IF(ISBLANK(Table1[[#This Row],[oid]]),"FALSE","TRUE")</f>
        <v>TRUE</v>
      </c>
      <c r="J487" t="str" cm="1">
        <f t="array" ref="J487">_xlfn.SWITCH(LEFT(Table1[[#This Row],[section]],1), "D", "Demographic", "S", "Social", "E", "Economic", "H", "Housing", "")</f>
        <v>Social</v>
      </c>
      <c r="K487" t="s">
        <v>1875</v>
      </c>
      <c r="L487" t="s">
        <v>1876</v>
      </c>
      <c r="M487" t="str">
        <f>IF(Table1[[#This Row],[used]], _xlfn.CONCAT("🆔 ", Table1[[#This Row],[variable]], ": ",Table1[[#This Row],[alias]]), "")</f>
        <v>🆔 B21100_003E: Has a service-connected disability rating</v>
      </c>
      <c r="O487" t="s">
        <v>1885</v>
      </c>
      <c r="P487" t="s">
        <v>1877</v>
      </c>
      <c r="Q487" t="s">
        <v>41</v>
      </c>
      <c r="R487" t="s">
        <v>1886</v>
      </c>
      <c r="S487" t="b">
        <v>0</v>
      </c>
      <c r="T487" t="b">
        <v>0</v>
      </c>
      <c r="U487" t="b">
        <v>1</v>
      </c>
      <c r="V487" t="b">
        <v>1</v>
      </c>
      <c r="W487" t="b">
        <v>1</v>
      </c>
      <c r="X487" t="b">
        <v>1</v>
      </c>
      <c r="Y487" t="b">
        <v>1</v>
      </c>
      <c r="Z487" t="b">
        <v>1</v>
      </c>
      <c r="AA487" t="b">
        <v>1</v>
      </c>
      <c r="AB487" t="b">
        <v>1</v>
      </c>
      <c r="AC487" t="b">
        <v>1</v>
      </c>
      <c r="AD487" t="b">
        <v>1</v>
      </c>
      <c r="AE487" t="b">
        <v>1</v>
      </c>
      <c r="AF487" t="b">
        <v>1</v>
      </c>
      <c r="AG487" t="b">
        <v>1</v>
      </c>
    </row>
    <row r="488" spans="1:33" x14ac:dyDescent="0.25">
      <c r="A488" t="s">
        <v>972</v>
      </c>
      <c r="B488">
        <v>13</v>
      </c>
      <c r="C488" t="b">
        <v>0</v>
      </c>
      <c r="D488" t="s">
        <v>1840</v>
      </c>
      <c r="E488" t="s">
        <v>1872</v>
      </c>
      <c r="F488" t="s">
        <v>1887</v>
      </c>
      <c r="G488" t="s">
        <v>1888</v>
      </c>
      <c r="H488">
        <v>487</v>
      </c>
      <c r="I488" t="str">
        <f>IF(ISBLANK(Table1[[#This Row],[oid]]),"FALSE","TRUE")</f>
        <v>TRUE</v>
      </c>
      <c r="J488" t="str" cm="1">
        <f t="array" ref="J488">_xlfn.SWITCH(LEFT(Table1[[#This Row],[section]],1), "D", "Demographic", "S", "Social", "E", "Economic", "H", "Housing", "")</f>
        <v>Social</v>
      </c>
      <c r="K488" t="s">
        <v>1875</v>
      </c>
      <c r="L488" t="s">
        <v>1876</v>
      </c>
      <c r="M488" t="str">
        <f>IF(Table1[[#This Row],[used]], _xlfn.CONCAT("🆔 ", Table1[[#This Row],[variable]], ": ",Table1[[#This Row],[alias]]), "")</f>
        <v>🆔 B21100_004E: Has a service-connected disability rating: 0 percent</v>
      </c>
      <c r="O488" t="s">
        <v>1889</v>
      </c>
      <c r="P488" t="s">
        <v>1877</v>
      </c>
      <c r="Q488" t="s">
        <v>41</v>
      </c>
      <c r="R488" t="s">
        <v>1890</v>
      </c>
      <c r="S488" t="b">
        <v>0</v>
      </c>
      <c r="T488" t="b">
        <v>0</v>
      </c>
      <c r="U488" t="b">
        <v>1</v>
      </c>
      <c r="V488" t="b">
        <v>1</v>
      </c>
      <c r="W488" t="b">
        <v>1</v>
      </c>
      <c r="X488" t="b">
        <v>1</v>
      </c>
      <c r="Y488" t="b">
        <v>1</v>
      </c>
      <c r="Z488" t="b">
        <v>1</v>
      </c>
      <c r="AA488" t="b">
        <v>1</v>
      </c>
      <c r="AB488" t="b">
        <v>1</v>
      </c>
      <c r="AC488" t="b">
        <v>1</v>
      </c>
      <c r="AD488" t="b">
        <v>1</v>
      </c>
      <c r="AE488" t="b">
        <v>1</v>
      </c>
      <c r="AF488" t="b">
        <v>1</v>
      </c>
      <c r="AG488" t="b">
        <v>1</v>
      </c>
    </row>
    <row r="489" spans="1:33" x14ac:dyDescent="0.25">
      <c r="A489" t="s">
        <v>972</v>
      </c>
      <c r="B489">
        <v>13</v>
      </c>
      <c r="C489" t="b">
        <v>0</v>
      </c>
      <c r="D489" t="s">
        <v>1840</v>
      </c>
      <c r="E489" t="s">
        <v>1872</v>
      </c>
      <c r="F489" t="s">
        <v>1891</v>
      </c>
      <c r="G489" t="s">
        <v>1892</v>
      </c>
      <c r="H489">
        <v>488</v>
      </c>
      <c r="I489" t="str">
        <f>IF(ISBLANK(Table1[[#This Row],[oid]]),"FALSE","TRUE")</f>
        <v>TRUE</v>
      </c>
      <c r="J489" t="str" cm="1">
        <f t="array" ref="J489">_xlfn.SWITCH(LEFT(Table1[[#This Row],[section]],1), "D", "Demographic", "S", "Social", "E", "Economic", "H", "Housing", "")</f>
        <v>Social</v>
      </c>
      <c r="K489" t="s">
        <v>1875</v>
      </c>
      <c r="L489" t="s">
        <v>1876</v>
      </c>
      <c r="M489" t="str">
        <f>IF(Table1[[#This Row],[used]], _xlfn.CONCAT("🆔 ", Table1[[#This Row],[variable]], ": ",Table1[[#This Row],[alias]]), "")</f>
        <v>🆔 B21100_005E: Has a service-connected disability rating: 10 or 20 percent</v>
      </c>
      <c r="O489" t="s">
        <v>1893</v>
      </c>
      <c r="P489" t="s">
        <v>1877</v>
      </c>
      <c r="Q489" t="s">
        <v>41</v>
      </c>
      <c r="R489" t="s">
        <v>1894</v>
      </c>
      <c r="S489" t="b">
        <v>0</v>
      </c>
      <c r="T489" t="b">
        <v>0</v>
      </c>
      <c r="U489" t="b">
        <v>1</v>
      </c>
      <c r="V489" t="b">
        <v>1</v>
      </c>
      <c r="W489" t="b">
        <v>1</v>
      </c>
      <c r="X489" t="b">
        <v>1</v>
      </c>
      <c r="Y489" t="b">
        <v>1</v>
      </c>
      <c r="Z489" t="b">
        <v>1</v>
      </c>
      <c r="AA489" t="b">
        <v>1</v>
      </c>
      <c r="AB489" t="b">
        <v>1</v>
      </c>
      <c r="AC489" t="b">
        <v>1</v>
      </c>
      <c r="AD489" t="b">
        <v>1</v>
      </c>
      <c r="AE489" t="b">
        <v>1</v>
      </c>
      <c r="AF489" t="b">
        <v>1</v>
      </c>
      <c r="AG489" t="b">
        <v>1</v>
      </c>
    </row>
    <row r="490" spans="1:33" x14ac:dyDescent="0.25">
      <c r="A490" t="s">
        <v>972</v>
      </c>
      <c r="B490">
        <v>13</v>
      </c>
      <c r="C490" t="b">
        <v>0</v>
      </c>
      <c r="D490" t="s">
        <v>1840</v>
      </c>
      <c r="E490" t="s">
        <v>1872</v>
      </c>
      <c r="F490" t="s">
        <v>1895</v>
      </c>
      <c r="G490" t="s">
        <v>1896</v>
      </c>
      <c r="H490">
        <v>489</v>
      </c>
      <c r="I490" t="str">
        <f>IF(ISBLANK(Table1[[#This Row],[oid]]),"FALSE","TRUE")</f>
        <v>TRUE</v>
      </c>
      <c r="J490" t="str" cm="1">
        <f t="array" ref="J490">_xlfn.SWITCH(LEFT(Table1[[#This Row],[section]],1), "D", "Demographic", "S", "Social", "E", "Economic", "H", "Housing", "")</f>
        <v>Social</v>
      </c>
      <c r="K490" t="s">
        <v>1875</v>
      </c>
      <c r="L490" t="s">
        <v>1876</v>
      </c>
      <c r="M490" t="str">
        <f>IF(Table1[[#This Row],[used]], _xlfn.CONCAT("🆔 ", Table1[[#This Row],[variable]], ": ",Table1[[#This Row],[alias]]), "")</f>
        <v>🆔 B21100_006E: Has a service-connected disability rating: 30 or 40 percent</v>
      </c>
      <c r="O490" t="s">
        <v>1897</v>
      </c>
      <c r="P490" t="s">
        <v>1877</v>
      </c>
      <c r="Q490" t="s">
        <v>41</v>
      </c>
      <c r="R490" t="s">
        <v>1898</v>
      </c>
      <c r="S490" t="b">
        <v>0</v>
      </c>
      <c r="T490" t="b">
        <v>0</v>
      </c>
      <c r="U490" t="b">
        <v>1</v>
      </c>
      <c r="V490" t="b">
        <v>1</v>
      </c>
      <c r="W490" t="b">
        <v>1</v>
      </c>
      <c r="X490" t="b">
        <v>1</v>
      </c>
      <c r="Y490" t="b">
        <v>1</v>
      </c>
      <c r="Z490" t="b">
        <v>1</v>
      </c>
      <c r="AA490" t="b">
        <v>1</v>
      </c>
      <c r="AB490" t="b">
        <v>1</v>
      </c>
      <c r="AC490" t="b">
        <v>1</v>
      </c>
      <c r="AD490" t="b">
        <v>1</v>
      </c>
      <c r="AE490" t="b">
        <v>1</v>
      </c>
      <c r="AF490" t="b">
        <v>1</v>
      </c>
      <c r="AG490" t="b">
        <v>1</v>
      </c>
    </row>
    <row r="491" spans="1:33" x14ac:dyDescent="0.25">
      <c r="A491" t="s">
        <v>972</v>
      </c>
      <c r="B491">
        <v>13</v>
      </c>
      <c r="C491" t="b">
        <v>0</v>
      </c>
      <c r="D491" t="s">
        <v>1840</v>
      </c>
      <c r="E491" t="s">
        <v>1872</v>
      </c>
      <c r="F491" t="s">
        <v>1899</v>
      </c>
      <c r="G491" t="s">
        <v>1900</v>
      </c>
      <c r="H491">
        <v>490</v>
      </c>
      <c r="I491" t="str">
        <f>IF(ISBLANK(Table1[[#This Row],[oid]]),"FALSE","TRUE")</f>
        <v>TRUE</v>
      </c>
      <c r="J491" t="str" cm="1">
        <f t="array" ref="J491">_xlfn.SWITCH(LEFT(Table1[[#This Row],[section]],1), "D", "Demographic", "S", "Social", "E", "Economic", "H", "Housing", "")</f>
        <v>Social</v>
      </c>
      <c r="K491" t="s">
        <v>1875</v>
      </c>
      <c r="L491" t="s">
        <v>1876</v>
      </c>
      <c r="M491" t="str">
        <f>IF(Table1[[#This Row],[used]], _xlfn.CONCAT("🆔 ", Table1[[#This Row],[variable]], ": ",Table1[[#This Row],[alias]]), "")</f>
        <v>🆔 B21100_007E: Has a service-connected disability rating: 50 or 60 percent</v>
      </c>
      <c r="O491" t="s">
        <v>1901</v>
      </c>
      <c r="P491" t="s">
        <v>1877</v>
      </c>
      <c r="Q491" t="s">
        <v>41</v>
      </c>
      <c r="R491" t="s">
        <v>1902</v>
      </c>
      <c r="S491" t="b">
        <v>0</v>
      </c>
      <c r="T491" t="b">
        <v>0</v>
      </c>
      <c r="U491" t="b">
        <v>1</v>
      </c>
      <c r="V491" t="b">
        <v>1</v>
      </c>
      <c r="W491" t="b">
        <v>1</v>
      </c>
      <c r="X491" t="b">
        <v>1</v>
      </c>
      <c r="Y491" t="b">
        <v>1</v>
      </c>
      <c r="Z491" t="b">
        <v>1</v>
      </c>
      <c r="AA491" t="b">
        <v>1</v>
      </c>
      <c r="AB491" t="b">
        <v>1</v>
      </c>
      <c r="AC491" t="b">
        <v>1</v>
      </c>
      <c r="AD491" t="b">
        <v>1</v>
      </c>
      <c r="AE491" t="b">
        <v>1</v>
      </c>
      <c r="AF491" t="b">
        <v>1</v>
      </c>
      <c r="AG491" t="b">
        <v>1</v>
      </c>
    </row>
    <row r="492" spans="1:33" x14ac:dyDescent="0.25">
      <c r="A492" t="s">
        <v>972</v>
      </c>
      <c r="B492">
        <v>13</v>
      </c>
      <c r="C492" t="b">
        <v>0</v>
      </c>
      <c r="D492" t="s">
        <v>1840</v>
      </c>
      <c r="E492" t="s">
        <v>1872</v>
      </c>
      <c r="F492" t="s">
        <v>1903</v>
      </c>
      <c r="G492" t="s">
        <v>1904</v>
      </c>
      <c r="H492">
        <v>491</v>
      </c>
      <c r="I492" t="str">
        <f>IF(ISBLANK(Table1[[#This Row],[oid]]),"FALSE","TRUE")</f>
        <v>TRUE</v>
      </c>
      <c r="J492" t="str" cm="1">
        <f t="array" ref="J492">_xlfn.SWITCH(LEFT(Table1[[#This Row],[section]],1), "D", "Demographic", "S", "Social", "E", "Economic", "H", "Housing", "")</f>
        <v>Social</v>
      </c>
      <c r="K492" t="s">
        <v>1875</v>
      </c>
      <c r="L492" t="s">
        <v>1876</v>
      </c>
      <c r="M492" t="str">
        <f>IF(Table1[[#This Row],[used]], _xlfn.CONCAT("🆔 ", Table1[[#This Row],[variable]], ": ",Table1[[#This Row],[alias]]), "")</f>
        <v>🆔 B21100_008E: Has a service-connected disability rating: 70 percent or higher</v>
      </c>
      <c r="O492" t="s">
        <v>1905</v>
      </c>
      <c r="P492" t="s">
        <v>1877</v>
      </c>
      <c r="Q492" t="s">
        <v>41</v>
      </c>
      <c r="R492" t="s">
        <v>1906</v>
      </c>
      <c r="S492" t="b">
        <v>0</v>
      </c>
      <c r="T492" t="b">
        <v>0</v>
      </c>
      <c r="U492" t="b">
        <v>1</v>
      </c>
      <c r="V492" t="b">
        <v>1</v>
      </c>
      <c r="W492" t="b">
        <v>1</v>
      </c>
      <c r="X492" t="b">
        <v>1</v>
      </c>
      <c r="Y492" t="b">
        <v>1</v>
      </c>
      <c r="Z492" t="b">
        <v>1</v>
      </c>
      <c r="AA492" t="b">
        <v>1</v>
      </c>
      <c r="AB492" t="b">
        <v>1</v>
      </c>
      <c r="AC492" t="b">
        <v>1</v>
      </c>
      <c r="AD492" t="b">
        <v>1</v>
      </c>
      <c r="AE492" t="b">
        <v>1</v>
      </c>
      <c r="AF492" t="b">
        <v>1</v>
      </c>
      <c r="AG492" t="b">
        <v>1</v>
      </c>
    </row>
    <row r="493" spans="1:33" x14ac:dyDescent="0.25">
      <c r="A493" t="s">
        <v>972</v>
      </c>
      <c r="B493">
        <v>13</v>
      </c>
      <c r="C493" t="b">
        <v>0</v>
      </c>
      <c r="D493" t="s">
        <v>1840</v>
      </c>
      <c r="E493" t="s">
        <v>1872</v>
      </c>
      <c r="F493" t="s">
        <v>1907</v>
      </c>
      <c r="G493" t="s">
        <v>1908</v>
      </c>
      <c r="H493">
        <v>492</v>
      </c>
      <c r="I493" t="str">
        <f>IF(ISBLANK(Table1[[#This Row],[oid]]),"FALSE","TRUE")</f>
        <v>TRUE</v>
      </c>
      <c r="J493" t="str" cm="1">
        <f t="array" ref="J493">_xlfn.SWITCH(LEFT(Table1[[#This Row],[section]],1), "D", "Demographic", "S", "Social", "E", "Economic", "H", "Housing", "")</f>
        <v>Social</v>
      </c>
      <c r="K493" t="s">
        <v>1875</v>
      </c>
      <c r="L493" t="s">
        <v>1876</v>
      </c>
      <c r="M493" t="str">
        <f>IF(Table1[[#This Row],[used]], _xlfn.CONCAT("🆔 ", Table1[[#This Row],[variable]], ": ",Table1[[#This Row],[alias]]), "")</f>
        <v>🆔 B21100_009E: Has a service-connected disability rating: Rating not reported</v>
      </c>
      <c r="O493" t="s">
        <v>1909</v>
      </c>
      <c r="P493" t="s">
        <v>1877</v>
      </c>
      <c r="Q493" t="s">
        <v>41</v>
      </c>
      <c r="R493" t="s">
        <v>1910</v>
      </c>
      <c r="S493" t="b">
        <v>0</v>
      </c>
      <c r="T493" t="b">
        <v>0</v>
      </c>
      <c r="U493" t="b">
        <v>1</v>
      </c>
      <c r="V493" t="b">
        <v>1</v>
      </c>
      <c r="W493" t="b">
        <v>1</v>
      </c>
      <c r="X493" t="b">
        <v>1</v>
      </c>
      <c r="Y493" t="b">
        <v>1</v>
      </c>
      <c r="Z493" t="b">
        <v>1</v>
      </c>
      <c r="AA493" t="b">
        <v>1</v>
      </c>
      <c r="AB493" t="b">
        <v>1</v>
      </c>
      <c r="AC493" t="b">
        <v>1</v>
      </c>
      <c r="AD493" t="b">
        <v>1</v>
      </c>
      <c r="AE493" t="b">
        <v>1</v>
      </c>
      <c r="AF493" t="b">
        <v>1</v>
      </c>
      <c r="AG493" t="b">
        <v>1</v>
      </c>
    </row>
    <row r="494" spans="1:33" x14ac:dyDescent="0.25">
      <c r="A494" t="s">
        <v>972</v>
      </c>
      <c r="B494">
        <v>13</v>
      </c>
      <c r="C494" t="b">
        <v>0</v>
      </c>
      <c r="D494" t="s">
        <v>1911</v>
      </c>
      <c r="E494" t="s">
        <v>1912</v>
      </c>
      <c r="F494" t="s">
        <v>1913</v>
      </c>
      <c r="G494" t="s">
        <v>1914</v>
      </c>
      <c r="H494">
        <v>493</v>
      </c>
      <c r="I494" t="str">
        <f>IF(ISBLANK(Table1[[#This Row],[oid]]),"FALSE","TRUE")</f>
        <v>TRUE</v>
      </c>
      <c r="J494" t="str" cm="1">
        <f t="array" ref="J494">_xlfn.SWITCH(LEFT(Table1[[#This Row],[section]],1), "D", "Demographic", "S", "Social", "E", "Economic", "H", "Housing", "")</f>
        <v>Social</v>
      </c>
      <c r="K494" t="s">
        <v>1915</v>
      </c>
      <c r="L494" t="s">
        <v>1916</v>
      </c>
      <c r="M494" t="str">
        <f>IF(Table1[[#This Row],[used]], _xlfn.CONCAT("🆔 ", Table1[[#This Row],[variable]], ": ",Table1[[#This Row],[alias]]), "")</f>
        <v>🆔 B18140_002E: With a disability</v>
      </c>
      <c r="O494" t="s">
        <v>1917</v>
      </c>
      <c r="P494" t="s">
        <v>1918</v>
      </c>
      <c r="Q494" t="s">
        <v>41</v>
      </c>
      <c r="R494" t="s">
        <v>1919</v>
      </c>
      <c r="S494" t="b">
        <v>0</v>
      </c>
      <c r="T494" t="b">
        <v>0</v>
      </c>
      <c r="U494" t="b">
        <v>1</v>
      </c>
      <c r="V494" t="b">
        <v>1</v>
      </c>
      <c r="W494" t="b">
        <v>1</v>
      </c>
      <c r="X494" t="b">
        <v>1</v>
      </c>
      <c r="Y494" t="b">
        <v>1</v>
      </c>
      <c r="Z494" t="b">
        <v>1</v>
      </c>
      <c r="AA494" t="b">
        <v>1</v>
      </c>
      <c r="AB494" t="b">
        <v>1</v>
      </c>
      <c r="AC494" t="b">
        <v>1</v>
      </c>
      <c r="AD494" t="b">
        <v>1</v>
      </c>
      <c r="AE494" t="b">
        <v>1</v>
      </c>
      <c r="AF494" t="b">
        <v>1</v>
      </c>
      <c r="AG494" t="b">
        <v>1</v>
      </c>
    </row>
    <row r="495" spans="1:33" x14ac:dyDescent="0.25">
      <c r="A495" t="s">
        <v>972</v>
      </c>
      <c r="B495">
        <v>13</v>
      </c>
      <c r="C495" t="b">
        <v>0</v>
      </c>
      <c r="D495" t="s">
        <v>1911</v>
      </c>
      <c r="E495" t="s">
        <v>1912</v>
      </c>
      <c r="F495" t="s">
        <v>1920</v>
      </c>
      <c r="G495" t="s">
        <v>1921</v>
      </c>
      <c r="H495">
        <v>494</v>
      </c>
      <c r="I495" t="str">
        <f>IF(ISBLANK(Table1[[#This Row],[oid]]),"FALSE","TRUE")</f>
        <v>TRUE</v>
      </c>
      <c r="J495" t="str" cm="1">
        <f t="array" ref="J495">_xlfn.SWITCH(LEFT(Table1[[#This Row],[section]],1), "D", "Demographic", "S", "Social", "E", "Economic", "H", "Housing", "")</f>
        <v>Social</v>
      </c>
      <c r="K495" t="s">
        <v>1915</v>
      </c>
      <c r="L495" t="s">
        <v>1916</v>
      </c>
      <c r="M495" t="str">
        <f>IF(Table1[[#This Row],[used]], _xlfn.CONCAT("🆔 ", Table1[[#This Row],[variable]], ": ",Table1[[#This Row],[alias]]), "")</f>
        <v>🆔 B18140_003E: With a disability: Male</v>
      </c>
      <c r="O495" t="s">
        <v>1922</v>
      </c>
      <c r="P495" t="s">
        <v>1918</v>
      </c>
      <c r="Q495" t="s">
        <v>41</v>
      </c>
      <c r="R495" t="s">
        <v>1923</v>
      </c>
      <c r="S495" t="b">
        <v>0</v>
      </c>
      <c r="T495" t="b">
        <v>0</v>
      </c>
      <c r="U495" t="b">
        <v>1</v>
      </c>
      <c r="V495" t="b">
        <v>1</v>
      </c>
      <c r="W495" t="b">
        <v>1</v>
      </c>
      <c r="X495" t="b">
        <v>1</v>
      </c>
      <c r="Y495" t="b">
        <v>1</v>
      </c>
      <c r="Z495" t="b">
        <v>1</v>
      </c>
      <c r="AA495" t="b">
        <v>1</v>
      </c>
      <c r="AB495" t="b">
        <v>1</v>
      </c>
      <c r="AC495" t="b">
        <v>1</v>
      </c>
      <c r="AD495" t="b">
        <v>1</v>
      </c>
      <c r="AE495" t="b">
        <v>1</v>
      </c>
      <c r="AF495" t="b">
        <v>1</v>
      </c>
      <c r="AG495" t="b">
        <v>1</v>
      </c>
    </row>
    <row r="496" spans="1:33" x14ac:dyDescent="0.25">
      <c r="A496" t="s">
        <v>972</v>
      </c>
      <c r="B496">
        <v>13</v>
      </c>
      <c r="C496" t="b">
        <v>0</v>
      </c>
      <c r="D496" t="s">
        <v>1911</v>
      </c>
      <c r="E496" t="s">
        <v>1912</v>
      </c>
      <c r="F496" t="s">
        <v>1924</v>
      </c>
      <c r="G496" t="s">
        <v>1925</v>
      </c>
      <c r="H496">
        <v>495</v>
      </c>
      <c r="I496" t="str">
        <f>IF(ISBLANK(Table1[[#This Row],[oid]]),"FALSE","TRUE")</f>
        <v>TRUE</v>
      </c>
      <c r="J496" t="str" cm="1">
        <f t="array" ref="J496">_xlfn.SWITCH(LEFT(Table1[[#This Row],[section]],1), "D", "Demographic", "S", "Social", "E", "Economic", "H", "Housing", "")</f>
        <v>Social</v>
      </c>
      <c r="K496" t="s">
        <v>1915</v>
      </c>
      <c r="L496" t="s">
        <v>1916</v>
      </c>
      <c r="M496" t="str">
        <f>IF(Table1[[#This Row],[used]], _xlfn.CONCAT("🆔 ", Table1[[#This Row],[variable]], ": ",Table1[[#This Row],[alias]]), "")</f>
        <v>🆔 B18140_004E: With a disability: Female</v>
      </c>
      <c r="O496" t="s">
        <v>1926</v>
      </c>
      <c r="P496" t="s">
        <v>1918</v>
      </c>
      <c r="Q496" t="s">
        <v>41</v>
      </c>
      <c r="R496" t="s">
        <v>1927</v>
      </c>
      <c r="S496" t="b">
        <v>0</v>
      </c>
      <c r="T496" t="b">
        <v>0</v>
      </c>
      <c r="U496" t="b">
        <v>1</v>
      </c>
      <c r="V496" t="b">
        <v>1</v>
      </c>
      <c r="W496" t="b">
        <v>1</v>
      </c>
      <c r="X496" t="b">
        <v>1</v>
      </c>
      <c r="Y496" t="b">
        <v>1</v>
      </c>
      <c r="Z496" t="b">
        <v>1</v>
      </c>
      <c r="AA496" t="b">
        <v>1</v>
      </c>
      <c r="AB496" t="b">
        <v>1</v>
      </c>
      <c r="AC496" t="b">
        <v>1</v>
      </c>
      <c r="AD496" t="b">
        <v>1</v>
      </c>
      <c r="AE496" t="b">
        <v>1</v>
      </c>
      <c r="AF496" t="b">
        <v>1</v>
      </c>
      <c r="AG496" t="b">
        <v>1</v>
      </c>
    </row>
    <row r="497" spans="1:33" x14ac:dyDescent="0.25">
      <c r="A497" t="s">
        <v>972</v>
      </c>
      <c r="B497">
        <v>13</v>
      </c>
      <c r="C497" t="b">
        <v>0</v>
      </c>
      <c r="D497" t="s">
        <v>1911</v>
      </c>
      <c r="E497" t="s">
        <v>1912</v>
      </c>
      <c r="F497" t="s">
        <v>1928</v>
      </c>
      <c r="G497" t="s">
        <v>1929</v>
      </c>
      <c r="H497">
        <v>496</v>
      </c>
      <c r="I497" t="str">
        <f>IF(ISBLANK(Table1[[#This Row],[oid]]),"FALSE","TRUE")</f>
        <v>TRUE</v>
      </c>
      <c r="J497" t="str" cm="1">
        <f t="array" ref="J497">_xlfn.SWITCH(LEFT(Table1[[#This Row],[section]],1), "D", "Demographic", "S", "Social", "E", "Economic", "H", "Housing", "")</f>
        <v>Social</v>
      </c>
      <c r="K497" t="s">
        <v>1915</v>
      </c>
      <c r="L497" t="s">
        <v>1916</v>
      </c>
      <c r="M497" t="str">
        <f>IF(Table1[[#This Row],[used]], _xlfn.CONCAT("🆔 ", Table1[[#This Row],[variable]], ": ",Table1[[#This Row],[alias]]), "")</f>
        <v>🆔 B18140_005E: No disability</v>
      </c>
      <c r="O497" t="s">
        <v>1930</v>
      </c>
      <c r="P497" t="s">
        <v>1918</v>
      </c>
      <c r="Q497" t="s">
        <v>41</v>
      </c>
      <c r="R497" t="s">
        <v>1931</v>
      </c>
      <c r="S497" t="b">
        <v>0</v>
      </c>
      <c r="T497" t="b">
        <v>0</v>
      </c>
      <c r="U497" t="b">
        <v>1</v>
      </c>
      <c r="V497" t="b">
        <v>1</v>
      </c>
      <c r="W497" t="b">
        <v>1</v>
      </c>
      <c r="X497" t="b">
        <v>1</v>
      </c>
      <c r="Y497" t="b">
        <v>1</v>
      </c>
      <c r="Z497" t="b">
        <v>1</v>
      </c>
      <c r="AA497" t="b">
        <v>1</v>
      </c>
      <c r="AB497" t="b">
        <v>1</v>
      </c>
      <c r="AC497" t="b">
        <v>1</v>
      </c>
      <c r="AD497" t="b">
        <v>1</v>
      </c>
      <c r="AE497" t="b">
        <v>1</v>
      </c>
      <c r="AF497" t="b">
        <v>1</v>
      </c>
      <c r="AG497" t="b">
        <v>1</v>
      </c>
    </row>
    <row r="498" spans="1:33" x14ac:dyDescent="0.25">
      <c r="A498" t="s">
        <v>972</v>
      </c>
      <c r="B498">
        <v>13</v>
      </c>
      <c r="C498" t="b">
        <v>0</v>
      </c>
      <c r="D498" t="s">
        <v>1911</v>
      </c>
      <c r="E498" t="s">
        <v>1912</v>
      </c>
      <c r="F498" t="s">
        <v>1932</v>
      </c>
      <c r="G498" t="s">
        <v>1933</v>
      </c>
      <c r="H498">
        <v>497</v>
      </c>
      <c r="I498" t="str">
        <f>IF(ISBLANK(Table1[[#This Row],[oid]]),"FALSE","TRUE")</f>
        <v>TRUE</v>
      </c>
      <c r="J498" t="str" cm="1">
        <f t="array" ref="J498">_xlfn.SWITCH(LEFT(Table1[[#This Row],[section]],1), "D", "Demographic", "S", "Social", "E", "Economic", "H", "Housing", "")</f>
        <v>Social</v>
      </c>
      <c r="K498" t="s">
        <v>1915</v>
      </c>
      <c r="L498" t="s">
        <v>1916</v>
      </c>
      <c r="M498" t="str">
        <f>IF(Table1[[#This Row],[used]], _xlfn.CONCAT("🆔 ", Table1[[#This Row],[variable]], ": ",Table1[[#This Row],[alias]]), "")</f>
        <v>🆔 B18140_006E: No disability: Male</v>
      </c>
      <c r="O498" t="s">
        <v>1934</v>
      </c>
      <c r="P498" t="s">
        <v>1918</v>
      </c>
      <c r="Q498" t="s">
        <v>41</v>
      </c>
      <c r="R498" t="s">
        <v>1935</v>
      </c>
      <c r="S498" t="b">
        <v>0</v>
      </c>
      <c r="T498" t="b">
        <v>0</v>
      </c>
      <c r="U498" t="b">
        <v>1</v>
      </c>
      <c r="V498" t="b">
        <v>1</v>
      </c>
      <c r="W498" t="b">
        <v>1</v>
      </c>
      <c r="X498" t="b">
        <v>1</v>
      </c>
      <c r="Y498" t="b">
        <v>1</v>
      </c>
      <c r="Z498" t="b">
        <v>1</v>
      </c>
      <c r="AA498" t="b">
        <v>1</v>
      </c>
      <c r="AB498" t="b">
        <v>1</v>
      </c>
      <c r="AC498" t="b">
        <v>1</v>
      </c>
      <c r="AD498" t="b">
        <v>1</v>
      </c>
      <c r="AE498" t="b">
        <v>1</v>
      </c>
      <c r="AF498" t="b">
        <v>1</v>
      </c>
      <c r="AG498" t="b">
        <v>1</v>
      </c>
    </row>
    <row r="499" spans="1:33" x14ac:dyDescent="0.25">
      <c r="A499" t="s">
        <v>972</v>
      </c>
      <c r="B499">
        <v>13</v>
      </c>
      <c r="C499" t="b">
        <v>0</v>
      </c>
      <c r="D499" t="s">
        <v>1911</v>
      </c>
      <c r="E499" t="s">
        <v>1912</v>
      </c>
      <c r="F499" t="s">
        <v>1936</v>
      </c>
      <c r="G499" t="s">
        <v>1937</v>
      </c>
      <c r="H499">
        <v>498</v>
      </c>
      <c r="I499" t="str">
        <f>IF(ISBLANK(Table1[[#This Row],[oid]]),"FALSE","TRUE")</f>
        <v>TRUE</v>
      </c>
      <c r="J499" t="str" cm="1">
        <f t="array" ref="J499">_xlfn.SWITCH(LEFT(Table1[[#This Row],[section]],1), "D", "Demographic", "S", "Social", "E", "Economic", "H", "Housing", "")</f>
        <v>Social</v>
      </c>
      <c r="K499" t="s">
        <v>1915</v>
      </c>
      <c r="L499" t="s">
        <v>1916</v>
      </c>
      <c r="M499" t="str">
        <f>IF(Table1[[#This Row],[used]], _xlfn.CONCAT("🆔 ", Table1[[#This Row],[variable]], ": ",Table1[[#This Row],[alias]]), "")</f>
        <v>🆔 B18140_007E: No disability: Female</v>
      </c>
      <c r="O499" t="s">
        <v>1938</v>
      </c>
      <c r="P499" t="s">
        <v>1918</v>
      </c>
      <c r="Q499" t="s">
        <v>41</v>
      </c>
      <c r="R499" t="s">
        <v>1939</v>
      </c>
      <c r="S499" t="b">
        <v>0</v>
      </c>
      <c r="T499" t="b">
        <v>0</v>
      </c>
      <c r="U499" t="b">
        <v>1</v>
      </c>
      <c r="V499" t="b">
        <v>1</v>
      </c>
      <c r="W499" t="b">
        <v>1</v>
      </c>
      <c r="X499" t="b">
        <v>1</v>
      </c>
      <c r="Y499" t="b">
        <v>1</v>
      </c>
      <c r="Z499" t="b">
        <v>1</v>
      </c>
      <c r="AA499" t="b">
        <v>1</v>
      </c>
      <c r="AB499" t="b">
        <v>1</v>
      </c>
      <c r="AC499" t="b">
        <v>1</v>
      </c>
      <c r="AD499" t="b">
        <v>1</v>
      </c>
      <c r="AE499" t="b">
        <v>1</v>
      </c>
      <c r="AF499" t="b">
        <v>1</v>
      </c>
      <c r="AG499" t="b">
        <v>1</v>
      </c>
    </row>
    <row r="500" spans="1:33" x14ac:dyDescent="0.25">
      <c r="A500" t="s">
        <v>972</v>
      </c>
      <c r="B500">
        <v>13</v>
      </c>
      <c r="C500" t="b">
        <v>0</v>
      </c>
      <c r="D500" t="s">
        <v>1911</v>
      </c>
      <c r="E500" t="s">
        <v>1940</v>
      </c>
      <c r="F500" t="s">
        <v>1941</v>
      </c>
      <c r="G500" t="s">
        <v>1942</v>
      </c>
      <c r="H500">
        <v>499</v>
      </c>
      <c r="I500" t="str">
        <f>IF(ISBLANK(Table1[[#This Row],[oid]]),"FALSE","TRUE")</f>
        <v>TRUE</v>
      </c>
      <c r="J500" t="str" cm="1">
        <f t="array" ref="J500">_xlfn.SWITCH(LEFT(Table1[[#This Row],[section]],1), "D", "Demographic", "S", "Social", "E", "Economic", "H", "Housing", "")</f>
        <v>Social</v>
      </c>
      <c r="K500" t="s">
        <v>1915</v>
      </c>
      <c r="L500" t="s">
        <v>1916</v>
      </c>
      <c r="M500" t="str">
        <f>IF(Table1[[#This Row],[used]], _xlfn.CONCAT("🆔 ", Table1[[#This Row],[variable]], ": ",Table1[[#This Row],[alias]]), "")</f>
        <v>🆔 B18101_004E: Male: Under 5 years: With a disability</v>
      </c>
      <c r="O500" t="s">
        <v>1943</v>
      </c>
      <c r="P500" t="s">
        <v>1944</v>
      </c>
      <c r="Q500" t="s">
        <v>41</v>
      </c>
      <c r="R500" t="s">
        <v>1945</v>
      </c>
      <c r="S500" t="b">
        <v>0</v>
      </c>
      <c r="T500" t="b">
        <v>0</v>
      </c>
      <c r="U500" t="b">
        <v>1</v>
      </c>
      <c r="V500" t="b">
        <v>1</v>
      </c>
      <c r="W500" t="b">
        <v>1</v>
      </c>
      <c r="X500" t="b">
        <v>1</v>
      </c>
      <c r="Y500" t="b">
        <v>1</v>
      </c>
      <c r="Z500" t="b">
        <v>1</v>
      </c>
      <c r="AA500" t="b">
        <v>1</v>
      </c>
      <c r="AB500" t="b">
        <v>1</v>
      </c>
      <c r="AC500" t="b">
        <v>1</v>
      </c>
      <c r="AD500" t="b">
        <v>1</v>
      </c>
      <c r="AE500" t="b">
        <v>1</v>
      </c>
      <c r="AF500" t="b">
        <v>1</v>
      </c>
      <c r="AG500" t="b">
        <v>1</v>
      </c>
    </row>
    <row r="501" spans="1:33" x14ac:dyDescent="0.25">
      <c r="A501" t="s">
        <v>972</v>
      </c>
      <c r="B501">
        <v>13</v>
      </c>
      <c r="C501" t="b">
        <v>0</v>
      </c>
      <c r="D501" t="s">
        <v>1911</v>
      </c>
      <c r="E501" t="s">
        <v>1940</v>
      </c>
      <c r="F501" t="s">
        <v>1946</v>
      </c>
      <c r="G501" t="s">
        <v>1947</v>
      </c>
      <c r="H501">
        <v>500</v>
      </c>
      <c r="I501" t="str">
        <f>IF(ISBLANK(Table1[[#This Row],[oid]]),"FALSE","TRUE")</f>
        <v>TRUE</v>
      </c>
      <c r="J501" t="str" cm="1">
        <f t="array" ref="J501">_xlfn.SWITCH(LEFT(Table1[[#This Row],[section]],1), "D", "Demographic", "S", "Social", "E", "Economic", "H", "Housing", "")</f>
        <v>Social</v>
      </c>
      <c r="K501" t="s">
        <v>1915</v>
      </c>
      <c r="L501" t="s">
        <v>1916</v>
      </c>
      <c r="M501" t="str">
        <f>IF(Table1[[#This Row],[used]], _xlfn.CONCAT("🆔 ", Table1[[#This Row],[variable]], ": ",Table1[[#This Row],[alias]]), "")</f>
        <v>🆔 B18101_007E: Male: 5 to 17 years: With a disability</v>
      </c>
      <c r="O501" t="s">
        <v>1948</v>
      </c>
      <c r="P501" t="s">
        <v>1944</v>
      </c>
      <c r="Q501" t="s">
        <v>41</v>
      </c>
      <c r="R501" t="s">
        <v>1949</v>
      </c>
      <c r="S501" t="b">
        <v>0</v>
      </c>
      <c r="T501" t="b">
        <v>0</v>
      </c>
      <c r="U501" t="b">
        <v>1</v>
      </c>
      <c r="V501" t="b">
        <v>1</v>
      </c>
      <c r="W501" t="b">
        <v>1</v>
      </c>
      <c r="X501" t="b">
        <v>1</v>
      </c>
      <c r="Y501" t="b">
        <v>1</v>
      </c>
      <c r="Z501" t="b">
        <v>1</v>
      </c>
      <c r="AA501" t="b">
        <v>1</v>
      </c>
      <c r="AB501" t="b">
        <v>1</v>
      </c>
      <c r="AC501" t="b">
        <v>1</v>
      </c>
      <c r="AD501" t="b">
        <v>1</v>
      </c>
      <c r="AE501" t="b">
        <v>1</v>
      </c>
      <c r="AF501" t="b">
        <v>1</v>
      </c>
      <c r="AG501" t="b">
        <v>1</v>
      </c>
    </row>
    <row r="502" spans="1:33" x14ac:dyDescent="0.25">
      <c r="A502" t="s">
        <v>972</v>
      </c>
      <c r="B502">
        <v>13</v>
      </c>
      <c r="C502" t="b">
        <v>0</v>
      </c>
      <c r="D502" t="s">
        <v>1911</v>
      </c>
      <c r="E502" t="s">
        <v>1940</v>
      </c>
      <c r="F502" t="s">
        <v>1950</v>
      </c>
      <c r="G502" t="s">
        <v>1951</v>
      </c>
      <c r="H502">
        <v>501</v>
      </c>
      <c r="I502" t="str">
        <f>IF(ISBLANK(Table1[[#This Row],[oid]]),"FALSE","TRUE")</f>
        <v>TRUE</v>
      </c>
      <c r="J502" t="str" cm="1">
        <f t="array" ref="J502">_xlfn.SWITCH(LEFT(Table1[[#This Row],[section]],1), "D", "Demographic", "S", "Social", "E", "Economic", "H", "Housing", "")</f>
        <v>Social</v>
      </c>
      <c r="K502" t="s">
        <v>1915</v>
      </c>
      <c r="L502" t="s">
        <v>1916</v>
      </c>
      <c r="M502" t="str">
        <f>IF(Table1[[#This Row],[used]], _xlfn.CONCAT("🆔 ", Table1[[#This Row],[variable]], ": ",Table1[[#This Row],[alias]]), "")</f>
        <v>🆔 B18101_010E: Male: 18 to 34 years: With a disability</v>
      </c>
      <c r="O502" t="s">
        <v>1952</v>
      </c>
      <c r="P502" t="s">
        <v>1944</v>
      </c>
      <c r="Q502" t="s">
        <v>41</v>
      </c>
      <c r="R502" t="s">
        <v>1953</v>
      </c>
      <c r="S502" t="b">
        <v>0</v>
      </c>
      <c r="T502" t="b">
        <v>0</v>
      </c>
      <c r="U502" t="b">
        <v>1</v>
      </c>
      <c r="V502" t="b">
        <v>1</v>
      </c>
      <c r="W502" t="b">
        <v>1</v>
      </c>
      <c r="X502" t="b">
        <v>1</v>
      </c>
      <c r="Y502" t="b">
        <v>1</v>
      </c>
      <c r="Z502" t="b">
        <v>1</v>
      </c>
      <c r="AA502" t="b">
        <v>1</v>
      </c>
      <c r="AB502" t="b">
        <v>1</v>
      </c>
      <c r="AC502" t="b">
        <v>1</v>
      </c>
      <c r="AD502" t="b">
        <v>1</v>
      </c>
      <c r="AE502" t="b">
        <v>1</v>
      </c>
      <c r="AF502" t="b">
        <v>1</v>
      </c>
      <c r="AG502" t="b">
        <v>1</v>
      </c>
    </row>
    <row r="503" spans="1:33" x14ac:dyDescent="0.25">
      <c r="A503" t="s">
        <v>972</v>
      </c>
      <c r="B503">
        <v>13</v>
      </c>
      <c r="C503" t="b">
        <v>0</v>
      </c>
      <c r="D503" t="s">
        <v>1911</v>
      </c>
      <c r="E503" t="s">
        <v>1940</v>
      </c>
      <c r="F503" t="s">
        <v>1954</v>
      </c>
      <c r="G503" t="s">
        <v>1955</v>
      </c>
      <c r="H503">
        <v>502</v>
      </c>
      <c r="I503" t="str">
        <f>IF(ISBLANK(Table1[[#This Row],[oid]]),"FALSE","TRUE")</f>
        <v>TRUE</v>
      </c>
      <c r="J503" t="str" cm="1">
        <f t="array" ref="J503">_xlfn.SWITCH(LEFT(Table1[[#This Row],[section]],1), "D", "Demographic", "S", "Social", "E", "Economic", "H", "Housing", "")</f>
        <v>Social</v>
      </c>
      <c r="K503" t="s">
        <v>1915</v>
      </c>
      <c r="L503" t="s">
        <v>1916</v>
      </c>
      <c r="M503" t="str">
        <f>IF(Table1[[#This Row],[used]], _xlfn.CONCAT("🆔 ", Table1[[#This Row],[variable]], ": ",Table1[[#This Row],[alias]]), "")</f>
        <v>🆔 B18101_013E: Male: 35 to 64 years: With a disability</v>
      </c>
      <c r="O503" t="s">
        <v>1956</v>
      </c>
      <c r="P503" t="s">
        <v>1944</v>
      </c>
      <c r="Q503" t="s">
        <v>41</v>
      </c>
      <c r="R503" t="s">
        <v>1957</v>
      </c>
      <c r="S503" t="b">
        <v>0</v>
      </c>
      <c r="T503" t="b">
        <v>0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</row>
    <row r="504" spans="1:33" x14ac:dyDescent="0.25">
      <c r="A504" t="s">
        <v>972</v>
      </c>
      <c r="B504">
        <v>13</v>
      </c>
      <c r="C504" t="b">
        <v>0</v>
      </c>
      <c r="D504" t="s">
        <v>1911</v>
      </c>
      <c r="E504" t="s">
        <v>1940</v>
      </c>
      <c r="F504" t="s">
        <v>1958</v>
      </c>
      <c r="G504" t="s">
        <v>1959</v>
      </c>
      <c r="H504">
        <v>503</v>
      </c>
      <c r="I504" t="str">
        <f>IF(ISBLANK(Table1[[#This Row],[oid]]),"FALSE","TRUE")</f>
        <v>TRUE</v>
      </c>
      <c r="J504" t="str" cm="1">
        <f t="array" ref="J504">_xlfn.SWITCH(LEFT(Table1[[#This Row],[section]],1), "D", "Demographic", "S", "Social", "E", "Economic", "H", "Housing", "")</f>
        <v>Social</v>
      </c>
      <c r="K504" t="s">
        <v>1915</v>
      </c>
      <c r="L504" t="s">
        <v>1916</v>
      </c>
      <c r="M504" t="str">
        <f>IF(Table1[[#This Row],[used]], _xlfn.CONCAT("🆔 ", Table1[[#This Row],[variable]], ": ",Table1[[#This Row],[alias]]), "")</f>
        <v>🆔 B18101_016E: Male: 65 to 74 years: With a disability</v>
      </c>
      <c r="O504" t="s">
        <v>1960</v>
      </c>
      <c r="P504" t="s">
        <v>1944</v>
      </c>
      <c r="Q504" t="s">
        <v>41</v>
      </c>
      <c r="R504" t="s">
        <v>1961</v>
      </c>
      <c r="S504" t="b">
        <v>0</v>
      </c>
      <c r="T504" t="b">
        <v>0</v>
      </c>
      <c r="U504" t="b">
        <v>1</v>
      </c>
      <c r="V504" t="b">
        <v>1</v>
      </c>
      <c r="W504" t="b">
        <v>1</v>
      </c>
      <c r="X504" t="b">
        <v>1</v>
      </c>
      <c r="Y504" t="b">
        <v>1</v>
      </c>
      <c r="Z504" t="b">
        <v>1</v>
      </c>
      <c r="AA504" t="b">
        <v>1</v>
      </c>
      <c r="AB504" t="b">
        <v>1</v>
      </c>
      <c r="AC504" t="b">
        <v>1</v>
      </c>
      <c r="AD504" t="b">
        <v>1</v>
      </c>
      <c r="AE504" t="b">
        <v>1</v>
      </c>
      <c r="AF504" t="b">
        <v>1</v>
      </c>
      <c r="AG504" t="b">
        <v>1</v>
      </c>
    </row>
    <row r="505" spans="1:33" x14ac:dyDescent="0.25">
      <c r="A505" t="s">
        <v>972</v>
      </c>
      <c r="B505">
        <v>13</v>
      </c>
      <c r="C505" t="b">
        <v>0</v>
      </c>
      <c r="D505" t="s">
        <v>1911</v>
      </c>
      <c r="E505" t="s">
        <v>1940</v>
      </c>
      <c r="F505" t="s">
        <v>1962</v>
      </c>
      <c r="G505" t="s">
        <v>1963</v>
      </c>
      <c r="H505">
        <v>504</v>
      </c>
      <c r="I505" t="str">
        <f>IF(ISBLANK(Table1[[#This Row],[oid]]),"FALSE","TRUE")</f>
        <v>TRUE</v>
      </c>
      <c r="J505" t="str" cm="1">
        <f t="array" ref="J505">_xlfn.SWITCH(LEFT(Table1[[#This Row],[section]],1), "D", "Demographic", "S", "Social", "E", "Economic", "H", "Housing", "")</f>
        <v>Social</v>
      </c>
      <c r="K505" t="s">
        <v>1915</v>
      </c>
      <c r="L505" t="s">
        <v>1916</v>
      </c>
      <c r="M505" t="str">
        <f>IF(Table1[[#This Row],[used]], _xlfn.CONCAT("🆔 ", Table1[[#This Row],[variable]], ": ",Table1[[#This Row],[alias]]), "")</f>
        <v>🆔 B18101_019E: Male: 75 years and over: With a disability</v>
      </c>
      <c r="O505" t="s">
        <v>1964</v>
      </c>
      <c r="P505" t="s">
        <v>1944</v>
      </c>
      <c r="Q505" t="s">
        <v>41</v>
      </c>
      <c r="R505" t="s">
        <v>1965</v>
      </c>
      <c r="S505" t="b">
        <v>0</v>
      </c>
      <c r="T505" t="b">
        <v>0</v>
      </c>
      <c r="U505" t="b">
        <v>1</v>
      </c>
      <c r="V505" t="b">
        <v>1</v>
      </c>
      <c r="W505" t="b">
        <v>1</v>
      </c>
      <c r="X505" t="b">
        <v>1</v>
      </c>
      <c r="Y505" t="b">
        <v>1</v>
      </c>
      <c r="Z505" t="b">
        <v>1</v>
      </c>
      <c r="AA505" t="b">
        <v>1</v>
      </c>
      <c r="AB505" t="b">
        <v>1</v>
      </c>
      <c r="AC505" t="b">
        <v>1</v>
      </c>
      <c r="AD505" t="b">
        <v>1</v>
      </c>
      <c r="AE505" t="b">
        <v>1</v>
      </c>
      <c r="AF505" t="b">
        <v>1</v>
      </c>
      <c r="AG505" t="b">
        <v>1</v>
      </c>
    </row>
    <row r="506" spans="1:33" x14ac:dyDescent="0.25">
      <c r="A506" t="s">
        <v>972</v>
      </c>
      <c r="B506">
        <v>13</v>
      </c>
      <c r="C506" t="b">
        <v>0</v>
      </c>
      <c r="D506" t="s">
        <v>1911</v>
      </c>
      <c r="E506" t="s">
        <v>1940</v>
      </c>
      <c r="F506" t="s">
        <v>1966</v>
      </c>
      <c r="G506" t="s">
        <v>1967</v>
      </c>
      <c r="H506">
        <v>505</v>
      </c>
      <c r="I506" t="str">
        <f>IF(ISBLANK(Table1[[#This Row],[oid]]),"FALSE","TRUE")</f>
        <v>TRUE</v>
      </c>
      <c r="J506" t="str" cm="1">
        <f t="array" ref="J506">_xlfn.SWITCH(LEFT(Table1[[#This Row],[section]],1), "D", "Demographic", "S", "Social", "E", "Economic", "H", "Housing", "")</f>
        <v>Social</v>
      </c>
      <c r="K506" t="s">
        <v>1915</v>
      </c>
      <c r="L506" t="s">
        <v>1916</v>
      </c>
      <c r="M506" t="str">
        <f>IF(Table1[[#This Row],[used]], _xlfn.CONCAT("🆔 ", Table1[[#This Row],[variable]], ": ",Table1[[#This Row],[alias]]), "")</f>
        <v>🆔 B18101_023E: Female: Under 5 years: With a disability</v>
      </c>
      <c r="O506" t="s">
        <v>1968</v>
      </c>
      <c r="P506" t="s">
        <v>1944</v>
      </c>
      <c r="Q506" t="s">
        <v>41</v>
      </c>
      <c r="R506" t="s">
        <v>1969</v>
      </c>
      <c r="S506" t="b">
        <v>0</v>
      </c>
      <c r="T506" t="b">
        <v>0</v>
      </c>
      <c r="U506" t="b">
        <v>1</v>
      </c>
      <c r="V506" t="b">
        <v>1</v>
      </c>
      <c r="W506" t="b">
        <v>1</v>
      </c>
      <c r="X506" t="b">
        <v>1</v>
      </c>
      <c r="Y506" t="b">
        <v>1</v>
      </c>
      <c r="Z506" t="b">
        <v>1</v>
      </c>
      <c r="AA506" t="b">
        <v>1</v>
      </c>
      <c r="AB506" t="b">
        <v>1</v>
      </c>
      <c r="AC506" t="b">
        <v>1</v>
      </c>
      <c r="AD506" t="b">
        <v>1</v>
      </c>
      <c r="AE506" t="b">
        <v>1</v>
      </c>
      <c r="AF506" t="b">
        <v>1</v>
      </c>
      <c r="AG506" t="b">
        <v>1</v>
      </c>
    </row>
    <row r="507" spans="1:33" x14ac:dyDescent="0.25">
      <c r="A507" t="s">
        <v>972</v>
      </c>
      <c r="B507">
        <v>13</v>
      </c>
      <c r="C507" t="b">
        <v>0</v>
      </c>
      <c r="D507" t="s">
        <v>1911</v>
      </c>
      <c r="E507" t="s">
        <v>1940</v>
      </c>
      <c r="F507" t="s">
        <v>1970</v>
      </c>
      <c r="G507" t="s">
        <v>1971</v>
      </c>
      <c r="H507">
        <v>506</v>
      </c>
      <c r="I507" t="str">
        <f>IF(ISBLANK(Table1[[#This Row],[oid]]),"FALSE","TRUE")</f>
        <v>TRUE</v>
      </c>
      <c r="J507" t="str" cm="1">
        <f t="array" ref="J507">_xlfn.SWITCH(LEFT(Table1[[#This Row],[section]],1), "D", "Demographic", "S", "Social", "E", "Economic", "H", "Housing", "")</f>
        <v>Social</v>
      </c>
      <c r="K507" t="s">
        <v>1915</v>
      </c>
      <c r="L507" t="s">
        <v>1916</v>
      </c>
      <c r="M507" t="str">
        <f>IF(Table1[[#This Row],[used]], _xlfn.CONCAT("🆔 ", Table1[[#This Row],[variable]], ": ",Table1[[#This Row],[alias]]), "")</f>
        <v>🆔 B18101_026E: Female: 5 to 17 years: With a disability</v>
      </c>
      <c r="O507" t="s">
        <v>1972</v>
      </c>
      <c r="P507" t="s">
        <v>1944</v>
      </c>
      <c r="Q507" t="s">
        <v>41</v>
      </c>
      <c r="R507" t="s">
        <v>1973</v>
      </c>
      <c r="S507" t="b">
        <v>0</v>
      </c>
      <c r="T507" t="b">
        <v>0</v>
      </c>
      <c r="U507" t="b">
        <v>1</v>
      </c>
      <c r="V507" t="b">
        <v>1</v>
      </c>
      <c r="W507" t="b">
        <v>1</v>
      </c>
      <c r="X507" t="b">
        <v>1</v>
      </c>
      <c r="Y507" t="b">
        <v>1</v>
      </c>
      <c r="Z507" t="b">
        <v>1</v>
      </c>
      <c r="AA507" t="b">
        <v>1</v>
      </c>
      <c r="AB507" t="b">
        <v>1</v>
      </c>
      <c r="AC507" t="b">
        <v>1</v>
      </c>
      <c r="AD507" t="b">
        <v>1</v>
      </c>
      <c r="AE507" t="b">
        <v>1</v>
      </c>
      <c r="AF507" t="b">
        <v>1</v>
      </c>
      <c r="AG507" t="b">
        <v>1</v>
      </c>
    </row>
    <row r="508" spans="1:33" x14ac:dyDescent="0.25">
      <c r="A508" t="s">
        <v>972</v>
      </c>
      <c r="B508">
        <v>13</v>
      </c>
      <c r="C508" t="b">
        <v>0</v>
      </c>
      <c r="D508" t="s">
        <v>1911</v>
      </c>
      <c r="E508" t="s">
        <v>1940</v>
      </c>
      <c r="F508" t="s">
        <v>1974</v>
      </c>
      <c r="G508" t="s">
        <v>1975</v>
      </c>
      <c r="H508">
        <v>507</v>
      </c>
      <c r="I508" t="str">
        <f>IF(ISBLANK(Table1[[#This Row],[oid]]),"FALSE","TRUE")</f>
        <v>TRUE</v>
      </c>
      <c r="J508" t="str" cm="1">
        <f t="array" ref="J508">_xlfn.SWITCH(LEFT(Table1[[#This Row],[section]],1), "D", "Demographic", "S", "Social", "E", "Economic", "H", "Housing", "")</f>
        <v>Social</v>
      </c>
      <c r="K508" t="s">
        <v>1915</v>
      </c>
      <c r="L508" t="s">
        <v>1916</v>
      </c>
      <c r="M508" t="str">
        <f>IF(Table1[[#This Row],[used]], _xlfn.CONCAT("🆔 ", Table1[[#This Row],[variable]], ": ",Table1[[#This Row],[alias]]), "")</f>
        <v>🆔 B18101_029E: Female: 18 to 34 years: With a disability</v>
      </c>
      <c r="O508" t="s">
        <v>1976</v>
      </c>
      <c r="P508" t="s">
        <v>1944</v>
      </c>
      <c r="Q508" t="s">
        <v>41</v>
      </c>
      <c r="R508" t="s">
        <v>1977</v>
      </c>
      <c r="S508" t="b">
        <v>0</v>
      </c>
      <c r="T508" t="b">
        <v>0</v>
      </c>
      <c r="U508" t="b">
        <v>1</v>
      </c>
      <c r="V508" t="b">
        <v>1</v>
      </c>
      <c r="W508" t="b">
        <v>1</v>
      </c>
      <c r="X508" t="b">
        <v>1</v>
      </c>
      <c r="Y508" t="b">
        <v>1</v>
      </c>
      <c r="Z508" t="b">
        <v>1</v>
      </c>
      <c r="AA508" t="b">
        <v>1</v>
      </c>
      <c r="AB508" t="b">
        <v>1</v>
      </c>
      <c r="AC508" t="b">
        <v>1</v>
      </c>
      <c r="AD508" t="b">
        <v>1</v>
      </c>
      <c r="AE508" t="b">
        <v>1</v>
      </c>
      <c r="AF508" t="b">
        <v>1</v>
      </c>
      <c r="AG508" t="b">
        <v>1</v>
      </c>
    </row>
    <row r="509" spans="1:33" x14ac:dyDescent="0.25">
      <c r="A509" t="s">
        <v>972</v>
      </c>
      <c r="B509">
        <v>13</v>
      </c>
      <c r="C509" t="b">
        <v>0</v>
      </c>
      <c r="D509" t="s">
        <v>1911</v>
      </c>
      <c r="E509" t="s">
        <v>1940</v>
      </c>
      <c r="F509" t="s">
        <v>1978</v>
      </c>
      <c r="G509" t="s">
        <v>1979</v>
      </c>
      <c r="H509">
        <v>508</v>
      </c>
      <c r="I509" t="str">
        <f>IF(ISBLANK(Table1[[#This Row],[oid]]),"FALSE","TRUE")</f>
        <v>TRUE</v>
      </c>
      <c r="J509" t="str" cm="1">
        <f t="array" ref="J509">_xlfn.SWITCH(LEFT(Table1[[#This Row],[section]],1), "D", "Demographic", "S", "Social", "E", "Economic", "H", "Housing", "")</f>
        <v>Social</v>
      </c>
      <c r="K509" t="s">
        <v>1915</v>
      </c>
      <c r="L509" t="s">
        <v>1916</v>
      </c>
      <c r="M509" t="str">
        <f>IF(Table1[[#This Row],[used]], _xlfn.CONCAT("🆔 ", Table1[[#This Row],[variable]], ": ",Table1[[#This Row],[alias]]), "")</f>
        <v>🆔 B18101_032E: Female: 35 to 64 years: With a disability</v>
      </c>
      <c r="O509" t="s">
        <v>1980</v>
      </c>
      <c r="P509" t="s">
        <v>1944</v>
      </c>
      <c r="Q509" t="s">
        <v>41</v>
      </c>
      <c r="R509" t="s">
        <v>1981</v>
      </c>
      <c r="S509" t="b">
        <v>0</v>
      </c>
      <c r="T509" t="b">
        <v>0</v>
      </c>
      <c r="U509" t="b">
        <v>1</v>
      </c>
      <c r="V509" t="b">
        <v>1</v>
      </c>
      <c r="W509" t="b">
        <v>1</v>
      </c>
      <c r="X509" t="b">
        <v>1</v>
      </c>
      <c r="Y509" t="b">
        <v>1</v>
      </c>
      <c r="Z509" t="b">
        <v>1</v>
      </c>
      <c r="AA509" t="b">
        <v>1</v>
      </c>
      <c r="AB509" t="b">
        <v>1</v>
      </c>
      <c r="AC509" t="b">
        <v>1</v>
      </c>
      <c r="AD509" t="b">
        <v>1</v>
      </c>
      <c r="AE509" t="b">
        <v>1</v>
      </c>
      <c r="AF509" t="b">
        <v>1</v>
      </c>
      <c r="AG509" t="b">
        <v>1</v>
      </c>
    </row>
    <row r="510" spans="1:33" x14ac:dyDescent="0.25">
      <c r="A510" t="s">
        <v>972</v>
      </c>
      <c r="B510">
        <v>13</v>
      </c>
      <c r="C510" t="b">
        <v>0</v>
      </c>
      <c r="D510" t="s">
        <v>1911</v>
      </c>
      <c r="E510" t="s">
        <v>1940</v>
      </c>
      <c r="F510" t="s">
        <v>1982</v>
      </c>
      <c r="G510" t="s">
        <v>1983</v>
      </c>
      <c r="H510">
        <v>509</v>
      </c>
      <c r="I510" t="str">
        <f>IF(ISBLANK(Table1[[#This Row],[oid]]),"FALSE","TRUE")</f>
        <v>TRUE</v>
      </c>
      <c r="J510" t="str" cm="1">
        <f t="array" ref="J510">_xlfn.SWITCH(LEFT(Table1[[#This Row],[section]],1), "D", "Demographic", "S", "Social", "E", "Economic", "H", "Housing", "")</f>
        <v>Social</v>
      </c>
      <c r="K510" t="s">
        <v>1915</v>
      </c>
      <c r="L510" t="s">
        <v>1916</v>
      </c>
      <c r="M510" t="str">
        <f>IF(Table1[[#This Row],[used]], _xlfn.CONCAT("🆔 ", Table1[[#This Row],[variable]], ": ",Table1[[#This Row],[alias]]), "")</f>
        <v>🆔 B18101_035E: Female: 65 to 74 years: With a disability</v>
      </c>
      <c r="O510" t="s">
        <v>1984</v>
      </c>
      <c r="P510" t="s">
        <v>1944</v>
      </c>
      <c r="Q510" t="s">
        <v>41</v>
      </c>
      <c r="R510" t="s">
        <v>1985</v>
      </c>
      <c r="S510" t="b">
        <v>0</v>
      </c>
      <c r="T510" t="b">
        <v>0</v>
      </c>
      <c r="U510" t="b">
        <v>1</v>
      </c>
      <c r="V510" t="b">
        <v>1</v>
      </c>
      <c r="W510" t="b">
        <v>1</v>
      </c>
      <c r="X510" t="b">
        <v>1</v>
      </c>
      <c r="Y510" t="b">
        <v>1</v>
      </c>
      <c r="Z510" t="b">
        <v>1</v>
      </c>
      <c r="AA510" t="b">
        <v>1</v>
      </c>
      <c r="AB510" t="b">
        <v>1</v>
      </c>
      <c r="AC510" t="b">
        <v>1</v>
      </c>
      <c r="AD510" t="b">
        <v>1</v>
      </c>
      <c r="AE510" t="b">
        <v>1</v>
      </c>
      <c r="AF510" t="b">
        <v>1</v>
      </c>
      <c r="AG510" t="b">
        <v>1</v>
      </c>
    </row>
    <row r="511" spans="1:33" x14ac:dyDescent="0.25">
      <c r="A511" t="s">
        <v>972</v>
      </c>
      <c r="B511">
        <v>13</v>
      </c>
      <c r="C511" t="b">
        <v>0</v>
      </c>
      <c r="D511" t="s">
        <v>1911</v>
      </c>
      <c r="E511" t="s">
        <v>1940</v>
      </c>
      <c r="F511" t="s">
        <v>1986</v>
      </c>
      <c r="G511" t="s">
        <v>1987</v>
      </c>
      <c r="H511">
        <v>510</v>
      </c>
      <c r="I511" t="str">
        <f>IF(ISBLANK(Table1[[#This Row],[oid]]),"FALSE","TRUE")</f>
        <v>TRUE</v>
      </c>
      <c r="J511" t="str" cm="1">
        <f t="array" ref="J511">_xlfn.SWITCH(LEFT(Table1[[#This Row],[section]],1), "D", "Demographic", "S", "Social", "E", "Economic", "H", "Housing", "")</f>
        <v>Social</v>
      </c>
      <c r="K511" t="s">
        <v>1915</v>
      </c>
      <c r="L511" t="s">
        <v>1916</v>
      </c>
      <c r="M511" t="str">
        <f>IF(Table1[[#This Row],[used]], _xlfn.CONCAT("🆔 ", Table1[[#This Row],[variable]], ": ",Table1[[#This Row],[alias]]), "")</f>
        <v>🆔 B18101_038E: Female: 75 years and over: With a disability</v>
      </c>
      <c r="O511" t="s">
        <v>1988</v>
      </c>
      <c r="P511" t="s">
        <v>1944</v>
      </c>
      <c r="Q511" t="s">
        <v>41</v>
      </c>
      <c r="R511" t="s">
        <v>1989</v>
      </c>
      <c r="S511" t="b">
        <v>0</v>
      </c>
      <c r="T511" t="b">
        <v>0</v>
      </c>
      <c r="U511" t="b">
        <v>1</v>
      </c>
      <c r="V511" t="b">
        <v>1</v>
      </c>
      <c r="W511" t="b">
        <v>1</v>
      </c>
      <c r="X511" t="b">
        <v>1</v>
      </c>
      <c r="Y511" t="b">
        <v>1</v>
      </c>
      <c r="Z511" t="b">
        <v>1</v>
      </c>
      <c r="AA511" t="b">
        <v>1</v>
      </c>
      <c r="AB511" t="b">
        <v>1</v>
      </c>
      <c r="AC511" t="b">
        <v>1</v>
      </c>
      <c r="AD511" t="b">
        <v>1</v>
      </c>
      <c r="AE511" t="b">
        <v>1</v>
      </c>
      <c r="AF511" t="b">
        <v>1</v>
      </c>
      <c r="AG511" t="b">
        <v>1</v>
      </c>
    </row>
    <row r="512" spans="1:33" x14ac:dyDescent="0.25">
      <c r="A512" t="s">
        <v>972</v>
      </c>
      <c r="B512">
        <v>13</v>
      </c>
      <c r="C512" t="b">
        <v>0</v>
      </c>
      <c r="D512" t="s">
        <v>1911</v>
      </c>
      <c r="E512" t="s">
        <v>1990</v>
      </c>
      <c r="F512" t="s">
        <v>1991</v>
      </c>
      <c r="G512" t="s">
        <v>1992</v>
      </c>
      <c r="H512">
        <v>511</v>
      </c>
      <c r="I512" t="str">
        <f>IF(ISBLANK(Table1[[#This Row],[oid]]),"FALSE","TRUE")</f>
        <v>TRUE</v>
      </c>
      <c r="J512" t="str" cm="1">
        <f t="array" ref="J512">_xlfn.SWITCH(LEFT(Table1[[#This Row],[section]],1), "D", "Demographic", "S", "Social", "E", "Economic", "H", "Housing", "")</f>
        <v>Social</v>
      </c>
      <c r="K512" t="s">
        <v>1915</v>
      </c>
      <c r="L512" t="s">
        <v>1916</v>
      </c>
      <c r="M512" t="str">
        <f>IF(Table1[[#This Row],[used]], _xlfn.CONCAT("🆔 ", Table1[[#This Row],[variable]], ": ",Table1[[#This Row],[alias]]), "")</f>
        <v>🆔 B18102_004E: Male: Under 5 years: With a hearing difficulty</v>
      </c>
      <c r="O512" t="s">
        <v>1993</v>
      </c>
      <c r="P512" t="s">
        <v>1994</v>
      </c>
      <c r="Q512" t="s">
        <v>41</v>
      </c>
      <c r="R512" t="s">
        <v>1995</v>
      </c>
      <c r="S512" t="b">
        <v>0</v>
      </c>
      <c r="T512" t="b">
        <v>0</v>
      </c>
      <c r="U512" t="b">
        <v>1</v>
      </c>
      <c r="V512" t="b">
        <v>1</v>
      </c>
      <c r="W512" t="b">
        <v>1</v>
      </c>
      <c r="X512" t="b">
        <v>1</v>
      </c>
      <c r="Y512" t="b">
        <v>1</v>
      </c>
      <c r="Z512" t="b">
        <v>1</v>
      </c>
      <c r="AA512" t="b">
        <v>1</v>
      </c>
      <c r="AB512" t="b">
        <v>1</v>
      </c>
      <c r="AC512" t="b">
        <v>1</v>
      </c>
      <c r="AD512" t="b">
        <v>1</v>
      </c>
      <c r="AE512" t="b">
        <v>1</v>
      </c>
      <c r="AF512" t="b">
        <v>1</v>
      </c>
      <c r="AG512" t="b">
        <v>1</v>
      </c>
    </row>
    <row r="513" spans="1:33" x14ac:dyDescent="0.25">
      <c r="A513" t="s">
        <v>972</v>
      </c>
      <c r="B513">
        <v>13</v>
      </c>
      <c r="C513" t="b">
        <v>0</v>
      </c>
      <c r="D513" t="s">
        <v>1911</v>
      </c>
      <c r="E513" t="s">
        <v>1990</v>
      </c>
      <c r="F513" t="s">
        <v>1996</v>
      </c>
      <c r="G513" t="s">
        <v>1997</v>
      </c>
      <c r="H513">
        <v>512</v>
      </c>
      <c r="I513" t="str">
        <f>IF(ISBLANK(Table1[[#This Row],[oid]]),"FALSE","TRUE")</f>
        <v>TRUE</v>
      </c>
      <c r="J513" t="str" cm="1">
        <f t="array" ref="J513">_xlfn.SWITCH(LEFT(Table1[[#This Row],[section]],1), "D", "Demographic", "S", "Social", "E", "Economic", "H", "Housing", "")</f>
        <v>Social</v>
      </c>
      <c r="K513" t="s">
        <v>1915</v>
      </c>
      <c r="L513" t="s">
        <v>1916</v>
      </c>
      <c r="M513" t="str">
        <f>IF(Table1[[#This Row],[used]], _xlfn.CONCAT("🆔 ", Table1[[#This Row],[variable]], ": ",Table1[[#This Row],[alias]]), "")</f>
        <v>🆔 B18102_007E: Male: 5 to 17 years: With a hearing difficulty</v>
      </c>
      <c r="O513" t="s">
        <v>1998</v>
      </c>
      <c r="P513" t="s">
        <v>1994</v>
      </c>
      <c r="Q513" t="s">
        <v>41</v>
      </c>
      <c r="R513" t="s">
        <v>1999</v>
      </c>
      <c r="S513" t="b">
        <v>0</v>
      </c>
      <c r="T513" t="b">
        <v>0</v>
      </c>
      <c r="U513" t="b">
        <v>1</v>
      </c>
      <c r="V513" t="b">
        <v>1</v>
      </c>
      <c r="W513" t="b">
        <v>1</v>
      </c>
      <c r="X513" t="b">
        <v>1</v>
      </c>
      <c r="Y513" t="b">
        <v>1</v>
      </c>
      <c r="Z513" t="b">
        <v>1</v>
      </c>
      <c r="AA513" t="b">
        <v>1</v>
      </c>
      <c r="AB513" t="b">
        <v>1</v>
      </c>
      <c r="AC513" t="b">
        <v>1</v>
      </c>
      <c r="AD513" t="b">
        <v>1</v>
      </c>
      <c r="AE513" t="b">
        <v>1</v>
      </c>
      <c r="AF513" t="b">
        <v>1</v>
      </c>
      <c r="AG513" t="b">
        <v>1</v>
      </c>
    </row>
    <row r="514" spans="1:33" x14ac:dyDescent="0.25">
      <c r="A514" t="s">
        <v>972</v>
      </c>
      <c r="B514">
        <v>13</v>
      </c>
      <c r="C514" t="b">
        <v>0</v>
      </c>
      <c r="D514" t="s">
        <v>1911</v>
      </c>
      <c r="E514" t="s">
        <v>1990</v>
      </c>
      <c r="F514" t="s">
        <v>2000</v>
      </c>
      <c r="G514" t="s">
        <v>2001</v>
      </c>
      <c r="H514">
        <v>513</v>
      </c>
      <c r="I514" t="str">
        <f>IF(ISBLANK(Table1[[#This Row],[oid]]),"FALSE","TRUE")</f>
        <v>TRUE</v>
      </c>
      <c r="J514" t="str" cm="1">
        <f t="array" ref="J514">_xlfn.SWITCH(LEFT(Table1[[#This Row],[section]],1), "D", "Demographic", "S", "Social", "E", "Economic", "H", "Housing", "")</f>
        <v>Social</v>
      </c>
      <c r="K514" t="s">
        <v>1915</v>
      </c>
      <c r="L514" t="s">
        <v>1916</v>
      </c>
      <c r="M514" t="str">
        <f>IF(Table1[[#This Row],[used]], _xlfn.CONCAT("🆔 ", Table1[[#This Row],[variable]], ": ",Table1[[#This Row],[alias]]), "")</f>
        <v>🆔 B18102_010E: Male: 18 to 34 years: With a hearing difficulty</v>
      </c>
      <c r="O514" t="s">
        <v>2002</v>
      </c>
      <c r="P514" t="s">
        <v>1994</v>
      </c>
      <c r="Q514" t="s">
        <v>41</v>
      </c>
      <c r="R514" t="s">
        <v>2003</v>
      </c>
      <c r="S514" t="b">
        <v>0</v>
      </c>
      <c r="T514" t="b">
        <v>0</v>
      </c>
      <c r="U514" t="b">
        <v>1</v>
      </c>
      <c r="V514" t="b">
        <v>1</v>
      </c>
      <c r="W514" t="b">
        <v>1</v>
      </c>
      <c r="X514" t="b">
        <v>1</v>
      </c>
      <c r="Y514" t="b">
        <v>1</v>
      </c>
      <c r="Z514" t="b">
        <v>1</v>
      </c>
      <c r="AA514" t="b">
        <v>1</v>
      </c>
      <c r="AB514" t="b">
        <v>1</v>
      </c>
      <c r="AC514" t="b">
        <v>1</v>
      </c>
      <c r="AD514" t="b">
        <v>1</v>
      </c>
      <c r="AE514" t="b">
        <v>1</v>
      </c>
      <c r="AF514" t="b">
        <v>1</v>
      </c>
      <c r="AG514" t="b">
        <v>1</v>
      </c>
    </row>
    <row r="515" spans="1:33" x14ac:dyDescent="0.25">
      <c r="A515" t="s">
        <v>972</v>
      </c>
      <c r="B515">
        <v>13</v>
      </c>
      <c r="C515" t="b">
        <v>0</v>
      </c>
      <c r="D515" t="s">
        <v>1911</v>
      </c>
      <c r="E515" t="s">
        <v>1990</v>
      </c>
      <c r="F515" t="s">
        <v>2004</v>
      </c>
      <c r="G515" t="s">
        <v>2005</v>
      </c>
      <c r="H515">
        <v>514</v>
      </c>
      <c r="I515" t="str">
        <f>IF(ISBLANK(Table1[[#This Row],[oid]]),"FALSE","TRUE")</f>
        <v>TRUE</v>
      </c>
      <c r="J515" t="str" cm="1">
        <f t="array" ref="J515">_xlfn.SWITCH(LEFT(Table1[[#This Row],[section]],1), "D", "Demographic", "S", "Social", "E", "Economic", "H", "Housing", "")</f>
        <v>Social</v>
      </c>
      <c r="K515" t="s">
        <v>1915</v>
      </c>
      <c r="L515" t="s">
        <v>1916</v>
      </c>
      <c r="M515" t="str">
        <f>IF(Table1[[#This Row],[used]], _xlfn.CONCAT("🆔 ", Table1[[#This Row],[variable]], ": ",Table1[[#This Row],[alias]]), "")</f>
        <v>🆔 B18102_013E: Male: 35 to 64 years: With a hearing difficulty</v>
      </c>
      <c r="O515" t="s">
        <v>2006</v>
      </c>
      <c r="P515" t="s">
        <v>1994</v>
      </c>
      <c r="Q515" t="s">
        <v>41</v>
      </c>
      <c r="R515" t="s">
        <v>2007</v>
      </c>
      <c r="S515" t="b">
        <v>0</v>
      </c>
      <c r="T515" t="b">
        <v>0</v>
      </c>
      <c r="U515" t="b">
        <v>1</v>
      </c>
      <c r="V515" t="b">
        <v>1</v>
      </c>
      <c r="W515" t="b">
        <v>1</v>
      </c>
      <c r="X515" t="b">
        <v>1</v>
      </c>
      <c r="Y515" t="b">
        <v>1</v>
      </c>
      <c r="Z515" t="b">
        <v>1</v>
      </c>
      <c r="AA515" t="b">
        <v>1</v>
      </c>
      <c r="AB515" t="b">
        <v>1</v>
      </c>
      <c r="AC515" t="b">
        <v>1</v>
      </c>
      <c r="AD515" t="b">
        <v>1</v>
      </c>
      <c r="AE515" t="b">
        <v>1</v>
      </c>
      <c r="AF515" t="b">
        <v>1</v>
      </c>
      <c r="AG515" t="b">
        <v>1</v>
      </c>
    </row>
    <row r="516" spans="1:33" x14ac:dyDescent="0.25">
      <c r="A516" t="s">
        <v>972</v>
      </c>
      <c r="B516">
        <v>13</v>
      </c>
      <c r="C516" t="b">
        <v>0</v>
      </c>
      <c r="D516" t="s">
        <v>1911</v>
      </c>
      <c r="E516" t="s">
        <v>1990</v>
      </c>
      <c r="F516" t="s">
        <v>2008</v>
      </c>
      <c r="G516" t="s">
        <v>2009</v>
      </c>
      <c r="H516">
        <v>515</v>
      </c>
      <c r="I516" t="str">
        <f>IF(ISBLANK(Table1[[#This Row],[oid]]),"FALSE","TRUE")</f>
        <v>TRUE</v>
      </c>
      <c r="J516" t="str" cm="1">
        <f t="array" ref="J516">_xlfn.SWITCH(LEFT(Table1[[#This Row],[section]],1), "D", "Demographic", "S", "Social", "E", "Economic", "H", "Housing", "")</f>
        <v>Social</v>
      </c>
      <c r="K516" t="s">
        <v>1915</v>
      </c>
      <c r="L516" t="s">
        <v>1916</v>
      </c>
      <c r="M516" t="str">
        <f>IF(Table1[[#This Row],[used]], _xlfn.CONCAT("🆔 ", Table1[[#This Row],[variable]], ": ",Table1[[#This Row],[alias]]), "")</f>
        <v>🆔 B18102_016E: Male: 65 to 74 years: With a hearing difficulty</v>
      </c>
      <c r="O516" t="s">
        <v>2010</v>
      </c>
      <c r="P516" t="s">
        <v>1994</v>
      </c>
      <c r="Q516" t="s">
        <v>41</v>
      </c>
      <c r="R516" t="s">
        <v>2011</v>
      </c>
      <c r="S516" t="b">
        <v>0</v>
      </c>
      <c r="T516" t="b">
        <v>0</v>
      </c>
      <c r="U516" t="b">
        <v>1</v>
      </c>
      <c r="V516" t="b">
        <v>1</v>
      </c>
      <c r="W516" t="b">
        <v>1</v>
      </c>
      <c r="X516" t="b">
        <v>1</v>
      </c>
      <c r="Y516" t="b">
        <v>1</v>
      </c>
      <c r="Z516" t="b">
        <v>1</v>
      </c>
      <c r="AA516" t="b">
        <v>1</v>
      </c>
      <c r="AB516" t="b">
        <v>1</v>
      </c>
      <c r="AC516" t="b">
        <v>1</v>
      </c>
      <c r="AD516" t="b">
        <v>1</v>
      </c>
      <c r="AE516" t="b">
        <v>1</v>
      </c>
      <c r="AF516" t="b">
        <v>1</v>
      </c>
      <c r="AG516" t="b">
        <v>1</v>
      </c>
    </row>
    <row r="517" spans="1:33" x14ac:dyDescent="0.25">
      <c r="A517" t="s">
        <v>972</v>
      </c>
      <c r="B517">
        <v>13</v>
      </c>
      <c r="C517" t="b">
        <v>0</v>
      </c>
      <c r="D517" t="s">
        <v>1911</v>
      </c>
      <c r="E517" t="s">
        <v>1990</v>
      </c>
      <c r="F517" t="s">
        <v>2012</v>
      </c>
      <c r="G517" t="s">
        <v>2013</v>
      </c>
      <c r="H517">
        <v>516</v>
      </c>
      <c r="I517" t="str">
        <f>IF(ISBLANK(Table1[[#This Row],[oid]]),"FALSE","TRUE")</f>
        <v>TRUE</v>
      </c>
      <c r="J517" t="str" cm="1">
        <f t="array" ref="J517">_xlfn.SWITCH(LEFT(Table1[[#This Row],[section]],1), "D", "Demographic", "S", "Social", "E", "Economic", "H", "Housing", "")</f>
        <v>Social</v>
      </c>
      <c r="K517" t="s">
        <v>1915</v>
      </c>
      <c r="L517" t="s">
        <v>1916</v>
      </c>
      <c r="M517" t="str">
        <f>IF(Table1[[#This Row],[used]], _xlfn.CONCAT("🆔 ", Table1[[#This Row],[variable]], ": ",Table1[[#This Row],[alias]]), "")</f>
        <v>🆔 B18102_019E: Male: 75 years and over: With a hearing difficulty</v>
      </c>
      <c r="O517" t="s">
        <v>2014</v>
      </c>
      <c r="P517" t="s">
        <v>1994</v>
      </c>
      <c r="Q517" t="s">
        <v>41</v>
      </c>
      <c r="R517" t="s">
        <v>2015</v>
      </c>
      <c r="S517" t="b">
        <v>0</v>
      </c>
      <c r="T517" t="b">
        <v>0</v>
      </c>
      <c r="U517" t="b">
        <v>1</v>
      </c>
      <c r="V517" t="b">
        <v>1</v>
      </c>
      <c r="W517" t="b">
        <v>1</v>
      </c>
      <c r="X517" t="b">
        <v>1</v>
      </c>
      <c r="Y517" t="b">
        <v>1</v>
      </c>
      <c r="Z517" t="b">
        <v>1</v>
      </c>
      <c r="AA517" t="b">
        <v>1</v>
      </c>
      <c r="AB517" t="b">
        <v>1</v>
      </c>
      <c r="AC517" t="b">
        <v>1</v>
      </c>
      <c r="AD517" t="b">
        <v>1</v>
      </c>
      <c r="AE517" t="b">
        <v>1</v>
      </c>
      <c r="AF517" t="b">
        <v>1</v>
      </c>
      <c r="AG517" t="b">
        <v>1</v>
      </c>
    </row>
    <row r="518" spans="1:33" x14ac:dyDescent="0.25">
      <c r="A518" t="s">
        <v>972</v>
      </c>
      <c r="B518">
        <v>13</v>
      </c>
      <c r="C518" t="b">
        <v>0</v>
      </c>
      <c r="D518" t="s">
        <v>1911</v>
      </c>
      <c r="E518" t="s">
        <v>1990</v>
      </c>
      <c r="F518" t="s">
        <v>2016</v>
      </c>
      <c r="G518" t="s">
        <v>2017</v>
      </c>
      <c r="H518">
        <v>517</v>
      </c>
      <c r="I518" t="str">
        <f>IF(ISBLANK(Table1[[#This Row],[oid]]),"FALSE","TRUE")</f>
        <v>TRUE</v>
      </c>
      <c r="J518" t="str" cm="1">
        <f t="array" ref="J518">_xlfn.SWITCH(LEFT(Table1[[#This Row],[section]],1), "D", "Demographic", "S", "Social", "E", "Economic", "H", "Housing", "")</f>
        <v>Social</v>
      </c>
      <c r="K518" t="s">
        <v>1915</v>
      </c>
      <c r="L518" t="s">
        <v>1916</v>
      </c>
      <c r="M518" t="str">
        <f>IF(Table1[[#This Row],[used]], _xlfn.CONCAT("🆔 ", Table1[[#This Row],[variable]], ": ",Table1[[#This Row],[alias]]), "")</f>
        <v>🆔 B18102_023E: Female: Under 5 years: With a hearing difficulty</v>
      </c>
      <c r="O518" t="s">
        <v>2018</v>
      </c>
      <c r="P518" t="s">
        <v>1994</v>
      </c>
      <c r="Q518" t="s">
        <v>41</v>
      </c>
      <c r="R518" t="s">
        <v>2019</v>
      </c>
      <c r="S518" t="b">
        <v>0</v>
      </c>
      <c r="T518" t="b">
        <v>0</v>
      </c>
      <c r="U518" t="b">
        <v>1</v>
      </c>
      <c r="V518" t="b">
        <v>1</v>
      </c>
      <c r="W518" t="b">
        <v>1</v>
      </c>
      <c r="X518" t="b">
        <v>1</v>
      </c>
      <c r="Y518" t="b">
        <v>1</v>
      </c>
      <c r="Z518" t="b">
        <v>1</v>
      </c>
      <c r="AA518" t="b">
        <v>1</v>
      </c>
      <c r="AB518" t="b">
        <v>1</v>
      </c>
      <c r="AC518" t="b">
        <v>1</v>
      </c>
      <c r="AD518" t="b">
        <v>1</v>
      </c>
      <c r="AE518" t="b">
        <v>1</v>
      </c>
      <c r="AF518" t="b">
        <v>1</v>
      </c>
      <c r="AG518" t="b">
        <v>1</v>
      </c>
    </row>
    <row r="519" spans="1:33" x14ac:dyDescent="0.25">
      <c r="A519" t="s">
        <v>972</v>
      </c>
      <c r="B519">
        <v>13</v>
      </c>
      <c r="C519" t="b">
        <v>0</v>
      </c>
      <c r="D519" t="s">
        <v>1911</v>
      </c>
      <c r="E519" t="s">
        <v>1990</v>
      </c>
      <c r="F519" t="s">
        <v>2020</v>
      </c>
      <c r="G519" t="s">
        <v>2021</v>
      </c>
      <c r="H519">
        <v>518</v>
      </c>
      <c r="I519" t="str">
        <f>IF(ISBLANK(Table1[[#This Row],[oid]]),"FALSE","TRUE")</f>
        <v>TRUE</v>
      </c>
      <c r="J519" t="str" cm="1">
        <f t="array" ref="J519">_xlfn.SWITCH(LEFT(Table1[[#This Row],[section]],1), "D", "Demographic", "S", "Social", "E", "Economic", "H", "Housing", "")</f>
        <v>Social</v>
      </c>
      <c r="K519" t="s">
        <v>1915</v>
      </c>
      <c r="L519" t="s">
        <v>1916</v>
      </c>
      <c r="M519" t="str">
        <f>IF(Table1[[#This Row],[used]], _xlfn.CONCAT("🆔 ", Table1[[#This Row],[variable]], ": ",Table1[[#This Row],[alias]]), "")</f>
        <v>🆔 B18102_026E: Female: 5 to 17 years: With a hearing difficulty</v>
      </c>
      <c r="O519" t="s">
        <v>2022</v>
      </c>
      <c r="P519" t="s">
        <v>1994</v>
      </c>
      <c r="Q519" t="s">
        <v>41</v>
      </c>
      <c r="R519" t="s">
        <v>2023</v>
      </c>
      <c r="S519" t="b">
        <v>0</v>
      </c>
      <c r="T519" t="b">
        <v>0</v>
      </c>
      <c r="U519" t="b">
        <v>1</v>
      </c>
      <c r="V519" t="b">
        <v>1</v>
      </c>
      <c r="W519" t="b">
        <v>1</v>
      </c>
      <c r="X519" t="b">
        <v>1</v>
      </c>
      <c r="Y519" t="b">
        <v>1</v>
      </c>
      <c r="Z519" t="b">
        <v>1</v>
      </c>
      <c r="AA519" t="b">
        <v>1</v>
      </c>
      <c r="AB519" t="b">
        <v>1</v>
      </c>
      <c r="AC519" t="b">
        <v>1</v>
      </c>
      <c r="AD519" t="b">
        <v>1</v>
      </c>
      <c r="AE519" t="b">
        <v>1</v>
      </c>
      <c r="AF519" t="b">
        <v>1</v>
      </c>
      <c r="AG519" t="b">
        <v>1</v>
      </c>
    </row>
    <row r="520" spans="1:33" x14ac:dyDescent="0.25">
      <c r="A520" t="s">
        <v>972</v>
      </c>
      <c r="B520">
        <v>13</v>
      </c>
      <c r="C520" t="b">
        <v>0</v>
      </c>
      <c r="D520" t="s">
        <v>1911</v>
      </c>
      <c r="E520" t="s">
        <v>1990</v>
      </c>
      <c r="F520" t="s">
        <v>2024</v>
      </c>
      <c r="G520" t="s">
        <v>2025</v>
      </c>
      <c r="H520">
        <v>519</v>
      </c>
      <c r="I520" t="str">
        <f>IF(ISBLANK(Table1[[#This Row],[oid]]),"FALSE","TRUE")</f>
        <v>TRUE</v>
      </c>
      <c r="J520" t="str" cm="1">
        <f t="array" ref="J520">_xlfn.SWITCH(LEFT(Table1[[#This Row],[section]],1), "D", "Demographic", "S", "Social", "E", "Economic", "H", "Housing", "")</f>
        <v>Social</v>
      </c>
      <c r="K520" t="s">
        <v>1915</v>
      </c>
      <c r="L520" t="s">
        <v>1916</v>
      </c>
      <c r="M520" t="str">
        <f>IF(Table1[[#This Row],[used]], _xlfn.CONCAT("🆔 ", Table1[[#This Row],[variable]], ": ",Table1[[#This Row],[alias]]), "")</f>
        <v>🆔 B18102_029E: Female: 18 to 34 years: With a hearing difficulty</v>
      </c>
      <c r="O520" t="s">
        <v>2026</v>
      </c>
      <c r="P520" t="s">
        <v>1994</v>
      </c>
      <c r="Q520" t="s">
        <v>41</v>
      </c>
      <c r="R520" t="s">
        <v>2027</v>
      </c>
      <c r="S520" t="b">
        <v>0</v>
      </c>
      <c r="T520" t="b">
        <v>0</v>
      </c>
      <c r="U520" t="b">
        <v>1</v>
      </c>
      <c r="V520" t="b">
        <v>1</v>
      </c>
      <c r="W520" t="b">
        <v>1</v>
      </c>
      <c r="X520" t="b">
        <v>1</v>
      </c>
      <c r="Y520" t="b">
        <v>1</v>
      </c>
      <c r="Z520" t="b">
        <v>1</v>
      </c>
      <c r="AA520" t="b">
        <v>1</v>
      </c>
      <c r="AB520" t="b">
        <v>1</v>
      </c>
      <c r="AC520" t="b">
        <v>1</v>
      </c>
      <c r="AD520" t="b">
        <v>1</v>
      </c>
      <c r="AE520" t="b">
        <v>1</v>
      </c>
      <c r="AF520" t="b">
        <v>1</v>
      </c>
      <c r="AG520" t="b">
        <v>1</v>
      </c>
    </row>
    <row r="521" spans="1:33" x14ac:dyDescent="0.25">
      <c r="A521" t="s">
        <v>972</v>
      </c>
      <c r="B521">
        <v>13</v>
      </c>
      <c r="C521" t="b">
        <v>0</v>
      </c>
      <c r="D521" t="s">
        <v>1911</v>
      </c>
      <c r="E521" t="s">
        <v>1990</v>
      </c>
      <c r="F521" t="s">
        <v>2028</v>
      </c>
      <c r="G521" t="s">
        <v>2029</v>
      </c>
      <c r="H521">
        <v>520</v>
      </c>
      <c r="I521" t="str">
        <f>IF(ISBLANK(Table1[[#This Row],[oid]]),"FALSE","TRUE")</f>
        <v>TRUE</v>
      </c>
      <c r="J521" t="str" cm="1">
        <f t="array" ref="J521">_xlfn.SWITCH(LEFT(Table1[[#This Row],[section]],1), "D", "Demographic", "S", "Social", "E", "Economic", "H", "Housing", "")</f>
        <v>Social</v>
      </c>
      <c r="K521" t="s">
        <v>1915</v>
      </c>
      <c r="L521" t="s">
        <v>1916</v>
      </c>
      <c r="M521" t="str">
        <f>IF(Table1[[#This Row],[used]], _xlfn.CONCAT("🆔 ", Table1[[#This Row],[variable]], ": ",Table1[[#This Row],[alias]]), "")</f>
        <v>🆔 B18102_032E: Female: 35 to 64 years: With a hearing difficulty</v>
      </c>
      <c r="O521" t="s">
        <v>2030</v>
      </c>
      <c r="P521" t="s">
        <v>1994</v>
      </c>
      <c r="Q521" t="s">
        <v>41</v>
      </c>
      <c r="R521" t="s">
        <v>2031</v>
      </c>
      <c r="S521" t="b">
        <v>0</v>
      </c>
      <c r="T521" t="b">
        <v>0</v>
      </c>
      <c r="U521" t="b">
        <v>1</v>
      </c>
      <c r="V521" t="b">
        <v>1</v>
      </c>
      <c r="W521" t="b">
        <v>1</v>
      </c>
      <c r="X521" t="b">
        <v>1</v>
      </c>
      <c r="Y521" t="b">
        <v>1</v>
      </c>
      <c r="Z521" t="b">
        <v>1</v>
      </c>
      <c r="AA521" t="b">
        <v>1</v>
      </c>
      <c r="AB521" t="b">
        <v>1</v>
      </c>
      <c r="AC521" t="b">
        <v>1</v>
      </c>
      <c r="AD521" t="b">
        <v>1</v>
      </c>
      <c r="AE521" t="b">
        <v>1</v>
      </c>
      <c r="AF521" t="b">
        <v>1</v>
      </c>
      <c r="AG521" t="b">
        <v>1</v>
      </c>
    </row>
    <row r="522" spans="1:33" x14ac:dyDescent="0.25">
      <c r="A522" t="s">
        <v>972</v>
      </c>
      <c r="B522">
        <v>13</v>
      </c>
      <c r="C522" t="b">
        <v>0</v>
      </c>
      <c r="D522" t="s">
        <v>1911</v>
      </c>
      <c r="E522" t="s">
        <v>1990</v>
      </c>
      <c r="F522" t="s">
        <v>2032</v>
      </c>
      <c r="G522" t="s">
        <v>2033</v>
      </c>
      <c r="H522">
        <v>521</v>
      </c>
      <c r="I522" t="str">
        <f>IF(ISBLANK(Table1[[#This Row],[oid]]),"FALSE","TRUE")</f>
        <v>TRUE</v>
      </c>
      <c r="J522" t="str" cm="1">
        <f t="array" ref="J522">_xlfn.SWITCH(LEFT(Table1[[#This Row],[section]],1), "D", "Demographic", "S", "Social", "E", "Economic", "H", "Housing", "")</f>
        <v>Social</v>
      </c>
      <c r="K522" t="s">
        <v>1915</v>
      </c>
      <c r="L522" t="s">
        <v>1916</v>
      </c>
      <c r="M522" t="str">
        <f>IF(Table1[[#This Row],[used]], _xlfn.CONCAT("🆔 ", Table1[[#This Row],[variable]], ": ",Table1[[#This Row],[alias]]), "")</f>
        <v>🆔 B18102_035E: Female: 65 to 74 years: With a hearing difficulty</v>
      </c>
      <c r="O522" t="s">
        <v>2034</v>
      </c>
      <c r="P522" t="s">
        <v>1994</v>
      </c>
      <c r="Q522" t="s">
        <v>41</v>
      </c>
      <c r="R522" t="s">
        <v>2035</v>
      </c>
      <c r="S522" t="b">
        <v>0</v>
      </c>
      <c r="T522" t="b">
        <v>0</v>
      </c>
      <c r="U522" t="b">
        <v>1</v>
      </c>
      <c r="V522" t="b">
        <v>1</v>
      </c>
      <c r="W522" t="b">
        <v>1</v>
      </c>
      <c r="X522" t="b">
        <v>1</v>
      </c>
      <c r="Y522" t="b">
        <v>1</v>
      </c>
      <c r="Z522" t="b">
        <v>1</v>
      </c>
      <c r="AA522" t="b">
        <v>1</v>
      </c>
      <c r="AB522" t="b">
        <v>1</v>
      </c>
      <c r="AC522" t="b">
        <v>1</v>
      </c>
      <c r="AD522" t="b">
        <v>1</v>
      </c>
      <c r="AE522" t="b">
        <v>1</v>
      </c>
      <c r="AF522" t="b">
        <v>1</v>
      </c>
      <c r="AG522" t="b">
        <v>1</v>
      </c>
    </row>
    <row r="523" spans="1:33" x14ac:dyDescent="0.25">
      <c r="A523" t="s">
        <v>972</v>
      </c>
      <c r="B523">
        <v>13</v>
      </c>
      <c r="C523" t="b">
        <v>0</v>
      </c>
      <c r="D523" t="s">
        <v>1911</v>
      </c>
      <c r="E523" t="s">
        <v>1990</v>
      </c>
      <c r="F523" t="s">
        <v>2036</v>
      </c>
      <c r="G523" t="s">
        <v>2037</v>
      </c>
      <c r="H523">
        <v>522</v>
      </c>
      <c r="I523" t="str">
        <f>IF(ISBLANK(Table1[[#This Row],[oid]]),"FALSE","TRUE")</f>
        <v>TRUE</v>
      </c>
      <c r="J523" t="str" cm="1">
        <f t="array" ref="J523">_xlfn.SWITCH(LEFT(Table1[[#This Row],[section]],1), "D", "Demographic", "S", "Social", "E", "Economic", "H", "Housing", "")</f>
        <v>Social</v>
      </c>
      <c r="K523" t="s">
        <v>1915</v>
      </c>
      <c r="L523" t="s">
        <v>1916</v>
      </c>
      <c r="M523" t="str">
        <f>IF(Table1[[#This Row],[used]], _xlfn.CONCAT("🆔 ", Table1[[#This Row],[variable]], ": ",Table1[[#This Row],[alias]]), "")</f>
        <v>🆔 B18102_038E: Female: 75 years and over: With a hearing difficulty</v>
      </c>
      <c r="O523" t="s">
        <v>2038</v>
      </c>
      <c r="P523" t="s">
        <v>1994</v>
      </c>
      <c r="Q523" t="s">
        <v>41</v>
      </c>
      <c r="R523" t="s">
        <v>2039</v>
      </c>
      <c r="S523" t="b">
        <v>0</v>
      </c>
      <c r="T523" t="b">
        <v>0</v>
      </c>
      <c r="U523" t="b">
        <v>1</v>
      </c>
      <c r="V523" t="b">
        <v>1</v>
      </c>
      <c r="W523" t="b">
        <v>1</v>
      </c>
      <c r="X523" t="b">
        <v>1</v>
      </c>
      <c r="Y523" t="b">
        <v>1</v>
      </c>
      <c r="Z523" t="b">
        <v>1</v>
      </c>
      <c r="AA523" t="b">
        <v>1</v>
      </c>
      <c r="AB523" t="b">
        <v>1</v>
      </c>
      <c r="AC523" t="b">
        <v>1</v>
      </c>
      <c r="AD523" t="b">
        <v>1</v>
      </c>
      <c r="AE523" t="b">
        <v>1</v>
      </c>
      <c r="AF523" t="b">
        <v>1</v>
      </c>
      <c r="AG523" t="b">
        <v>1</v>
      </c>
    </row>
    <row r="524" spans="1:33" x14ac:dyDescent="0.25">
      <c r="A524" t="s">
        <v>972</v>
      </c>
      <c r="B524">
        <v>13</v>
      </c>
      <c r="C524" t="b">
        <v>0</v>
      </c>
      <c r="D524" t="s">
        <v>1911</v>
      </c>
      <c r="E524" t="s">
        <v>2040</v>
      </c>
      <c r="F524" t="s">
        <v>2041</v>
      </c>
      <c r="G524" t="s">
        <v>2042</v>
      </c>
      <c r="H524">
        <v>523</v>
      </c>
      <c r="I524" t="str">
        <f>IF(ISBLANK(Table1[[#This Row],[oid]]),"FALSE","TRUE")</f>
        <v>TRUE</v>
      </c>
      <c r="J524" t="str" cm="1">
        <f t="array" ref="J524">_xlfn.SWITCH(LEFT(Table1[[#This Row],[section]],1), "D", "Demographic", "S", "Social", "E", "Economic", "H", "Housing", "")</f>
        <v>Social</v>
      </c>
      <c r="K524" t="s">
        <v>1915</v>
      </c>
      <c r="L524" t="s">
        <v>1916</v>
      </c>
      <c r="M524" t="str">
        <f>IF(Table1[[#This Row],[used]], _xlfn.CONCAT("🆔 ", Table1[[#This Row],[variable]], ": ",Table1[[#This Row],[alias]]), "")</f>
        <v>🆔 B18103_004E: Male: Under 5 years: With a vision difficulty</v>
      </c>
      <c r="O524" t="s">
        <v>2043</v>
      </c>
      <c r="P524" t="s">
        <v>2044</v>
      </c>
      <c r="Q524" t="s">
        <v>41</v>
      </c>
      <c r="R524" t="s">
        <v>2045</v>
      </c>
      <c r="S524" t="b">
        <v>0</v>
      </c>
      <c r="T524" t="b">
        <v>0</v>
      </c>
      <c r="U524" t="b">
        <v>1</v>
      </c>
      <c r="V524" t="b">
        <v>1</v>
      </c>
      <c r="W524" t="b">
        <v>1</v>
      </c>
      <c r="X524" t="b">
        <v>1</v>
      </c>
      <c r="Y524" t="b">
        <v>1</v>
      </c>
      <c r="Z524" t="b">
        <v>1</v>
      </c>
      <c r="AA524" t="b">
        <v>1</v>
      </c>
      <c r="AB524" t="b">
        <v>1</v>
      </c>
      <c r="AC524" t="b">
        <v>1</v>
      </c>
      <c r="AD524" t="b">
        <v>1</v>
      </c>
      <c r="AE524" t="b">
        <v>1</v>
      </c>
      <c r="AF524" t="b">
        <v>1</v>
      </c>
      <c r="AG524" t="b">
        <v>1</v>
      </c>
    </row>
    <row r="525" spans="1:33" x14ac:dyDescent="0.25">
      <c r="A525" t="s">
        <v>972</v>
      </c>
      <c r="B525">
        <v>13</v>
      </c>
      <c r="C525" t="b">
        <v>0</v>
      </c>
      <c r="D525" t="s">
        <v>1911</v>
      </c>
      <c r="E525" t="s">
        <v>2040</v>
      </c>
      <c r="F525" t="s">
        <v>2046</v>
      </c>
      <c r="G525" t="s">
        <v>2047</v>
      </c>
      <c r="H525">
        <v>524</v>
      </c>
      <c r="I525" t="str">
        <f>IF(ISBLANK(Table1[[#This Row],[oid]]),"FALSE","TRUE")</f>
        <v>TRUE</v>
      </c>
      <c r="J525" t="str" cm="1">
        <f t="array" ref="J525">_xlfn.SWITCH(LEFT(Table1[[#This Row],[section]],1), "D", "Demographic", "S", "Social", "E", "Economic", "H", "Housing", "")</f>
        <v>Social</v>
      </c>
      <c r="K525" t="s">
        <v>1915</v>
      </c>
      <c r="L525" t="s">
        <v>1916</v>
      </c>
      <c r="M525" t="str">
        <f>IF(Table1[[#This Row],[used]], _xlfn.CONCAT("🆔 ", Table1[[#This Row],[variable]], ": ",Table1[[#This Row],[alias]]), "")</f>
        <v>🆔 B18103_007E: Male: 5 to 17 years: With a vision difficulty</v>
      </c>
      <c r="O525" t="s">
        <v>2048</v>
      </c>
      <c r="P525" t="s">
        <v>2044</v>
      </c>
      <c r="Q525" t="s">
        <v>41</v>
      </c>
      <c r="R525" t="s">
        <v>2049</v>
      </c>
      <c r="S525" t="b">
        <v>0</v>
      </c>
      <c r="T525" t="b">
        <v>0</v>
      </c>
      <c r="U525" t="b">
        <v>1</v>
      </c>
      <c r="V525" t="b">
        <v>1</v>
      </c>
      <c r="W525" t="b">
        <v>1</v>
      </c>
      <c r="X525" t="b">
        <v>1</v>
      </c>
      <c r="Y525" t="b">
        <v>1</v>
      </c>
      <c r="Z525" t="b">
        <v>1</v>
      </c>
      <c r="AA525" t="b">
        <v>1</v>
      </c>
      <c r="AB525" t="b">
        <v>1</v>
      </c>
      <c r="AC525" t="b">
        <v>1</v>
      </c>
      <c r="AD525" t="b">
        <v>1</v>
      </c>
      <c r="AE525" t="b">
        <v>1</v>
      </c>
      <c r="AF525" t="b">
        <v>1</v>
      </c>
      <c r="AG525" t="b">
        <v>1</v>
      </c>
    </row>
    <row r="526" spans="1:33" x14ac:dyDescent="0.25">
      <c r="A526" t="s">
        <v>972</v>
      </c>
      <c r="B526">
        <v>13</v>
      </c>
      <c r="C526" t="b">
        <v>0</v>
      </c>
      <c r="D526" t="s">
        <v>1911</v>
      </c>
      <c r="E526" t="s">
        <v>2040</v>
      </c>
      <c r="F526" t="s">
        <v>2050</v>
      </c>
      <c r="G526" t="s">
        <v>2051</v>
      </c>
      <c r="H526">
        <v>525</v>
      </c>
      <c r="I526" t="str">
        <f>IF(ISBLANK(Table1[[#This Row],[oid]]),"FALSE","TRUE")</f>
        <v>TRUE</v>
      </c>
      <c r="J526" t="str" cm="1">
        <f t="array" ref="J526">_xlfn.SWITCH(LEFT(Table1[[#This Row],[section]],1), "D", "Demographic", "S", "Social", "E", "Economic", "H", "Housing", "")</f>
        <v>Social</v>
      </c>
      <c r="K526" t="s">
        <v>1915</v>
      </c>
      <c r="L526" t="s">
        <v>1916</v>
      </c>
      <c r="M526" t="str">
        <f>IF(Table1[[#This Row],[used]], _xlfn.CONCAT("🆔 ", Table1[[#This Row],[variable]], ": ",Table1[[#This Row],[alias]]), "")</f>
        <v>🆔 B18103_010E: Male: 18 to 34 years: With a vision difficulty</v>
      </c>
      <c r="O526" t="s">
        <v>2052</v>
      </c>
      <c r="P526" t="s">
        <v>2044</v>
      </c>
      <c r="Q526" t="s">
        <v>41</v>
      </c>
      <c r="R526" t="s">
        <v>2053</v>
      </c>
      <c r="S526" t="b">
        <v>0</v>
      </c>
      <c r="T526" t="b">
        <v>0</v>
      </c>
      <c r="U526" t="b">
        <v>1</v>
      </c>
      <c r="V526" t="b">
        <v>1</v>
      </c>
      <c r="W526" t="b">
        <v>1</v>
      </c>
      <c r="X526" t="b">
        <v>1</v>
      </c>
      <c r="Y526" t="b">
        <v>1</v>
      </c>
      <c r="Z526" t="b">
        <v>1</v>
      </c>
      <c r="AA526" t="b">
        <v>1</v>
      </c>
      <c r="AB526" t="b">
        <v>1</v>
      </c>
      <c r="AC526" t="b">
        <v>1</v>
      </c>
      <c r="AD526" t="b">
        <v>1</v>
      </c>
      <c r="AE526" t="b">
        <v>1</v>
      </c>
      <c r="AF526" t="b">
        <v>1</v>
      </c>
      <c r="AG526" t="b">
        <v>1</v>
      </c>
    </row>
    <row r="527" spans="1:33" x14ac:dyDescent="0.25">
      <c r="A527" t="s">
        <v>972</v>
      </c>
      <c r="B527">
        <v>13</v>
      </c>
      <c r="C527" t="b">
        <v>0</v>
      </c>
      <c r="D527" t="s">
        <v>1911</v>
      </c>
      <c r="E527" t="s">
        <v>2040</v>
      </c>
      <c r="F527" t="s">
        <v>2054</v>
      </c>
      <c r="G527" t="s">
        <v>2055</v>
      </c>
      <c r="H527">
        <v>526</v>
      </c>
      <c r="I527" t="str">
        <f>IF(ISBLANK(Table1[[#This Row],[oid]]),"FALSE","TRUE")</f>
        <v>TRUE</v>
      </c>
      <c r="J527" t="str" cm="1">
        <f t="array" ref="J527">_xlfn.SWITCH(LEFT(Table1[[#This Row],[section]],1), "D", "Demographic", "S", "Social", "E", "Economic", "H", "Housing", "")</f>
        <v>Social</v>
      </c>
      <c r="K527" t="s">
        <v>1915</v>
      </c>
      <c r="L527" t="s">
        <v>1916</v>
      </c>
      <c r="M527" t="str">
        <f>IF(Table1[[#This Row],[used]], _xlfn.CONCAT("🆔 ", Table1[[#This Row],[variable]], ": ",Table1[[#This Row],[alias]]), "")</f>
        <v>🆔 B18103_013E: Male: 35 to 64 years: With a vision difficulty</v>
      </c>
      <c r="O527" t="s">
        <v>2056</v>
      </c>
      <c r="P527" t="s">
        <v>2044</v>
      </c>
      <c r="Q527" t="s">
        <v>41</v>
      </c>
      <c r="R527" t="s">
        <v>2057</v>
      </c>
      <c r="S527" t="b">
        <v>0</v>
      </c>
      <c r="T527" t="b">
        <v>0</v>
      </c>
      <c r="U527" t="b">
        <v>1</v>
      </c>
      <c r="V527" t="b">
        <v>1</v>
      </c>
      <c r="W527" t="b">
        <v>1</v>
      </c>
      <c r="X527" t="b">
        <v>1</v>
      </c>
      <c r="Y527" t="b">
        <v>1</v>
      </c>
      <c r="Z527" t="b">
        <v>1</v>
      </c>
      <c r="AA527" t="b">
        <v>1</v>
      </c>
      <c r="AB527" t="b">
        <v>1</v>
      </c>
      <c r="AC527" t="b">
        <v>1</v>
      </c>
      <c r="AD527" t="b">
        <v>1</v>
      </c>
      <c r="AE527" t="b">
        <v>1</v>
      </c>
      <c r="AF527" t="b">
        <v>1</v>
      </c>
      <c r="AG527" t="b">
        <v>1</v>
      </c>
    </row>
    <row r="528" spans="1:33" x14ac:dyDescent="0.25">
      <c r="A528" t="s">
        <v>972</v>
      </c>
      <c r="B528">
        <v>13</v>
      </c>
      <c r="C528" t="b">
        <v>0</v>
      </c>
      <c r="D528" t="s">
        <v>1911</v>
      </c>
      <c r="E528" t="s">
        <v>2040</v>
      </c>
      <c r="F528" t="s">
        <v>2058</v>
      </c>
      <c r="G528" t="s">
        <v>2059</v>
      </c>
      <c r="H528">
        <v>527</v>
      </c>
      <c r="I528" t="str">
        <f>IF(ISBLANK(Table1[[#This Row],[oid]]),"FALSE","TRUE")</f>
        <v>TRUE</v>
      </c>
      <c r="J528" t="str" cm="1">
        <f t="array" ref="J528">_xlfn.SWITCH(LEFT(Table1[[#This Row],[section]],1), "D", "Demographic", "S", "Social", "E", "Economic", "H", "Housing", "")</f>
        <v>Social</v>
      </c>
      <c r="K528" t="s">
        <v>1915</v>
      </c>
      <c r="L528" t="s">
        <v>1916</v>
      </c>
      <c r="M528" t="str">
        <f>IF(Table1[[#This Row],[used]], _xlfn.CONCAT("🆔 ", Table1[[#This Row],[variable]], ": ",Table1[[#This Row],[alias]]), "")</f>
        <v>🆔 B18103_016E: Male: 65 to 74 years: With a vision difficulty</v>
      </c>
      <c r="O528" t="s">
        <v>2060</v>
      </c>
      <c r="P528" t="s">
        <v>2044</v>
      </c>
      <c r="Q528" t="s">
        <v>41</v>
      </c>
      <c r="R528" t="s">
        <v>2061</v>
      </c>
      <c r="S528" t="b">
        <v>0</v>
      </c>
      <c r="T528" t="b">
        <v>0</v>
      </c>
      <c r="U528" t="b">
        <v>1</v>
      </c>
      <c r="V528" t="b">
        <v>1</v>
      </c>
      <c r="W528" t="b">
        <v>1</v>
      </c>
      <c r="X528" t="b">
        <v>1</v>
      </c>
      <c r="Y528" t="b">
        <v>1</v>
      </c>
      <c r="Z528" t="b">
        <v>1</v>
      </c>
      <c r="AA528" t="b">
        <v>1</v>
      </c>
      <c r="AB528" t="b">
        <v>1</v>
      </c>
      <c r="AC528" t="b">
        <v>1</v>
      </c>
      <c r="AD528" t="b">
        <v>1</v>
      </c>
      <c r="AE528" t="b">
        <v>1</v>
      </c>
      <c r="AF528" t="b">
        <v>1</v>
      </c>
      <c r="AG528" t="b">
        <v>1</v>
      </c>
    </row>
    <row r="529" spans="1:33" x14ac:dyDescent="0.25">
      <c r="A529" t="s">
        <v>972</v>
      </c>
      <c r="B529">
        <v>13</v>
      </c>
      <c r="C529" t="b">
        <v>0</v>
      </c>
      <c r="D529" t="s">
        <v>1911</v>
      </c>
      <c r="E529" t="s">
        <v>2040</v>
      </c>
      <c r="F529" t="s">
        <v>2062</v>
      </c>
      <c r="G529" t="s">
        <v>2063</v>
      </c>
      <c r="H529">
        <v>528</v>
      </c>
      <c r="I529" t="str">
        <f>IF(ISBLANK(Table1[[#This Row],[oid]]),"FALSE","TRUE")</f>
        <v>TRUE</v>
      </c>
      <c r="J529" t="str" cm="1">
        <f t="array" ref="J529">_xlfn.SWITCH(LEFT(Table1[[#This Row],[section]],1), "D", "Demographic", "S", "Social", "E", "Economic", "H", "Housing", "")</f>
        <v>Social</v>
      </c>
      <c r="K529" t="s">
        <v>1915</v>
      </c>
      <c r="L529" t="s">
        <v>1916</v>
      </c>
      <c r="M529" t="str">
        <f>IF(Table1[[#This Row],[used]], _xlfn.CONCAT("🆔 ", Table1[[#This Row],[variable]], ": ",Table1[[#This Row],[alias]]), "")</f>
        <v>🆔 B18103_019E: Male: 75 years and over: With a vision difficulty</v>
      </c>
      <c r="O529" t="s">
        <v>2064</v>
      </c>
      <c r="P529" t="s">
        <v>2044</v>
      </c>
      <c r="Q529" t="s">
        <v>41</v>
      </c>
      <c r="R529" t="s">
        <v>2065</v>
      </c>
      <c r="S529" t="b">
        <v>0</v>
      </c>
      <c r="T529" t="b">
        <v>0</v>
      </c>
      <c r="U529" t="b">
        <v>1</v>
      </c>
      <c r="V529" t="b">
        <v>1</v>
      </c>
      <c r="W529" t="b">
        <v>1</v>
      </c>
      <c r="X529" t="b">
        <v>1</v>
      </c>
      <c r="Y529" t="b">
        <v>1</v>
      </c>
      <c r="Z529" t="b">
        <v>1</v>
      </c>
      <c r="AA529" t="b">
        <v>1</v>
      </c>
      <c r="AB529" t="b">
        <v>1</v>
      </c>
      <c r="AC529" t="b">
        <v>1</v>
      </c>
      <c r="AD529" t="b">
        <v>1</v>
      </c>
      <c r="AE529" t="b">
        <v>1</v>
      </c>
      <c r="AF529" t="b">
        <v>1</v>
      </c>
      <c r="AG529" t="b">
        <v>1</v>
      </c>
    </row>
    <row r="530" spans="1:33" x14ac:dyDescent="0.25">
      <c r="A530" t="s">
        <v>972</v>
      </c>
      <c r="B530">
        <v>13</v>
      </c>
      <c r="C530" t="b">
        <v>0</v>
      </c>
      <c r="D530" t="s">
        <v>1911</v>
      </c>
      <c r="E530" t="s">
        <v>2040</v>
      </c>
      <c r="F530" t="s">
        <v>2066</v>
      </c>
      <c r="G530" t="s">
        <v>2067</v>
      </c>
      <c r="H530">
        <v>529</v>
      </c>
      <c r="I530" t="str">
        <f>IF(ISBLANK(Table1[[#This Row],[oid]]),"FALSE","TRUE")</f>
        <v>TRUE</v>
      </c>
      <c r="J530" t="str" cm="1">
        <f t="array" ref="J530">_xlfn.SWITCH(LEFT(Table1[[#This Row],[section]],1), "D", "Demographic", "S", "Social", "E", "Economic", "H", "Housing", "")</f>
        <v>Social</v>
      </c>
      <c r="K530" t="s">
        <v>1915</v>
      </c>
      <c r="L530" t="s">
        <v>1916</v>
      </c>
      <c r="M530" t="str">
        <f>IF(Table1[[#This Row],[used]], _xlfn.CONCAT("🆔 ", Table1[[#This Row],[variable]], ": ",Table1[[#This Row],[alias]]), "")</f>
        <v>🆔 B18103_023E: Female: Under 5 years: With a vision difficulty</v>
      </c>
      <c r="O530" t="s">
        <v>2068</v>
      </c>
      <c r="P530" t="s">
        <v>2044</v>
      </c>
      <c r="Q530" t="s">
        <v>41</v>
      </c>
      <c r="R530" t="s">
        <v>2069</v>
      </c>
      <c r="S530" t="b">
        <v>0</v>
      </c>
      <c r="T530" t="b">
        <v>0</v>
      </c>
      <c r="U530" t="b">
        <v>1</v>
      </c>
      <c r="V530" t="b">
        <v>1</v>
      </c>
      <c r="W530" t="b">
        <v>1</v>
      </c>
      <c r="X530" t="b">
        <v>1</v>
      </c>
      <c r="Y530" t="b">
        <v>1</v>
      </c>
      <c r="Z530" t="b">
        <v>1</v>
      </c>
      <c r="AA530" t="b">
        <v>1</v>
      </c>
      <c r="AB530" t="b">
        <v>1</v>
      </c>
      <c r="AC530" t="b">
        <v>1</v>
      </c>
      <c r="AD530" t="b">
        <v>1</v>
      </c>
      <c r="AE530" t="b">
        <v>1</v>
      </c>
      <c r="AF530" t="b">
        <v>1</v>
      </c>
      <c r="AG530" t="b">
        <v>1</v>
      </c>
    </row>
    <row r="531" spans="1:33" x14ac:dyDescent="0.25">
      <c r="A531" t="s">
        <v>972</v>
      </c>
      <c r="B531">
        <v>13</v>
      </c>
      <c r="C531" t="b">
        <v>0</v>
      </c>
      <c r="D531" t="s">
        <v>1911</v>
      </c>
      <c r="E531" t="s">
        <v>2040</v>
      </c>
      <c r="F531" t="s">
        <v>2070</v>
      </c>
      <c r="G531" t="s">
        <v>2071</v>
      </c>
      <c r="H531">
        <v>530</v>
      </c>
      <c r="I531" t="str">
        <f>IF(ISBLANK(Table1[[#This Row],[oid]]),"FALSE","TRUE")</f>
        <v>TRUE</v>
      </c>
      <c r="J531" t="str" cm="1">
        <f t="array" ref="J531">_xlfn.SWITCH(LEFT(Table1[[#This Row],[section]],1), "D", "Demographic", "S", "Social", "E", "Economic", "H", "Housing", "")</f>
        <v>Social</v>
      </c>
      <c r="K531" t="s">
        <v>1915</v>
      </c>
      <c r="L531" t="s">
        <v>1916</v>
      </c>
      <c r="M531" t="str">
        <f>IF(Table1[[#This Row],[used]], _xlfn.CONCAT("🆔 ", Table1[[#This Row],[variable]], ": ",Table1[[#This Row],[alias]]), "")</f>
        <v>🆔 B18103_026E: Female: 5 to 17 years: With a vision difficulty</v>
      </c>
      <c r="O531" t="s">
        <v>2072</v>
      </c>
      <c r="P531" t="s">
        <v>2044</v>
      </c>
      <c r="Q531" t="s">
        <v>41</v>
      </c>
      <c r="R531" t="s">
        <v>2073</v>
      </c>
      <c r="S531" t="b">
        <v>0</v>
      </c>
      <c r="T531" t="b">
        <v>0</v>
      </c>
      <c r="U531" t="b">
        <v>1</v>
      </c>
      <c r="V531" t="b">
        <v>1</v>
      </c>
      <c r="W531" t="b">
        <v>1</v>
      </c>
      <c r="X531" t="b">
        <v>1</v>
      </c>
      <c r="Y531" t="b">
        <v>1</v>
      </c>
      <c r="Z531" t="b">
        <v>1</v>
      </c>
      <c r="AA531" t="b">
        <v>1</v>
      </c>
      <c r="AB531" t="b">
        <v>1</v>
      </c>
      <c r="AC531" t="b">
        <v>1</v>
      </c>
      <c r="AD531" t="b">
        <v>1</v>
      </c>
      <c r="AE531" t="b">
        <v>1</v>
      </c>
      <c r="AF531" t="b">
        <v>1</v>
      </c>
      <c r="AG531" t="b">
        <v>1</v>
      </c>
    </row>
    <row r="532" spans="1:33" x14ac:dyDescent="0.25">
      <c r="A532" t="s">
        <v>972</v>
      </c>
      <c r="B532">
        <v>13</v>
      </c>
      <c r="C532" t="b">
        <v>0</v>
      </c>
      <c r="D532" t="s">
        <v>1911</v>
      </c>
      <c r="E532" t="s">
        <v>2040</v>
      </c>
      <c r="F532" t="s">
        <v>2074</v>
      </c>
      <c r="G532" t="s">
        <v>2075</v>
      </c>
      <c r="H532">
        <v>531</v>
      </c>
      <c r="I532" t="str">
        <f>IF(ISBLANK(Table1[[#This Row],[oid]]),"FALSE","TRUE")</f>
        <v>TRUE</v>
      </c>
      <c r="J532" t="str" cm="1">
        <f t="array" ref="J532">_xlfn.SWITCH(LEFT(Table1[[#This Row],[section]],1), "D", "Demographic", "S", "Social", "E", "Economic", "H", "Housing", "")</f>
        <v>Social</v>
      </c>
      <c r="K532" t="s">
        <v>1915</v>
      </c>
      <c r="L532" t="s">
        <v>1916</v>
      </c>
      <c r="M532" t="str">
        <f>IF(Table1[[#This Row],[used]], _xlfn.CONCAT("🆔 ", Table1[[#This Row],[variable]], ": ",Table1[[#This Row],[alias]]), "")</f>
        <v>🆔 B18103_029E: Female: 18 to 34 years: With a vision difficulty</v>
      </c>
      <c r="O532" t="s">
        <v>2076</v>
      </c>
      <c r="P532" t="s">
        <v>2044</v>
      </c>
      <c r="Q532" t="s">
        <v>41</v>
      </c>
      <c r="R532" t="s">
        <v>2077</v>
      </c>
      <c r="S532" t="b">
        <v>0</v>
      </c>
      <c r="T532" t="b">
        <v>0</v>
      </c>
      <c r="U532" t="b">
        <v>1</v>
      </c>
      <c r="V532" t="b">
        <v>1</v>
      </c>
      <c r="W532" t="b">
        <v>1</v>
      </c>
      <c r="X532" t="b">
        <v>1</v>
      </c>
      <c r="Y532" t="b">
        <v>1</v>
      </c>
      <c r="Z532" t="b">
        <v>1</v>
      </c>
      <c r="AA532" t="b">
        <v>1</v>
      </c>
      <c r="AB532" t="b">
        <v>1</v>
      </c>
      <c r="AC532" t="b">
        <v>1</v>
      </c>
      <c r="AD532" t="b">
        <v>1</v>
      </c>
      <c r="AE532" t="b">
        <v>1</v>
      </c>
      <c r="AF532" t="b">
        <v>1</v>
      </c>
      <c r="AG532" t="b">
        <v>1</v>
      </c>
    </row>
    <row r="533" spans="1:33" x14ac:dyDescent="0.25">
      <c r="A533" t="s">
        <v>972</v>
      </c>
      <c r="B533">
        <v>13</v>
      </c>
      <c r="C533" t="b">
        <v>0</v>
      </c>
      <c r="D533" t="s">
        <v>1911</v>
      </c>
      <c r="E533" t="s">
        <v>2040</v>
      </c>
      <c r="F533" t="s">
        <v>2078</v>
      </c>
      <c r="G533" t="s">
        <v>2079</v>
      </c>
      <c r="H533">
        <v>532</v>
      </c>
      <c r="I533" t="str">
        <f>IF(ISBLANK(Table1[[#This Row],[oid]]),"FALSE","TRUE")</f>
        <v>TRUE</v>
      </c>
      <c r="J533" t="str" cm="1">
        <f t="array" ref="J533">_xlfn.SWITCH(LEFT(Table1[[#This Row],[section]],1), "D", "Demographic", "S", "Social", "E", "Economic", "H", "Housing", "")</f>
        <v>Social</v>
      </c>
      <c r="K533" t="s">
        <v>1915</v>
      </c>
      <c r="L533" t="s">
        <v>1916</v>
      </c>
      <c r="M533" t="str">
        <f>IF(Table1[[#This Row],[used]], _xlfn.CONCAT("🆔 ", Table1[[#This Row],[variable]], ": ",Table1[[#This Row],[alias]]), "")</f>
        <v>🆔 B18103_032E: Female: 35 to 64 years: With a vision difficulty</v>
      </c>
      <c r="O533" t="s">
        <v>2080</v>
      </c>
      <c r="P533" t="s">
        <v>2044</v>
      </c>
      <c r="Q533" t="s">
        <v>41</v>
      </c>
      <c r="R533" t="s">
        <v>2081</v>
      </c>
      <c r="S533" t="b">
        <v>0</v>
      </c>
      <c r="T533" t="b">
        <v>0</v>
      </c>
      <c r="U533" t="b">
        <v>1</v>
      </c>
      <c r="V533" t="b">
        <v>1</v>
      </c>
      <c r="W533" t="b">
        <v>1</v>
      </c>
      <c r="X533" t="b">
        <v>1</v>
      </c>
      <c r="Y533" t="b">
        <v>1</v>
      </c>
      <c r="Z533" t="b">
        <v>1</v>
      </c>
      <c r="AA533" t="b">
        <v>1</v>
      </c>
      <c r="AB533" t="b">
        <v>1</v>
      </c>
      <c r="AC533" t="b">
        <v>1</v>
      </c>
      <c r="AD533" t="b">
        <v>1</v>
      </c>
      <c r="AE533" t="b">
        <v>1</v>
      </c>
      <c r="AF533" t="b">
        <v>1</v>
      </c>
      <c r="AG533" t="b">
        <v>1</v>
      </c>
    </row>
    <row r="534" spans="1:33" x14ac:dyDescent="0.25">
      <c r="A534" t="s">
        <v>972</v>
      </c>
      <c r="B534">
        <v>13</v>
      </c>
      <c r="C534" t="b">
        <v>0</v>
      </c>
      <c r="D534" t="s">
        <v>1911</v>
      </c>
      <c r="E534" t="s">
        <v>2040</v>
      </c>
      <c r="F534" t="s">
        <v>2082</v>
      </c>
      <c r="G534" t="s">
        <v>2083</v>
      </c>
      <c r="H534">
        <v>533</v>
      </c>
      <c r="I534" t="str">
        <f>IF(ISBLANK(Table1[[#This Row],[oid]]),"FALSE","TRUE")</f>
        <v>TRUE</v>
      </c>
      <c r="J534" t="str" cm="1">
        <f t="array" ref="J534">_xlfn.SWITCH(LEFT(Table1[[#This Row],[section]],1), "D", "Demographic", "S", "Social", "E", "Economic", "H", "Housing", "")</f>
        <v>Social</v>
      </c>
      <c r="K534" t="s">
        <v>1915</v>
      </c>
      <c r="L534" t="s">
        <v>1916</v>
      </c>
      <c r="M534" t="str">
        <f>IF(Table1[[#This Row],[used]], _xlfn.CONCAT("🆔 ", Table1[[#This Row],[variable]], ": ",Table1[[#This Row],[alias]]), "")</f>
        <v>🆔 B18103_035E: Female: 65 to 74 years: With a vision difficulty</v>
      </c>
      <c r="O534" t="s">
        <v>2084</v>
      </c>
      <c r="P534" t="s">
        <v>2044</v>
      </c>
      <c r="Q534" t="s">
        <v>41</v>
      </c>
      <c r="R534" t="s">
        <v>2085</v>
      </c>
      <c r="S534" t="b">
        <v>0</v>
      </c>
      <c r="T534" t="b">
        <v>0</v>
      </c>
      <c r="U534" t="b">
        <v>1</v>
      </c>
      <c r="V534" t="b">
        <v>1</v>
      </c>
      <c r="W534" t="b">
        <v>1</v>
      </c>
      <c r="X534" t="b">
        <v>1</v>
      </c>
      <c r="Y534" t="b">
        <v>1</v>
      </c>
      <c r="Z534" t="b">
        <v>1</v>
      </c>
      <c r="AA534" t="b">
        <v>1</v>
      </c>
      <c r="AB534" t="b">
        <v>1</v>
      </c>
      <c r="AC534" t="b">
        <v>1</v>
      </c>
      <c r="AD534" t="b">
        <v>1</v>
      </c>
      <c r="AE534" t="b">
        <v>1</v>
      </c>
      <c r="AF534" t="b">
        <v>1</v>
      </c>
      <c r="AG534" t="b">
        <v>1</v>
      </c>
    </row>
    <row r="535" spans="1:33" x14ac:dyDescent="0.25">
      <c r="A535" t="s">
        <v>972</v>
      </c>
      <c r="B535">
        <v>13</v>
      </c>
      <c r="C535" t="b">
        <v>0</v>
      </c>
      <c r="D535" t="s">
        <v>1911</v>
      </c>
      <c r="E535" t="s">
        <v>2040</v>
      </c>
      <c r="F535" t="s">
        <v>2086</v>
      </c>
      <c r="G535" t="s">
        <v>2087</v>
      </c>
      <c r="H535">
        <v>534</v>
      </c>
      <c r="I535" t="str">
        <f>IF(ISBLANK(Table1[[#This Row],[oid]]),"FALSE","TRUE")</f>
        <v>TRUE</v>
      </c>
      <c r="J535" t="str" cm="1">
        <f t="array" ref="J535">_xlfn.SWITCH(LEFT(Table1[[#This Row],[section]],1), "D", "Demographic", "S", "Social", "E", "Economic", "H", "Housing", "")</f>
        <v>Social</v>
      </c>
      <c r="K535" t="s">
        <v>1915</v>
      </c>
      <c r="L535" t="s">
        <v>1916</v>
      </c>
      <c r="M535" t="str">
        <f>IF(Table1[[#This Row],[used]], _xlfn.CONCAT("🆔 ", Table1[[#This Row],[variable]], ": ",Table1[[#This Row],[alias]]), "")</f>
        <v>🆔 B18103_038E: Female: 75 years and over: With a vision difficulty</v>
      </c>
      <c r="O535" t="s">
        <v>2088</v>
      </c>
      <c r="P535" t="s">
        <v>2044</v>
      </c>
      <c r="Q535" t="s">
        <v>41</v>
      </c>
      <c r="R535" t="s">
        <v>2089</v>
      </c>
      <c r="S535" t="b">
        <v>0</v>
      </c>
      <c r="T535" t="b">
        <v>0</v>
      </c>
      <c r="U535" t="b">
        <v>1</v>
      </c>
      <c r="V535" t="b">
        <v>1</v>
      </c>
      <c r="W535" t="b">
        <v>1</v>
      </c>
      <c r="X535" t="b">
        <v>1</v>
      </c>
      <c r="Y535" t="b">
        <v>1</v>
      </c>
      <c r="Z535" t="b">
        <v>1</v>
      </c>
      <c r="AA535" t="b">
        <v>1</v>
      </c>
      <c r="AB535" t="b">
        <v>1</v>
      </c>
      <c r="AC535" t="b">
        <v>1</v>
      </c>
      <c r="AD535" t="b">
        <v>1</v>
      </c>
      <c r="AE535" t="b">
        <v>1</v>
      </c>
      <c r="AF535" t="b">
        <v>1</v>
      </c>
      <c r="AG535" t="b">
        <v>1</v>
      </c>
    </row>
    <row r="536" spans="1:33" x14ac:dyDescent="0.25">
      <c r="A536" t="s">
        <v>972</v>
      </c>
      <c r="B536">
        <v>13</v>
      </c>
      <c r="C536" t="b">
        <v>0</v>
      </c>
      <c r="D536" t="s">
        <v>1911</v>
      </c>
      <c r="E536" t="s">
        <v>2090</v>
      </c>
      <c r="F536" t="s">
        <v>2091</v>
      </c>
      <c r="G536" t="s">
        <v>2092</v>
      </c>
      <c r="H536">
        <v>535</v>
      </c>
      <c r="I536" t="str">
        <f>IF(ISBLANK(Table1[[#This Row],[oid]]),"FALSE","TRUE")</f>
        <v>TRUE</v>
      </c>
      <c r="J536" t="str" cm="1">
        <f t="array" ref="J536">_xlfn.SWITCH(LEFT(Table1[[#This Row],[section]],1), "D", "Demographic", "S", "Social", "E", "Economic", "H", "Housing", "")</f>
        <v>Social</v>
      </c>
      <c r="K536" t="s">
        <v>1915</v>
      </c>
      <c r="L536" t="s">
        <v>1916</v>
      </c>
      <c r="M536" t="str">
        <f>IF(Table1[[#This Row],[used]], _xlfn.CONCAT("🆔 ", Table1[[#This Row],[variable]], ": ",Table1[[#This Row],[alias]]), "")</f>
        <v>🆔 B18104_004E: Male: 5 to 17 years: With a cognitive difficulty</v>
      </c>
      <c r="O536" t="s">
        <v>2093</v>
      </c>
      <c r="P536" t="s">
        <v>2094</v>
      </c>
      <c r="Q536" t="s">
        <v>41</v>
      </c>
      <c r="R536" t="s">
        <v>2095</v>
      </c>
      <c r="S536" t="b">
        <v>0</v>
      </c>
      <c r="T536" t="b">
        <v>0</v>
      </c>
      <c r="U536" t="b">
        <v>1</v>
      </c>
      <c r="V536" t="b">
        <v>1</v>
      </c>
      <c r="W536" t="b">
        <v>1</v>
      </c>
      <c r="X536" t="b">
        <v>1</v>
      </c>
      <c r="Y536" t="b">
        <v>1</v>
      </c>
      <c r="Z536" t="b">
        <v>1</v>
      </c>
      <c r="AA536" t="b">
        <v>1</v>
      </c>
      <c r="AB536" t="b">
        <v>1</v>
      </c>
      <c r="AC536" t="b">
        <v>1</v>
      </c>
      <c r="AD536" t="b">
        <v>1</v>
      </c>
      <c r="AE536" t="b">
        <v>1</v>
      </c>
      <c r="AF536" t="b">
        <v>1</v>
      </c>
      <c r="AG536" t="b">
        <v>1</v>
      </c>
    </row>
    <row r="537" spans="1:33" x14ac:dyDescent="0.25">
      <c r="A537" t="s">
        <v>972</v>
      </c>
      <c r="B537">
        <v>13</v>
      </c>
      <c r="C537" t="b">
        <v>0</v>
      </c>
      <c r="D537" t="s">
        <v>1911</v>
      </c>
      <c r="E537" t="s">
        <v>2090</v>
      </c>
      <c r="F537" t="s">
        <v>2096</v>
      </c>
      <c r="G537" t="s">
        <v>2097</v>
      </c>
      <c r="H537">
        <v>536</v>
      </c>
      <c r="I537" t="str">
        <f>IF(ISBLANK(Table1[[#This Row],[oid]]),"FALSE","TRUE")</f>
        <v>TRUE</v>
      </c>
      <c r="J537" t="str" cm="1">
        <f t="array" ref="J537">_xlfn.SWITCH(LEFT(Table1[[#This Row],[section]],1), "D", "Demographic", "S", "Social", "E", "Economic", "H", "Housing", "")</f>
        <v>Social</v>
      </c>
      <c r="K537" t="s">
        <v>1915</v>
      </c>
      <c r="L537" t="s">
        <v>1916</v>
      </c>
      <c r="M537" t="str">
        <f>IF(Table1[[#This Row],[used]], _xlfn.CONCAT("🆔 ", Table1[[#This Row],[variable]], ": ",Table1[[#This Row],[alias]]), "")</f>
        <v>🆔 B18104_007E: Male: 18 to 34 years: With a cognitive difficulty</v>
      </c>
      <c r="O537" t="s">
        <v>2098</v>
      </c>
      <c r="P537" t="s">
        <v>2094</v>
      </c>
      <c r="Q537" t="s">
        <v>41</v>
      </c>
      <c r="R537" t="s">
        <v>2099</v>
      </c>
      <c r="S537" t="b">
        <v>0</v>
      </c>
      <c r="T537" t="b">
        <v>0</v>
      </c>
      <c r="U537" t="b">
        <v>1</v>
      </c>
      <c r="V537" t="b">
        <v>1</v>
      </c>
      <c r="W537" t="b">
        <v>1</v>
      </c>
      <c r="X537" t="b">
        <v>1</v>
      </c>
      <c r="Y537" t="b">
        <v>1</v>
      </c>
      <c r="Z537" t="b">
        <v>1</v>
      </c>
      <c r="AA537" t="b">
        <v>1</v>
      </c>
      <c r="AB537" t="b">
        <v>1</v>
      </c>
      <c r="AC537" t="b">
        <v>1</v>
      </c>
      <c r="AD537" t="b">
        <v>1</v>
      </c>
      <c r="AE537" t="b">
        <v>1</v>
      </c>
      <c r="AF537" t="b">
        <v>1</v>
      </c>
      <c r="AG537" t="b">
        <v>1</v>
      </c>
    </row>
    <row r="538" spans="1:33" x14ac:dyDescent="0.25">
      <c r="A538" t="s">
        <v>972</v>
      </c>
      <c r="B538">
        <v>13</v>
      </c>
      <c r="C538" t="b">
        <v>0</v>
      </c>
      <c r="D538" t="s">
        <v>1911</v>
      </c>
      <c r="E538" t="s">
        <v>2090</v>
      </c>
      <c r="F538" t="s">
        <v>2100</v>
      </c>
      <c r="G538" t="s">
        <v>2101</v>
      </c>
      <c r="H538">
        <v>537</v>
      </c>
      <c r="I538" t="str">
        <f>IF(ISBLANK(Table1[[#This Row],[oid]]),"FALSE","TRUE")</f>
        <v>TRUE</v>
      </c>
      <c r="J538" t="str" cm="1">
        <f t="array" ref="J538">_xlfn.SWITCH(LEFT(Table1[[#This Row],[section]],1), "D", "Demographic", "S", "Social", "E", "Economic", "H", "Housing", "")</f>
        <v>Social</v>
      </c>
      <c r="K538" t="s">
        <v>1915</v>
      </c>
      <c r="L538" t="s">
        <v>1916</v>
      </c>
      <c r="M538" t="str">
        <f>IF(Table1[[#This Row],[used]], _xlfn.CONCAT("🆔 ", Table1[[#This Row],[variable]], ": ",Table1[[#This Row],[alias]]), "")</f>
        <v>🆔 B18104_010E: Male: 35 to 64 years: With a cognitive difficulty</v>
      </c>
      <c r="O538" t="s">
        <v>2102</v>
      </c>
      <c r="P538" t="s">
        <v>2094</v>
      </c>
      <c r="Q538" t="s">
        <v>41</v>
      </c>
      <c r="R538" t="s">
        <v>2103</v>
      </c>
      <c r="S538" t="b">
        <v>0</v>
      </c>
      <c r="T538" t="b">
        <v>0</v>
      </c>
      <c r="U538" t="b">
        <v>1</v>
      </c>
      <c r="V538" t="b">
        <v>1</v>
      </c>
      <c r="W538" t="b">
        <v>1</v>
      </c>
      <c r="X538" t="b">
        <v>1</v>
      </c>
      <c r="Y538" t="b">
        <v>1</v>
      </c>
      <c r="Z538" t="b">
        <v>1</v>
      </c>
      <c r="AA538" t="b">
        <v>1</v>
      </c>
      <c r="AB538" t="b">
        <v>1</v>
      </c>
      <c r="AC538" t="b">
        <v>1</v>
      </c>
      <c r="AD538" t="b">
        <v>1</v>
      </c>
      <c r="AE538" t="b">
        <v>1</v>
      </c>
      <c r="AF538" t="b">
        <v>1</v>
      </c>
      <c r="AG538" t="b">
        <v>1</v>
      </c>
    </row>
    <row r="539" spans="1:33" x14ac:dyDescent="0.25">
      <c r="A539" t="s">
        <v>972</v>
      </c>
      <c r="B539">
        <v>13</v>
      </c>
      <c r="C539" t="b">
        <v>0</v>
      </c>
      <c r="D539" t="s">
        <v>1911</v>
      </c>
      <c r="E539" t="s">
        <v>2090</v>
      </c>
      <c r="F539" t="s">
        <v>2104</v>
      </c>
      <c r="G539" t="s">
        <v>2105</v>
      </c>
      <c r="H539">
        <v>538</v>
      </c>
      <c r="I539" t="str">
        <f>IF(ISBLANK(Table1[[#This Row],[oid]]),"FALSE","TRUE")</f>
        <v>TRUE</v>
      </c>
      <c r="J539" t="str" cm="1">
        <f t="array" ref="J539">_xlfn.SWITCH(LEFT(Table1[[#This Row],[section]],1), "D", "Demographic", "S", "Social", "E", "Economic", "H", "Housing", "")</f>
        <v>Social</v>
      </c>
      <c r="K539" t="s">
        <v>1915</v>
      </c>
      <c r="L539" t="s">
        <v>1916</v>
      </c>
      <c r="M539" t="str">
        <f>IF(Table1[[#This Row],[used]], _xlfn.CONCAT("🆔 ", Table1[[#This Row],[variable]], ": ",Table1[[#This Row],[alias]]), "")</f>
        <v>🆔 B18104_013E: Male: 65 to 74 years: With a cognitive difficulty</v>
      </c>
      <c r="O539" t="s">
        <v>2106</v>
      </c>
      <c r="P539" t="s">
        <v>2094</v>
      </c>
      <c r="Q539" t="s">
        <v>41</v>
      </c>
      <c r="R539" t="s">
        <v>2107</v>
      </c>
      <c r="S539" t="b">
        <v>0</v>
      </c>
      <c r="T539" t="b">
        <v>0</v>
      </c>
      <c r="U539" t="b">
        <v>1</v>
      </c>
      <c r="V539" t="b">
        <v>1</v>
      </c>
      <c r="W539" t="b">
        <v>1</v>
      </c>
      <c r="X539" t="b">
        <v>1</v>
      </c>
      <c r="Y539" t="b">
        <v>1</v>
      </c>
      <c r="Z539" t="b">
        <v>1</v>
      </c>
      <c r="AA539" t="b">
        <v>1</v>
      </c>
      <c r="AB539" t="b">
        <v>1</v>
      </c>
      <c r="AC539" t="b">
        <v>1</v>
      </c>
      <c r="AD539" t="b">
        <v>1</v>
      </c>
      <c r="AE539" t="b">
        <v>1</v>
      </c>
      <c r="AF539" t="b">
        <v>1</v>
      </c>
      <c r="AG539" t="b">
        <v>1</v>
      </c>
    </row>
    <row r="540" spans="1:33" x14ac:dyDescent="0.25">
      <c r="A540" t="s">
        <v>972</v>
      </c>
      <c r="B540">
        <v>13</v>
      </c>
      <c r="C540" t="b">
        <v>0</v>
      </c>
      <c r="D540" t="s">
        <v>1911</v>
      </c>
      <c r="E540" t="s">
        <v>2090</v>
      </c>
      <c r="F540" t="s">
        <v>2108</v>
      </c>
      <c r="G540" t="s">
        <v>2109</v>
      </c>
      <c r="H540">
        <v>539</v>
      </c>
      <c r="I540" t="str">
        <f>IF(ISBLANK(Table1[[#This Row],[oid]]),"FALSE","TRUE")</f>
        <v>TRUE</v>
      </c>
      <c r="J540" t="str" cm="1">
        <f t="array" ref="J540">_xlfn.SWITCH(LEFT(Table1[[#This Row],[section]],1), "D", "Demographic", "S", "Social", "E", "Economic", "H", "Housing", "")</f>
        <v>Social</v>
      </c>
      <c r="K540" t="s">
        <v>1915</v>
      </c>
      <c r="L540" t="s">
        <v>1916</v>
      </c>
      <c r="M540" t="str">
        <f>IF(Table1[[#This Row],[used]], _xlfn.CONCAT("🆔 ", Table1[[#This Row],[variable]], ": ",Table1[[#This Row],[alias]]), "")</f>
        <v>🆔 B18104_016E: Male: 75 years and over: With a cognitive difficulty</v>
      </c>
      <c r="O540" t="s">
        <v>2110</v>
      </c>
      <c r="P540" t="s">
        <v>2094</v>
      </c>
      <c r="Q540" t="s">
        <v>41</v>
      </c>
      <c r="R540" t="s">
        <v>2111</v>
      </c>
      <c r="S540" t="b">
        <v>0</v>
      </c>
      <c r="T540" t="b">
        <v>0</v>
      </c>
      <c r="U540" t="b">
        <v>1</v>
      </c>
      <c r="V540" t="b">
        <v>1</v>
      </c>
      <c r="W540" t="b">
        <v>1</v>
      </c>
      <c r="X540" t="b">
        <v>1</v>
      </c>
      <c r="Y540" t="b">
        <v>1</v>
      </c>
      <c r="Z540" t="b">
        <v>1</v>
      </c>
      <c r="AA540" t="b">
        <v>1</v>
      </c>
      <c r="AB540" t="b">
        <v>1</v>
      </c>
      <c r="AC540" t="b">
        <v>1</v>
      </c>
      <c r="AD540" t="b">
        <v>1</v>
      </c>
      <c r="AE540" t="b">
        <v>1</v>
      </c>
      <c r="AF540" t="b">
        <v>1</v>
      </c>
      <c r="AG540" t="b">
        <v>1</v>
      </c>
    </row>
    <row r="541" spans="1:33" x14ac:dyDescent="0.25">
      <c r="A541" t="s">
        <v>972</v>
      </c>
      <c r="B541">
        <v>13</v>
      </c>
      <c r="C541" t="b">
        <v>0</v>
      </c>
      <c r="D541" t="s">
        <v>1911</v>
      </c>
      <c r="E541" t="s">
        <v>2090</v>
      </c>
      <c r="F541" t="s">
        <v>2112</v>
      </c>
      <c r="G541" t="s">
        <v>2113</v>
      </c>
      <c r="H541">
        <v>540</v>
      </c>
      <c r="I541" t="str">
        <f>IF(ISBLANK(Table1[[#This Row],[oid]]),"FALSE","TRUE")</f>
        <v>TRUE</v>
      </c>
      <c r="J541" t="str" cm="1">
        <f t="array" ref="J541">_xlfn.SWITCH(LEFT(Table1[[#This Row],[section]],1), "D", "Demographic", "S", "Social", "E", "Economic", "H", "Housing", "")</f>
        <v>Social</v>
      </c>
      <c r="K541" t="s">
        <v>1915</v>
      </c>
      <c r="L541" t="s">
        <v>1916</v>
      </c>
      <c r="M541" t="str">
        <f>IF(Table1[[#This Row],[used]], _xlfn.CONCAT("🆔 ", Table1[[#This Row],[variable]], ": ",Table1[[#This Row],[alias]]), "")</f>
        <v>🆔 B18104_020E: Female: 5 to 17 years: With a cognitive difficulty</v>
      </c>
      <c r="O541" t="s">
        <v>2114</v>
      </c>
      <c r="P541" t="s">
        <v>2094</v>
      </c>
      <c r="Q541" t="s">
        <v>41</v>
      </c>
      <c r="R541" t="s">
        <v>2115</v>
      </c>
      <c r="S541" t="b">
        <v>0</v>
      </c>
      <c r="T541" t="b">
        <v>0</v>
      </c>
      <c r="U541" t="b">
        <v>1</v>
      </c>
      <c r="V541" t="b">
        <v>1</v>
      </c>
      <c r="W541" t="b">
        <v>1</v>
      </c>
      <c r="X541" t="b">
        <v>1</v>
      </c>
      <c r="Y541" t="b">
        <v>1</v>
      </c>
      <c r="Z541" t="b">
        <v>1</v>
      </c>
      <c r="AA541" t="b">
        <v>1</v>
      </c>
      <c r="AB541" t="b">
        <v>1</v>
      </c>
      <c r="AC541" t="b">
        <v>1</v>
      </c>
      <c r="AD541" t="b">
        <v>1</v>
      </c>
      <c r="AE541" t="b">
        <v>1</v>
      </c>
      <c r="AF541" t="b">
        <v>1</v>
      </c>
      <c r="AG541" t="b">
        <v>1</v>
      </c>
    </row>
    <row r="542" spans="1:33" x14ac:dyDescent="0.25">
      <c r="A542" t="s">
        <v>972</v>
      </c>
      <c r="B542">
        <v>13</v>
      </c>
      <c r="C542" t="b">
        <v>0</v>
      </c>
      <c r="D542" t="s">
        <v>1911</v>
      </c>
      <c r="E542" t="s">
        <v>2090</v>
      </c>
      <c r="F542" t="s">
        <v>2116</v>
      </c>
      <c r="G542" t="s">
        <v>2117</v>
      </c>
      <c r="H542">
        <v>541</v>
      </c>
      <c r="I542" t="str">
        <f>IF(ISBLANK(Table1[[#This Row],[oid]]),"FALSE","TRUE")</f>
        <v>TRUE</v>
      </c>
      <c r="J542" t="str" cm="1">
        <f t="array" ref="J542">_xlfn.SWITCH(LEFT(Table1[[#This Row],[section]],1), "D", "Demographic", "S", "Social", "E", "Economic", "H", "Housing", "")</f>
        <v>Social</v>
      </c>
      <c r="K542" t="s">
        <v>1915</v>
      </c>
      <c r="L542" t="s">
        <v>1916</v>
      </c>
      <c r="M542" t="str">
        <f>IF(Table1[[#This Row],[used]], _xlfn.CONCAT("🆔 ", Table1[[#This Row],[variable]], ": ",Table1[[#This Row],[alias]]), "")</f>
        <v>🆔 B18104_023E: Female: 18 to 34 years: With a cognitive difficulty</v>
      </c>
      <c r="O542" t="s">
        <v>2118</v>
      </c>
      <c r="P542" t="s">
        <v>2094</v>
      </c>
      <c r="Q542" t="s">
        <v>41</v>
      </c>
      <c r="R542" t="s">
        <v>2119</v>
      </c>
      <c r="S542" t="b">
        <v>0</v>
      </c>
      <c r="T542" t="b">
        <v>0</v>
      </c>
      <c r="U542" t="b">
        <v>1</v>
      </c>
      <c r="V542" t="b">
        <v>1</v>
      </c>
      <c r="W542" t="b">
        <v>1</v>
      </c>
      <c r="X542" t="b">
        <v>1</v>
      </c>
      <c r="Y542" t="b">
        <v>1</v>
      </c>
      <c r="Z542" t="b">
        <v>1</v>
      </c>
      <c r="AA542" t="b">
        <v>1</v>
      </c>
      <c r="AB542" t="b">
        <v>1</v>
      </c>
      <c r="AC542" t="b">
        <v>1</v>
      </c>
      <c r="AD542" t="b">
        <v>1</v>
      </c>
      <c r="AE542" t="b">
        <v>1</v>
      </c>
      <c r="AF542" t="b">
        <v>1</v>
      </c>
      <c r="AG542" t="b">
        <v>1</v>
      </c>
    </row>
    <row r="543" spans="1:33" x14ac:dyDescent="0.25">
      <c r="A543" t="s">
        <v>972</v>
      </c>
      <c r="B543">
        <v>13</v>
      </c>
      <c r="C543" t="b">
        <v>0</v>
      </c>
      <c r="D543" t="s">
        <v>1911</v>
      </c>
      <c r="E543" t="s">
        <v>2090</v>
      </c>
      <c r="F543" t="s">
        <v>2120</v>
      </c>
      <c r="G543" t="s">
        <v>2121</v>
      </c>
      <c r="H543">
        <v>542</v>
      </c>
      <c r="I543" t="str">
        <f>IF(ISBLANK(Table1[[#This Row],[oid]]),"FALSE","TRUE")</f>
        <v>TRUE</v>
      </c>
      <c r="J543" t="str" cm="1">
        <f t="array" ref="J543">_xlfn.SWITCH(LEFT(Table1[[#This Row],[section]],1), "D", "Demographic", "S", "Social", "E", "Economic", "H", "Housing", "")</f>
        <v>Social</v>
      </c>
      <c r="K543" t="s">
        <v>1915</v>
      </c>
      <c r="L543" t="s">
        <v>1916</v>
      </c>
      <c r="M543" t="str">
        <f>IF(Table1[[#This Row],[used]], _xlfn.CONCAT("🆔 ", Table1[[#This Row],[variable]], ": ",Table1[[#This Row],[alias]]), "")</f>
        <v>🆔 B18104_026E: Female: 35 to 64 years: With a cognitive difficulty</v>
      </c>
      <c r="O543" t="s">
        <v>2122</v>
      </c>
      <c r="P543" t="s">
        <v>2094</v>
      </c>
      <c r="Q543" t="s">
        <v>41</v>
      </c>
      <c r="R543" t="s">
        <v>2123</v>
      </c>
      <c r="S543" t="b">
        <v>0</v>
      </c>
      <c r="T543" t="b">
        <v>0</v>
      </c>
      <c r="U543" t="b">
        <v>1</v>
      </c>
      <c r="V543" t="b">
        <v>1</v>
      </c>
      <c r="W543" t="b">
        <v>1</v>
      </c>
      <c r="X543" t="b">
        <v>1</v>
      </c>
      <c r="Y543" t="b">
        <v>1</v>
      </c>
      <c r="Z543" t="b">
        <v>1</v>
      </c>
      <c r="AA543" t="b">
        <v>1</v>
      </c>
      <c r="AB543" t="b">
        <v>1</v>
      </c>
      <c r="AC543" t="b">
        <v>1</v>
      </c>
      <c r="AD543" t="b">
        <v>1</v>
      </c>
      <c r="AE543" t="b">
        <v>1</v>
      </c>
      <c r="AF543" t="b">
        <v>1</v>
      </c>
      <c r="AG543" t="b">
        <v>1</v>
      </c>
    </row>
    <row r="544" spans="1:33" x14ac:dyDescent="0.25">
      <c r="A544" t="s">
        <v>972</v>
      </c>
      <c r="B544">
        <v>13</v>
      </c>
      <c r="C544" t="b">
        <v>0</v>
      </c>
      <c r="D544" t="s">
        <v>1911</v>
      </c>
      <c r="E544" t="s">
        <v>2090</v>
      </c>
      <c r="F544" t="s">
        <v>2124</v>
      </c>
      <c r="G544" t="s">
        <v>2125</v>
      </c>
      <c r="H544">
        <v>543</v>
      </c>
      <c r="I544" t="str">
        <f>IF(ISBLANK(Table1[[#This Row],[oid]]),"FALSE","TRUE")</f>
        <v>TRUE</v>
      </c>
      <c r="J544" t="str" cm="1">
        <f t="array" ref="J544">_xlfn.SWITCH(LEFT(Table1[[#This Row],[section]],1), "D", "Demographic", "S", "Social", "E", "Economic", "H", "Housing", "")</f>
        <v>Social</v>
      </c>
      <c r="K544" t="s">
        <v>1915</v>
      </c>
      <c r="L544" t="s">
        <v>1916</v>
      </c>
      <c r="M544" t="str">
        <f>IF(Table1[[#This Row],[used]], _xlfn.CONCAT("🆔 ", Table1[[#This Row],[variable]], ": ",Table1[[#This Row],[alias]]), "")</f>
        <v>🆔 B18104_029E: Female: 65 to 74 years: With a cognitive difficulty</v>
      </c>
      <c r="O544" t="s">
        <v>2126</v>
      </c>
      <c r="P544" t="s">
        <v>2094</v>
      </c>
      <c r="Q544" t="s">
        <v>41</v>
      </c>
      <c r="R544" t="s">
        <v>2127</v>
      </c>
      <c r="S544" t="b">
        <v>0</v>
      </c>
      <c r="T544" t="b">
        <v>0</v>
      </c>
      <c r="U544" t="b">
        <v>1</v>
      </c>
      <c r="V544" t="b">
        <v>1</v>
      </c>
      <c r="W544" t="b">
        <v>1</v>
      </c>
      <c r="X544" t="b">
        <v>1</v>
      </c>
      <c r="Y544" t="b">
        <v>1</v>
      </c>
      <c r="Z544" t="b">
        <v>1</v>
      </c>
      <c r="AA544" t="b">
        <v>1</v>
      </c>
      <c r="AB544" t="b">
        <v>1</v>
      </c>
      <c r="AC544" t="b">
        <v>1</v>
      </c>
      <c r="AD544" t="b">
        <v>1</v>
      </c>
      <c r="AE544" t="b">
        <v>1</v>
      </c>
      <c r="AF544" t="b">
        <v>1</v>
      </c>
      <c r="AG544" t="b">
        <v>1</v>
      </c>
    </row>
    <row r="545" spans="1:33" x14ac:dyDescent="0.25">
      <c r="A545" t="s">
        <v>972</v>
      </c>
      <c r="B545">
        <v>13</v>
      </c>
      <c r="C545" t="b">
        <v>0</v>
      </c>
      <c r="D545" t="s">
        <v>1911</v>
      </c>
      <c r="E545" t="s">
        <v>2090</v>
      </c>
      <c r="F545" t="s">
        <v>2128</v>
      </c>
      <c r="G545" t="s">
        <v>2129</v>
      </c>
      <c r="H545">
        <v>544</v>
      </c>
      <c r="I545" t="str">
        <f>IF(ISBLANK(Table1[[#This Row],[oid]]),"FALSE","TRUE")</f>
        <v>TRUE</v>
      </c>
      <c r="J545" t="str" cm="1">
        <f t="array" ref="J545">_xlfn.SWITCH(LEFT(Table1[[#This Row],[section]],1), "D", "Demographic", "S", "Social", "E", "Economic", "H", "Housing", "")</f>
        <v>Social</v>
      </c>
      <c r="K545" t="s">
        <v>1915</v>
      </c>
      <c r="L545" t="s">
        <v>1916</v>
      </c>
      <c r="M545" t="str">
        <f>IF(Table1[[#This Row],[used]], _xlfn.CONCAT("🆔 ", Table1[[#This Row],[variable]], ": ",Table1[[#This Row],[alias]]), "")</f>
        <v>🆔 B18104_032E: Female: 75 years and over: With a cognitive difficulty</v>
      </c>
      <c r="O545" t="s">
        <v>2130</v>
      </c>
      <c r="P545" t="s">
        <v>2094</v>
      </c>
      <c r="Q545" t="s">
        <v>41</v>
      </c>
      <c r="R545" t="s">
        <v>2131</v>
      </c>
      <c r="S545" t="b">
        <v>0</v>
      </c>
      <c r="T545" t="b">
        <v>0</v>
      </c>
      <c r="U545" t="b">
        <v>1</v>
      </c>
      <c r="V545" t="b">
        <v>1</v>
      </c>
      <c r="W545" t="b">
        <v>1</v>
      </c>
      <c r="X545" t="b">
        <v>1</v>
      </c>
      <c r="Y545" t="b">
        <v>1</v>
      </c>
      <c r="Z545" t="b">
        <v>1</v>
      </c>
      <c r="AA545" t="b">
        <v>1</v>
      </c>
      <c r="AB545" t="b">
        <v>1</v>
      </c>
      <c r="AC545" t="b">
        <v>1</v>
      </c>
      <c r="AD545" t="b">
        <v>1</v>
      </c>
      <c r="AE545" t="b">
        <v>1</v>
      </c>
      <c r="AF545" t="b">
        <v>1</v>
      </c>
      <c r="AG545" t="b">
        <v>1</v>
      </c>
    </row>
    <row r="546" spans="1:33" x14ac:dyDescent="0.25">
      <c r="A546" t="s">
        <v>972</v>
      </c>
      <c r="B546">
        <v>13</v>
      </c>
      <c r="C546" t="b">
        <v>0</v>
      </c>
      <c r="D546" t="s">
        <v>1911</v>
      </c>
      <c r="E546" t="s">
        <v>2132</v>
      </c>
      <c r="F546" t="s">
        <v>2133</v>
      </c>
      <c r="G546" t="s">
        <v>2134</v>
      </c>
      <c r="H546">
        <v>545</v>
      </c>
      <c r="I546" t="str">
        <f>IF(ISBLANK(Table1[[#This Row],[oid]]),"FALSE","TRUE")</f>
        <v>TRUE</v>
      </c>
      <c r="J546" t="str" cm="1">
        <f t="array" ref="J546">_xlfn.SWITCH(LEFT(Table1[[#This Row],[section]],1), "D", "Demographic", "S", "Social", "E", "Economic", "H", "Housing", "")</f>
        <v>Social</v>
      </c>
      <c r="K546" t="s">
        <v>1915</v>
      </c>
      <c r="L546" t="s">
        <v>1916</v>
      </c>
      <c r="M546" t="str">
        <f>IF(Table1[[#This Row],[used]], _xlfn.CONCAT("🆔 ", Table1[[#This Row],[variable]], ": ",Table1[[#This Row],[alias]]), "")</f>
        <v>🆔 B18105_004E: Male: 5 to 17 years: With an ambulatory difficulty</v>
      </c>
      <c r="O546" t="s">
        <v>2135</v>
      </c>
      <c r="P546" t="s">
        <v>2136</v>
      </c>
      <c r="Q546" t="s">
        <v>41</v>
      </c>
      <c r="R546" t="s">
        <v>2137</v>
      </c>
      <c r="S546" t="b">
        <v>0</v>
      </c>
      <c r="T546" t="b">
        <v>0</v>
      </c>
      <c r="U546" t="b">
        <v>1</v>
      </c>
      <c r="V546" t="b">
        <v>1</v>
      </c>
      <c r="W546" t="b">
        <v>1</v>
      </c>
      <c r="X546" t="b">
        <v>1</v>
      </c>
      <c r="Y546" t="b">
        <v>1</v>
      </c>
      <c r="Z546" t="b">
        <v>1</v>
      </c>
      <c r="AA546" t="b">
        <v>1</v>
      </c>
      <c r="AB546" t="b">
        <v>1</v>
      </c>
      <c r="AC546" t="b">
        <v>1</v>
      </c>
      <c r="AD546" t="b">
        <v>1</v>
      </c>
      <c r="AE546" t="b">
        <v>1</v>
      </c>
      <c r="AF546" t="b">
        <v>1</v>
      </c>
      <c r="AG546" t="b">
        <v>1</v>
      </c>
    </row>
    <row r="547" spans="1:33" x14ac:dyDescent="0.25">
      <c r="A547" t="s">
        <v>972</v>
      </c>
      <c r="B547">
        <v>13</v>
      </c>
      <c r="C547" t="b">
        <v>0</v>
      </c>
      <c r="D547" t="s">
        <v>1911</v>
      </c>
      <c r="E547" t="s">
        <v>2132</v>
      </c>
      <c r="F547" t="s">
        <v>2138</v>
      </c>
      <c r="G547" t="s">
        <v>2139</v>
      </c>
      <c r="H547">
        <v>546</v>
      </c>
      <c r="I547" t="str">
        <f>IF(ISBLANK(Table1[[#This Row],[oid]]),"FALSE","TRUE")</f>
        <v>TRUE</v>
      </c>
      <c r="J547" t="str" cm="1">
        <f t="array" ref="J547">_xlfn.SWITCH(LEFT(Table1[[#This Row],[section]],1), "D", "Demographic", "S", "Social", "E", "Economic", "H", "Housing", "")</f>
        <v>Social</v>
      </c>
      <c r="K547" t="s">
        <v>1915</v>
      </c>
      <c r="L547" t="s">
        <v>1916</v>
      </c>
      <c r="M547" t="str">
        <f>IF(Table1[[#This Row],[used]], _xlfn.CONCAT("🆔 ", Table1[[#This Row],[variable]], ": ",Table1[[#This Row],[alias]]), "")</f>
        <v>🆔 B18105_007E: Male: 18 to 34 years: With an ambulatory difficulty</v>
      </c>
      <c r="O547" t="s">
        <v>2140</v>
      </c>
      <c r="P547" t="s">
        <v>2136</v>
      </c>
      <c r="Q547" t="s">
        <v>41</v>
      </c>
      <c r="R547" t="s">
        <v>2141</v>
      </c>
      <c r="S547" t="b">
        <v>0</v>
      </c>
      <c r="T547" t="b">
        <v>0</v>
      </c>
      <c r="U547" t="b">
        <v>1</v>
      </c>
      <c r="V547" t="b">
        <v>1</v>
      </c>
      <c r="W547" t="b">
        <v>1</v>
      </c>
      <c r="X547" t="b">
        <v>1</v>
      </c>
      <c r="Y547" t="b">
        <v>1</v>
      </c>
      <c r="Z547" t="b">
        <v>1</v>
      </c>
      <c r="AA547" t="b">
        <v>1</v>
      </c>
      <c r="AB547" t="b">
        <v>1</v>
      </c>
      <c r="AC547" t="b">
        <v>1</v>
      </c>
      <c r="AD547" t="b">
        <v>1</v>
      </c>
      <c r="AE547" t="b">
        <v>1</v>
      </c>
      <c r="AF547" t="b">
        <v>1</v>
      </c>
      <c r="AG547" t="b">
        <v>1</v>
      </c>
    </row>
    <row r="548" spans="1:33" x14ac:dyDescent="0.25">
      <c r="A548" t="s">
        <v>972</v>
      </c>
      <c r="B548">
        <v>13</v>
      </c>
      <c r="C548" t="b">
        <v>0</v>
      </c>
      <c r="D548" t="s">
        <v>1911</v>
      </c>
      <c r="E548" t="s">
        <v>2132</v>
      </c>
      <c r="F548" t="s">
        <v>2142</v>
      </c>
      <c r="G548" t="s">
        <v>2143</v>
      </c>
      <c r="H548">
        <v>547</v>
      </c>
      <c r="I548" t="str">
        <f>IF(ISBLANK(Table1[[#This Row],[oid]]),"FALSE","TRUE")</f>
        <v>TRUE</v>
      </c>
      <c r="J548" t="str" cm="1">
        <f t="array" ref="J548">_xlfn.SWITCH(LEFT(Table1[[#This Row],[section]],1), "D", "Demographic", "S", "Social", "E", "Economic", "H", "Housing", "")</f>
        <v>Social</v>
      </c>
      <c r="K548" t="s">
        <v>1915</v>
      </c>
      <c r="L548" t="s">
        <v>1916</v>
      </c>
      <c r="M548" t="str">
        <f>IF(Table1[[#This Row],[used]], _xlfn.CONCAT("🆔 ", Table1[[#This Row],[variable]], ": ",Table1[[#This Row],[alias]]), "")</f>
        <v>🆔 B18105_010E: Male: 35 to 64 years: With an ambulatory difficulty</v>
      </c>
      <c r="O548" t="s">
        <v>2144</v>
      </c>
      <c r="P548" t="s">
        <v>2136</v>
      </c>
      <c r="Q548" t="s">
        <v>41</v>
      </c>
      <c r="R548" t="s">
        <v>2145</v>
      </c>
      <c r="S548" t="b">
        <v>0</v>
      </c>
      <c r="T548" t="b">
        <v>0</v>
      </c>
      <c r="U548" t="b">
        <v>1</v>
      </c>
      <c r="V548" t="b">
        <v>1</v>
      </c>
      <c r="W548" t="b">
        <v>1</v>
      </c>
      <c r="X548" t="b">
        <v>1</v>
      </c>
      <c r="Y548" t="b">
        <v>1</v>
      </c>
      <c r="Z548" t="b">
        <v>1</v>
      </c>
      <c r="AA548" t="b">
        <v>1</v>
      </c>
      <c r="AB548" t="b">
        <v>1</v>
      </c>
      <c r="AC548" t="b">
        <v>1</v>
      </c>
      <c r="AD548" t="b">
        <v>1</v>
      </c>
      <c r="AE548" t="b">
        <v>1</v>
      </c>
      <c r="AF548" t="b">
        <v>1</v>
      </c>
      <c r="AG548" t="b">
        <v>1</v>
      </c>
    </row>
    <row r="549" spans="1:33" x14ac:dyDescent="0.25">
      <c r="A549" t="s">
        <v>972</v>
      </c>
      <c r="B549">
        <v>13</v>
      </c>
      <c r="C549" t="b">
        <v>0</v>
      </c>
      <c r="D549" t="s">
        <v>1911</v>
      </c>
      <c r="E549" t="s">
        <v>2132</v>
      </c>
      <c r="F549" t="s">
        <v>2146</v>
      </c>
      <c r="G549" t="s">
        <v>2147</v>
      </c>
      <c r="H549">
        <v>548</v>
      </c>
      <c r="I549" t="str">
        <f>IF(ISBLANK(Table1[[#This Row],[oid]]),"FALSE","TRUE")</f>
        <v>TRUE</v>
      </c>
      <c r="J549" t="str" cm="1">
        <f t="array" ref="J549">_xlfn.SWITCH(LEFT(Table1[[#This Row],[section]],1), "D", "Demographic", "S", "Social", "E", "Economic", "H", "Housing", "")</f>
        <v>Social</v>
      </c>
      <c r="K549" t="s">
        <v>1915</v>
      </c>
      <c r="L549" t="s">
        <v>1916</v>
      </c>
      <c r="M549" t="str">
        <f>IF(Table1[[#This Row],[used]], _xlfn.CONCAT("🆔 ", Table1[[#This Row],[variable]], ": ",Table1[[#This Row],[alias]]), "")</f>
        <v>🆔 B18105_013E: Male: 65 to 74 years: With an ambulatory difficulty</v>
      </c>
      <c r="O549" t="s">
        <v>2148</v>
      </c>
      <c r="P549" t="s">
        <v>2136</v>
      </c>
      <c r="Q549" t="s">
        <v>41</v>
      </c>
      <c r="R549" t="s">
        <v>2149</v>
      </c>
      <c r="S549" t="b">
        <v>0</v>
      </c>
      <c r="T549" t="b">
        <v>0</v>
      </c>
      <c r="U549" t="b">
        <v>1</v>
      </c>
      <c r="V549" t="b">
        <v>1</v>
      </c>
      <c r="W549" t="b">
        <v>1</v>
      </c>
      <c r="X549" t="b">
        <v>1</v>
      </c>
      <c r="Y549" t="b">
        <v>1</v>
      </c>
      <c r="Z549" t="b">
        <v>1</v>
      </c>
      <c r="AA549" t="b">
        <v>1</v>
      </c>
      <c r="AB549" t="b">
        <v>1</v>
      </c>
      <c r="AC549" t="b">
        <v>1</v>
      </c>
      <c r="AD549" t="b">
        <v>1</v>
      </c>
      <c r="AE549" t="b">
        <v>1</v>
      </c>
      <c r="AF549" t="b">
        <v>1</v>
      </c>
      <c r="AG549" t="b">
        <v>1</v>
      </c>
    </row>
    <row r="550" spans="1:33" x14ac:dyDescent="0.25">
      <c r="A550" t="s">
        <v>972</v>
      </c>
      <c r="B550">
        <v>13</v>
      </c>
      <c r="C550" t="b">
        <v>0</v>
      </c>
      <c r="D550" t="s">
        <v>1911</v>
      </c>
      <c r="E550" t="s">
        <v>2132</v>
      </c>
      <c r="F550" t="s">
        <v>2150</v>
      </c>
      <c r="G550" t="s">
        <v>2151</v>
      </c>
      <c r="H550">
        <v>549</v>
      </c>
      <c r="I550" t="str">
        <f>IF(ISBLANK(Table1[[#This Row],[oid]]),"FALSE","TRUE")</f>
        <v>TRUE</v>
      </c>
      <c r="J550" t="str" cm="1">
        <f t="array" ref="J550">_xlfn.SWITCH(LEFT(Table1[[#This Row],[section]],1), "D", "Demographic", "S", "Social", "E", "Economic", "H", "Housing", "")</f>
        <v>Social</v>
      </c>
      <c r="K550" t="s">
        <v>1915</v>
      </c>
      <c r="L550" t="s">
        <v>1916</v>
      </c>
      <c r="M550" t="str">
        <f>IF(Table1[[#This Row],[used]], _xlfn.CONCAT("🆔 ", Table1[[#This Row],[variable]], ": ",Table1[[#This Row],[alias]]), "")</f>
        <v>🆔 B18105_016E: Male: 75 years and over: With an ambulatory difficulty</v>
      </c>
      <c r="O550" t="s">
        <v>2152</v>
      </c>
      <c r="P550" t="s">
        <v>2136</v>
      </c>
      <c r="Q550" t="s">
        <v>41</v>
      </c>
      <c r="R550" t="s">
        <v>2153</v>
      </c>
      <c r="S550" t="b">
        <v>0</v>
      </c>
      <c r="T550" t="b">
        <v>0</v>
      </c>
      <c r="U550" t="b">
        <v>1</v>
      </c>
      <c r="V550" t="b">
        <v>1</v>
      </c>
      <c r="W550" t="b">
        <v>1</v>
      </c>
      <c r="X550" t="b">
        <v>1</v>
      </c>
      <c r="Y550" t="b">
        <v>1</v>
      </c>
      <c r="Z550" t="b">
        <v>1</v>
      </c>
      <c r="AA550" t="b">
        <v>1</v>
      </c>
      <c r="AB550" t="b">
        <v>1</v>
      </c>
      <c r="AC550" t="b">
        <v>1</v>
      </c>
      <c r="AD550" t="b">
        <v>1</v>
      </c>
      <c r="AE550" t="b">
        <v>1</v>
      </c>
      <c r="AF550" t="b">
        <v>1</v>
      </c>
      <c r="AG550" t="b">
        <v>1</v>
      </c>
    </row>
    <row r="551" spans="1:33" x14ac:dyDescent="0.25">
      <c r="A551" t="s">
        <v>972</v>
      </c>
      <c r="B551">
        <v>13</v>
      </c>
      <c r="C551" t="b">
        <v>0</v>
      </c>
      <c r="D551" t="s">
        <v>1911</v>
      </c>
      <c r="E551" t="s">
        <v>2132</v>
      </c>
      <c r="F551" t="s">
        <v>2154</v>
      </c>
      <c r="G551" t="s">
        <v>2155</v>
      </c>
      <c r="H551">
        <v>550</v>
      </c>
      <c r="I551" t="str">
        <f>IF(ISBLANK(Table1[[#This Row],[oid]]),"FALSE","TRUE")</f>
        <v>TRUE</v>
      </c>
      <c r="J551" t="str" cm="1">
        <f t="array" ref="J551">_xlfn.SWITCH(LEFT(Table1[[#This Row],[section]],1), "D", "Demographic", "S", "Social", "E", "Economic", "H", "Housing", "")</f>
        <v>Social</v>
      </c>
      <c r="K551" t="s">
        <v>1915</v>
      </c>
      <c r="L551" t="s">
        <v>1916</v>
      </c>
      <c r="M551" t="str">
        <f>IF(Table1[[#This Row],[used]], _xlfn.CONCAT("🆔 ", Table1[[#This Row],[variable]], ": ",Table1[[#This Row],[alias]]), "")</f>
        <v>🆔 B18105_020E: Female: 5 to 17 years: With an ambulatory difficulty</v>
      </c>
      <c r="O551" t="s">
        <v>2156</v>
      </c>
      <c r="P551" t="s">
        <v>2136</v>
      </c>
      <c r="Q551" t="s">
        <v>41</v>
      </c>
      <c r="R551" t="s">
        <v>2157</v>
      </c>
      <c r="S551" t="b">
        <v>0</v>
      </c>
      <c r="T551" t="b">
        <v>0</v>
      </c>
      <c r="U551" t="b">
        <v>1</v>
      </c>
      <c r="V551" t="b">
        <v>1</v>
      </c>
      <c r="W551" t="b">
        <v>1</v>
      </c>
      <c r="X551" t="b">
        <v>1</v>
      </c>
      <c r="Y551" t="b">
        <v>1</v>
      </c>
      <c r="Z551" t="b">
        <v>1</v>
      </c>
      <c r="AA551" t="b">
        <v>1</v>
      </c>
      <c r="AB551" t="b">
        <v>1</v>
      </c>
      <c r="AC551" t="b">
        <v>1</v>
      </c>
      <c r="AD551" t="b">
        <v>1</v>
      </c>
      <c r="AE551" t="b">
        <v>1</v>
      </c>
      <c r="AF551" t="b">
        <v>1</v>
      </c>
      <c r="AG551" t="b">
        <v>1</v>
      </c>
    </row>
    <row r="552" spans="1:33" x14ac:dyDescent="0.25">
      <c r="A552" t="s">
        <v>972</v>
      </c>
      <c r="B552">
        <v>13</v>
      </c>
      <c r="C552" t="b">
        <v>0</v>
      </c>
      <c r="D552" t="s">
        <v>1911</v>
      </c>
      <c r="E552" t="s">
        <v>2132</v>
      </c>
      <c r="F552" t="s">
        <v>2158</v>
      </c>
      <c r="G552" t="s">
        <v>2159</v>
      </c>
      <c r="H552">
        <v>551</v>
      </c>
      <c r="I552" t="str">
        <f>IF(ISBLANK(Table1[[#This Row],[oid]]),"FALSE","TRUE")</f>
        <v>TRUE</v>
      </c>
      <c r="J552" t="str" cm="1">
        <f t="array" ref="J552">_xlfn.SWITCH(LEFT(Table1[[#This Row],[section]],1), "D", "Demographic", "S", "Social", "E", "Economic", "H", "Housing", "")</f>
        <v>Social</v>
      </c>
      <c r="K552" t="s">
        <v>1915</v>
      </c>
      <c r="L552" t="s">
        <v>1916</v>
      </c>
      <c r="M552" t="str">
        <f>IF(Table1[[#This Row],[used]], _xlfn.CONCAT("🆔 ", Table1[[#This Row],[variable]], ": ",Table1[[#This Row],[alias]]), "")</f>
        <v>🆔 B18105_023E: Female: 18 to 34 years: With an ambulatory difficulty</v>
      </c>
      <c r="O552" t="s">
        <v>2160</v>
      </c>
      <c r="P552" t="s">
        <v>2136</v>
      </c>
      <c r="Q552" t="s">
        <v>41</v>
      </c>
      <c r="R552" t="s">
        <v>2161</v>
      </c>
      <c r="S552" t="b">
        <v>0</v>
      </c>
      <c r="T552" t="b">
        <v>0</v>
      </c>
      <c r="U552" t="b">
        <v>1</v>
      </c>
      <c r="V552" t="b">
        <v>1</v>
      </c>
      <c r="W552" t="b">
        <v>1</v>
      </c>
      <c r="X552" t="b">
        <v>1</v>
      </c>
      <c r="Y552" t="b">
        <v>1</v>
      </c>
      <c r="Z552" t="b">
        <v>1</v>
      </c>
      <c r="AA552" t="b">
        <v>1</v>
      </c>
      <c r="AB552" t="b">
        <v>1</v>
      </c>
      <c r="AC552" t="b">
        <v>1</v>
      </c>
      <c r="AD552" t="b">
        <v>1</v>
      </c>
      <c r="AE552" t="b">
        <v>1</v>
      </c>
      <c r="AF552" t="b">
        <v>1</v>
      </c>
      <c r="AG552" t="b">
        <v>1</v>
      </c>
    </row>
    <row r="553" spans="1:33" x14ac:dyDescent="0.25">
      <c r="A553" t="s">
        <v>972</v>
      </c>
      <c r="B553">
        <v>13</v>
      </c>
      <c r="C553" t="b">
        <v>0</v>
      </c>
      <c r="D553" t="s">
        <v>1911</v>
      </c>
      <c r="E553" t="s">
        <v>2132</v>
      </c>
      <c r="F553" t="s">
        <v>2162</v>
      </c>
      <c r="G553" t="s">
        <v>2163</v>
      </c>
      <c r="H553">
        <v>552</v>
      </c>
      <c r="I553" t="str">
        <f>IF(ISBLANK(Table1[[#This Row],[oid]]),"FALSE","TRUE")</f>
        <v>TRUE</v>
      </c>
      <c r="J553" t="str" cm="1">
        <f t="array" ref="J553">_xlfn.SWITCH(LEFT(Table1[[#This Row],[section]],1), "D", "Demographic", "S", "Social", "E", "Economic", "H", "Housing", "")</f>
        <v>Social</v>
      </c>
      <c r="K553" t="s">
        <v>1915</v>
      </c>
      <c r="L553" t="s">
        <v>1916</v>
      </c>
      <c r="M553" t="str">
        <f>IF(Table1[[#This Row],[used]], _xlfn.CONCAT("🆔 ", Table1[[#This Row],[variable]], ": ",Table1[[#This Row],[alias]]), "")</f>
        <v>🆔 B18105_026E: Female: 35 to 64 years: With an ambulatory difficulty</v>
      </c>
      <c r="O553" t="s">
        <v>2164</v>
      </c>
      <c r="P553" t="s">
        <v>2136</v>
      </c>
      <c r="Q553" t="s">
        <v>41</v>
      </c>
      <c r="R553" t="s">
        <v>2165</v>
      </c>
      <c r="S553" t="b">
        <v>0</v>
      </c>
      <c r="T553" t="b">
        <v>0</v>
      </c>
      <c r="U553" t="b">
        <v>1</v>
      </c>
      <c r="V553" t="b">
        <v>1</v>
      </c>
      <c r="W553" t="b">
        <v>1</v>
      </c>
      <c r="X553" t="b">
        <v>1</v>
      </c>
      <c r="Y553" t="b">
        <v>1</v>
      </c>
      <c r="Z553" t="b">
        <v>1</v>
      </c>
      <c r="AA553" t="b">
        <v>1</v>
      </c>
      <c r="AB553" t="b">
        <v>1</v>
      </c>
      <c r="AC553" t="b">
        <v>1</v>
      </c>
      <c r="AD553" t="b">
        <v>1</v>
      </c>
      <c r="AE553" t="b">
        <v>1</v>
      </c>
      <c r="AF553" t="b">
        <v>1</v>
      </c>
      <c r="AG553" t="b">
        <v>1</v>
      </c>
    </row>
    <row r="554" spans="1:33" x14ac:dyDescent="0.25">
      <c r="A554" t="s">
        <v>972</v>
      </c>
      <c r="B554">
        <v>13</v>
      </c>
      <c r="C554" t="b">
        <v>0</v>
      </c>
      <c r="D554" t="s">
        <v>1911</v>
      </c>
      <c r="E554" t="s">
        <v>2132</v>
      </c>
      <c r="F554" t="s">
        <v>2166</v>
      </c>
      <c r="G554" t="s">
        <v>2167</v>
      </c>
      <c r="H554">
        <v>553</v>
      </c>
      <c r="I554" t="str">
        <f>IF(ISBLANK(Table1[[#This Row],[oid]]),"FALSE","TRUE")</f>
        <v>TRUE</v>
      </c>
      <c r="J554" t="str" cm="1">
        <f t="array" ref="J554">_xlfn.SWITCH(LEFT(Table1[[#This Row],[section]],1), "D", "Demographic", "S", "Social", "E", "Economic", "H", "Housing", "")</f>
        <v>Social</v>
      </c>
      <c r="K554" t="s">
        <v>1915</v>
      </c>
      <c r="L554" t="s">
        <v>1916</v>
      </c>
      <c r="M554" t="str">
        <f>IF(Table1[[#This Row],[used]], _xlfn.CONCAT("🆔 ", Table1[[#This Row],[variable]], ": ",Table1[[#This Row],[alias]]), "")</f>
        <v>🆔 B18105_029E: Female: 65 to 74 years: With an ambulatory difficulty</v>
      </c>
      <c r="O554" t="s">
        <v>2168</v>
      </c>
      <c r="P554" t="s">
        <v>2136</v>
      </c>
      <c r="Q554" t="s">
        <v>41</v>
      </c>
      <c r="R554" t="s">
        <v>2169</v>
      </c>
      <c r="S554" t="b">
        <v>0</v>
      </c>
      <c r="T554" t="b">
        <v>0</v>
      </c>
      <c r="U554" t="b">
        <v>1</v>
      </c>
      <c r="V554" t="b">
        <v>1</v>
      </c>
      <c r="W554" t="b">
        <v>1</v>
      </c>
      <c r="X554" t="b">
        <v>1</v>
      </c>
      <c r="Y554" t="b">
        <v>1</v>
      </c>
      <c r="Z554" t="b">
        <v>1</v>
      </c>
      <c r="AA554" t="b">
        <v>1</v>
      </c>
      <c r="AB554" t="b">
        <v>1</v>
      </c>
      <c r="AC554" t="b">
        <v>1</v>
      </c>
      <c r="AD554" t="b">
        <v>1</v>
      </c>
      <c r="AE554" t="b">
        <v>1</v>
      </c>
      <c r="AF554" t="b">
        <v>1</v>
      </c>
      <c r="AG554" t="b">
        <v>1</v>
      </c>
    </row>
    <row r="555" spans="1:33" x14ac:dyDescent="0.25">
      <c r="A555" t="s">
        <v>972</v>
      </c>
      <c r="B555">
        <v>13</v>
      </c>
      <c r="C555" t="b">
        <v>0</v>
      </c>
      <c r="D555" t="s">
        <v>1911</v>
      </c>
      <c r="E555" t="s">
        <v>2132</v>
      </c>
      <c r="F555" t="s">
        <v>2170</v>
      </c>
      <c r="G555" t="s">
        <v>2171</v>
      </c>
      <c r="H555">
        <v>554</v>
      </c>
      <c r="I555" t="str">
        <f>IF(ISBLANK(Table1[[#This Row],[oid]]),"FALSE","TRUE")</f>
        <v>TRUE</v>
      </c>
      <c r="J555" t="str" cm="1">
        <f t="array" ref="J555">_xlfn.SWITCH(LEFT(Table1[[#This Row],[section]],1), "D", "Demographic", "S", "Social", "E", "Economic", "H", "Housing", "")</f>
        <v>Social</v>
      </c>
      <c r="K555" t="s">
        <v>1915</v>
      </c>
      <c r="L555" t="s">
        <v>1916</v>
      </c>
      <c r="M555" t="str">
        <f>IF(Table1[[#This Row],[used]], _xlfn.CONCAT("🆔 ", Table1[[#This Row],[variable]], ": ",Table1[[#This Row],[alias]]), "")</f>
        <v>🆔 B18105_032E: Female: 75 years and over: With an ambulatory difficulty</v>
      </c>
      <c r="O555" t="s">
        <v>2172</v>
      </c>
      <c r="P555" t="s">
        <v>2136</v>
      </c>
      <c r="Q555" t="s">
        <v>41</v>
      </c>
      <c r="R555" t="s">
        <v>2173</v>
      </c>
      <c r="S555" t="b">
        <v>0</v>
      </c>
      <c r="T555" t="b">
        <v>0</v>
      </c>
      <c r="U555" t="b">
        <v>1</v>
      </c>
      <c r="V555" t="b">
        <v>1</v>
      </c>
      <c r="W555" t="b">
        <v>1</v>
      </c>
      <c r="X555" t="b">
        <v>1</v>
      </c>
      <c r="Y555" t="b">
        <v>1</v>
      </c>
      <c r="Z555" t="b">
        <v>1</v>
      </c>
      <c r="AA555" t="b">
        <v>1</v>
      </c>
      <c r="AB555" t="b">
        <v>1</v>
      </c>
      <c r="AC555" t="b">
        <v>1</v>
      </c>
      <c r="AD555" t="b">
        <v>1</v>
      </c>
      <c r="AE555" t="b">
        <v>1</v>
      </c>
      <c r="AF555" t="b">
        <v>1</v>
      </c>
      <c r="AG555" t="b">
        <v>1</v>
      </c>
    </row>
    <row r="556" spans="1:33" x14ac:dyDescent="0.25">
      <c r="A556" t="s">
        <v>972</v>
      </c>
      <c r="B556">
        <v>13</v>
      </c>
      <c r="C556" t="b">
        <v>0</v>
      </c>
      <c r="D556" t="s">
        <v>1911</v>
      </c>
      <c r="E556" t="s">
        <v>2174</v>
      </c>
      <c r="F556" t="s">
        <v>2175</v>
      </c>
      <c r="G556" t="s">
        <v>2176</v>
      </c>
      <c r="H556">
        <v>555</v>
      </c>
      <c r="I556" t="str">
        <f>IF(ISBLANK(Table1[[#This Row],[oid]]),"FALSE","TRUE")</f>
        <v>TRUE</v>
      </c>
      <c r="J556" t="str" cm="1">
        <f t="array" ref="J556">_xlfn.SWITCH(LEFT(Table1[[#This Row],[section]],1), "D", "Demographic", "S", "Social", "E", "Economic", "H", "Housing", "")</f>
        <v>Social</v>
      </c>
      <c r="K556" t="s">
        <v>1915</v>
      </c>
      <c r="L556" t="s">
        <v>1916</v>
      </c>
      <c r="M556" t="str">
        <f>IF(Table1[[#This Row],[used]], _xlfn.CONCAT("🆔 ", Table1[[#This Row],[variable]], ": ",Table1[[#This Row],[alias]]), "")</f>
        <v>🆔 B18106_004E: Male: 5 to 17 years: With a self-care difficulty</v>
      </c>
      <c r="O556" t="s">
        <v>2177</v>
      </c>
      <c r="P556" t="s">
        <v>2178</v>
      </c>
      <c r="Q556" t="s">
        <v>41</v>
      </c>
      <c r="R556" t="s">
        <v>2179</v>
      </c>
      <c r="S556" t="b">
        <v>0</v>
      </c>
      <c r="T556" t="b">
        <v>0</v>
      </c>
      <c r="U556" t="b">
        <v>1</v>
      </c>
      <c r="V556" t="b">
        <v>1</v>
      </c>
      <c r="W556" t="b">
        <v>1</v>
      </c>
      <c r="X556" t="b">
        <v>1</v>
      </c>
      <c r="Y556" t="b">
        <v>1</v>
      </c>
      <c r="Z556" t="b">
        <v>1</v>
      </c>
      <c r="AA556" t="b">
        <v>1</v>
      </c>
      <c r="AB556" t="b">
        <v>1</v>
      </c>
      <c r="AC556" t="b">
        <v>1</v>
      </c>
      <c r="AD556" t="b">
        <v>1</v>
      </c>
      <c r="AE556" t="b">
        <v>1</v>
      </c>
      <c r="AF556" t="b">
        <v>1</v>
      </c>
      <c r="AG556" t="b">
        <v>1</v>
      </c>
    </row>
    <row r="557" spans="1:33" x14ac:dyDescent="0.25">
      <c r="A557" t="s">
        <v>972</v>
      </c>
      <c r="B557">
        <v>13</v>
      </c>
      <c r="C557" t="b">
        <v>0</v>
      </c>
      <c r="D557" t="s">
        <v>1911</v>
      </c>
      <c r="E557" t="s">
        <v>2174</v>
      </c>
      <c r="F557" t="s">
        <v>2180</v>
      </c>
      <c r="G557" t="s">
        <v>2181</v>
      </c>
      <c r="H557">
        <v>556</v>
      </c>
      <c r="I557" t="str">
        <f>IF(ISBLANK(Table1[[#This Row],[oid]]),"FALSE","TRUE")</f>
        <v>TRUE</v>
      </c>
      <c r="J557" t="str" cm="1">
        <f t="array" ref="J557">_xlfn.SWITCH(LEFT(Table1[[#This Row],[section]],1), "D", "Demographic", "S", "Social", "E", "Economic", "H", "Housing", "")</f>
        <v>Social</v>
      </c>
      <c r="K557" t="s">
        <v>1915</v>
      </c>
      <c r="L557" t="s">
        <v>1916</v>
      </c>
      <c r="M557" t="str">
        <f>IF(Table1[[#This Row],[used]], _xlfn.CONCAT("🆔 ", Table1[[#This Row],[variable]], ": ",Table1[[#This Row],[alias]]), "")</f>
        <v>🆔 B18106_007E: Male: 18 to 34 years: With a self-care difficulty</v>
      </c>
      <c r="O557" t="s">
        <v>2182</v>
      </c>
      <c r="P557" t="s">
        <v>2178</v>
      </c>
      <c r="Q557" t="s">
        <v>41</v>
      </c>
      <c r="R557" t="s">
        <v>2183</v>
      </c>
      <c r="S557" t="b">
        <v>0</v>
      </c>
      <c r="T557" t="b">
        <v>0</v>
      </c>
      <c r="U557" t="b">
        <v>1</v>
      </c>
      <c r="V557" t="b">
        <v>1</v>
      </c>
      <c r="W557" t="b">
        <v>1</v>
      </c>
      <c r="X557" t="b">
        <v>1</v>
      </c>
      <c r="Y557" t="b">
        <v>1</v>
      </c>
      <c r="Z557" t="b">
        <v>1</v>
      </c>
      <c r="AA557" t="b">
        <v>1</v>
      </c>
      <c r="AB557" t="b">
        <v>1</v>
      </c>
      <c r="AC557" t="b">
        <v>1</v>
      </c>
      <c r="AD557" t="b">
        <v>1</v>
      </c>
      <c r="AE557" t="b">
        <v>1</v>
      </c>
      <c r="AF557" t="b">
        <v>1</v>
      </c>
      <c r="AG557" t="b">
        <v>1</v>
      </c>
    </row>
    <row r="558" spans="1:33" x14ac:dyDescent="0.25">
      <c r="A558" t="s">
        <v>972</v>
      </c>
      <c r="B558">
        <v>13</v>
      </c>
      <c r="C558" t="b">
        <v>0</v>
      </c>
      <c r="D558" t="s">
        <v>1911</v>
      </c>
      <c r="E558" t="s">
        <v>2174</v>
      </c>
      <c r="F558" t="s">
        <v>2184</v>
      </c>
      <c r="G558" t="s">
        <v>2185</v>
      </c>
      <c r="H558">
        <v>557</v>
      </c>
      <c r="I558" t="str">
        <f>IF(ISBLANK(Table1[[#This Row],[oid]]),"FALSE","TRUE")</f>
        <v>TRUE</v>
      </c>
      <c r="J558" t="str" cm="1">
        <f t="array" ref="J558">_xlfn.SWITCH(LEFT(Table1[[#This Row],[section]],1), "D", "Demographic", "S", "Social", "E", "Economic", "H", "Housing", "")</f>
        <v>Social</v>
      </c>
      <c r="K558" t="s">
        <v>1915</v>
      </c>
      <c r="L558" t="s">
        <v>1916</v>
      </c>
      <c r="M558" t="str">
        <f>IF(Table1[[#This Row],[used]], _xlfn.CONCAT("🆔 ", Table1[[#This Row],[variable]], ": ",Table1[[#This Row],[alias]]), "")</f>
        <v>🆔 B18106_010E: Male: 35 to 64 years: With a self-care difficulty</v>
      </c>
      <c r="O558" t="s">
        <v>2186</v>
      </c>
      <c r="P558" t="s">
        <v>2178</v>
      </c>
      <c r="Q558" t="s">
        <v>41</v>
      </c>
      <c r="R558" t="s">
        <v>2187</v>
      </c>
      <c r="S558" t="b">
        <v>0</v>
      </c>
      <c r="T558" t="b">
        <v>0</v>
      </c>
      <c r="U558" t="b">
        <v>1</v>
      </c>
      <c r="V558" t="b">
        <v>1</v>
      </c>
      <c r="W558" t="b">
        <v>1</v>
      </c>
      <c r="X558" t="b">
        <v>1</v>
      </c>
      <c r="Y558" t="b">
        <v>1</v>
      </c>
      <c r="Z558" t="b">
        <v>1</v>
      </c>
      <c r="AA558" t="b">
        <v>1</v>
      </c>
      <c r="AB558" t="b">
        <v>1</v>
      </c>
      <c r="AC558" t="b">
        <v>1</v>
      </c>
      <c r="AD558" t="b">
        <v>1</v>
      </c>
      <c r="AE558" t="b">
        <v>1</v>
      </c>
      <c r="AF558" t="b">
        <v>1</v>
      </c>
      <c r="AG558" t="b">
        <v>1</v>
      </c>
    </row>
    <row r="559" spans="1:33" x14ac:dyDescent="0.25">
      <c r="A559" t="s">
        <v>972</v>
      </c>
      <c r="B559">
        <v>13</v>
      </c>
      <c r="C559" t="b">
        <v>0</v>
      </c>
      <c r="D559" t="s">
        <v>1911</v>
      </c>
      <c r="E559" t="s">
        <v>2174</v>
      </c>
      <c r="F559" t="s">
        <v>2188</v>
      </c>
      <c r="G559" t="s">
        <v>2189</v>
      </c>
      <c r="H559">
        <v>558</v>
      </c>
      <c r="I559" t="str">
        <f>IF(ISBLANK(Table1[[#This Row],[oid]]),"FALSE","TRUE")</f>
        <v>TRUE</v>
      </c>
      <c r="J559" t="str" cm="1">
        <f t="array" ref="J559">_xlfn.SWITCH(LEFT(Table1[[#This Row],[section]],1), "D", "Demographic", "S", "Social", "E", "Economic", "H", "Housing", "")</f>
        <v>Social</v>
      </c>
      <c r="K559" t="s">
        <v>1915</v>
      </c>
      <c r="L559" t="s">
        <v>1916</v>
      </c>
      <c r="M559" t="str">
        <f>IF(Table1[[#This Row],[used]], _xlfn.CONCAT("🆔 ", Table1[[#This Row],[variable]], ": ",Table1[[#This Row],[alias]]), "")</f>
        <v>🆔 B18106_013E: Male: 65 to 74 years: With a self-care difficulty</v>
      </c>
      <c r="O559" t="s">
        <v>2190</v>
      </c>
      <c r="P559" t="s">
        <v>2178</v>
      </c>
      <c r="Q559" t="s">
        <v>41</v>
      </c>
      <c r="R559" t="s">
        <v>2191</v>
      </c>
      <c r="S559" t="b">
        <v>0</v>
      </c>
      <c r="T559" t="b">
        <v>0</v>
      </c>
      <c r="U559" t="b">
        <v>1</v>
      </c>
      <c r="V559" t="b">
        <v>1</v>
      </c>
      <c r="W559" t="b">
        <v>1</v>
      </c>
      <c r="X559" t="b">
        <v>1</v>
      </c>
      <c r="Y559" t="b">
        <v>1</v>
      </c>
      <c r="Z559" t="b">
        <v>1</v>
      </c>
      <c r="AA559" t="b">
        <v>1</v>
      </c>
      <c r="AB559" t="b">
        <v>1</v>
      </c>
      <c r="AC559" t="b">
        <v>1</v>
      </c>
      <c r="AD559" t="b">
        <v>1</v>
      </c>
      <c r="AE559" t="b">
        <v>1</v>
      </c>
      <c r="AF559" t="b">
        <v>1</v>
      </c>
      <c r="AG559" t="b">
        <v>1</v>
      </c>
    </row>
    <row r="560" spans="1:33" x14ac:dyDescent="0.25">
      <c r="A560" t="s">
        <v>972</v>
      </c>
      <c r="B560">
        <v>13</v>
      </c>
      <c r="C560" t="b">
        <v>0</v>
      </c>
      <c r="D560" t="s">
        <v>1911</v>
      </c>
      <c r="E560" t="s">
        <v>2174</v>
      </c>
      <c r="F560" t="s">
        <v>2192</v>
      </c>
      <c r="G560" t="s">
        <v>2193</v>
      </c>
      <c r="H560">
        <v>559</v>
      </c>
      <c r="I560" t="str">
        <f>IF(ISBLANK(Table1[[#This Row],[oid]]),"FALSE","TRUE")</f>
        <v>TRUE</v>
      </c>
      <c r="J560" t="str" cm="1">
        <f t="array" ref="J560">_xlfn.SWITCH(LEFT(Table1[[#This Row],[section]],1), "D", "Demographic", "S", "Social", "E", "Economic", "H", "Housing", "")</f>
        <v>Social</v>
      </c>
      <c r="K560" t="s">
        <v>1915</v>
      </c>
      <c r="L560" t="s">
        <v>1916</v>
      </c>
      <c r="M560" t="str">
        <f>IF(Table1[[#This Row],[used]], _xlfn.CONCAT("🆔 ", Table1[[#This Row],[variable]], ": ",Table1[[#This Row],[alias]]), "")</f>
        <v>🆔 B18106_016E: Male: 75 years and over: With a self-care difficulty</v>
      </c>
      <c r="O560" t="s">
        <v>2194</v>
      </c>
      <c r="P560" t="s">
        <v>2178</v>
      </c>
      <c r="Q560" t="s">
        <v>41</v>
      </c>
      <c r="R560" t="s">
        <v>2195</v>
      </c>
      <c r="S560" t="b">
        <v>0</v>
      </c>
      <c r="T560" t="b">
        <v>0</v>
      </c>
      <c r="U560" t="b">
        <v>1</v>
      </c>
      <c r="V560" t="b">
        <v>1</v>
      </c>
      <c r="W560" t="b">
        <v>1</v>
      </c>
      <c r="X560" t="b">
        <v>1</v>
      </c>
      <c r="Y560" t="b">
        <v>1</v>
      </c>
      <c r="Z560" t="b">
        <v>1</v>
      </c>
      <c r="AA560" t="b">
        <v>1</v>
      </c>
      <c r="AB560" t="b">
        <v>1</v>
      </c>
      <c r="AC560" t="b">
        <v>1</v>
      </c>
      <c r="AD560" t="b">
        <v>1</v>
      </c>
      <c r="AE560" t="b">
        <v>1</v>
      </c>
      <c r="AF560" t="b">
        <v>1</v>
      </c>
      <c r="AG560" t="b">
        <v>1</v>
      </c>
    </row>
    <row r="561" spans="1:33" x14ac:dyDescent="0.25">
      <c r="A561" t="s">
        <v>972</v>
      </c>
      <c r="B561">
        <v>13</v>
      </c>
      <c r="C561" t="b">
        <v>0</v>
      </c>
      <c r="D561" t="s">
        <v>1911</v>
      </c>
      <c r="E561" t="s">
        <v>2174</v>
      </c>
      <c r="F561" t="s">
        <v>2196</v>
      </c>
      <c r="G561" t="s">
        <v>2197</v>
      </c>
      <c r="H561">
        <v>560</v>
      </c>
      <c r="I561" t="str">
        <f>IF(ISBLANK(Table1[[#This Row],[oid]]),"FALSE","TRUE")</f>
        <v>TRUE</v>
      </c>
      <c r="J561" t="str" cm="1">
        <f t="array" ref="J561">_xlfn.SWITCH(LEFT(Table1[[#This Row],[section]],1), "D", "Demographic", "S", "Social", "E", "Economic", "H", "Housing", "")</f>
        <v>Social</v>
      </c>
      <c r="K561" t="s">
        <v>1915</v>
      </c>
      <c r="L561" t="s">
        <v>1916</v>
      </c>
      <c r="M561" t="str">
        <f>IF(Table1[[#This Row],[used]], _xlfn.CONCAT("🆔 ", Table1[[#This Row],[variable]], ": ",Table1[[#This Row],[alias]]), "")</f>
        <v>🆔 B18106_020E: Female: 5 to 17 years: With a self-care difficulty</v>
      </c>
      <c r="O561" t="s">
        <v>2198</v>
      </c>
      <c r="P561" t="s">
        <v>2178</v>
      </c>
      <c r="Q561" t="s">
        <v>41</v>
      </c>
      <c r="R561" t="s">
        <v>2199</v>
      </c>
      <c r="S561" t="b">
        <v>0</v>
      </c>
      <c r="T561" t="b">
        <v>0</v>
      </c>
      <c r="U561" t="b">
        <v>1</v>
      </c>
      <c r="V561" t="b">
        <v>1</v>
      </c>
      <c r="W561" t="b">
        <v>1</v>
      </c>
      <c r="X561" t="b">
        <v>1</v>
      </c>
      <c r="Y561" t="b">
        <v>1</v>
      </c>
      <c r="Z561" t="b">
        <v>1</v>
      </c>
      <c r="AA561" t="b">
        <v>1</v>
      </c>
      <c r="AB561" t="b">
        <v>1</v>
      </c>
      <c r="AC561" t="b">
        <v>1</v>
      </c>
      <c r="AD561" t="b">
        <v>1</v>
      </c>
      <c r="AE561" t="b">
        <v>1</v>
      </c>
      <c r="AF561" t="b">
        <v>1</v>
      </c>
      <c r="AG561" t="b">
        <v>1</v>
      </c>
    </row>
    <row r="562" spans="1:33" x14ac:dyDescent="0.25">
      <c r="A562" t="s">
        <v>972</v>
      </c>
      <c r="B562">
        <v>13</v>
      </c>
      <c r="C562" t="b">
        <v>0</v>
      </c>
      <c r="D562" t="s">
        <v>1911</v>
      </c>
      <c r="E562" t="s">
        <v>2174</v>
      </c>
      <c r="F562" t="s">
        <v>2200</v>
      </c>
      <c r="G562" t="s">
        <v>2201</v>
      </c>
      <c r="H562">
        <v>561</v>
      </c>
      <c r="I562" t="str">
        <f>IF(ISBLANK(Table1[[#This Row],[oid]]),"FALSE","TRUE")</f>
        <v>TRUE</v>
      </c>
      <c r="J562" t="str" cm="1">
        <f t="array" ref="J562">_xlfn.SWITCH(LEFT(Table1[[#This Row],[section]],1), "D", "Demographic", "S", "Social", "E", "Economic", "H", "Housing", "")</f>
        <v>Social</v>
      </c>
      <c r="K562" t="s">
        <v>1915</v>
      </c>
      <c r="L562" t="s">
        <v>1916</v>
      </c>
      <c r="M562" t="str">
        <f>IF(Table1[[#This Row],[used]], _xlfn.CONCAT("🆔 ", Table1[[#This Row],[variable]], ": ",Table1[[#This Row],[alias]]), "")</f>
        <v>🆔 B18106_023E: Female: 18 to 34 years: With a self-care difficulty</v>
      </c>
      <c r="O562" t="s">
        <v>2202</v>
      </c>
      <c r="P562" t="s">
        <v>2178</v>
      </c>
      <c r="Q562" t="s">
        <v>41</v>
      </c>
      <c r="R562" t="s">
        <v>2203</v>
      </c>
      <c r="S562" t="b">
        <v>0</v>
      </c>
      <c r="T562" t="b">
        <v>0</v>
      </c>
      <c r="U562" t="b">
        <v>1</v>
      </c>
      <c r="V562" t="b">
        <v>1</v>
      </c>
      <c r="W562" t="b">
        <v>1</v>
      </c>
      <c r="X562" t="b">
        <v>1</v>
      </c>
      <c r="Y562" t="b">
        <v>1</v>
      </c>
      <c r="Z562" t="b">
        <v>1</v>
      </c>
      <c r="AA562" t="b">
        <v>1</v>
      </c>
      <c r="AB562" t="b">
        <v>1</v>
      </c>
      <c r="AC562" t="b">
        <v>1</v>
      </c>
      <c r="AD562" t="b">
        <v>1</v>
      </c>
      <c r="AE562" t="b">
        <v>1</v>
      </c>
      <c r="AF562" t="b">
        <v>1</v>
      </c>
      <c r="AG562" t="b">
        <v>1</v>
      </c>
    </row>
    <row r="563" spans="1:33" x14ac:dyDescent="0.25">
      <c r="A563" t="s">
        <v>972</v>
      </c>
      <c r="B563">
        <v>13</v>
      </c>
      <c r="C563" t="b">
        <v>0</v>
      </c>
      <c r="D563" t="s">
        <v>1911</v>
      </c>
      <c r="E563" t="s">
        <v>2174</v>
      </c>
      <c r="F563" t="s">
        <v>2204</v>
      </c>
      <c r="G563" t="s">
        <v>2205</v>
      </c>
      <c r="H563">
        <v>562</v>
      </c>
      <c r="I563" t="str">
        <f>IF(ISBLANK(Table1[[#This Row],[oid]]),"FALSE","TRUE")</f>
        <v>TRUE</v>
      </c>
      <c r="J563" t="str" cm="1">
        <f t="array" ref="J563">_xlfn.SWITCH(LEFT(Table1[[#This Row],[section]],1), "D", "Demographic", "S", "Social", "E", "Economic", "H", "Housing", "")</f>
        <v>Social</v>
      </c>
      <c r="K563" t="s">
        <v>1915</v>
      </c>
      <c r="L563" t="s">
        <v>1916</v>
      </c>
      <c r="M563" t="str">
        <f>IF(Table1[[#This Row],[used]], _xlfn.CONCAT("🆔 ", Table1[[#This Row],[variable]], ": ",Table1[[#This Row],[alias]]), "")</f>
        <v>🆔 B18106_026E: Female: 35 to 64 years: With a self-care difficulty</v>
      </c>
      <c r="O563" t="s">
        <v>2206</v>
      </c>
      <c r="P563" t="s">
        <v>2178</v>
      </c>
      <c r="Q563" t="s">
        <v>41</v>
      </c>
      <c r="R563" t="s">
        <v>2207</v>
      </c>
      <c r="S563" t="b">
        <v>0</v>
      </c>
      <c r="T563" t="b">
        <v>0</v>
      </c>
      <c r="U563" t="b">
        <v>1</v>
      </c>
      <c r="V563" t="b">
        <v>1</v>
      </c>
      <c r="W563" t="b">
        <v>1</v>
      </c>
      <c r="X563" t="b">
        <v>1</v>
      </c>
      <c r="Y563" t="b">
        <v>1</v>
      </c>
      <c r="Z563" t="b">
        <v>1</v>
      </c>
      <c r="AA563" t="b">
        <v>1</v>
      </c>
      <c r="AB563" t="b">
        <v>1</v>
      </c>
      <c r="AC563" t="b">
        <v>1</v>
      </c>
      <c r="AD563" t="b">
        <v>1</v>
      </c>
      <c r="AE563" t="b">
        <v>1</v>
      </c>
      <c r="AF563" t="b">
        <v>1</v>
      </c>
      <c r="AG563" t="b">
        <v>1</v>
      </c>
    </row>
    <row r="564" spans="1:33" x14ac:dyDescent="0.25">
      <c r="A564" t="s">
        <v>972</v>
      </c>
      <c r="B564">
        <v>13</v>
      </c>
      <c r="C564" t="b">
        <v>0</v>
      </c>
      <c r="D564" t="s">
        <v>1911</v>
      </c>
      <c r="E564" t="s">
        <v>2174</v>
      </c>
      <c r="F564" t="s">
        <v>2208</v>
      </c>
      <c r="G564" t="s">
        <v>2209</v>
      </c>
      <c r="H564">
        <v>563</v>
      </c>
      <c r="I564" t="str">
        <f>IF(ISBLANK(Table1[[#This Row],[oid]]),"FALSE","TRUE")</f>
        <v>TRUE</v>
      </c>
      <c r="J564" t="str" cm="1">
        <f t="array" ref="J564">_xlfn.SWITCH(LEFT(Table1[[#This Row],[section]],1), "D", "Demographic", "S", "Social", "E", "Economic", "H", "Housing", "")</f>
        <v>Social</v>
      </c>
      <c r="K564" t="s">
        <v>1915</v>
      </c>
      <c r="L564" t="s">
        <v>1916</v>
      </c>
      <c r="M564" t="str">
        <f>IF(Table1[[#This Row],[used]], _xlfn.CONCAT("🆔 ", Table1[[#This Row],[variable]], ": ",Table1[[#This Row],[alias]]), "")</f>
        <v>🆔 B18106_029E: Female: 65 to 74 years: With a self-care difficulty</v>
      </c>
      <c r="O564" t="s">
        <v>2210</v>
      </c>
      <c r="P564" t="s">
        <v>2178</v>
      </c>
      <c r="Q564" t="s">
        <v>41</v>
      </c>
      <c r="R564" t="s">
        <v>2211</v>
      </c>
      <c r="S564" t="b">
        <v>0</v>
      </c>
      <c r="T564" t="b">
        <v>0</v>
      </c>
      <c r="U564" t="b">
        <v>1</v>
      </c>
      <c r="V564" t="b">
        <v>1</v>
      </c>
      <c r="W564" t="b">
        <v>1</v>
      </c>
      <c r="X564" t="b">
        <v>1</v>
      </c>
      <c r="Y564" t="b">
        <v>1</v>
      </c>
      <c r="Z564" t="b">
        <v>1</v>
      </c>
      <c r="AA564" t="b">
        <v>1</v>
      </c>
      <c r="AB564" t="b">
        <v>1</v>
      </c>
      <c r="AC564" t="b">
        <v>1</v>
      </c>
      <c r="AD564" t="b">
        <v>1</v>
      </c>
      <c r="AE564" t="b">
        <v>1</v>
      </c>
      <c r="AF564" t="b">
        <v>1</v>
      </c>
      <c r="AG564" t="b">
        <v>1</v>
      </c>
    </row>
    <row r="565" spans="1:33" x14ac:dyDescent="0.25">
      <c r="A565" t="s">
        <v>972</v>
      </c>
      <c r="B565">
        <v>13</v>
      </c>
      <c r="C565" t="b">
        <v>0</v>
      </c>
      <c r="D565" t="s">
        <v>1911</v>
      </c>
      <c r="E565" t="s">
        <v>2174</v>
      </c>
      <c r="F565" t="s">
        <v>2212</v>
      </c>
      <c r="G565" t="s">
        <v>2213</v>
      </c>
      <c r="H565">
        <v>564</v>
      </c>
      <c r="I565" t="str">
        <f>IF(ISBLANK(Table1[[#This Row],[oid]]),"FALSE","TRUE")</f>
        <v>TRUE</v>
      </c>
      <c r="J565" t="str" cm="1">
        <f t="array" ref="J565">_xlfn.SWITCH(LEFT(Table1[[#This Row],[section]],1), "D", "Demographic", "S", "Social", "E", "Economic", "H", "Housing", "")</f>
        <v>Social</v>
      </c>
      <c r="K565" t="s">
        <v>1915</v>
      </c>
      <c r="L565" t="s">
        <v>1916</v>
      </c>
      <c r="M565" t="str">
        <f>IF(Table1[[#This Row],[used]], _xlfn.CONCAT("🆔 ", Table1[[#This Row],[variable]], ": ",Table1[[#This Row],[alias]]), "")</f>
        <v>🆔 B18106_032E: Female: 75 years and over: With a self-care difficulty</v>
      </c>
      <c r="O565" t="s">
        <v>2214</v>
      </c>
      <c r="P565" t="s">
        <v>2178</v>
      </c>
      <c r="Q565" t="s">
        <v>41</v>
      </c>
      <c r="R565" t="s">
        <v>2215</v>
      </c>
      <c r="S565" t="b">
        <v>0</v>
      </c>
      <c r="T565" t="b">
        <v>0</v>
      </c>
      <c r="U565" t="b">
        <v>1</v>
      </c>
      <c r="V565" t="b">
        <v>1</v>
      </c>
      <c r="W565" t="b">
        <v>1</v>
      </c>
      <c r="X565" t="b">
        <v>1</v>
      </c>
      <c r="Y565" t="b">
        <v>1</v>
      </c>
      <c r="Z565" t="b">
        <v>1</v>
      </c>
      <c r="AA565" t="b">
        <v>1</v>
      </c>
      <c r="AB565" t="b">
        <v>1</v>
      </c>
      <c r="AC565" t="b">
        <v>1</v>
      </c>
      <c r="AD565" t="b">
        <v>1</v>
      </c>
      <c r="AE565" t="b">
        <v>1</v>
      </c>
      <c r="AF565" t="b">
        <v>1</v>
      </c>
      <c r="AG565" t="b">
        <v>1</v>
      </c>
    </row>
    <row r="566" spans="1:33" x14ac:dyDescent="0.25">
      <c r="A566" t="s">
        <v>972</v>
      </c>
      <c r="B566">
        <v>13</v>
      </c>
      <c r="C566" t="b">
        <v>0</v>
      </c>
      <c r="D566" t="s">
        <v>1911</v>
      </c>
      <c r="E566" t="s">
        <v>2216</v>
      </c>
      <c r="F566" t="s">
        <v>2217</v>
      </c>
      <c r="G566" t="s">
        <v>2218</v>
      </c>
      <c r="H566">
        <v>565</v>
      </c>
      <c r="I566" t="str">
        <f>IF(ISBLANK(Table1[[#This Row],[oid]]),"FALSE","TRUE")</f>
        <v>TRUE</v>
      </c>
      <c r="J566" t="str" cm="1">
        <f t="array" ref="J566">_xlfn.SWITCH(LEFT(Table1[[#This Row],[section]],1), "D", "Demographic", "S", "Social", "E", "Economic", "H", "Housing", "")</f>
        <v>Social</v>
      </c>
      <c r="K566" t="s">
        <v>1915</v>
      </c>
      <c r="L566" t="s">
        <v>1916</v>
      </c>
      <c r="M566" t="str">
        <f>IF(Table1[[#This Row],[used]], _xlfn.CONCAT("🆔 ", Table1[[#This Row],[variable]], ": ",Table1[[#This Row],[alias]]), "")</f>
        <v>🆔 B18107_004E: Male: 18 to 34 years: With an independent living difficulty</v>
      </c>
      <c r="O566" t="s">
        <v>2219</v>
      </c>
      <c r="P566" t="s">
        <v>2220</v>
      </c>
      <c r="Q566" t="s">
        <v>41</v>
      </c>
      <c r="R566" t="s">
        <v>2221</v>
      </c>
      <c r="S566" t="b">
        <v>0</v>
      </c>
      <c r="T566" t="b">
        <v>0</v>
      </c>
      <c r="U566" t="b">
        <v>1</v>
      </c>
      <c r="V566" t="b">
        <v>1</v>
      </c>
      <c r="W566" t="b">
        <v>1</v>
      </c>
      <c r="X566" t="b">
        <v>1</v>
      </c>
      <c r="Y566" t="b">
        <v>1</v>
      </c>
      <c r="Z566" t="b">
        <v>1</v>
      </c>
      <c r="AA566" t="b">
        <v>1</v>
      </c>
      <c r="AB566" t="b">
        <v>1</v>
      </c>
      <c r="AC566" t="b">
        <v>1</v>
      </c>
      <c r="AD566" t="b">
        <v>1</v>
      </c>
      <c r="AE566" t="b">
        <v>1</v>
      </c>
      <c r="AF566" t="b">
        <v>1</v>
      </c>
      <c r="AG566" t="b">
        <v>1</v>
      </c>
    </row>
    <row r="567" spans="1:33" x14ac:dyDescent="0.25">
      <c r="A567" t="s">
        <v>972</v>
      </c>
      <c r="B567">
        <v>13</v>
      </c>
      <c r="C567" t="b">
        <v>0</v>
      </c>
      <c r="D567" t="s">
        <v>1911</v>
      </c>
      <c r="E567" t="s">
        <v>2216</v>
      </c>
      <c r="F567" t="s">
        <v>2222</v>
      </c>
      <c r="G567" t="s">
        <v>2223</v>
      </c>
      <c r="H567">
        <v>566</v>
      </c>
      <c r="I567" t="str">
        <f>IF(ISBLANK(Table1[[#This Row],[oid]]),"FALSE","TRUE")</f>
        <v>TRUE</v>
      </c>
      <c r="J567" t="str" cm="1">
        <f t="array" ref="J567">_xlfn.SWITCH(LEFT(Table1[[#This Row],[section]],1), "D", "Demographic", "S", "Social", "E", "Economic", "H", "Housing", "")</f>
        <v>Social</v>
      </c>
      <c r="K567" t="s">
        <v>1915</v>
      </c>
      <c r="L567" t="s">
        <v>1916</v>
      </c>
      <c r="M567" t="str">
        <f>IF(Table1[[#This Row],[used]], _xlfn.CONCAT("🆔 ", Table1[[#This Row],[variable]], ": ",Table1[[#This Row],[alias]]), "")</f>
        <v>🆔 B18107_007E: Male: 35 to 64 years: With an independent living difficulty</v>
      </c>
      <c r="O567" t="s">
        <v>2224</v>
      </c>
      <c r="P567" t="s">
        <v>2220</v>
      </c>
      <c r="Q567" t="s">
        <v>41</v>
      </c>
      <c r="R567" t="s">
        <v>2225</v>
      </c>
      <c r="S567" t="b">
        <v>0</v>
      </c>
      <c r="T567" t="b">
        <v>0</v>
      </c>
      <c r="U567" t="b">
        <v>1</v>
      </c>
      <c r="V567" t="b">
        <v>1</v>
      </c>
      <c r="W567" t="b">
        <v>1</v>
      </c>
      <c r="X567" t="b">
        <v>1</v>
      </c>
      <c r="Y567" t="b">
        <v>1</v>
      </c>
      <c r="Z567" t="b">
        <v>1</v>
      </c>
      <c r="AA567" t="b">
        <v>1</v>
      </c>
      <c r="AB567" t="b">
        <v>1</v>
      </c>
      <c r="AC567" t="b">
        <v>1</v>
      </c>
      <c r="AD567" t="b">
        <v>1</v>
      </c>
      <c r="AE567" t="b">
        <v>1</v>
      </c>
      <c r="AF567" t="b">
        <v>1</v>
      </c>
      <c r="AG567" t="b">
        <v>1</v>
      </c>
    </row>
    <row r="568" spans="1:33" x14ac:dyDescent="0.25">
      <c r="A568" t="s">
        <v>972</v>
      </c>
      <c r="B568">
        <v>13</v>
      </c>
      <c r="C568" t="b">
        <v>0</v>
      </c>
      <c r="D568" t="s">
        <v>1911</v>
      </c>
      <c r="E568" t="s">
        <v>2216</v>
      </c>
      <c r="F568" t="s">
        <v>2226</v>
      </c>
      <c r="G568" t="s">
        <v>2227</v>
      </c>
      <c r="H568">
        <v>567</v>
      </c>
      <c r="I568" t="str">
        <f>IF(ISBLANK(Table1[[#This Row],[oid]]),"FALSE","TRUE")</f>
        <v>TRUE</v>
      </c>
      <c r="J568" t="str" cm="1">
        <f t="array" ref="J568">_xlfn.SWITCH(LEFT(Table1[[#This Row],[section]],1), "D", "Demographic", "S", "Social", "E", "Economic", "H", "Housing", "")</f>
        <v>Social</v>
      </c>
      <c r="K568" t="s">
        <v>1915</v>
      </c>
      <c r="L568" t="s">
        <v>1916</v>
      </c>
      <c r="M568" t="str">
        <f>IF(Table1[[#This Row],[used]], _xlfn.CONCAT("🆔 ", Table1[[#This Row],[variable]], ": ",Table1[[#This Row],[alias]]), "")</f>
        <v>🆔 B18107_010E: Male: 65 to 74 years: With an independent living difficulty</v>
      </c>
      <c r="O568" t="s">
        <v>2228</v>
      </c>
      <c r="P568" t="s">
        <v>2220</v>
      </c>
      <c r="Q568" t="s">
        <v>41</v>
      </c>
      <c r="R568" t="s">
        <v>2229</v>
      </c>
      <c r="S568" t="b">
        <v>0</v>
      </c>
      <c r="T568" t="b">
        <v>0</v>
      </c>
      <c r="U568" t="b">
        <v>1</v>
      </c>
      <c r="V568" t="b">
        <v>1</v>
      </c>
      <c r="W568" t="b">
        <v>1</v>
      </c>
      <c r="X568" t="b">
        <v>1</v>
      </c>
      <c r="Y568" t="b">
        <v>1</v>
      </c>
      <c r="Z568" t="b">
        <v>1</v>
      </c>
      <c r="AA568" t="b">
        <v>1</v>
      </c>
      <c r="AB568" t="b">
        <v>1</v>
      </c>
      <c r="AC568" t="b">
        <v>1</v>
      </c>
      <c r="AD568" t="b">
        <v>1</v>
      </c>
      <c r="AE568" t="b">
        <v>1</v>
      </c>
      <c r="AF568" t="b">
        <v>1</v>
      </c>
      <c r="AG568" t="b">
        <v>1</v>
      </c>
    </row>
    <row r="569" spans="1:33" x14ac:dyDescent="0.25">
      <c r="A569" t="s">
        <v>972</v>
      </c>
      <c r="B569">
        <v>13</v>
      </c>
      <c r="C569" t="b">
        <v>0</v>
      </c>
      <c r="D569" t="s">
        <v>1911</v>
      </c>
      <c r="E569" t="s">
        <v>2216</v>
      </c>
      <c r="F569" t="s">
        <v>2230</v>
      </c>
      <c r="G569" t="s">
        <v>2231</v>
      </c>
      <c r="H569">
        <v>568</v>
      </c>
      <c r="I569" t="str">
        <f>IF(ISBLANK(Table1[[#This Row],[oid]]),"FALSE","TRUE")</f>
        <v>TRUE</v>
      </c>
      <c r="J569" t="str" cm="1">
        <f t="array" ref="J569">_xlfn.SWITCH(LEFT(Table1[[#This Row],[section]],1), "D", "Demographic", "S", "Social", "E", "Economic", "H", "Housing", "")</f>
        <v>Social</v>
      </c>
      <c r="K569" t="s">
        <v>1915</v>
      </c>
      <c r="L569" t="s">
        <v>1916</v>
      </c>
      <c r="M569" t="str">
        <f>IF(Table1[[#This Row],[used]], _xlfn.CONCAT("🆔 ", Table1[[#This Row],[variable]], ": ",Table1[[#This Row],[alias]]), "")</f>
        <v>🆔 B18107_013E: Male: 75 years and over: With an independent living difficulty</v>
      </c>
      <c r="O569" t="s">
        <v>2232</v>
      </c>
      <c r="P569" t="s">
        <v>2220</v>
      </c>
      <c r="Q569" t="s">
        <v>41</v>
      </c>
      <c r="R569" t="s">
        <v>2233</v>
      </c>
      <c r="S569" t="b">
        <v>0</v>
      </c>
      <c r="T569" t="b">
        <v>0</v>
      </c>
      <c r="U569" t="b">
        <v>1</v>
      </c>
      <c r="V569" t="b">
        <v>1</v>
      </c>
      <c r="W569" t="b">
        <v>1</v>
      </c>
      <c r="X569" t="b">
        <v>1</v>
      </c>
      <c r="Y569" t="b">
        <v>1</v>
      </c>
      <c r="Z569" t="b">
        <v>1</v>
      </c>
      <c r="AA569" t="b">
        <v>1</v>
      </c>
      <c r="AB569" t="b">
        <v>1</v>
      </c>
      <c r="AC569" t="b">
        <v>1</v>
      </c>
      <c r="AD569" t="b">
        <v>1</v>
      </c>
      <c r="AE569" t="b">
        <v>1</v>
      </c>
      <c r="AF569" t="b">
        <v>1</v>
      </c>
      <c r="AG569" t="b">
        <v>1</v>
      </c>
    </row>
    <row r="570" spans="1:33" x14ac:dyDescent="0.25">
      <c r="A570" t="s">
        <v>972</v>
      </c>
      <c r="B570">
        <v>13</v>
      </c>
      <c r="C570" t="b">
        <v>0</v>
      </c>
      <c r="D570" t="s">
        <v>1911</v>
      </c>
      <c r="E570" t="s">
        <v>2216</v>
      </c>
      <c r="F570" t="s">
        <v>2234</v>
      </c>
      <c r="G570" t="s">
        <v>2235</v>
      </c>
      <c r="H570">
        <v>569</v>
      </c>
      <c r="I570" t="str">
        <f>IF(ISBLANK(Table1[[#This Row],[oid]]),"FALSE","TRUE")</f>
        <v>TRUE</v>
      </c>
      <c r="J570" t="str" cm="1">
        <f t="array" ref="J570">_xlfn.SWITCH(LEFT(Table1[[#This Row],[section]],1), "D", "Demographic", "S", "Social", "E", "Economic", "H", "Housing", "")</f>
        <v>Social</v>
      </c>
      <c r="K570" t="s">
        <v>1915</v>
      </c>
      <c r="L570" t="s">
        <v>1916</v>
      </c>
      <c r="M570" t="str">
        <f>IF(Table1[[#This Row],[used]], _xlfn.CONCAT("🆔 ", Table1[[#This Row],[variable]], ": ",Table1[[#This Row],[alias]]), "")</f>
        <v>🆔 B18107_017E: Female: 18 to 34 years: With an independent living difficulty</v>
      </c>
      <c r="O570" t="s">
        <v>2236</v>
      </c>
      <c r="P570" t="s">
        <v>2220</v>
      </c>
      <c r="Q570" t="s">
        <v>41</v>
      </c>
      <c r="R570" t="s">
        <v>2237</v>
      </c>
      <c r="S570" t="b">
        <v>0</v>
      </c>
      <c r="T570" t="b">
        <v>0</v>
      </c>
      <c r="U570" t="b">
        <v>1</v>
      </c>
      <c r="V570" t="b">
        <v>1</v>
      </c>
      <c r="W570" t="b">
        <v>1</v>
      </c>
      <c r="X570" t="b">
        <v>1</v>
      </c>
      <c r="Y570" t="b">
        <v>1</v>
      </c>
      <c r="Z570" t="b">
        <v>1</v>
      </c>
      <c r="AA570" t="b">
        <v>1</v>
      </c>
      <c r="AB570" t="b">
        <v>1</v>
      </c>
      <c r="AC570" t="b">
        <v>1</v>
      </c>
      <c r="AD570" t="b">
        <v>1</v>
      </c>
      <c r="AE570" t="b">
        <v>1</v>
      </c>
      <c r="AF570" t="b">
        <v>1</v>
      </c>
      <c r="AG570" t="b">
        <v>1</v>
      </c>
    </row>
    <row r="571" spans="1:33" x14ac:dyDescent="0.25">
      <c r="A571" t="s">
        <v>972</v>
      </c>
      <c r="B571">
        <v>13</v>
      </c>
      <c r="C571" t="b">
        <v>0</v>
      </c>
      <c r="D571" t="s">
        <v>1911</v>
      </c>
      <c r="E571" t="s">
        <v>2216</v>
      </c>
      <c r="F571" t="s">
        <v>2238</v>
      </c>
      <c r="G571" t="s">
        <v>2239</v>
      </c>
      <c r="H571">
        <v>570</v>
      </c>
      <c r="I571" t="str">
        <f>IF(ISBLANK(Table1[[#This Row],[oid]]),"FALSE","TRUE")</f>
        <v>TRUE</v>
      </c>
      <c r="J571" t="str" cm="1">
        <f t="array" ref="J571">_xlfn.SWITCH(LEFT(Table1[[#This Row],[section]],1), "D", "Demographic", "S", "Social", "E", "Economic", "H", "Housing", "")</f>
        <v>Social</v>
      </c>
      <c r="K571" t="s">
        <v>1915</v>
      </c>
      <c r="L571" t="s">
        <v>1916</v>
      </c>
      <c r="M571" t="str">
        <f>IF(Table1[[#This Row],[used]], _xlfn.CONCAT("🆔 ", Table1[[#This Row],[variable]], ": ",Table1[[#This Row],[alias]]), "")</f>
        <v>🆔 B18107_020E: Female: 35 to 64 years: With an independent living difficulty</v>
      </c>
      <c r="O571" t="s">
        <v>2240</v>
      </c>
      <c r="P571" t="s">
        <v>2220</v>
      </c>
      <c r="Q571" t="s">
        <v>41</v>
      </c>
      <c r="R571" t="s">
        <v>2241</v>
      </c>
      <c r="S571" t="b">
        <v>0</v>
      </c>
      <c r="T571" t="b">
        <v>0</v>
      </c>
      <c r="U571" t="b">
        <v>1</v>
      </c>
      <c r="V571" t="b">
        <v>1</v>
      </c>
      <c r="W571" t="b">
        <v>1</v>
      </c>
      <c r="X571" t="b">
        <v>1</v>
      </c>
      <c r="Y571" t="b">
        <v>1</v>
      </c>
      <c r="Z571" t="b">
        <v>1</v>
      </c>
      <c r="AA571" t="b">
        <v>1</v>
      </c>
      <c r="AB571" t="b">
        <v>1</v>
      </c>
      <c r="AC571" t="b">
        <v>1</v>
      </c>
      <c r="AD571" t="b">
        <v>1</v>
      </c>
      <c r="AE571" t="b">
        <v>1</v>
      </c>
      <c r="AF571" t="b">
        <v>1</v>
      </c>
      <c r="AG571" t="b">
        <v>1</v>
      </c>
    </row>
    <row r="572" spans="1:33" x14ac:dyDescent="0.25">
      <c r="A572" t="s">
        <v>972</v>
      </c>
      <c r="B572">
        <v>13</v>
      </c>
      <c r="C572" t="b">
        <v>0</v>
      </c>
      <c r="D572" t="s">
        <v>1911</v>
      </c>
      <c r="E572" t="s">
        <v>2216</v>
      </c>
      <c r="F572" t="s">
        <v>2242</v>
      </c>
      <c r="G572" t="s">
        <v>2243</v>
      </c>
      <c r="H572">
        <v>571</v>
      </c>
      <c r="I572" t="str">
        <f>IF(ISBLANK(Table1[[#This Row],[oid]]),"FALSE","TRUE")</f>
        <v>TRUE</v>
      </c>
      <c r="J572" t="str" cm="1">
        <f t="array" ref="J572">_xlfn.SWITCH(LEFT(Table1[[#This Row],[section]],1), "D", "Demographic", "S", "Social", "E", "Economic", "H", "Housing", "")</f>
        <v>Social</v>
      </c>
      <c r="K572" t="s">
        <v>1915</v>
      </c>
      <c r="L572" t="s">
        <v>1916</v>
      </c>
      <c r="M572" t="str">
        <f>IF(Table1[[#This Row],[used]], _xlfn.CONCAT("🆔 ", Table1[[#This Row],[variable]], ": ",Table1[[#This Row],[alias]]), "")</f>
        <v>🆔 B18107_023E: Female: 65 to 74 years: With an independent living difficulty</v>
      </c>
      <c r="O572" t="s">
        <v>2244</v>
      </c>
      <c r="P572" t="s">
        <v>2220</v>
      </c>
      <c r="Q572" t="s">
        <v>41</v>
      </c>
      <c r="R572" t="s">
        <v>2245</v>
      </c>
      <c r="S572" t="b">
        <v>0</v>
      </c>
      <c r="T572" t="b">
        <v>0</v>
      </c>
      <c r="U572" t="b">
        <v>1</v>
      </c>
      <c r="V572" t="b">
        <v>1</v>
      </c>
      <c r="W572" t="b">
        <v>1</v>
      </c>
      <c r="X572" t="b">
        <v>1</v>
      </c>
      <c r="Y572" t="b">
        <v>1</v>
      </c>
      <c r="Z572" t="b">
        <v>1</v>
      </c>
      <c r="AA572" t="b">
        <v>1</v>
      </c>
      <c r="AB572" t="b">
        <v>1</v>
      </c>
      <c r="AC572" t="b">
        <v>1</v>
      </c>
      <c r="AD572" t="b">
        <v>1</v>
      </c>
      <c r="AE572" t="b">
        <v>1</v>
      </c>
      <c r="AF572" t="b">
        <v>1</v>
      </c>
      <c r="AG572" t="b">
        <v>1</v>
      </c>
    </row>
    <row r="573" spans="1:33" x14ac:dyDescent="0.25">
      <c r="A573" t="s">
        <v>972</v>
      </c>
      <c r="B573">
        <v>13</v>
      </c>
      <c r="C573" t="b">
        <v>0</v>
      </c>
      <c r="D573" t="s">
        <v>1911</v>
      </c>
      <c r="E573" t="s">
        <v>2216</v>
      </c>
      <c r="F573" t="s">
        <v>2246</v>
      </c>
      <c r="G573" t="s">
        <v>2247</v>
      </c>
      <c r="H573">
        <v>572</v>
      </c>
      <c r="I573" t="str">
        <f>IF(ISBLANK(Table1[[#This Row],[oid]]),"FALSE","TRUE")</f>
        <v>TRUE</v>
      </c>
      <c r="J573" t="str" cm="1">
        <f t="array" ref="J573">_xlfn.SWITCH(LEFT(Table1[[#This Row],[section]],1), "D", "Demographic", "S", "Social", "E", "Economic", "H", "Housing", "")</f>
        <v>Social</v>
      </c>
      <c r="K573" t="s">
        <v>1915</v>
      </c>
      <c r="L573" t="s">
        <v>1916</v>
      </c>
      <c r="M573" t="str">
        <f>IF(Table1[[#This Row],[used]], _xlfn.CONCAT("🆔 ", Table1[[#This Row],[variable]], ": ",Table1[[#This Row],[alias]]), "")</f>
        <v>🆔 B18107_026E: Female: 75 years and over: With an independent living difficulty</v>
      </c>
      <c r="O573" t="s">
        <v>2248</v>
      </c>
      <c r="P573" t="s">
        <v>2220</v>
      </c>
      <c r="Q573" t="s">
        <v>41</v>
      </c>
      <c r="R573" t="s">
        <v>2249</v>
      </c>
      <c r="S573" t="b">
        <v>0</v>
      </c>
      <c r="T573" t="b">
        <v>0</v>
      </c>
      <c r="U573" t="b">
        <v>1</v>
      </c>
      <c r="V573" t="b">
        <v>1</v>
      </c>
      <c r="W573" t="b">
        <v>1</v>
      </c>
      <c r="X573" t="b">
        <v>1</v>
      </c>
      <c r="Y573" t="b">
        <v>1</v>
      </c>
      <c r="Z573" t="b">
        <v>1</v>
      </c>
      <c r="AA573" t="b">
        <v>1</v>
      </c>
      <c r="AB573" t="b">
        <v>1</v>
      </c>
      <c r="AC573" t="b">
        <v>1</v>
      </c>
      <c r="AD573" t="b">
        <v>1</v>
      </c>
      <c r="AE573" t="b">
        <v>1</v>
      </c>
      <c r="AF573" t="b">
        <v>1</v>
      </c>
      <c r="AG573" t="b">
        <v>1</v>
      </c>
    </row>
    <row r="574" spans="1:33" x14ac:dyDescent="0.25">
      <c r="A574" t="s">
        <v>2250</v>
      </c>
      <c r="B574">
        <v>5</v>
      </c>
      <c r="C574" t="b">
        <v>0</v>
      </c>
      <c r="D574" t="s">
        <v>1911</v>
      </c>
      <c r="E574" t="s">
        <v>2251</v>
      </c>
      <c r="F574" t="s">
        <v>2252</v>
      </c>
      <c r="G574" t="s">
        <v>2253</v>
      </c>
      <c r="H574">
        <v>573</v>
      </c>
      <c r="I574" t="str">
        <f>IF(ISBLANK(Table1[[#This Row],[oid]]),"FALSE","TRUE")</f>
        <v>TRUE</v>
      </c>
      <c r="J574" t="str" cm="1">
        <f t="array" ref="J574">_xlfn.SWITCH(LEFT(Table1[[#This Row],[section]],1), "D", "Demographic", "S", "Social", "E", "Economic", "H", "Housing", "")</f>
        <v>Social</v>
      </c>
      <c r="K574" t="s">
        <v>2254</v>
      </c>
      <c r="L574" s="1" t="s">
        <v>2255</v>
      </c>
      <c r="M574" t="str">
        <f>IF(Table1[[#This Row],[used]], _xlfn.CONCAT("🆔 ", Table1[[#This Row],[variable]], ": ",Table1[[#This Row],[alias]]), "")</f>
        <v>🆔 B18135_003E: Under 18 years: With a disability</v>
      </c>
      <c r="O574" t="s">
        <v>2256</v>
      </c>
      <c r="P574" t="s">
        <v>2257</v>
      </c>
      <c r="Q574" t="s">
        <v>41</v>
      </c>
      <c r="R574" t="s">
        <v>2258</v>
      </c>
      <c r="S574" t="b">
        <v>0</v>
      </c>
      <c r="T574" t="b">
        <v>0</v>
      </c>
      <c r="U574" t="b">
        <v>1</v>
      </c>
      <c r="V574" t="b">
        <v>1</v>
      </c>
      <c r="W574" t="b">
        <v>1</v>
      </c>
      <c r="X574" t="b">
        <v>1</v>
      </c>
      <c r="Y574" t="b">
        <v>1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</row>
    <row r="575" spans="1:33" x14ac:dyDescent="0.25">
      <c r="A575" t="s">
        <v>2259</v>
      </c>
      <c r="B575">
        <v>8</v>
      </c>
      <c r="C575" t="b">
        <v>0</v>
      </c>
      <c r="D575" t="s">
        <v>1911</v>
      </c>
      <c r="E575" t="s">
        <v>2251</v>
      </c>
      <c r="F575" t="s">
        <v>2252</v>
      </c>
      <c r="G575" t="s">
        <v>2260</v>
      </c>
      <c r="H575">
        <v>574</v>
      </c>
      <c r="I575" t="str">
        <f>IF(ISBLANK(Table1[[#This Row],[oid]]),"FALSE","TRUE")</f>
        <v>TRUE</v>
      </c>
      <c r="J575" t="str" cm="1">
        <f t="array" ref="J575">_xlfn.SWITCH(LEFT(Table1[[#This Row],[section]],1), "D", "Demographic", "S", "Social", "E", "Economic", "H", "Housing", "")</f>
        <v>Social</v>
      </c>
      <c r="K575" t="s">
        <v>2254</v>
      </c>
      <c r="L575" s="1" t="s">
        <v>2255</v>
      </c>
      <c r="M575" t="str">
        <f>IF(Table1[[#This Row],[used]], _xlfn.CONCAT("🆔 ", Table1[[#This Row],[variable]], ": ",Table1[[#This Row],[alias]]), "")</f>
        <v>🆔 B18135_003E: Under 19 years: With a disability</v>
      </c>
      <c r="O575" t="s">
        <v>2261</v>
      </c>
      <c r="P575" t="s">
        <v>2257</v>
      </c>
      <c r="Q575" t="s">
        <v>41</v>
      </c>
      <c r="R575" t="s">
        <v>2258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1</v>
      </c>
      <c r="AA575" t="b">
        <v>1</v>
      </c>
      <c r="AB575" t="b">
        <v>1</v>
      </c>
      <c r="AC575" t="b">
        <v>1</v>
      </c>
      <c r="AD575" t="b">
        <v>1</v>
      </c>
      <c r="AE575" t="b">
        <v>1</v>
      </c>
      <c r="AF575" t="b">
        <v>1</v>
      </c>
      <c r="AG575" t="b">
        <v>1</v>
      </c>
    </row>
    <row r="576" spans="1:33" x14ac:dyDescent="0.25">
      <c r="A576" t="s">
        <v>2250</v>
      </c>
      <c r="B576">
        <v>5</v>
      </c>
      <c r="C576" t="b">
        <v>0</v>
      </c>
      <c r="D576" t="s">
        <v>1911</v>
      </c>
      <c r="E576" t="s">
        <v>2251</v>
      </c>
      <c r="F576" t="s">
        <v>2262</v>
      </c>
      <c r="G576" t="s">
        <v>2263</v>
      </c>
      <c r="H576">
        <v>575</v>
      </c>
      <c r="I576" t="str">
        <f>IF(ISBLANK(Table1[[#This Row],[oid]]),"FALSE","TRUE")</f>
        <v>TRUE</v>
      </c>
      <c r="J576" t="str" cm="1">
        <f t="array" ref="J576">_xlfn.SWITCH(LEFT(Table1[[#This Row],[section]],1), "D", "Demographic", "S", "Social", "E", "Economic", "H", "Housing", "")</f>
        <v>Social</v>
      </c>
      <c r="K576" t="s">
        <v>2254</v>
      </c>
      <c r="L576" s="1" t="s">
        <v>2255</v>
      </c>
      <c r="M576" t="str">
        <f>IF(Table1[[#This Row],[used]], _xlfn.CONCAT("🆔 ", Table1[[#This Row],[variable]], ": ",Table1[[#This Row],[alias]]), "")</f>
        <v>🆔 B18135_004E: Under 18 years: With a disability: With health insurance coverage</v>
      </c>
      <c r="O576" t="s">
        <v>2264</v>
      </c>
      <c r="P576" t="s">
        <v>2257</v>
      </c>
      <c r="Q576" t="s">
        <v>41</v>
      </c>
      <c r="R576" t="s">
        <v>2265</v>
      </c>
      <c r="S576" t="b">
        <v>0</v>
      </c>
      <c r="T576" t="b">
        <v>0</v>
      </c>
      <c r="U576" t="b">
        <v>1</v>
      </c>
      <c r="V576" t="b">
        <v>1</v>
      </c>
      <c r="W576" t="b">
        <v>1</v>
      </c>
      <c r="X576" t="b">
        <v>1</v>
      </c>
      <c r="Y576" t="b">
        <v>1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</row>
    <row r="577" spans="1:33" x14ac:dyDescent="0.25">
      <c r="A577" t="s">
        <v>2259</v>
      </c>
      <c r="B577">
        <v>8</v>
      </c>
      <c r="C577" t="b">
        <v>0</v>
      </c>
      <c r="D577" t="s">
        <v>1911</v>
      </c>
      <c r="E577" t="s">
        <v>2251</v>
      </c>
      <c r="F577" t="s">
        <v>2262</v>
      </c>
      <c r="G577" t="s">
        <v>2266</v>
      </c>
      <c r="H577">
        <v>576</v>
      </c>
      <c r="I577" t="str">
        <f>IF(ISBLANK(Table1[[#This Row],[oid]]),"FALSE","TRUE")</f>
        <v>TRUE</v>
      </c>
      <c r="J577" t="str" cm="1">
        <f t="array" ref="J577">_xlfn.SWITCH(LEFT(Table1[[#This Row],[section]],1), "D", "Demographic", "S", "Social", "E", "Economic", "H", "Housing", "")</f>
        <v>Social</v>
      </c>
      <c r="K577" t="s">
        <v>2254</v>
      </c>
      <c r="L577" s="1" t="s">
        <v>2255</v>
      </c>
      <c r="M577" t="str">
        <f>IF(Table1[[#This Row],[used]], _xlfn.CONCAT("🆔 ", Table1[[#This Row],[variable]], ": ",Table1[[#This Row],[alias]]), "")</f>
        <v>🆔 B18135_004E: Under 19 years: With a disability: With health insurance coverage</v>
      </c>
      <c r="O577" t="s">
        <v>2267</v>
      </c>
      <c r="P577" t="s">
        <v>2257</v>
      </c>
      <c r="Q577" t="s">
        <v>41</v>
      </c>
      <c r="R577" t="s">
        <v>2265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1</v>
      </c>
      <c r="AA577" t="b">
        <v>1</v>
      </c>
      <c r="AB577" t="b">
        <v>1</v>
      </c>
      <c r="AC577" t="b">
        <v>1</v>
      </c>
      <c r="AD577" t="b">
        <v>1</v>
      </c>
      <c r="AE577" t="b">
        <v>1</v>
      </c>
      <c r="AF577" t="b">
        <v>1</v>
      </c>
      <c r="AG577" t="b">
        <v>1</v>
      </c>
    </row>
    <row r="578" spans="1:33" x14ac:dyDescent="0.25">
      <c r="A578" t="s">
        <v>2250</v>
      </c>
      <c r="B578">
        <v>5</v>
      </c>
      <c r="C578" t="b">
        <v>0</v>
      </c>
      <c r="D578" t="s">
        <v>1911</v>
      </c>
      <c r="E578" t="s">
        <v>2251</v>
      </c>
      <c r="F578" t="s">
        <v>2268</v>
      </c>
      <c r="G578" t="s">
        <v>2269</v>
      </c>
      <c r="H578">
        <v>577</v>
      </c>
      <c r="I578" t="str">
        <f>IF(ISBLANK(Table1[[#This Row],[oid]]),"FALSE","TRUE")</f>
        <v>TRUE</v>
      </c>
      <c r="J578" t="str" cm="1">
        <f t="array" ref="J578">_xlfn.SWITCH(LEFT(Table1[[#This Row],[section]],1), "D", "Demographic", "S", "Social", "E", "Economic", "H", "Housing", "")</f>
        <v>Social</v>
      </c>
      <c r="K578" t="s">
        <v>2254</v>
      </c>
      <c r="L578" s="1" t="s">
        <v>2255</v>
      </c>
      <c r="M578" t="str">
        <f>IF(Table1[[#This Row],[used]], _xlfn.CONCAT("🆔 ", Table1[[#This Row],[variable]], ": ",Table1[[#This Row],[alias]]), "")</f>
        <v>🆔 B18135_005E: Under 18 years: With a disability: With health insurance coverage: With private health insurance coverage</v>
      </c>
      <c r="O578" t="s">
        <v>2270</v>
      </c>
      <c r="P578" t="s">
        <v>2257</v>
      </c>
      <c r="Q578" t="s">
        <v>41</v>
      </c>
      <c r="R578" t="s">
        <v>2271</v>
      </c>
      <c r="S578" t="b">
        <v>0</v>
      </c>
      <c r="T578" t="b">
        <v>0</v>
      </c>
      <c r="U578" t="b">
        <v>1</v>
      </c>
      <c r="V578" t="b">
        <v>1</v>
      </c>
      <c r="W578" t="b">
        <v>1</v>
      </c>
      <c r="X578" t="b">
        <v>1</v>
      </c>
      <c r="Y578" t="b">
        <v>1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</row>
    <row r="579" spans="1:33" x14ac:dyDescent="0.25">
      <c r="A579" t="s">
        <v>2259</v>
      </c>
      <c r="B579">
        <v>8</v>
      </c>
      <c r="C579" t="b">
        <v>0</v>
      </c>
      <c r="D579" t="s">
        <v>1911</v>
      </c>
      <c r="E579" t="s">
        <v>2251</v>
      </c>
      <c r="F579" t="s">
        <v>2268</v>
      </c>
      <c r="G579" t="s">
        <v>2272</v>
      </c>
      <c r="H579">
        <v>578</v>
      </c>
      <c r="I579" t="str">
        <f>IF(ISBLANK(Table1[[#This Row],[oid]]),"FALSE","TRUE")</f>
        <v>TRUE</v>
      </c>
      <c r="J579" t="str" cm="1">
        <f t="array" ref="J579">_xlfn.SWITCH(LEFT(Table1[[#This Row],[section]],1), "D", "Demographic", "S", "Social", "E", "Economic", "H", "Housing", "")</f>
        <v>Social</v>
      </c>
      <c r="K579" t="s">
        <v>2254</v>
      </c>
      <c r="L579" s="1" t="s">
        <v>2255</v>
      </c>
      <c r="M579" t="str">
        <f>IF(Table1[[#This Row],[used]], _xlfn.CONCAT("🆔 ", Table1[[#This Row],[variable]], ": ",Table1[[#This Row],[alias]]), "")</f>
        <v>🆔 B18135_005E: Under 19 years: With a disability: With health insurance coverage: With private health insurance coverage</v>
      </c>
      <c r="O579" t="s">
        <v>2273</v>
      </c>
      <c r="P579" t="s">
        <v>2257</v>
      </c>
      <c r="Q579" t="s">
        <v>41</v>
      </c>
      <c r="R579" t="s">
        <v>2271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1</v>
      </c>
      <c r="AA579" t="b">
        <v>1</v>
      </c>
      <c r="AB579" t="b">
        <v>1</v>
      </c>
      <c r="AC579" t="b">
        <v>1</v>
      </c>
      <c r="AD579" t="b">
        <v>1</v>
      </c>
      <c r="AE579" t="b">
        <v>1</v>
      </c>
      <c r="AF579" t="b">
        <v>1</v>
      </c>
      <c r="AG579" t="b">
        <v>1</v>
      </c>
    </row>
    <row r="580" spans="1:33" x14ac:dyDescent="0.25">
      <c r="A580" t="s">
        <v>2250</v>
      </c>
      <c r="B580">
        <v>5</v>
      </c>
      <c r="C580" t="b">
        <v>0</v>
      </c>
      <c r="D580" t="s">
        <v>1911</v>
      </c>
      <c r="E580" t="s">
        <v>2251</v>
      </c>
      <c r="F580" t="s">
        <v>2274</v>
      </c>
      <c r="G580" t="s">
        <v>2275</v>
      </c>
      <c r="H580">
        <v>579</v>
      </c>
      <c r="I580" t="str">
        <f>IF(ISBLANK(Table1[[#This Row],[oid]]),"FALSE","TRUE")</f>
        <v>TRUE</v>
      </c>
      <c r="J580" t="str" cm="1">
        <f t="array" ref="J580">_xlfn.SWITCH(LEFT(Table1[[#This Row],[section]],1), "D", "Demographic", "S", "Social", "E", "Economic", "H", "Housing", "")</f>
        <v>Social</v>
      </c>
      <c r="K580" t="s">
        <v>2254</v>
      </c>
      <c r="L580" s="1" t="s">
        <v>2255</v>
      </c>
      <c r="M580" t="str">
        <f>IF(Table1[[#This Row],[used]], _xlfn.CONCAT("🆔 ", Table1[[#This Row],[variable]], ": ",Table1[[#This Row],[alias]]), "")</f>
        <v>🆔 B18135_006E: Under 18 years: With a disability: With health insurance coverage: With public health coverage</v>
      </c>
      <c r="O580" t="s">
        <v>2276</v>
      </c>
      <c r="P580" t="s">
        <v>2257</v>
      </c>
      <c r="Q580" t="s">
        <v>41</v>
      </c>
      <c r="R580" t="s">
        <v>2277</v>
      </c>
      <c r="S580" t="b">
        <v>0</v>
      </c>
      <c r="T580" t="b">
        <v>0</v>
      </c>
      <c r="U580" t="b">
        <v>1</v>
      </c>
      <c r="V580" t="b">
        <v>1</v>
      </c>
      <c r="W580" t="b">
        <v>1</v>
      </c>
      <c r="X580" t="b">
        <v>1</v>
      </c>
      <c r="Y580" t="b">
        <v>1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</row>
    <row r="581" spans="1:33" x14ac:dyDescent="0.25">
      <c r="A581" t="s">
        <v>2259</v>
      </c>
      <c r="B581">
        <v>8</v>
      </c>
      <c r="C581" t="b">
        <v>0</v>
      </c>
      <c r="D581" t="s">
        <v>1911</v>
      </c>
      <c r="E581" t="s">
        <v>2251</v>
      </c>
      <c r="F581" t="s">
        <v>2274</v>
      </c>
      <c r="G581" t="s">
        <v>2278</v>
      </c>
      <c r="H581">
        <v>580</v>
      </c>
      <c r="I581" t="str">
        <f>IF(ISBLANK(Table1[[#This Row],[oid]]),"FALSE","TRUE")</f>
        <v>TRUE</v>
      </c>
      <c r="J581" t="str" cm="1">
        <f t="array" ref="J581">_xlfn.SWITCH(LEFT(Table1[[#This Row],[section]],1), "D", "Demographic", "S", "Social", "E", "Economic", "H", "Housing", "")</f>
        <v>Social</v>
      </c>
      <c r="K581" t="s">
        <v>2254</v>
      </c>
      <c r="L581" s="1" t="s">
        <v>2255</v>
      </c>
      <c r="M581" t="str">
        <f>IF(Table1[[#This Row],[used]], _xlfn.CONCAT("🆔 ", Table1[[#This Row],[variable]], ": ",Table1[[#This Row],[alias]]), "")</f>
        <v>🆔 B18135_006E: Under 19 years: With a disability: With health insurance coverage: With public health coverage</v>
      </c>
      <c r="O581" t="s">
        <v>2279</v>
      </c>
      <c r="P581" t="s">
        <v>2257</v>
      </c>
      <c r="Q581" t="s">
        <v>41</v>
      </c>
      <c r="R581" t="s">
        <v>2277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1</v>
      </c>
      <c r="AA581" t="b">
        <v>1</v>
      </c>
      <c r="AB581" t="b">
        <v>1</v>
      </c>
      <c r="AC581" t="b">
        <v>1</v>
      </c>
      <c r="AD581" t="b">
        <v>1</v>
      </c>
      <c r="AE581" t="b">
        <v>1</v>
      </c>
      <c r="AF581" t="b">
        <v>1</v>
      </c>
      <c r="AG581" t="b">
        <v>1</v>
      </c>
    </row>
    <row r="582" spans="1:33" x14ac:dyDescent="0.25">
      <c r="A582" t="s">
        <v>2250</v>
      </c>
      <c r="B582">
        <v>5</v>
      </c>
      <c r="C582" t="b">
        <v>0</v>
      </c>
      <c r="D582" t="s">
        <v>1911</v>
      </c>
      <c r="E582" t="s">
        <v>2251</v>
      </c>
      <c r="F582" t="s">
        <v>2280</v>
      </c>
      <c r="G582" t="s">
        <v>2281</v>
      </c>
      <c r="H582">
        <v>581</v>
      </c>
      <c r="I582" t="str">
        <f>IF(ISBLANK(Table1[[#This Row],[oid]]),"FALSE","TRUE")</f>
        <v>TRUE</v>
      </c>
      <c r="J582" t="str" cm="1">
        <f t="array" ref="J582">_xlfn.SWITCH(LEFT(Table1[[#This Row],[section]],1), "D", "Demographic", "S", "Social", "E", "Economic", "H", "Housing", "")</f>
        <v>Social</v>
      </c>
      <c r="K582" t="s">
        <v>2254</v>
      </c>
      <c r="L582" s="1" t="s">
        <v>2255</v>
      </c>
      <c r="M582" t="str">
        <f>IF(Table1[[#This Row],[used]], _xlfn.CONCAT("🆔 ", Table1[[#This Row],[variable]], ": ",Table1[[#This Row],[alias]]), "")</f>
        <v>🆔 B18135_007E: Under 18 years: With a disability: No health insurance coverage</v>
      </c>
      <c r="O582" t="s">
        <v>2282</v>
      </c>
      <c r="P582" t="s">
        <v>2257</v>
      </c>
      <c r="Q582" t="s">
        <v>41</v>
      </c>
      <c r="R582" t="s">
        <v>2283</v>
      </c>
      <c r="S582" t="b">
        <v>0</v>
      </c>
      <c r="T582" t="b">
        <v>0</v>
      </c>
      <c r="U582" t="b">
        <v>1</v>
      </c>
      <c r="V582" t="b">
        <v>1</v>
      </c>
      <c r="W582" t="b">
        <v>1</v>
      </c>
      <c r="X582" t="b">
        <v>1</v>
      </c>
      <c r="Y582" t="b">
        <v>1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</row>
    <row r="583" spans="1:33" x14ac:dyDescent="0.25">
      <c r="A583" t="s">
        <v>2259</v>
      </c>
      <c r="B583">
        <v>8</v>
      </c>
      <c r="C583" t="b">
        <v>0</v>
      </c>
      <c r="D583" t="s">
        <v>1911</v>
      </c>
      <c r="E583" t="s">
        <v>2251</v>
      </c>
      <c r="F583" t="s">
        <v>2280</v>
      </c>
      <c r="G583" t="s">
        <v>2284</v>
      </c>
      <c r="H583">
        <v>582</v>
      </c>
      <c r="I583" t="str">
        <f>IF(ISBLANK(Table1[[#This Row],[oid]]),"FALSE","TRUE")</f>
        <v>TRUE</v>
      </c>
      <c r="J583" t="str" cm="1">
        <f t="array" ref="J583">_xlfn.SWITCH(LEFT(Table1[[#This Row],[section]],1), "D", "Demographic", "S", "Social", "E", "Economic", "H", "Housing", "")</f>
        <v>Social</v>
      </c>
      <c r="K583" t="s">
        <v>2254</v>
      </c>
      <c r="L583" s="1" t="s">
        <v>2255</v>
      </c>
      <c r="M583" t="str">
        <f>IF(Table1[[#This Row],[used]], _xlfn.CONCAT("🆔 ", Table1[[#This Row],[variable]], ": ",Table1[[#This Row],[alias]]), "")</f>
        <v>🆔 B18135_007E: Under 19 years: With a disability: No health insurance coverage</v>
      </c>
      <c r="O583" t="s">
        <v>2285</v>
      </c>
      <c r="P583" t="s">
        <v>2257</v>
      </c>
      <c r="Q583" t="s">
        <v>41</v>
      </c>
      <c r="R583" t="s">
        <v>2283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1</v>
      </c>
      <c r="AA583" t="b">
        <v>1</v>
      </c>
      <c r="AB583" t="b">
        <v>1</v>
      </c>
      <c r="AC583" t="b">
        <v>1</v>
      </c>
      <c r="AD583" t="b">
        <v>1</v>
      </c>
      <c r="AE583" t="b">
        <v>1</v>
      </c>
      <c r="AF583" t="b">
        <v>1</v>
      </c>
      <c r="AG583" t="b">
        <v>1</v>
      </c>
    </row>
    <row r="584" spans="1:33" x14ac:dyDescent="0.25">
      <c r="A584" t="s">
        <v>2250</v>
      </c>
      <c r="B584">
        <v>5</v>
      </c>
      <c r="C584" t="b">
        <v>0</v>
      </c>
      <c r="D584" t="s">
        <v>1911</v>
      </c>
      <c r="E584" t="s">
        <v>2251</v>
      </c>
      <c r="F584" t="s">
        <v>2286</v>
      </c>
      <c r="G584" t="s">
        <v>2287</v>
      </c>
      <c r="H584">
        <v>583</v>
      </c>
      <c r="I584" t="str">
        <f>IF(ISBLANK(Table1[[#This Row],[oid]]),"FALSE","TRUE")</f>
        <v>TRUE</v>
      </c>
      <c r="J584" t="str" cm="1">
        <f t="array" ref="J584">_xlfn.SWITCH(LEFT(Table1[[#This Row],[section]],1), "D", "Demographic", "S", "Social", "E", "Economic", "H", "Housing", "")</f>
        <v>Social</v>
      </c>
      <c r="K584" t="s">
        <v>2254</v>
      </c>
      <c r="L584" s="1" t="s">
        <v>2255</v>
      </c>
      <c r="M584" t="str">
        <f>IF(Table1[[#This Row],[used]], _xlfn.CONCAT("🆔 ", Table1[[#This Row],[variable]], ": ",Table1[[#This Row],[alias]]), "")</f>
        <v>🆔 B18135_008E: Under 18 years: No disability</v>
      </c>
      <c r="O584" t="s">
        <v>2288</v>
      </c>
      <c r="P584" t="s">
        <v>2257</v>
      </c>
      <c r="Q584" t="s">
        <v>41</v>
      </c>
      <c r="R584" t="s">
        <v>2289</v>
      </c>
      <c r="S584" t="b">
        <v>0</v>
      </c>
      <c r="T584" t="b">
        <v>0</v>
      </c>
      <c r="U584" t="b">
        <v>1</v>
      </c>
      <c r="V584" t="b">
        <v>1</v>
      </c>
      <c r="W584" t="b">
        <v>1</v>
      </c>
      <c r="X584" t="b">
        <v>1</v>
      </c>
      <c r="Y584" t="b">
        <v>1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</row>
    <row r="585" spans="1:33" x14ac:dyDescent="0.25">
      <c r="A585" t="s">
        <v>2259</v>
      </c>
      <c r="B585">
        <v>8</v>
      </c>
      <c r="C585" t="b">
        <v>0</v>
      </c>
      <c r="D585" t="s">
        <v>1911</v>
      </c>
      <c r="E585" t="s">
        <v>2251</v>
      </c>
      <c r="F585" t="s">
        <v>2286</v>
      </c>
      <c r="G585" t="s">
        <v>2290</v>
      </c>
      <c r="H585">
        <v>584</v>
      </c>
      <c r="I585" t="str">
        <f>IF(ISBLANK(Table1[[#This Row],[oid]]),"FALSE","TRUE")</f>
        <v>TRUE</v>
      </c>
      <c r="J585" t="str" cm="1">
        <f t="array" ref="J585">_xlfn.SWITCH(LEFT(Table1[[#This Row],[section]],1), "D", "Demographic", "S", "Social", "E", "Economic", "H", "Housing", "")</f>
        <v>Social</v>
      </c>
      <c r="K585" t="s">
        <v>2254</v>
      </c>
      <c r="L585" s="1" t="s">
        <v>2255</v>
      </c>
      <c r="M585" t="str">
        <f>IF(Table1[[#This Row],[used]], _xlfn.CONCAT("🆔 ", Table1[[#This Row],[variable]], ": ",Table1[[#This Row],[alias]]), "")</f>
        <v>🆔 B18135_008E: Under 19 years: No disability</v>
      </c>
      <c r="O585" t="s">
        <v>2291</v>
      </c>
      <c r="P585" t="s">
        <v>2257</v>
      </c>
      <c r="Q585" t="s">
        <v>41</v>
      </c>
      <c r="R585" t="s">
        <v>2289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1</v>
      </c>
      <c r="AA585" t="b">
        <v>1</v>
      </c>
      <c r="AB585" t="b">
        <v>1</v>
      </c>
      <c r="AC585" t="b">
        <v>1</v>
      </c>
      <c r="AD585" t="b">
        <v>1</v>
      </c>
      <c r="AE585" t="b">
        <v>1</v>
      </c>
      <c r="AF585" t="b">
        <v>1</v>
      </c>
      <c r="AG585" t="b">
        <v>1</v>
      </c>
    </row>
    <row r="586" spans="1:33" x14ac:dyDescent="0.25">
      <c r="A586" t="s">
        <v>2250</v>
      </c>
      <c r="B586">
        <v>5</v>
      </c>
      <c r="C586" t="b">
        <v>0</v>
      </c>
      <c r="D586" t="s">
        <v>1911</v>
      </c>
      <c r="E586" t="s">
        <v>2251</v>
      </c>
      <c r="F586" t="s">
        <v>2292</v>
      </c>
      <c r="G586" t="s">
        <v>2293</v>
      </c>
      <c r="H586">
        <v>585</v>
      </c>
      <c r="I586" t="str">
        <f>IF(ISBLANK(Table1[[#This Row],[oid]]),"FALSE","TRUE")</f>
        <v>TRUE</v>
      </c>
      <c r="J586" t="str" cm="1">
        <f t="array" ref="J586">_xlfn.SWITCH(LEFT(Table1[[#This Row],[section]],1), "D", "Demographic", "S", "Social", "E", "Economic", "H", "Housing", "")</f>
        <v>Social</v>
      </c>
      <c r="K586" t="s">
        <v>2254</v>
      </c>
      <c r="L586" s="1" t="s">
        <v>2255</v>
      </c>
      <c r="M586" t="str">
        <f>IF(Table1[[#This Row],[used]], _xlfn.CONCAT("🆔 ", Table1[[#This Row],[variable]], ": ",Table1[[#This Row],[alias]]), "")</f>
        <v>🆔 B18135_009E: Under 18 years: No disability: With health insurance coverage</v>
      </c>
      <c r="O586" t="s">
        <v>2294</v>
      </c>
      <c r="P586" t="s">
        <v>2257</v>
      </c>
      <c r="Q586" t="s">
        <v>41</v>
      </c>
      <c r="R586" t="s">
        <v>2295</v>
      </c>
      <c r="S586" t="b">
        <v>0</v>
      </c>
      <c r="T586" t="b">
        <v>0</v>
      </c>
      <c r="U586" t="b">
        <v>1</v>
      </c>
      <c r="V586" t="b">
        <v>1</v>
      </c>
      <c r="W586" t="b">
        <v>1</v>
      </c>
      <c r="X586" t="b">
        <v>1</v>
      </c>
      <c r="Y586" t="b">
        <v>1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</row>
    <row r="587" spans="1:33" x14ac:dyDescent="0.25">
      <c r="A587" t="s">
        <v>2259</v>
      </c>
      <c r="B587">
        <v>8</v>
      </c>
      <c r="C587" t="b">
        <v>0</v>
      </c>
      <c r="D587" t="s">
        <v>1911</v>
      </c>
      <c r="E587" t="s">
        <v>2251</v>
      </c>
      <c r="F587" t="s">
        <v>2292</v>
      </c>
      <c r="G587" t="s">
        <v>2296</v>
      </c>
      <c r="H587">
        <v>586</v>
      </c>
      <c r="I587" t="str">
        <f>IF(ISBLANK(Table1[[#This Row],[oid]]),"FALSE","TRUE")</f>
        <v>TRUE</v>
      </c>
      <c r="J587" t="str" cm="1">
        <f t="array" ref="J587">_xlfn.SWITCH(LEFT(Table1[[#This Row],[section]],1), "D", "Demographic", "S", "Social", "E", "Economic", "H", "Housing", "")</f>
        <v>Social</v>
      </c>
      <c r="K587" t="s">
        <v>2254</v>
      </c>
      <c r="L587" s="1" t="s">
        <v>2255</v>
      </c>
      <c r="M587" t="str">
        <f>IF(Table1[[#This Row],[used]], _xlfn.CONCAT("🆔 ", Table1[[#This Row],[variable]], ": ",Table1[[#This Row],[alias]]), "")</f>
        <v>🆔 B18135_009E: Under 19 years: No disability: With health insurance coverage</v>
      </c>
      <c r="O587" t="s">
        <v>2297</v>
      </c>
      <c r="P587" t="s">
        <v>2257</v>
      </c>
      <c r="Q587" t="s">
        <v>41</v>
      </c>
      <c r="R587" t="s">
        <v>2295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1</v>
      </c>
      <c r="AA587" t="b">
        <v>1</v>
      </c>
      <c r="AB587" t="b">
        <v>1</v>
      </c>
      <c r="AC587" t="b">
        <v>1</v>
      </c>
      <c r="AD587" t="b">
        <v>1</v>
      </c>
      <c r="AE587" t="b">
        <v>1</v>
      </c>
      <c r="AF587" t="b">
        <v>1</v>
      </c>
      <c r="AG587" t="b">
        <v>1</v>
      </c>
    </row>
    <row r="588" spans="1:33" x14ac:dyDescent="0.25">
      <c r="A588" t="s">
        <v>2250</v>
      </c>
      <c r="B588">
        <v>5</v>
      </c>
      <c r="C588" t="b">
        <v>0</v>
      </c>
      <c r="D588" t="s">
        <v>1911</v>
      </c>
      <c r="E588" t="s">
        <v>2251</v>
      </c>
      <c r="F588" t="s">
        <v>2298</v>
      </c>
      <c r="G588" t="s">
        <v>2299</v>
      </c>
      <c r="H588">
        <v>587</v>
      </c>
      <c r="I588" t="str">
        <f>IF(ISBLANK(Table1[[#This Row],[oid]]),"FALSE","TRUE")</f>
        <v>TRUE</v>
      </c>
      <c r="J588" t="str" cm="1">
        <f t="array" ref="J588">_xlfn.SWITCH(LEFT(Table1[[#This Row],[section]],1), "D", "Demographic", "S", "Social", "E", "Economic", "H", "Housing", "")</f>
        <v>Social</v>
      </c>
      <c r="K588" t="s">
        <v>2254</v>
      </c>
      <c r="L588" s="1" t="s">
        <v>2255</v>
      </c>
      <c r="M588" t="str">
        <f>IF(Table1[[#This Row],[used]], _xlfn.CONCAT("🆔 ", Table1[[#This Row],[variable]], ": ",Table1[[#This Row],[alias]]), "")</f>
        <v>🆔 B18135_010E: Under 18 years: No disability: With health insurance coverage: With private health insurance coverage</v>
      </c>
      <c r="O588" t="s">
        <v>2300</v>
      </c>
      <c r="P588" t="s">
        <v>2257</v>
      </c>
      <c r="Q588" t="s">
        <v>41</v>
      </c>
      <c r="R588" t="s">
        <v>2301</v>
      </c>
      <c r="S588" t="b">
        <v>0</v>
      </c>
      <c r="T588" t="b">
        <v>0</v>
      </c>
      <c r="U588" t="b">
        <v>1</v>
      </c>
      <c r="V588" t="b">
        <v>1</v>
      </c>
      <c r="W588" t="b">
        <v>1</v>
      </c>
      <c r="X588" t="b">
        <v>1</v>
      </c>
      <c r="Y588" t="b">
        <v>1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</row>
    <row r="589" spans="1:33" x14ac:dyDescent="0.25">
      <c r="A589" t="s">
        <v>2259</v>
      </c>
      <c r="B589">
        <v>8</v>
      </c>
      <c r="C589" t="b">
        <v>0</v>
      </c>
      <c r="D589" t="s">
        <v>1911</v>
      </c>
      <c r="E589" t="s">
        <v>2251</v>
      </c>
      <c r="F589" t="s">
        <v>2298</v>
      </c>
      <c r="G589" t="s">
        <v>2302</v>
      </c>
      <c r="H589">
        <v>588</v>
      </c>
      <c r="I589" t="str">
        <f>IF(ISBLANK(Table1[[#This Row],[oid]]),"FALSE","TRUE")</f>
        <v>TRUE</v>
      </c>
      <c r="J589" t="str" cm="1">
        <f t="array" ref="J589">_xlfn.SWITCH(LEFT(Table1[[#This Row],[section]],1), "D", "Demographic", "S", "Social", "E", "Economic", "H", "Housing", "")</f>
        <v>Social</v>
      </c>
      <c r="K589" t="s">
        <v>2254</v>
      </c>
      <c r="L589" s="1" t="s">
        <v>2255</v>
      </c>
      <c r="M589" t="str">
        <f>IF(Table1[[#This Row],[used]], _xlfn.CONCAT("🆔 ", Table1[[#This Row],[variable]], ": ",Table1[[#This Row],[alias]]), "")</f>
        <v>🆔 B18135_010E: Under 19 years: No disability: With health insurance coverage: With private health insurance coverage</v>
      </c>
      <c r="O589" t="s">
        <v>2303</v>
      </c>
      <c r="P589" t="s">
        <v>2257</v>
      </c>
      <c r="Q589" t="s">
        <v>41</v>
      </c>
      <c r="R589" t="s">
        <v>2301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1</v>
      </c>
      <c r="AA589" t="b">
        <v>1</v>
      </c>
      <c r="AB589" t="b">
        <v>1</v>
      </c>
      <c r="AC589" t="b">
        <v>1</v>
      </c>
      <c r="AD589" t="b">
        <v>1</v>
      </c>
      <c r="AE589" t="b">
        <v>1</v>
      </c>
      <c r="AF589" t="b">
        <v>1</v>
      </c>
      <c r="AG589" t="b">
        <v>1</v>
      </c>
    </row>
    <row r="590" spans="1:33" x14ac:dyDescent="0.25">
      <c r="A590" t="s">
        <v>2250</v>
      </c>
      <c r="B590">
        <v>5</v>
      </c>
      <c r="C590" t="b">
        <v>0</v>
      </c>
      <c r="D590" t="s">
        <v>1911</v>
      </c>
      <c r="E590" t="s">
        <v>2251</v>
      </c>
      <c r="F590" t="s">
        <v>2304</v>
      </c>
      <c r="G590" t="s">
        <v>2305</v>
      </c>
      <c r="H590">
        <v>589</v>
      </c>
      <c r="I590" t="str">
        <f>IF(ISBLANK(Table1[[#This Row],[oid]]),"FALSE","TRUE")</f>
        <v>TRUE</v>
      </c>
      <c r="J590" t="str" cm="1">
        <f t="array" ref="J590">_xlfn.SWITCH(LEFT(Table1[[#This Row],[section]],1), "D", "Demographic", "S", "Social", "E", "Economic", "H", "Housing", "")</f>
        <v>Social</v>
      </c>
      <c r="K590" t="s">
        <v>2254</v>
      </c>
      <c r="L590" s="1" t="s">
        <v>2255</v>
      </c>
      <c r="M590" t="str">
        <f>IF(Table1[[#This Row],[used]], _xlfn.CONCAT("🆔 ", Table1[[#This Row],[variable]], ": ",Table1[[#This Row],[alias]]), "")</f>
        <v>🆔 B18135_011E: Under 18 years: No disability: With health insurance coverage: With public health coverage</v>
      </c>
      <c r="O590" t="s">
        <v>2306</v>
      </c>
      <c r="P590" t="s">
        <v>2257</v>
      </c>
      <c r="Q590" t="s">
        <v>41</v>
      </c>
      <c r="R590" t="s">
        <v>2307</v>
      </c>
      <c r="S590" t="b">
        <v>0</v>
      </c>
      <c r="T590" t="b">
        <v>0</v>
      </c>
      <c r="U590" t="b">
        <v>1</v>
      </c>
      <c r="V590" t="b">
        <v>1</v>
      </c>
      <c r="W590" t="b">
        <v>1</v>
      </c>
      <c r="X590" t="b">
        <v>1</v>
      </c>
      <c r="Y590" t="b">
        <v>1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</row>
    <row r="591" spans="1:33" x14ac:dyDescent="0.25">
      <c r="A591" t="s">
        <v>2259</v>
      </c>
      <c r="B591">
        <v>8</v>
      </c>
      <c r="C591" t="b">
        <v>0</v>
      </c>
      <c r="D591" t="s">
        <v>1911</v>
      </c>
      <c r="E591" t="s">
        <v>2251</v>
      </c>
      <c r="F591" t="s">
        <v>2304</v>
      </c>
      <c r="G591" t="s">
        <v>2308</v>
      </c>
      <c r="H591">
        <v>590</v>
      </c>
      <c r="I591" t="str">
        <f>IF(ISBLANK(Table1[[#This Row],[oid]]),"FALSE","TRUE")</f>
        <v>TRUE</v>
      </c>
      <c r="J591" t="str" cm="1">
        <f t="array" ref="J591">_xlfn.SWITCH(LEFT(Table1[[#This Row],[section]],1), "D", "Demographic", "S", "Social", "E", "Economic", "H", "Housing", "")</f>
        <v>Social</v>
      </c>
      <c r="K591" t="s">
        <v>2254</v>
      </c>
      <c r="L591" s="1" t="s">
        <v>2255</v>
      </c>
      <c r="M591" t="str">
        <f>IF(Table1[[#This Row],[used]], _xlfn.CONCAT("🆔 ", Table1[[#This Row],[variable]], ": ",Table1[[#This Row],[alias]]), "")</f>
        <v>🆔 B18135_011E: Under 19 years: No disability: With health insurance coverage: With public health coverage</v>
      </c>
      <c r="O591" t="s">
        <v>2309</v>
      </c>
      <c r="P591" t="s">
        <v>2257</v>
      </c>
      <c r="Q591" t="s">
        <v>41</v>
      </c>
      <c r="R591" t="s">
        <v>2307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1</v>
      </c>
      <c r="AA591" t="b">
        <v>1</v>
      </c>
      <c r="AB591" t="b">
        <v>1</v>
      </c>
      <c r="AC591" t="b">
        <v>1</v>
      </c>
      <c r="AD591" t="b">
        <v>1</v>
      </c>
      <c r="AE591" t="b">
        <v>1</v>
      </c>
      <c r="AF591" t="b">
        <v>1</v>
      </c>
      <c r="AG591" t="b">
        <v>1</v>
      </c>
    </row>
    <row r="592" spans="1:33" x14ac:dyDescent="0.25">
      <c r="A592" t="s">
        <v>2250</v>
      </c>
      <c r="B592">
        <v>5</v>
      </c>
      <c r="C592" t="b">
        <v>0</v>
      </c>
      <c r="D592" t="s">
        <v>1911</v>
      </c>
      <c r="E592" t="s">
        <v>2251</v>
      </c>
      <c r="F592" t="s">
        <v>2310</v>
      </c>
      <c r="G592" t="s">
        <v>2311</v>
      </c>
      <c r="H592">
        <v>591</v>
      </c>
      <c r="I592" t="str">
        <f>IF(ISBLANK(Table1[[#This Row],[oid]]),"FALSE","TRUE")</f>
        <v>TRUE</v>
      </c>
      <c r="J592" t="str" cm="1">
        <f t="array" ref="J592">_xlfn.SWITCH(LEFT(Table1[[#This Row],[section]],1), "D", "Demographic", "S", "Social", "E", "Economic", "H", "Housing", "")</f>
        <v>Social</v>
      </c>
      <c r="K592" t="s">
        <v>2254</v>
      </c>
      <c r="L592" s="1" t="s">
        <v>2255</v>
      </c>
      <c r="M592" t="str">
        <f>IF(Table1[[#This Row],[used]], _xlfn.CONCAT("🆔 ", Table1[[#This Row],[variable]], ": ",Table1[[#This Row],[alias]]), "")</f>
        <v>🆔 B18135_012E: Under 18 years: No disability: No health insurance coverage</v>
      </c>
      <c r="O592" t="s">
        <v>2312</v>
      </c>
      <c r="P592" t="s">
        <v>2257</v>
      </c>
      <c r="Q592" t="s">
        <v>41</v>
      </c>
      <c r="R592" t="s">
        <v>2313</v>
      </c>
      <c r="S592" t="b">
        <v>0</v>
      </c>
      <c r="T592" t="b">
        <v>0</v>
      </c>
      <c r="U592" t="b">
        <v>1</v>
      </c>
      <c r="V592" t="b">
        <v>1</v>
      </c>
      <c r="W592" t="b">
        <v>1</v>
      </c>
      <c r="X592" t="b">
        <v>1</v>
      </c>
      <c r="Y592" t="b">
        <v>1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</row>
    <row r="593" spans="1:33" x14ac:dyDescent="0.25">
      <c r="A593" t="s">
        <v>2259</v>
      </c>
      <c r="B593">
        <v>8</v>
      </c>
      <c r="C593" t="b">
        <v>0</v>
      </c>
      <c r="D593" t="s">
        <v>1911</v>
      </c>
      <c r="E593" t="s">
        <v>2251</v>
      </c>
      <c r="F593" t="s">
        <v>2310</v>
      </c>
      <c r="G593" t="s">
        <v>2314</v>
      </c>
      <c r="H593">
        <v>592</v>
      </c>
      <c r="I593" t="str">
        <f>IF(ISBLANK(Table1[[#This Row],[oid]]),"FALSE","TRUE")</f>
        <v>TRUE</v>
      </c>
      <c r="J593" t="str" cm="1">
        <f t="array" ref="J593">_xlfn.SWITCH(LEFT(Table1[[#This Row],[section]],1), "D", "Demographic", "S", "Social", "E", "Economic", "H", "Housing", "")</f>
        <v>Social</v>
      </c>
      <c r="K593" t="s">
        <v>2254</v>
      </c>
      <c r="L593" s="1" t="s">
        <v>2255</v>
      </c>
      <c r="M593" t="str">
        <f>IF(Table1[[#This Row],[used]], _xlfn.CONCAT("🆔 ", Table1[[#This Row],[variable]], ": ",Table1[[#This Row],[alias]]), "")</f>
        <v>🆔 B18135_012E: Under 19 years: No disability: No health insurance coverage</v>
      </c>
      <c r="O593" t="s">
        <v>2315</v>
      </c>
      <c r="P593" t="s">
        <v>2257</v>
      </c>
      <c r="Q593" t="s">
        <v>41</v>
      </c>
      <c r="R593" t="s">
        <v>2313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1</v>
      </c>
      <c r="AA593" t="b">
        <v>1</v>
      </c>
      <c r="AB593" t="b">
        <v>1</v>
      </c>
      <c r="AC593" t="b">
        <v>1</v>
      </c>
      <c r="AD593" t="b">
        <v>1</v>
      </c>
      <c r="AE593" t="b">
        <v>1</v>
      </c>
      <c r="AF593" t="b">
        <v>1</v>
      </c>
      <c r="AG593" t="b">
        <v>1</v>
      </c>
    </row>
    <row r="594" spans="1:33" x14ac:dyDescent="0.25">
      <c r="A594" t="s">
        <v>2250</v>
      </c>
      <c r="B594">
        <v>5</v>
      </c>
      <c r="C594" t="b">
        <v>0</v>
      </c>
      <c r="D594" t="s">
        <v>1911</v>
      </c>
      <c r="E594" t="s">
        <v>2251</v>
      </c>
      <c r="F594" t="s">
        <v>2316</v>
      </c>
      <c r="G594" t="s">
        <v>2317</v>
      </c>
      <c r="H594">
        <v>593</v>
      </c>
      <c r="I594" t="str">
        <f>IF(ISBLANK(Table1[[#This Row],[oid]]),"FALSE","TRUE")</f>
        <v>TRUE</v>
      </c>
      <c r="J594" t="str" cm="1">
        <f t="array" ref="J594">_xlfn.SWITCH(LEFT(Table1[[#This Row],[section]],1), "D", "Demographic", "S", "Social", "E", "Economic", "H", "Housing", "")</f>
        <v>Social</v>
      </c>
      <c r="K594" t="s">
        <v>2254</v>
      </c>
      <c r="L594" s="1" t="s">
        <v>2255</v>
      </c>
      <c r="M594" t="str">
        <f>IF(Table1[[#This Row],[used]], _xlfn.CONCAT("🆔 ", Table1[[#This Row],[variable]], ": ",Table1[[#This Row],[alias]]), "")</f>
        <v>🆔 B18135_014E: 18 to 64 years: With a disability</v>
      </c>
      <c r="O594" t="s">
        <v>2318</v>
      </c>
      <c r="P594" t="s">
        <v>2257</v>
      </c>
      <c r="Q594" t="s">
        <v>41</v>
      </c>
      <c r="R594" t="s">
        <v>2319</v>
      </c>
      <c r="S594" t="b">
        <v>0</v>
      </c>
      <c r="T594" t="b">
        <v>0</v>
      </c>
      <c r="U594" t="b">
        <v>1</v>
      </c>
      <c r="V594" t="b">
        <v>1</v>
      </c>
      <c r="W594" t="b">
        <v>1</v>
      </c>
      <c r="X594" t="b">
        <v>1</v>
      </c>
      <c r="Y594" t="b">
        <v>1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</row>
    <row r="595" spans="1:33" x14ac:dyDescent="0.25">
      <c r="A595" t="s">
        <v>2259</v>
      </c>
      <c r="B595">
        <v>8</v>
      </c>
      <c r="C595" t="b">
        <v>0</v>
      </c>
      <c r="D595" t="s">
        <v>1911</v>
      </c>
      <c r="E595" t="s">
        <v>2251</v>
      </c>
      <c r="F595" t="s">
        <v>2316</v>
      </c>
      <c r="G595" t="s">
        <v>2320</v>
      </c>
      <c r="H595">
        <v>594</v>
      </c>
      <c r="I595" t="str">
        <f>IF(ISBLANK(Table1[[#This Row],[oid]]),"FALSE","TRUE")</f>
        <v>TRUE</v>
      </c>
      <c r="J595" t="str" cm="1">
        <f t="array" ref="J595">_xlfn.SWITCH(LEFT(Table1[[#This Row],[section]],1), "D", "Demographic", "S", "Social", "E", "Economic", "H", "Housing", "")</f>
        <v>Social</v>
      </c>
      <c r="K595" t="s">
        <v>2254</v>
      </c>
      <c r="L595" s="1" t="s">
        <v>2255</v>
      </c>
      <c r="M595" t="str">
        <f>IF(Table1[[#This Row],[used]], _xlfn.CONCAT("🆔 ", Table1[[#This Row],[variable]], ": ",Table1[[#This Row],[alias]]), "")</f>
        <v>🆔 B18135_014E: 19 to 64 years: With a disability</v>
      </c>
      <c r="O595" t="s">
        <v>2321</v>
      </c>
      <c r="P595" t="s">
        <v>2257</v>
      </c>
      <c r="Q595" t="s">
        <v>41</v>
      </c>
      <c r="R595" t="s">
        <v>2319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1</v>
      </c>
      <c r="AA595" t="b">
        <v>1</v>
      </c>
      <c r="AB595" t="b">
        <v>1</v>
      </c>
      <c r="AC595" t="b">
        <v>1</v>
      </c>
      <c r="AD595" t="b">
        <v>1</v>
      </c>
      <c r="AE595" t="b">
        <v>1</v>
      </c>
      <c r="AF595" t="b">
        <v>1</v>
      </c>
      <c r="AG595" t="b">
        <v>1</v>
      </c>
    </row>
    <row r="596" spans="1:33" x14ac:dyDescent="0.25">
      <c r="A596" t="s">
        <v>2250</v>
      </c>
      <c r="B596">
        <v>5</v>
      </c>
      <c r="C596" t="b">
        <v>0</v>
      </c>
      <c r="D596" t="s">
        <v>1911</v>
      </c>
      <c r="E596" t="s">
        <v>2251</v>
      </c>
      <c r="F596" t="s">
        <v>2322</v>
      </c>
      <c r="G596" t="s">
        <v>2323</v>
      </c>
      <c r="H596">
        <v>595</v>
      </c>
      <c r="I596" t="str">
        <f>IF(ISBLANK(Table1[[#This Row],[oid]]),"FALSE","TRUE")</f>
        <v>TRUE</v>
      </c>
      <c r="J596" t="str" cm="1">
        <f t="array" ref="J596">_xlfn.SWITCH(LEFT(Table1[[#This Row],[section]],1), "D", "Demographic", "S", "Social", "E", "Economic", "H", "Housing", "")</f>
        <v>Social</v>
      </c>
      <c r="K596" t="s">
        <v>2254</v>
      </c>
      <c r="L596" s="1" t="s">
        <v>2255</v>
      </c>
      <c r="M596" t="str">
        <f>IF(Table1[[#This Row],[used]], _xlfn.CONCAT("🆔 ", Table1[[#This Row],[variable]], ": ",Table1[[#This Row],[alias]]), "")</f>
        <v>🆔 B18135_015E: 18 to 64 years: With a disability: With health insurance coverage</v>
      </c>
      <c r="O596" t="s">
        <v>2324</v>
      </c>
      <c r="P596" t="s">
        <v>2257</v>
      </c>
      <c r="Q596" t="s">
        <v>41</v>
      </c>
      <c r="R596" t="s">
        <v>2325</v>
      </c>
      <c r="S596" t="b">
        <v>0</v>
      </c>
      <c r="T596" t="b">
        <v>0</v>
      </c>
      <c r="U596" t="b">
        <v>1</v>
      </c>
      <c r="V596" t="b">
        <v>1</v>
      </c>
      <c r="W596" t="b">
        <v>1</v>
      </c>
      <c r="X596" t="b">
        <v>1</v>
      </c>
      <c r="Y596" t="b">
        <v>1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</row>
    <row r="597" spans="1:33" x14ac:dyDescent="0.25">
      <c r="A597" t="s">
        <v>2259</v>
      </c>
      <c r="B597">
        <v>8</v>
      </c>
      <c r="C597" t="b">
        <v>0</v>
      </c>
      <c r="D597" t="s">
        <v>1911</v>
      </c>
      <c r="E597" t="s">
        <v>2251</v>
      </c>
      <c r="F597" t="s">
        <v>2322</v>
      </c>
      <c r="G597" t="s">
        <v>2326</v>
      </c>
      <c r="H597">
        <v>596</v>
      </c>
      <c r="I597" t="str">
        <f>IF(ISBLANK(Table1[[#This Row],[oid]]),"FALSE","TRUE")</f>
        <v>TRUE</v>
      </c>
      <c r="J597" t="str" cm="1">
        <f t="array" ref="J597">_xlfn.SWITCH(LEFT(Table1[[#This Row],[section]],1), "D", "Demographic", "S", "Social", "E", "Economic", "H", "Housing", "")</f>
        <v>Social</v>
      </c>
      <c r="K597" t="s">
        <v>2254</v>
      </c>
      <c r="L597" s="1" t="s">
        <v>2255</v>
      </c>
      <c r="M597" t="str">
        <f>IF(Table1[[#This Row],[used]], _xlfn.CONCAT("🆔 ", Table1[[#This Row],[variable]], ": ",Table1[[#This Row],[alias]]), "")</f>
        <v>🆔 B18135_015E: 19 to 64 years: With a disability: With health insurance coverage</v>
      </c>
      <c r="O597" t="s">
        <v>2327</v>
      </c>
      <c r="P597" t="s">
        <v>2257</v>
      </c>
      <c r="Q597" t="s">
        <v>41</v>
      </c>
      <c r="R597" t="s">
        <v>2325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1</v>
      </c>
      <c r="AA597" t="b">
        <v>1</v>
      </c>
      <c r="AB597" t="b">
        <v>1</v>
      </c>
      <c r="AC597" t="b">
        <v>1</v>
      </c>
      <c r="AD597" t="b">
        <v>1</v>
      </c>
      <c r="AE597" t="b">
        <v>1</v>
      </c>
      <c r="AF597" t="b">
        <v>1</v>
      </c>
      <c r="AG597" t="b">
        <v>1</v>
      </c>
    </row>
    <row r="598" spans="1:33" x14ac:dyDescent="0.25">
      <c r="A598" t="s">
        <v>2250</v>
      </c>
      <c r="B598">
        <v>5</v>
      </c>
      <c r="C598" t="b">
        <v>0</v>
      </c>
      <c r="D598" t="s">
        <v>1911</v>
      </c>
      <c r="E598" t="s">
        <v>2251</v>
      </c>
      <c r="F598" t="s">
        <v>2328</v>
      </c>
      <c r="G598" t="s">
        <v>2329</v>
      </c>
      <c r="H598">
        <v>597</v>
      </c>
      <c r="I598" t="str">
        <f>IF(ISBLANK(Table1[[#This Row],[oid]]),"FALSE","TRUE")</f>
        <v>TRUE</v>
      </c>
      <c r="J598" t="str" cm="1">
        <f t="array" ref="J598">_xlfn.SWITCH(LEFT(Table1[[#This Row],[section]],1), "D", "Demographic", "S", "Social", "E", "Economic", "H", "Housing", "")</f>
        <v>Social</v>
      </c>
      <c r="K598" t="s">
        <v>2254</v>
      </c>
      <c r="L598" s="1" t="s">
        <v>2255</v>
      </c>
      <c r="M598" t="str">
        <f>IF(Table1[[#This Row],[used]], _xlfn.CONCAT("🆔 ", Table1[[#This Row],[variable]], ": ",Table1[[#This Row],[alias]]), "")</f>
        <v>🆔 B18135_016E: 18 to 64 years: With a disability: With health insurance coverage: With private health insurance coverage</v>
      </c>
      <c r="O598" t="s">
        <v>2330</v>
      </c>
      <c r="P598" t="s">
        <v>2257</v>
      </c>
      <c r="Q598" t="s">
        <v>41</v>
      </c>
      <c r="R598" t="s">
        <v>2331</v>
      </c>
      <c r="S598" t="b">
        <v>0</v>
      </c>
      <c r="T598" t="b">
        <v>0</v>
      </c>
      <c r="U598" t="b">
        <v>1</v>
      </c>
      <c r="V598" t="b">
        <v>1</v>
      </c>
      <c r="W598" t="b">
        <v>1</v>
      </c>
      <c r="X598" t="b">
        <v>1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</row>
    <row r="599" spans="1:33" x14ac:dyDescent="0.25">
      <c r="A599" t="s">
        <v>2259</v>
      </c>
      <c r="B599">
        <v>8</v>
      </c>
      <c r="C599" t="b">
        <v>0</v>
      </c>
      <c r="D599" t="s">
        <v>1911</v>
      </c>
      <c r="E599" t="s">
        <v>2251</v>
      </c>
      <c r="F599" t="s">
        <v>2328</v>
      </c>
      <c r="G599" t="s">
        <v>2332</v>
      </c>
      <c r="H599">
        <v>598</v>
      </c>
      <c r="I599" t="str">
        <f>IF(ISBLANK(Table1[[#This Row],[oid]]),"FALSE","TRUE")</f>
        <v>TRUE</v>
      </c>
      <c r="J599" t="str" cm="1">
        <f t="array" ref="J599">_xlfn.SWITCH(LEFT(Table1[[#This Row],[section]],1), "D", "Demographic", "S", "Social", "E", "Economic", "H", "Housing", "")</f>
        <v>Social</v>
      </c>
      <c r="K599" t="s">
        <v>2254</v>
      </c>
      <c r="L599" s="1" t="s">
        <v>2255</v>
      </c>
      <c r="M599" t="str">
        <f>IF(Table1[[#This Row],[used]], _xlfn.CONCAT("🆔 ", Table1[[#This Row],[variable]], ": ",Table1[[#This Row],[alias]]), "")</f>
        <v>🆔 B18135_016E: 19 to 64 years: With a disability: With health insurance coverage: With private health insurance coverage</v>
      </c>
      <c r="O599" t="s">
        <v>2333</v>
      </c>
      <c r="P599" t="s">
        <v>2257</v>
      </c>
      <c r="Q599" t="s">
        <v>41</v>
      </c>
      <c r="R599" t="s">
        <v>2331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1</v>
      </c>
      <c r="AA599" t="b">
        <v>1</v>
      </c>
      <c r="AB599" t="b">
        <v>1</v>
      </c>
      <c r="AC599" t="b">
        <v>1</v>
      </c>
      <c r="AD599" t="b">
        <v>1</v>
      </c>
      <c r="AE599" t="b">
        <v>1</v>
      </c>
      <c r="AF599" t="b">
        <v>1</v>
      </c>
      <c r="AG599" t="b">
        <v>1</v>
      </c>
    </row>
    <row r="600" spans="1:33" x14ac:dyDescent="0.25">
      <c r="A600" t="s">
        <v>2250</v>
      </c>
      <c r="B600">
        <v>5</v>
      </c>
      <c r="C600" t="b">
        <v>0</v>
      </c>
      <c r="D600" t="s">
        <v>1911</v>
      </c>
      <c r="E600" t="s">
        <v>2251</v>
      </c>
      <c r="F600" t="s">
        <v>2334</v>
      </c>
      <c r="G600" t="s">
        <v>2335</v>
      </c>
      <c r="H600">
        <v>599</v>
      </c>
      <c r="I600" t="str">
        <f>IF(ISBLANK(Table1[[#This Row],[oid]]),"FALSE","TRUE")</f>
        <v>TRUE</v>
      </c>
      <c r="J600" t="str" cm="1">
        <f t="array" ref="J600">_xlfn.SWITCH(LEFT(Table1[[#This Row],[section]],1), "D", "Demographic", "S", "Social", "E", "Economic", "H", "Housing", "")</f>
        <v>Social</v>
      </c>
      <c r="K600" t="s">
        <v>2254</v>
      </c>
      <c r="L600" s="1" t="s">
        <v>2255</v>
      </c>
      <c r="M600" t="str">
        <f>IF(Table1[[#This Row],[used]], _xlfn.CONCAT("🆔 ", Table1[[#This Row],[variable]], ": ",Table1[[#This Row],[alias]]), "")</f>
        <v>🆔 B18135_017E: 18 to 64 years: With a disability: With health insurance coverage: With public health coverage</v>
      </c>
      <c r="O600" t="s">
        <v>2336</v>
      </c>
      <c r="P600" t="s">
        <v>2257</v>
      </c>
      <c r="Q600" t="s">
        <v>41</v>
      </c>
      <c r="R600" t="s">
        <v>2337</v>
      </c>
      <c r="S600" t="b">
        <v>0</v>
      </c>
      <c r="T600" t="b">
        <v>0</v>
      </c>
      <c r="U600" t="b">
        <v>1</v>
      </c>
      <c r="V600" t="b">
        <v>1</v>
      </c>
      <c r="W600" t="b">
        <v>1</v>
      </c>
      <c r="X600" t="b">
        <v>1</v>
      </c>
      <c r="Y600" t="b">
        <v>1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</row>
    <row r="601" spans="1:33" x14ac:dyDescent="0.25">
      <c r="A601" t="s">
        <v>2259</v>
      </c>
      <c r="B601">
        <v>8</v>
      </c>
      <c r="C601" t="b">
        <v>0</v>
      </c>
      <c r="D601" t="s">
        <v>1911</v>
      </c>
      <c r="E601" t="s">
        <v>2251</v>
      </c>
      <c r="F601" t="s">
        <v>2334</v>
      </c>
      <c r="G601" t="s">
        <v>2338</v>
      </c>
      <c r="H601">
        <v>600</v>
      </c>
      <c r="I601" t="str">
        <f>IF(ISBLANK(Table1[[#This Row],[oid]]),"FALSE","TRUE")</f>
        <v>TRUE</v>
      </c>
      <c r="J601" t="str" cm="1">
        <f t="array" ref="J601">_xlfn.SWITCH(LEFT(Table1[[#This Row],[section]],1), "D", "Demographic", "S", "Social", "E", "Economic", "H", "Housing", "")</f>
        <v>Social</v>
      </c>
      <c r="K601" t="s">
        <v>2254</v>
      </c>
      <c r="L601" s="1" t="s">
        <v>2255</v>
      </c>
      <c r="M601" t="str">
        <f>IF(Table1[[#This Row],[used]], _xlfn.CONCAT("🆔 ", Table1[[#This Row],[variable]], ": ",Table1[[#This Row],[alias]]), "")</f>
        <v>🆔 B18135_017E: 19 to 64 years: With a disability: With health insurance coverage: With public health coverage</v>
      </c>
      <c r="O601" t="s">
        <v>2339</v>
      </c>
      <c r="P601" t="s">
        <v>2257</v>
      </c>
      <c r="Q601" t="s">
        <v>41</v>
      </c>
      <c r="R601" t="s">
        <v>2337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1</v>
      </c>
      <c r="AA601" t="b">
        <v>1</v>
      </c>
      <c r="AB601" t="b">
        <v>1</v>
      </c>
      <c r="AC601" t="b">
        <v>1</v>
      </c>
      <c r="AD601" t="b">
        <v>1</v>
      </c>
      <c r="AE601" t="b">
        <v>1</v>
      </c>
      <c r="AF601" t="b">
        <v>1</v>
      </c>
      <c r="AG601" t="b">
        <v>1</v>
      </c>
    </row>
    <row r="602" spans="1:33" x14ac:dyDescent="0.25">
      <c r="A602" t="s">
        <v>2250</v>
      </c>
      <c r="B602">
        <v>5</v>
      </c>
      <c r="C602" t="b">
        <v>0</v>
      </c>
      <c r="D602" t="s">
        <v>1911</v>
      </c>
      <c r="E602" t="s">
        <v>2251</v>
      </c>
      <c r="F602" t="s">
        <v>2340</v>
      </c>
      <c r="G602" t="s">
        <v>2341</v>
      </c>
      <c r="H602">
        <v>601</v>
      </c>
      <c r="I602" t="str">
        <f>IF(ISBLANK(Table1[[#This Row],[oid]]),"FALSE","TRUE")</f>
        <v>TRUE</v>
      </c>
      <c r="J602" t="str" cm="1">
        <f t="array" ref="J602">_xlfn.SWITCH(LEFT(Table1[[#This Row],[section]],1), "D", "Demographic", "S", "Social", "E", "Economic", "H", "Housing", "")</f>
        <v>Social</v>
      </c>
      <c r="K602" t="s">
        <v>2254</v>
      </c>
      <c r="L602" s="1" t="s">
        <v>2255</v>
      </c>
      <c r="M602" t="str">
        <f>IF(Table1[[#This Row],[used]], _xlfn.CONCAT("🆔 ", Table1[[#This Row],[variable]], ": ",Table1[[#This Row],[alias]]), "")</f>
        <v>🆔 B18135_018E: 18 to 64 years: With a disability: No health insurance coverage</v>
      </c>
      <c r="O602" t="s">
        <v>2342</v>
      </c>
      <c r="P602" t="s">
        <v>2257</v>
      </c>
      <c r="Q602" t="s">
        <v>41</v>
      </c>
      <c r="R602" t="s">
        <v>2343</v>
      </c>
      <c r="S602" t="b">
        <v>0</v>
      </c>
      <c r="T602" t="b">
        <v>0</v>
      </c>
      <c r="U602" t="b">
        <v>1</v>
      </c>
      <c r="V602" t="b">
        <v>1</v>
      </c>
      <c r="W602" t="b">
        <v>1</v>
      </c>
      <c r="X602" t="b">
        <v>1</v>
      </c>
      <c r="Y602" t="b">
        <v>1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</row>
    <row r="603" spans="1:33" x14ac:dyDescent="0.25">
      <c r="A603" t="s">
        <v>2259</v>
      </c>
      <c r="B603">
        <v>8</v>
      </c>
      <c r="C603" t="b">
        <v>0</v>
      </c>
      <c r="D603" t="s">
        <v>1911</v>
      </c>
      <c r="E603" t="s">
        <v>2251</v>
      </c>
      <c r="F603" t="s">
        <v>2340</v>
      </c>
      <c r="G603" t="s">
        <v>2344</v>
      </c>
      <c r="H603">
        <v>602</v>
      </c>
      <c r="I603" t="str">
        <f>IF(ISBLANK(Table1[[#This Row],[oid]]),"FALSE","TRUE")</f>
        <v>TRUE</v>
      </c>
      <c r="J603" t="str" cm="1">
        <f t="array" ref="J603">_xlfn.SWITCH(LEFT(Table1[[#This Row],[section]],1), "D", "Demographic", "S", "Social", "E", "Economic", "H", "Housing", "")</f>
        <v>Social</v>
      </c>
      <c r="K603" t="s">
        <v>2254</v>
      </c>
      <c r="L603" s="1" t="s">
        <v>2255</v>
      </c>
      <c r="M603" t="str">
        <f>IF(Table1[[#This Row],[used]], _xlfn.CONCAT("🆔 ", Table1[[#This Row],[variable]], ": ",Table1[[#This Row],[alias]]), "")</f>
        <v>🆔 B18135_018E: 19 to 64 years: With a disability: No health insurance coverage</v>
      </c>
      <c r="O603" t="s">
        <v>2345</v>
      </c>
      <c r="P603" t="s">
        <v>2257</v>
      </c>
      <c r="Q603" t="s">
        <v>41</v>
      </c>
      <c r="R603" t="s">
        <v>2343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1</v>
      </c>
      <c r="AA603" t="b">
        <v>1</v>
      </c>
      <c r="AB603" t="b">
        <v>1</v>
      </c>
      <c r="AC603" t="b">
        <v>1</v>
      </c>
      <c r="AD603" t="b">
        <v>1</v>
      </c>
      <c r="AE603" t="b">
        <v>1</v>
      </c>
      <c r="AF603" t="b">
        <v>1</v>
      </c>
      <c r="AG603" t="b">
        <v>1</v>
      </c>
    </row>
    <row r="604" spans="1:33" x14ac:dyDescent="0.25">
      <c r="A604" t="s">
        <v>2250</v>
      </c>
      <c r="B604">
        <v>5</v>
      </c>
      <c r="C604" t="b">
        <v>0</v>
      </c>
      <c r="D604" t="s">
        <v>1911</v>
      </c>
      <c r="E604" t="s">
        <v>2251</v>
      </c>
      <c r="F604" t="s">
        <v>2346</v>
      </c>
      <c r="G604" t="s">
        <v>2347</v>
      </c>
      <c r="H604">
        <v>603</v>
      </c>
      <c r="I604" t="str">
        <f>IF(ISBLANK(Table1[[#This Row],[oid]]),"FALSE","TRUE")</f>
        <v>TRUE</v>
      </c>
      <c r="J604" t="str" cm="1">
        <f t="array" ref="J604">_xlfn.SWITCH(LEFT(Table1[[#This Row],[section]],1), "D", "Demographic", "S", "Social", "E", "Economic", "H", "Housing", "")</f>
        <v>Social</v>
      </c>
      <c r="K604" t="s">
        <v>2254</v>
      </c>
      <c r="L604" s="1" t="s">
        <v>2255</v>
      </c>
      <c r="M604" t="str">
        <f>IF(Table1[[#This Row],[used]], _xlfn.CONCAT("🆔 ", Table1[[#This Row],[variable]], ": ",Table1[[#This Row],[alias]]), "")</f>
        <v>🆔 B18135_019E: 18 to 64 years: No disability</v>
      </c>
      <c r="O604" t="s">
        <v>2348</v>
      </c>
      <c r="P604" t="s">
        <v>2257</v>
      </c>
      <c r="Q604" t="s">
        <v>41</v>
      </c>
      <c r="R604" t="s">
        <v>2349</v>
      </c>
      <c r="S604" t="b">
        <v>0</v>
      </c>
      <c r="T604" t="b">
        <v>0</v>
      </c>
      <c r="U604" t="b">
        <v>1</v>
      </c>
      <c r="V604" t="b">
        <v>1</v>
      </c>
      <c r="W604" t="b">
        <v>1</v>
      </c>
      <c r="X604" t="b">
        <v>1</v>
      </c>
      <c r="Y604" t="b">
        <v>1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</row>
    <row r="605" spans="1:33" x14ac:dyDescent="0.25">
      <c r="A605" t="s">
        <v>2259</v>
      </c>
      <c r="B605">
        <v>8</v>
      </c>
      <c r="C605" t="b">
        <v>0</v>
      </c>
      <c r="D605" t="s">
        <v>1911</v>
      </c>
      <c r="E605" t="s">
        <v>2251</v>
      </c>
      <c r="F605" t="s">
        <v>2346</v>
      </c>
      <c r="G605" t="s">
        <v>2350</v>
      </c>
      <c r="H605">
        <v>604</v>
      </c>
      <c r="I605" t="str">
        <f>IF(ISBLANK(Table1[[#This Row],[oid]]),"FALSE","TRUE")</f>
        <v>TRUE</v>
      </c>
      <c r="J605" t="str" cm="1">
        <f t="array" ref="J605">_xlfn.SWITCH(LEFT(Table1[[#This Row],[section]],1), "D", "Demographic", "S", "Social", "E", "Economic", "H", "Housing", "")</f>
        <v>Social</v>
      </c>
      <c r="K605" t="s">
        <v>2254</v>
      </c>
      <c r="L605" s="1" t="s">
        <v>2255</v>
      </c>
      <c r="M605" t="str">
        <f>IF(Table1[[#This Row],[used]], _xlfn.CONCAT("🆔 ", Table1[[#This Row],[variable]], ": ",Table1[[#This Row],[alias]]), "")</f>
        <v>🆔 B18135_019E: 19 to 64 years: No disability</v>
      </c>
      <c r="O605" t="s">
        <v>2351</v>
      </c>
      <c r="P605" t="s">
        <v>2257</v>
      </c>
      <c r="Q605" t="s">
        <v>41</v>
      </c>
      <c r="R605" t="s">
        <v>2349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1</v>
      </c>
      <c r="AA605" t="b">
        <v>1</v>
      </c>
      <c r="AB605" t="b">
        <v>1</v>
      </c>
      <c r="AC605" t="b">
        <v>1</v>
      </c>
      <c r="AD605" t="b">
        <v>1</v>
      </c>
      <c r="AE605" t="b">
        <v>1</v>
      </c>
      <c r="AF605" t="b">
        <v>1</v>
      </c>
      <c r="AG605" t="b">
        <v>1</v>
      </c>
    </row>
    <row r="606" spans="1:33" x14ac:dyDescent="0.25">
      <c r="A606" t="s">
        <v>2250</v>
      </c>
      <c r="B606">
        <v>5</v>
      </c>
      <c r="C606" t="b">
        <v>0</v>
      </c>
      <c r="D606" t="s">
        <v>1911</v>
      </c>
      <c r="E606" t="s">
        <v>2251</v>
      </c>
      <c r="F606" t="s">
        <v>2352</v>
      </c>
      <c r="G606" t="s">
        <v>2353</v>
      </c>
      <c r="H606">
        <v>605</v>
      </c>
      <c r="I606" t="str">
        <f>IF(ISBLANK(Table1[[#This Row],[oid]]),"FALSE","TRUE")</f>
        <v>TRUE</v>
      </c>
      <c r="J606" t="str" cm="1">
        <f t="array" ref="J606">_xlfn.SWITCH(LEFT(Table1[[#This Row],[section]],1), "D", "Demographic", "S", "Social", "E", "Economic", "H", "Housing", "")</f>
        <v>Social</v>
      </c>
      <c r="K606" t="s">
        <v>2254</v>
      </c>
      <c r="L606" s="1" t="s">
        <v>2255</v>
      </c>
      <c r="M606" t="str">
        <f>IF(Table1[[#This Row],[used]], _xlfn.CONCAT("🆔 ", Table1[[#This Row],[variable]], ": ",Table1[[#This Row],[alias]]), "")</f>
        <v>🆔 B18135_020E: 18 to 64 years: No disability: With health insurance coverage</v>
      </c>
      <c r="O606" t="s">
        <v>2354</v>
      </c>
      <c r="P606" t="s">
        <v>2257</v>
      </c>
      <c r="Q606" t="s">
        <v>41</v>
      </c>
      <c r="R606" t="s">
        <v>2355</v>
      </c>
      <c r="S606" t="b">
        <v>0</v>
      </c>
      <c r="T606" t="b">
        <v>0</v>
      </c>
      <c r="U606" t="b">
        <v>1</v>
      </c>
      <c r="V606" t="b">
        <v>1</v>
      </c>
      <c r="W606" t="b">
        <v>1</v>
      </c>
      <c r="X606" t="b">
        <v>1</v>
      </c>
      <c r="Y606" t="b">
        <v>1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</row>
    <row r="607" spans="1:33" x14ac:dyDescent="0.25">
      <c r="A607" t="s">
        <v>2259</v>
      </c>
      <c r="B607">
        <v>8</v>
      </c>
      <c r="C607" t="b">
        <v>0</v>
      </c>
      <c r="D607" t="s">
        <v>1911</v>
      </c>
      <c r="E607" t="s">
        <v>2251</v>
      </c>
      <c r="F607" t="s">
        <v>2352</v>
      </c>
      <c r="G607" t="s">
        <v>2356</v>
      </c>
      <c r="H607">
        <v>606</v>
      </c>
      <c r="I607" t="str">
        <f>IF(ISBLANK(Table1[[#This Row],[oid]]),"FALSE","TRUE")</f>
        <v>TRUE</v>
      </c>
      <c r="J607" t="str" cm="1">
        <f t="array" ref="J607">_xlfn.SWITCH(LEFT(Table1[[#This Row],[section]],1), "D", "Demographic", "S", "Social", "E", "Economic", "H", "Housing", "")</f>
        <v>Social</v>
      </c>
      <c r="K607" t="s">
        <v>2254</v>
      </c>
      <c r="L607" s="1" t="s">
        <v>2255</v>
      </c>
      <c r="M607" t="str">
        <f>IF(Table1[[#This Row],[used]], _xlfn.CONCAT("🆔 ", Table1[[#This Row],[variable]], ": ",Table1[[#This Row],[alias]]), "")</f>
        <v>🆔 B18135_020E: 19 to 64 years: No disability: With health insurance coverage</v>
      </c>
      <c r="O607" t="s">
        <v>2357</v>
      </c>
      <c r="P607" t="s">
        <v>2257</v>
      </c>
      <c r="Q607" t="s">
        <v>41</v>
      </c>
      <c r="R607" t="s">
        <v>2355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1</v>
      </c>
      <c r="AA607" t="b">
        <v>1</v>
      </c>
      <c r="AB607" t="b">
        <v>1</v>
      </c>
      <c r="AC607" t="b">
        <v>1</v>
      </c>
      <c r="AD607" t="b">
        <v>1</v>
      </c>
      <c r="AE607" t="b">
        <v>1</v>
      </c>
      <c r="AF607" t="b">
        <v>1</v>
      </c>
      <c r="AG607" t="b">
        <v>1</v>
      </c>
    </row>
    <row r="608" spans="1:33" x14ac:dyDescent="0.25">
      <c r="A608" t="s">
        <v>2250</v>
      </c>
      <c r="B608">
        <v>5</v>
      </c>
      <c r="C608" t="b">
        <v>0</v>
      </c>
      <c r="D608" t="s">
        <v>1911</v>
      </c>
      <c r="E608" t="s">
        <v>2251</v>
      </c>
      <c r="F608" t="s">
        <v>2358</v>
      </c>
      <c r="G608" t="s">
        <v>2359</v>
      </c>
      <c r="H608">
        <v>607</v>
      </c>
      <c r="I608" t="str">
        <f>IF(ISBLANK(Table1[[#This Row],[oid]]),"FALSE","TRUE")</f>
        <v>TRUE</v>
      </c>
      <c r="J608" t="str" cm="1">
        <f t="array" ref="J608">_xlfn.SWITCH(LEFT(Table1[[#This Row],[section]],1), "D", "Demographic", "S", "Social", "E", "Economic", "H", "Housing", "")</f>
        <v>Social</v>
      </c>
      <c r="K608" t="s">
        <v>2254</v>
      </c>
      <c r="L608" s="1" t="s">
        <v>2255</v>
      </c>
      <c r="M608" t="str">
        <f>IF(Table1[[#This Row],[used]], _xlfn.CONCAT("🆔 ", Table1[[#This Row],[variable]], ": ",Table1[[#This Row],[alias]]), "")</f>
        <v>🆔 B18135_021E: 18 to 64 years: No disability: With health insurance coverage: With private health insurance coverage</v>
      </c>
      <c r="O608" t="s">
        <v>2360</v>
      </c>
      <c r="P608" t="s">
        <v>2257</v>
      </c>
      <c r="Q608" t="s">
        <v>41</v>
      </c>
      <c r="R608" t="s">
        <v>2361</v>
      </c>
      <c r="S608" t="b">
        <v>0</v>
      </c>
      <c r="T608" t="b">
        <v>0</v>
      </c>
      <c r="U608" t="b">
        <v>1</v>
      </c>
      <c r="V608" t="b">
        <v>1</v>
      </c>
      <c r="W608" t="b">
        <v>1</v>
      </c>
      <c r="X608" t="b">
        <v>1</v>
      </c>
      <c r="Y608" t="b">
        <v>1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</row>
    <row r="609" spans="1:33" x14ac:dyDescent="0.25">
      <c r="A609" t="s">
        <v>2259</v>
      </c>
      <c r="B609">
        <v>8</v>
      </c>
      <c r="C609" t="b">
        <v>0</v>
      </c>
      <c r="D609" t="s">
        <v>1911</v>
      </c>
      <c r="E609" t="s">
        <v>2251</v>
      </c>
      <c r="F609" t="s">
        <v>2358</v>
      </c>
      <c r="G609" t="s">
        <v>2362</v>
      </c>
      <c r="H609">
        <v>608</v>
      </c>
      <c r="I609" t="str">
        <f>IF(ISBLANK(Table1[[#This Row],[oid]]),"FALSE","TRUE")</f>
        <v>TRUE</v>
      </c>
      <c r="J609" t="str" cm="1">
        <f t="array" ref="J609">_xlfn.SWITCH(LEFT(Table1[[#This Row],[section]],1), "D", "Demographic", "S", "Social", "E", "Economic", "H", "Housing", "")</f>
        <v>Social</v>
      </c>
      <c r="K609" t="s">
        <v>2254</v>
      </c>
      <c r="L609" s="1" t="s">
        <v>2255</v>
      </c>
      <c r="M609" t="str">
        <f>IF(Table1[[#This Row],[used]], _xlfn.CONCAT("🆔 ", Table1[[#This Row],[variable]], ": ",Table1[[#This Row],[alias]]), "")</f>
        <v>🆔 B18135_021E: 19 to 64 years: No disability: With health insurance coverage: With private health insurance coverage</v>
      </c>
      <c r="O609" t="s">
        <v>2363</v>
      </c>
      <c r="P609" t="s">
        <v>2257</v>
      </c>
      <c r="Q609" t="s">
        <v>41</v>
      </c>
      <c r="R609" t="s">
        <v>2361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1</v>
      </c>
      <c r="AA609" t="b">
        <v>1</v>
      </c>
      <c r="AB609" t="b">
        <v>1</v>
      </c>
      <c r="AC609" t="b">
        <v>1</v>
      </c>
      <c r="AD609" t="b">
        <v>1</v>
      </c>
      <c r="AE609" t="b">
        <v>1</v>
      </c>
      <c r="AF609" t="b">
        <v>1</v>
      </c>
      <c r="AG609" t="b">
        <v>1</v>
      </c>
    </row>
    <row r="610" spans="1:33" x14ac:dyDescent="0.25">
      <c r="A610" t="s">
        <v>2250</v>
      </c>
      <c r="B610">
        <v>5</v>
      </c>
      <c r="C610" t="b">
        <v>0</v>
      </c>
      <c r="D610" t="s">
        <v>1911</v>
      </c>
      <c r="E610" t="s">
        <v>2251</v>
      </c>
      <c r="F610" t="s">
        <v>2364</v>
      </c>
      <c r="G610" t="s">
        <v>2365</v>
      </c>
      <c r="H610">
        <v>609</v>
      </c>
      <c r="I610" t="str">
        <f>IF(ISBLANK(Table1[[#This Row],[oid]]),"FALSE","TRUE")</f>
        <v>TRUE</v>
      </c>
      <c r="J610" t="str" cm="1">
        <f t="array" ref="J610">_xlfn.SWITCH(LEFT(Table1[[#This Row],[section]],1), "D", "Demographic", "S", "Social", "E", "Economic", "H", "Housing", "")</f>
        <v>Social</v>
      </c>
      <c r="K610" t="s">
        <v>2254</v>
      </c>
      <c r="L610" s="1" t="s">
        <v>2255</v>
      </c>
      <c r="M610" t="str">
        <f>IF(Table1[[#This Row],[used]], _xlfn.CONCAT("🆔 ", Table1[[#This Row],[variable]], ": ",Table1[[#This Row],[alias]]), "")</f>
        <v>🆔 B18135_022E: 18 to 64 years: No disability: With health insurance coverage: With public health coverage</v>
      </c>
      <c r="O610" t="s">
        <v>2366</v>
      </c>
      <c r="P610" t="s">
        <v>2257</v>
      </c>
      <c r="Q610" t="s">
        <v>41</v>
      </c>
      <c r="R610" t="s">
        <v>2367</v>
      </c>
      <c r="S610" t="b">
        <v>0</v>
      </c>
      <c r="T610" t="b">
        <v>0</v>
      </c>
      <c r="U610" t="b">
        <v>1</v>
      </c>
      <c r="V610" t="b">
        <v>1</v>
      </c>
      <c r="W610" t="b">
        <v>1</v>
      </c>
      <c r="X610" t="b">
        <v>1</v>
      </c>
      <c r="Y610" t="b">
        <v>1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</row>
    <row r="611" spans="1:33" x14ac:dyDescent="0.25">
      <c r="A611" t="s">
        <v>2259</v>
      </c>
      <c r="B611">
        <v>8</v>
      </c>
      <c r="C611" t="b">
        <v>0</v>
      </c>
      <c r="D611" t="s">
        <v>1911</v>
      </c>
      <c r="E611" t="s">
        <v>2251</v>
      </c>
      <c r="F611" t="s">
        <v>2364</v>
      </c>
      <c r="G611" t="s">
        <v>2368</v>
      </c>
      <c r="H611">
        <v>610</v>
      </c>
      <c r="I611" t="str">
        <f>IF(ISBLANK(Table1[[#This Row],[oid]]),"FALSE","TRUE")</f>
        <v>TRUE</v>
      </c>
      <c r="J611" t="str" cm="1">
        <f t="array" ref="J611">_xlfn.SWITCH(LEFT(Table1[[#This Row],[section]],1), "D", "Demographic", "S", "Social", "E", "Economic", "H", "Housing", "")</f>
        <v>Social</v>
      </c>
      <c r="K611" t="s">
        <v>2254</v>
      </c>
      <c r="L611" s="1" t="s">
        <v>2255</v>
      </c>
      <c r="M611" t="str">
        <f>IF(Table1[[#This Row],[used]], _xlfn.CONCAT("🆔 ", Table1[[#This Row],[variable]], ": ",Table1[[#This Row],[alias]]), "")</f>
        <v>🆔 B18135_022E: 19 to 64 years: No disability: With health insurance coverage: With public health coverage</v>
      </c>
      <c r="O611" t="s">
        <v>2369</v>
      </c>
      <c r="P611" t="s">
        <v>2257</v>
      </c>
      <c r="Q611" t="s">
        <v>41</v>
      </c>
      <c r="R611" t="s">
        <v>2367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1</v>
      </c>
      <c r="AA611" t="b">
        <v>1</v>
      </c>
      <c r="AB611" t="b">
        <v>1</v>
      </c>
      <c r="AC611" t="b">
        <v>1</v>
      </c>
      <c r="AD611" t="b">
        <v>1</v>
      </c>
      <c r="AE611" t="b">
        <v>1</v>
      </c>
      <c r="AF611" t="b">
        <v>1</v>
      </c>
      <c r="AG611" t="b">
        <v>1</v>
      </c>
    </row>
    <row r="612" spans="1:33" x14ac:dyDescent="0.25">
      <c r="A612" t="s">
        <v>2250</v>
      </c>
      <c r="B612">
        <v>5</v>
      </c>
      <c r="C612" t="b">
        <v>0</v>
      </c>
      <c r="D612" t="s">
        <v>1911</v>
      </c>
      <c r="E612" t="s">
        <v>2251</v>
      </c>
      <c r="F612" t="s">
        <v>2370</v>
      </c>
      <c r="G612" t="s">
        <v>2371</v>
      </c>
      <c r="H612">
        <v>611</v>
      </c>
      <c r="I612" t="str">
        <f>IF(ISBLANK(Table1[[#This Row],[oid]]),"FALSE","TRUE")</f>
        <v>TRUE</v>
      </c>
      <c r="J612" t="str" cm="1">
        <f t="array" ref="J612">_xlfn.SWITCH(LEFT(Table1[[#This Row],[section]],1), "D", "Demographic", "S", "Social", "E", "Economic", "H", "Housing", "")</f>
        <v>Social</v>
      </c>
      <c r="K612" t="s">
        <v>2254</v>
      </c>
      <c r="L612" s="1" t="s">
        <v>2255</v>
      </c>
      <c r="M612" t="str">
        <f>IF(Table1[[#This Row],[used]], _xlfn.CONCAT("🆔 ", Table1[[#This Row],[variable]], ": ",Table1[[#This Row],[alias]]), "")</f>
        <v>🆔 B18135_023E: 18 to 64 years: No disability: No health insurance coverage</v>
      </c>
      <c r="O612" t="s">
        <v>2372</v>
      </c>
      <c r="P612" t="s">
        <v>2257</v>
      </c>
      <c r="Q612" t="s">
        <v>41</v>
      </c>
      <c r="R612" t="s">
        <v>2373</v>
      </c>
      <c r="S612" t="b">
        <v>0</v>
      </c>
      <c r="T612" t="b">
        <v>0</v>
      </c>
      <c r="U612" t="b">
        <v>1</v>
      </c>
      <c r="V612" t="b">
        <v>1</v>
      </c>
      <c r="W612" t="b">
        <v>1</v>
      </c>
      <c r="X612" t="b">
        <v>1</v>
      </c>
      <c r="Y612" t="b">
        <v>1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</row>
    <row r="613" spans="1:33" x14ac:dyDescent="0.25">
      <c r="A613" t="s">
        <v>2259</v>
      </c>
      <c r="B613">
        <v>8</v>
      </c>
      <c r="C613" t="b">
        <v>0</v>
      </c>
      <c r="D613" t="s">
        <v>1911</v>
      </c>
      <c r="E613" t="s">
        <v>2251</v>
      </c>
      <c r="F613" t="s">
        <v>2370</v>
      </c>
      <c r="G613" t="s">
        <v>2374</v>
      </c>
      <c r="H613">
        <v>612</v>
      </c>
      <c r="I613" t="str">
        <f>IF(ISBLANK(Table1[[#This Row],[oid]]),"FALSE","TRUE")</f>
        <v>TRUE</v>
      </c>
      <c r="J613" t="str" cm="1">
        <f t="array" ref="J613">_xlfn.SWITCH(LEFT(Table1[[#This Row],[section]],1), "D", "Demographic", "S", "Social", "E", "Economic", "H", "Housing", "")</f>
        <v>Social</v>
      </c>
      <c r="K613" t="s">
        <v>2254</v>
      </c>
      <c r="L613" s="1" t="s">
        <v>2255</v>
      </c>
      <c r="M613" t="str">
        <f>IF(Table1[[#This Row],[used]], _xlfn.CONCAT("🆔 ", Table1[[#This Row],[variable]], ": ",Table1[[#This Row],[alias]]), "")</f>
        <v>🆔 B18135_023E: 19 to 64 years: No disability: No health insurance coverage</v>
      </c>
      <c r="O613" t="s">
        <v>2375</v>
      </c>
      <c r="P613" t="s">
        <v>2257</v>
      </c>
      <c r="Q613" t="s">
        <v>41</v>
      </c>
      <c r="R613" t="s">
        <v>2373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1</v>
      </c>
      <c r="AA613" t="b">
        <v>1</v>
      </c>
      <c r="AB613" t="b">
        <v>1</v>
      </c>
      <c r="AC613" t="b">
        <v>1</v>
      </c>
      <c r="AD613" t="b">
        <v>1</v>
      </c>
      <c r="AE613" t="b">
        <v>1</v>
      </c>
      <c r="AF613" t="b">
        <v>1</v>
      </c>
      <c r="AG613" t="b">
        <v>1</v>
      </c>
    </row>
    <row r="614" spans="1:33" x14ac:dyDescent="0.25">
      <c r="A614" t="s">
        <v>972</v>
      </c>
      <c r="B614">
        <v>13</v>
      </c>
      <c r="C614" t="b">
        <v>0</v>
      </c>
      <c r="D614" t="s">
        <v>1911</v>
      </c>
      <c r="E614" t="s">
        <v>2251</v>
      </c>
      <c r="F614" t="s">
        <v>2376</v>
      </c>
      <c r="G614" t="s">
        <v>2377</v>
      </c>
      <c r="H614">
        <v>613</v>
      </c>
      <c r="I614" t="str">
        <f>IF(ISBLANK(Table1[[#This Row],[oid]]),"FALSE","TRUE")</f>
        <v>TRUE</v>
      </c>
      <c r="J614" t="str" cm="1">
        <f t="array" ref="J614">_xlfn.SWITCH(LEFT(Table1[[#This Row],[section]],1), "D", "Demographic", "S", "Social", "E", "Economic", "H", "Housing", "")</f>
        <v>Social</v>
      </c>
      <c r="K614" t="s">
        <v>2254</v>
      </c>
      <c r="L614" s="1" t="s">
        <v>2255</v>
      </c>
      <c r="M614" t="str">
        <f>IF(Table1[[#This Row],[used]], _xlfn.CONCAT("🆔 ", Table1[[#This Row],[variable]], ": ",Table1[[#This Row],[alias]]), "")</f>
        <v>🆔 B18135_025E: 65 years and over: With a disability</v>
      </c>
      <c r="O614" t="s">
        <v>2378</v>
      </c>
      <c r="P614" t="s">
        <v>2257</v>
      </c>
      <c r="Q614" t="s">
        <v>41</v>
      </c>
      <c r="R614" t="s">
        <v>2379</v>
      </c>
      <c r="S614" t="b">
        <v>0</v>
      </c>
      <c r="T614" t="b">
        <v>0</v>
      </c>
      <c r="U614" t="b">
        <v>1</v>
      </c>
      <c r="V614" t="b">
        <v>1</v>
      </c>
      <c r="W614" t="b">
        <v>1</v>
      </c>
      <c r="X614" t="b">
        <v>1</v>
      </c>
      <c r="Y614" t="b">
        <v>1</v>
      </c>
      <c r="Z614" t="b">
        <v>1</v>
      </c>
      <c r="AA614" t="b">
        <v>1</v>
      </c>
      <c r="AB614" t="b">
        <v>1</v>
      </c>
      <c r="AC614" t="b">
        <v>1</v>
      </c>
      <c r="AD614" t="b">
        <v>1</v>
      </c>
      <c r="AE614" t="b">
        <v>1</v>
      </c>
      <c r="AF614" t="b">
        <v>1</v>
      </c>
      <c r="AG614" t="b">
        <v>1</v>
      </c>
    </row>
    <row r="615" spans="1:33" x14ac:dyDescent="0.25">
      <c r="A615" t="s">
        <v>972</v>
      </c>
      <c r="B615">
        <v>13</v>
      </c>
      <c r="C615" t="b">
        <v>0</v>
      </c>
      <c r="D615" t="s">
        <v>1911</v>
      </c>
      <c r="E615" t="s">
        <v>2251</v>
      </c>
      <c r="F615" t="s">
        <v>2380</v>
      </c>
      <c r="G615" t="s">
        <v>2381</v>
      </c>
      <c r="H615">
        <v>614</v>
      </c>
      <c r="I615" t="str">
        <f>IF(ISBLANK(Table1[[#This Row],[oid]]),"FALSE","TRUE")</f>
        <v>TRUE</v>
      </c>
      <c r="J615" t="str" cm="1">
        <f t="array" ref="J615">_xlfn.SWITCH(LEFT(Table1[[#This Row],[section]],1), "D", "Demographic", "S", "Social", "E", "Economic", "H", "Housing", "")</f>
        <v>Social</v>
      </c>
      <c r="K615" t="s">
        <v>2254</v>
      </c>
      <c r="L615" s="1" t="s">
        <v>2255</v>
      </c>
      <c r="M615" t="str">
        <f>IF(Table1[[#This Row],[used]], _xlfn.CONCAT("🆔 ", Table1[[#This Row],[variable]], ": ",Table1[[#This Row],[alias]]), "")</f>
        <v>🆔 B18135_026E: 65 years and over: With a disability: With health insurance coverage</v>
      </c>
      <c r="O615" t="s">
        <v>2382</v>
      </c>
      <c r="P615" t="s">
        <v>2257</v>
      </c>
      <c r="Q615" t="s">
        <v>41</v>
      </c>
      <c r="R615" t="s">
        <v>2383</v>
      </c>
      <c r="S615" t="b">
        <v>0</v>
      </c>
      <c r="T615" t="b">
        <v>0</v>
      </c>
      <c r="U615" t="b">
        <v>1</v>
      </c>
      <c r="V615" t="b">
        <v>1</v>
      </c>
      <c r="W615" t="b">
        <v>1</v>
      </c>
      <c r="X615" t="b">
        <v>1</v>
      </c>
      <c r="Y615" t="b">
        <v>1</v>
      </c>
      <c r="Z615" t="b">
        <v>1</v>
      </c>
      <c r="AA615" t="b">
        <v>1</v>
      </c>
      <c r="AB615" t="b">
        <v>1</v>
      </c>
      <c r="AC615" t="b">
        <v>1</v>
      </c>
      <c r="AD615" t="b">
        <v>1</v>
      </c>
      <c r="AE615" t="b">
        <v>1</v>
      </c>
      <c r="AF615" t="b">
        <v>1</v>
      </c>
      <c r="AG615" t="b">
        <v>1</v>
      </c>
    </row>
    <row r="616" spans="1:33" x14ac:dyDescent="0.25">
      <c r="A616" t="s">
        <v>972</v>
      </c>
      <c r="B616">
        <v>13</v>
      </c>
      <c r="C616" t="b">
        <v>0</v>
      </c>
      <c r="D616" t="s">
        <v>1911</v>
      </c>
      <c r="E616" t="s">
        <v>2251</v>
      </c>
      <c r="F616" t="s">
        <v>2384</v>
      </c>
      <c r="G616" t="s">
        <v>2385</v>
      </c>
      <c r="H616">
        <v>615</v>
      </c>
      <c r="I616" t="str">
        <f>IF(ISBLANK(Table1[[#This Row],[oid]]),"FALSE","TRUE")</f>
        <v>TRUE</v>
      </c>
      <c r="J616" t="str" cm="1">
        <f t="array" ref="J616">_xlfn.SWITCH(LEFT(Table1[[#This Row],[section]],1), "D", "Demographic", "S", "Social", "E", "Economic", "H", "Housing", "")</f>
        <v>Social</v>
      </c>
      <c r="K616" t="s">
        <v>2254</v>
      </c>
      <c r="L616" s="1" t="s">
        <v>2255</v>
      </c>
      <c r="M616" t="str">
        <f>IF(Table1[[#This Row],[used]], _xlfn.CONCAT("🆔 ", Table1[[#This Row],[variable]], ": ",Table1[[#This Row],[alias]]), "")</f>
        <v>🆔 B18135_027E: 65 years and over: With a disability: With health insurance coverage: With private health insurance coverage</v>
      </c>
      <c r="O616" t="s">
        <v>2386</v>
      </c>
      <c r="P616" t="s">
        <v>2257</v>
      </c>
      <c r="Q616" t="s">
        <v>41</v>
      </c>
      <c r="R616" t="s">
        <v>2387</v>
      </c>
      <c r="S616" t="b">
        <v>0</v>
      </c>
      <c r="T616" t="b">
        <v>0</v>
      </c>
      <c r="U616" t="b">
        <v>1</v>
      </c>
      <c r="V616" t="b">
        <v>1</v>
      </c>
      <c r="W616" t="b">
        <v>1</v>
      </c>
      <c r="X616" t="b">
        <v>1</v>
      </c>
      <c r="Y616" t="b">
        <v>1</v>
      </c>
      <c r="Z616" t="b">
        <v>1</v>
      </c>
      <c r="AA616" t="b">
        <v>1</v>
      </c>
      <c r="AB616" t="b">
        <v>1</v>
      </c>
      <c r="AC616" t="b">
        <v>1</v>
      </c>
      <c r="AD616" t="b">
        <v>1</v>
      </c>
      <c r="AE616" t="b">
        <v>1</v>
      </c>
      <c r="AF616" t="b">
        <v>1</v>
      </c>
      <c r="AG616" t="b">
        <v>1</v>
      </c>
    </row>
    <row r="617" spans="1:33" x14ac:dyDescent="0.25">
      <c r="A617" t="s">
        <v>972</v>
      </c>
      <c r="B617">
        <v>13</v>
      </c>
      <c r="C617" t="b">
        <v>0</v>
      </c>
      <c r="D617" t="s">
        <v>1911</v>
      </c>
      <c r="E617" t="s">
        <v>2251</v>
      </c>
      <c r="F617" t="s">
        <v>2388</v>
      </c>
      <c r="G617" t="s">
        <v>2389</v>
      </c>
      <c r="H617">
        <v>616</v>
      </c>
      <c r="I617" t="str">
        <f>IF(ISBLANK(Table1[[#This Row],[oid]]),"FALSE","TRUE")</f>
        <v>TRUE</v>
      </c>
      <c r="J617" t="str" cm="1">
        <f t="array" ref="J617">_xlfn.SWITCH(LEFT(Table1[[#This Row],[section]],1), "D", "Demographic", "S", "Social", "E", "Economic", "H", "Housing", "")</f>
        <v>Social</v>
      </c>
      <c r="K617" t="s">
        <v>2254</v>
      </c>
      <c r="L617" s="1" t="s">
        <v>2255</v>
      </c>
      <c r="M617" t="str">
        <f>IF(Table1[[#This Row],[used]], _xlfn.CONCAT("🆔 ", Table1[[#This Row],[variable]], ": ",Table1[[#This Row],[alias]]), "")</f>
        <v>🆔 B18135_028E: 65 years and over: With a disability: With health insurance coverage: With public health coverage</v>
      </c>
      <c r="O617" t="s">
        <v>2390</v>
      </c>
      <c r="P617" t="s">
        <v>2257</v>
      </c>
      <c r="Q617" t="s">
        <v>41</v>
      </c>
      <c r="R617" t="s">
        <v>2391</v>
      </c>
      <c r="S617" t="b">
        <v>0</v>
      </c>
      <c r="T617" t="b">
        <v>0</v>
      </c>
      <c r="U617" t="b">
        <v>1</v>
      </c>
      <c r="V617" t="b">
        <v>1</v>
      </c>
      <c r="W617" t="b">
        <v>1</v>
      </c>
      <c r="X617" t="b">
        <v>1</v>
      </c>
      <c r="Y617" t="b">
        <v>1</v>
      </c>
      <c r="Z617" t="b">
        <v>1</v>
      </c>
      <c r="AA617" t="b">
        <v>1</v>
      </c>
      <c r="AB617" t="b">
        <v>1</v>
      </c>
      <c r="AC617" t="b">
        <v>1</v>
      </c>
      <c r="AD617" t="b">
        <v>1</v>
      </c>
      <c r="AE617" t="b">
        <v>1</v>
      </c>
      <c r="AF617" t="b">
        <v>1</v>
      </c>
      <c r="AG617" t="b">
        <v>1</v>
      </c>
    </row>
    <row r="618" spans="1:33" x14ac:dyDescent="0.25">
      <c r="A618" t="s">
        <v>972</v>
      </c>
      <c r="B618">
        <v>13</v>
      </c>
      <c r="C618" t="b">
        <v>0</v>
      </c>
      <c r="D618" t="s">
        <v>1911</v>
      </c>
      <c r="E618" t="s">
        <v>2251</v>
      </c>
      <c r="F618" t="s">
        <v>2392</v>
      </c>
      <c r="G618" t="s">
        <v>2393</v>
      </c>
      <c r="H618">
        <v>617</v>
      </c>
      <c r="I618" t="str">
        <f>IF(ISBLANK(Table1[[#This Row],[oid]]),"FALSE","TRUE")</f>
        <v>TRUE</v>
      </c>
      <c r="J618" t="str" cm="1">
        <f t="array" ref="J618">_xlfn.SWITCH(LEFT(Table1[[#This Row],[section]],1), "D", "Demographic", "S", "Social", "E", "Economic", "H", "Housing", "")</f>
        <v>Social</v>
      </c>
      <c r="K618" t="s">
        <v>2254</v>
      </c>
      <c r="L618" s="1" t="s">
        <v>2255</v>
      </c>
      <c r="M618" t="str">
        <f>IF(Table1[[#This Row],[used]], _xlfn.CONCAT("🆔 ", Table1[[#This Row],[variable]], ": ",Table1[[#This Row],[alias]]), "")</f>
        <v>🆔 B18135_029E: 65 years and over: With a disability: No health insurance coverage</v>
      </c>
      <c r="O618" t="s">
        <v>2394</v>
      </c>
      <c r="P618" t="s">
        <v>2257</v>
      </c>
      <c r="Q618" t="s">
        <v>41</v>
      </c>
      <c r="R618" t="s">
        <v>2395</v>
      </c>
      <c r="S618" t="b">
        <v>0</v>
      </c>
      <c r="T618" t="b">
        <v>0</v>
      </c>
      <c r="U618" t="b">
        <v>1</v>
      </c>
      <c r="V618" t="b">
        <v>1</v>
      </c>
      <c r="W618" t="b">
        <v>1</v>
      </c>
      <c r="X618" t="b">
        <v>1</v>
      </c>
      <c r="Y618" t="b">
        <v>1</v>
      </c>
      <c r="Z618" t="b">
        <v>1</v>
      </c>
      <c r="AA618" t="b">
        <v>1</v>
      </c>
      <c r="AB618" t="b">
        <v>1</v>
      </c>
      <c r="AC618" t="b">
        <v>1</v>
      </c>
      <c r="AD618" t="b">
        <v>1</v>
      </c>
      <c r="AE618" t="b">
        <v>1</v>
      </c>
      <c r="AF618" t="b">
        <v>1</v>
      </c>
      <c r="AG618" t="b">
        <v>1</v>
      </c>
    </row>
    <row r="619" spans="1:33" x14ac:dyDescent="0.25">
      <c r="A619" t="s">
        <v>972</v>
      </c>
      <c r="B619">
        <v>13</v>
      </c>
      <c r="C619" t="b">
        <v>0</v>
      </c>
      <c r="D619" t="s">
        <v>1911</v>
      </c>
      <c r="E619" t="s">
        <v>2251</v>
      </c>
      <c r="F619" t="s">
        <v>2396</v>
      </c>
      <c r="G619" t="s">
        <v>2397</v>
      </c>
      <c r="H619">
        <v>618</v>
      </c>
      <c r="I619" t="str">
        <f>IF(ISBLANK(Table1[[#This Row],[oid]]),"FALSE","TRUE")</f>
        <v>TRUE</v>
      </c>
      <c r="J619" t="str" cm="1">
        <f t="array" ref="J619">_xlfn.SWITCH(LEFT(Table1[[#This Row],[section]],1), "D", "Demographic", "S", "Social", "E", "Economic", "H", "Housing", "")</f>
        <v>Social</v>
      </c>
      <c r="K619" t="s">
        <v>2254</v>
      </c>
      <c r="L619" s="1" t="s">
        <v>2255</v>
      </c>
      <c r="M619" t="str">
        <f>IF(Table1[[#This Row],[used]], _xlfn.CONCAT("🆔 ", Table1[[#This Row],[variable]], ": ",Table1[[#This Row],[alias]]), "")</f>
        <v>🆔 B18135_030E: 65 years and over: No disability</v>
      </c>
      <c r="O619" t="s">
        <v>2398</v>
      </c>
      <c r="P619" t="s">
        <v>2257</v>
      </c>
      <c r="Q619" t="s">
        <v>41</v>
      </c>
      <c r="R619" t="s">
        <v>2399</v>
      </c>
      <c r="S619" t="b">
        <v>0</v>
      </c>
      <c r="T619" t="b">
        <v>0</v>
      </c>
      <c r="U619" t="b">
        <v>1</v>
      </c>
      <c r="V619" t="b">
        <v>1</v>
      </c>
      <c r="W619" t="b">
        <v>1</v>
      </c>
      <c r="X619" t="b">
        <v>1</v>
      </c>
      <c r="Y619" t="b">
        <v>1</v>
      </c>
      <c r="Z619" t="b">
        <v>1</v>
      </c>
      <c r="AA619" t="b">
        <v>1</v>
      </c>
      <c r="AB619" t="b">
        <v>1</v>
      </c>
      <c r="AC619" t="b">
        <v>1</v>
      </c>
      <c r="AD619" t="b">
        <v>1</v>
      </c>
      <c r="AE619" t="b">
        <v>1</v>
      </c>
      <c r="AF619" t="b">
        <v>1</v>
      </c>
      <c r="AG619" t="b">
        <v>1</v>
      </c>
    </row>
    <row r="620" spans="1:33" x14ac:dyDescent="0.25">
      <c r="A620" t="s">
        <v>972</v>
      </c>
      <c r="B620">
        <v>13</v>
      </c>
      <c r="C620" t="b">
        <v>0</v>
      </c>
      <c r="D620" t="s">
        <v>1911</v>
      </c>
      <c r="E620" t="s">
        <v>2251</v>
      </c>
      <c r="F620" t="s">
        <v>2400</v>
      </c>
      <c r="G620" t="s">
        <v>2401</v>
      </c>
      <c r="H620">
        <v>619</v>
      </c>
      <c r="I620" t="str">
        <f>IF(ISBLANK(Table1[[#This Row],[oid]]),"FALSE","TRUE")</f>
        <v>TRUE</v>
      </c>
      <c r="J620" t="str" cm="1">
        <f t="array" ref="J620">_xlfn.SWITCH(LEFT(Table1[[#This Row],[section]],1), "D", "Demographic", "S", "Social", "E", "Economic", "H", "Housing", "")</f>
        <v>Social</v>
      </c>
      <c r="K620" t="s">
        <v>2254</v>
      </c>
      <c r="L620" s="1" t="s">
        <v>2255</v>
      </c>
      <c r="M620" t="str">
        <f>IF(Table1[[#This Row],[used]], _xlfn.CONCAT("🆔 ", Table1[[#This Row],[variable]], ": ",Table1[[#This Row],[alias]]), "")</f>
        <v>🆔 B18135_031E: 65 years and over: No disability: With health insurance coverage</v>
      </c>
      <c r="O620" t="s">
        <v>2402</v>
      </c>
      <c r="P620" t="s">
        <v>2257</v>
      </c>
      <c r="Q620" t="s">
        <v>41</v>
      </c>
      <c r="R620" t="s">
        <v>2403</v>
      </c>
      <c r="S620" t="b">
        <v>0</v>
      </c>
      <c r="T620" t="b">
        <v>0</v>
      </c>
      <c r="U620" t="b">
        <v>1</v>
      </c>
      <c r="V620" t="b">
        <v>1</v>
      </c>
      <c r="W620" t="b">
        <v>1</v>
      </c>
      <c r="X620" t="b">
        <v>1</v>
      </c>
      <c r="Y620" t="b">
        <v>1</v>
      </c>
      <c r="Z620" t="b">
        <v>1</v>
      </c>
      <c r="AA620" t="b">
        <v>1</v>
      </c>
      <c r="AB620" t="b">
        <v>1</v>
      </c>
      <c r="AC620" t="b">
        <v>1</v>
      </c>
      <c r="AD620" t="b">
        <v>1</v>
      </c>
      <c r="AE620" t="b">
        <v>1</v>
      </c>
      <c r="AF620" t="b">
        <v>1</v>
      </c>
      <c r="AG620" t="b">
        <v>1</v>
      </c>
    </row>
    <row r="621" spans="1:33" x14ac:dyDescent="0.25">
      <c r="A621" t="s">
        <v>972</v>
      </c>
      <c r="B621">
        <v>13</v>
      </c>
      <c r="C621" t="b">
        <v>0</v>
      </c>
      <c r="D621" t="s">
        <v>1911</v>
      </c>
      <c r="E621" t="s">
        <v>2251</v>
      </c>
      <c r="F621" t="s">
        <v>2404</v>
      </c>
      <c r="G621" t="s">
        <v>2405</v>
      </c>
      <c r="H621">
        <v>620</v>
      </c>
      <c r="I621" t="str">
        <f>IF(ISBLANK(Table1[[#This Row],[oid]]),"FALSE","TRUE")</f>
        <v>TRUE</v>
      </c>
      <c r="J621" t="str" cm="1">
        <f t="array" ref="J621">_xlfn.SWITCH(LEFT(Table1[[#This Row],[section]],1), "D", "Demographic", "S", "Social", "E", "Economic", "H", "Housing", "")</f>
        <v>Social</v>
      </c>
      <c r="K621" t="s">
        <v>2254</v>
      </c>
      <c r="L621" s="1" t="s">
        <v>2255</v>
      </c>
      <c r="M621" t="str">
        <f>IF(Table1[[#This Row],[used]], _xlfn.CONCAT("🆔 ", Table1[[#This Row],[variable]], ": ",Table1[[#This Row],[alias]]), "")</f>
        <v>🆔 B18135_032E: 65 years and over: No disability: With health insurance coverage: With private health insurance coverage</v>
      </c>
      <c r="O621" t="s">
        <v>2406</v>
      </c>
      <c r="P621" t="s">
        <v>2257</v>
      </c>
      <c r="Q621" t="s">
        <v>41</v>
      </c>
      <c r="R621" t="s">
        <v>2407</v>
      </c>
      <c r="S621" t="b">
        <v>0</v>
      </c>
      <c r="T621" t="b">
        <v>0</v>
      </c>
      <c r="U621" t="b">
        <v>1</v>
      </c>
      <c r="V621" t="b">
        <v>1</v>
      </c>
      <c r="W621" t="b">
        <v>1</v>
      </c>
      <c r="X621" t="b">
        <v>1</v>
      </c>
      <c r="Y621" t="b">
        <v>1</v>
      </c>
      <c r="Z621" t="b">
        <v>1</v>
      </c>
      <c r="AA621" t="b">
        <v>1</v>
      </c>
      <c r="AB621" t="b">
        <v>1</v>
      </c>
      <c r="AC621" t="b">
        <v>1</v>
      </c>
      <c r="AD621" t="b">
        <v>1</v>
      </c>
      <c r="AE621" t="b">
        <v>1</v>
      </c>
      <c r="AF621" t="b">
        <v>1</v>
      </c>
      <c r="AG621" t="b">
        <v>1</v>
      </c>
    </row>
    <row r="622" spans="1:33" x14ac:dyDescent="0.25">
      <c r="A622" t="s">
        <v>972</v>
      </c>
      <c r="B622">
        <v>13</v>
      </c>
      <c r="C622" t="b">
        <v>0</v>
      </c>
      <c r="D622" t="s">
        <v>1911</v>
      </c>
      <c r="E622" t="s">
        <v>2251</v>
      </c>
      <c r="F622" t="s">
        <v>2408</v>
      </c>
      <c r="G622" t="s">
        <v>2409</v>
      </c>
      <c r="H622">
        <v>621</v>
      </c>
      <c r="I622" t="str">
        <f>IF(ISBLANK(Table1[[#This Row],[oid]]),"FALSE","TRUE")</f>
        <v>TRUE</v>
      </c>
      <c r="J622" t="str" cm="1">
        <f t="array" ref="J622">_xlfn.SWITCH(LEFT(Table1[[#This Row],[section]],1), "D", "Demographic", "S", "Social", "E", "Economic", "H", "Housing", "")</f>
        <v>Social</v>
      </c>
      <c r="K622" t="s">
        <v>2254</v>
      </c>
      <c r="L622" s="1" t="s">
        <v>2255</v>
      </c>
      <c r="M622" t="str">
        <f>IF(Table1[[#This Row],[used]], _xlfn.CONCAT("🆔 ", Table1[[#This Row],[variable]], ": ",Table1[[#This Row],[alias]]), "")</f>
        <v>🆔 B18135_033E: 65 years and over: No disability: With health insurance coverage: With public health coverage</v>
      </c>
      <c r="O622" t="s">
        <v>2410</v>
      </c>
      <c r="P622" t="s">
        <v>2257</v>
      </c>
      <c r="Q622" t="s">
        <v>41</v>
      </c>
      <c r="R622" t="s">
        <v>2411</v>
      </c>
      <c r="S622" t="b">
        <v>0</v>
      </c>
      <c r="T622" t="b">
        <v>0</v>
      </c>
      <c r="U622" t="b">
        <v>1</v>
      </c>
      <c r="V622" t="b">
        <v>1</v>
      </c>
      <c r="W622" t="b">
        <v>1</v>
      </c>
      <c r="X622" t="b">
        <v>1</v>
      </c>
      <c r="Y622" t="b">
        <v>1</v>
      </c>
      <c r="Z622" t="b">
        <v>1</v>
      </c>
      <c r="AA622" t="b">
        <v>1</v>
      </c>
      <c r="AB622" t="b">
        <v>1</v>
      </c>
      <c r="AC622" t="b">
        <v>1</v>
      </c>
      <c r="AD622" t="b">
        <v>1</v>
      </c>
      <c r="AE622" t="b">
        <v>1</v>
      </c>
      <c r="AF622" t="b">
        <v>1</v>
      </c>
      <c r="AG622" t="b">
        <v>1</v>
      </c>
    </row>
    <row r="623" spans="1:33" x14ac:dyDescent="0.25">
      <c r="A623" t="s">
        <v>972</v>
      </c>
      <c r="B623">
        <v>13</v>
      </c>
      <c r="C623" t="b">
        <v>0</v>
      </c>
      <c r="D623" t="s">
        <v>1911</v>
      </c>
      <c r="E623" t="s">
        <v>2251</v>
      </c>
      <c r="F623" t="s">
        <v>2412</v>
      </c>
      <c r="G623" t="s">
        <v>2413</v>
      </c>
      <c r="H623">
        <v>622</v>
      </c>
      <c r="I623" t="str">
        <f>IF(ISBLANK(Table1[[#This Row],[oid]]),"FALSE","TRUE")</f>
        <v>TRUE</v>
      </c>
      <c r="J623" t="str" cm="1">
        <f t="array" ref="J623">_xlfn.SWITCH(LEFT(Table1[[#This Row],[section]],1), "D", "Demographic", "S", "Social", "E", "Economic", "H", "Housing", "")</f>
        <v>Social</v>
      </c>
      <c r="K623" t="s">
        <v>2254</v>
      </c>
      <c r="L623" s="1" t="s">
        <v>2255</v>
      </c>
      <c r="M623" t="str">
        <f>IF(Table1[[#This Row],[used]], _xlfn.CONCAT("🆔 ", Table1[[#This Row],[variable]], ": ",Table1[[#This Row],[alias]]), "")</f>
        <v>🆔 B18135_034E: 65 years and over: No disability: No health insurance coverage</v>
      </c>
      <c r="O623" t="s">
        <v>2414</v>
      </c>
      <c r="P623" t="s">
        <v>2257</v>
      </c>
      <c r="Q623" t="s">
        <v>41</v>
      </c>
      <c r="R623" t="s">
        <v>2415</v>
      </c>
      <c r="S623" t="b">
        <v>0</v>
      </c>
      <c r="T623" t="b">
        <v>0</v>
      </c>
      <c r="U623" t="b">
        <v>1</v>
      </c>
      <c r="V623" t="b">
        <v>1</v>
      </c>
      <c r="W623" t="b">
        <v>1</v>
      </c>
      <c r="X623" t="b">
        <v>1</v>
      </c>
      <c r="Y623" t="b">
        <v>1</v>
      </c>
      <c r="Z623" t="b">
        <v>1</v>
      </c>
      <c r="AA623" t="b">
        <v>1</v>
      </c>
      <c r="AB623" t="b">
        <v>1</v>
      </c>
      <c r="AC623" t="b">
        <v>1</v>
      </c>
      <c r="AD623" t="b">
        <v>1</v>
      </c>
      <c r="AE623" t="b">
        <v>1</v>
      </c>
      <c r="AF623" t="b">
        <v>1</v>
      </c>
      <c r="AG623" t="b">
        <v>1</v>
      </c>
    </row>
    <row r="624" spans="1:33" x14ac:dyDescent="0.25">
      <c r="A624" t="s">
        <v>33</v>
      </c>
      <c r="B624">
        <v>15</v>
      </c>
      <c r="C624" t="b">
        <v>1</v>
      </c>
      <c r="D624" t="s">
        <v>2416</v>
      </c>
      <c r="E624" t="s">
        <v>2417</v>
      </c>
      <c r="F624" t="s">
        <v>2418</v>
      </c>
      <c r="G624" t="s">
        <v>9821</v>
      </c>
      <c r="H624">
        <v>623</v>
      </c>
      <c r="I624" t="str">
        <f>IF(ISBLANK(Table1[[#This Row],[oid]]),"FALSE","TRUE")</f>
        <v>TRUE</v>
      </c>
      <c r="J624" t="str" cm="1">
        <f t="array" ref="J624">_xlfn.SWITCH(LEFT(Table1[[#This Row],[section]],1), "D", "Demographic", "S", "Social", "E", "Economic", "H", "Housing", "")</f>
        <v>Social</v>
      </c>
      <c r="K624" t="s">
        <v>2419</v>
      </c>
      <c r="L624" t="s">
        <v>2420</v>
      </c>
      <c r="M624" t="str">
        <f>IF(Table1[[#This Row],[used]], _xlfn.CONCAT("🆔 ", Table1[[#This Row],[variable]], ": ",Table1[[#This Row],[alias]]), "")</f>
        <v>🆔 B22001_002E: Household received Food Stamps-SNAP in the past 12 months</v>
      </c>
      <c r="O624" t="s">
        <v>2421</v>
      </c>
      <c r="P624" t="s">
        <v>2422</v>
      </c>
      <c r="Q624" t="s">
        <v>41</v>
      </c>
      <c r="R624" t="s">
        <v>2423</v>
      </c>
      <c r="S624" t="b">
        <v>1</v>
      </c>
      <c r="T624" t="b">
        <v>1</v>
      </c>
      <c r="U624" t="b">
        <v>1</v>
      </c>
      <c r="V624" t="b">
        <v>1</v>
      </c>
      <c r="W624" t="b">
        <v>1</v>
      </c>
      <c r="X624" t="b">
        <v>1</v>
      </c>
      <c r="Y624" t="b">
        <v>1</v>
      </c>
      <c r="Z624" t="b">
        <v>1</v>
      </c>
      <c r="AA624" t="b">
        <v>1</v>
      </c>
      <c r="AB624" t="b">
        <v>1</v>
      </c>
      <c r="AC624" t="b">
        <v>1</v>
      </c>
      <c r="AD624" t="b">
        <v>1</v>
      </c>
      <c r="AE624" t="b">
        <v>1</v>
      </c>
      <c r="AF624" t="b">
        <v>1</v>
      </c>
      <c r="AG624" t="b">
        <v>1</v>
      </c>
    </row>
    <row r="625" spans="1:33" x14ac:dyDescent="0.25">
      <c r="A625" t="s">
        <v>33</v>
      </c>
      <c r="B625">
        <v>15</v>
      </c>
      <c r="C625" t="b">
        <v>1</v>
      </c>
      <c r="D625" t="s">
        <v>2416</v>
      </c>
      <c r="E625" t="s">
        <v>2417</v>
      </c>
      <c r="F625" t="s">
        <v>2424</v>
      </c>
      <c r="G625" t="s">
        <v>9822</v>
      </c>
      <c r="H625">
        <v>624</v>
      </c>
      <c r="I625" t="str">
        <f>IF(ISBLANK(Table1[[#This Row],[oid]]),"FALSE","TRUE")</f>
        <v>TRUE</v>
      </c>
      <c r="J625" t="str" cm="1">
        <f t="array" ref="J625">_xlfn.SWITCH(LEFT(Table1[[#This Row],[section]],1), "D", "Demographic", "S", "Social", "E", "Economic", "H", "Housing", "")</f>
        <v>Social</v>
      </c>
      <c r="K625" t="s">
        <v>2419</v>
      </c>
      <c r="L625" t="s">
        <v>2420</v>
      </c>
      <c r="M625" t="str">
        <f>IF(Table1[[#This Row],[used]], _xlfn.CONCAT("🆔 ", Table1[[#This Row],[variable]], ": ",Table1[[#This Row],[alias]]), "")</f>
        <v>🆔 B22001_003E: Household received Food Stamps-SNAP in the past 12 months: At least one person in household 60 years or over</v>
      </c>
      <c r="O625" t="s">
        <v>2425</v>
      </c>
      <c r="P625" t="s">
        <v>2422</v>
      </c>
      <c r="Q625" t="s">
        <v>41</v>
      </c>
      <c r="R625" t="s">
        <v>2426</v>
      </c>
      <c r="S625" t="b">
        <v>1</v>
      </c>
      <c r="T625" t="b">
        <v>1</v>
      </c>
      <c r="U625" t="b">
        <v>1</v>
      </c>
      <c r="V625" t="b">
        <v>1</v>
      </c>
      <c r="W625" t="b">
        <v>1</v>
      </c>
      <c r="X625" t="b">
        <v>1</v>
      </c>
      <c r="Y625" t="b">
        <v>1</v>
      </c>
      <c r="Z625" t="b">
        <v>1</v>
      </c>
      <c r="AA625" t="b">
        <v>1</v>
      </c>
      <c r="AB625" t="b">
        <v>1</v>
      </c>
      <c r="AC625" t="b">
        <v>1</v>
      </c>
      <c r="AD625" t="b">
        <v>1</v>
      </c>
      <c r="AE625" t="b">
        <v>1</v>
      </c>
      <c r="AF625" t="b">
        <v>1</v>
      </c>
      <c r="AG625" t="b">
        <v>1</v>
      </c>
    </row>
    <row r="626" spans="1:33" x14ac:dyDescent="0.25">
      <c r="A626" t="s">
        <v>33</v>
      </c>
      <c r="B626">
        <v>15</v>
      </c>
      <c r="C626" t="b">
        <v>1</v>
      </c>
      <c r="D626" t="s">
        <v>2416</v>
      </c>
      <c r="E626" t="s">
        <v>2417</v>
      </c>
      <c r="F626" t="s">
        <v>2427</v>
      </c>
      <c r="G626" t="s">
        <v>9823</v>
      </c>
      <c r="H626">
        <v>625</v>
      </c>
      <c r="I626" t="str">
        <f>IF(ISBLANK(Table1[[#This Row],[oid]]),"FALSE","TRUE")</f>
        <v>TRUE</v>
      </c>
      <c r="J626" t="str" cm="1">
        <f t="array" ref="J626">_xlfn.SWITCH(LEFT(Table1[[#This Row],[section]],1), "D", "Demographic", "S", "Social", "E", "Economic", "H", "Housing", "")</f>
        <v>Social</v>
      </c>
      <c r="K626" t="s">
        <v>2419</v>
      </c>
      <c r="L626" t="s">
        <v>2420</v>
      </c>
      <c r="M626" t="str">
        <f>IF(Table1[[#This Row],[used]], _xlfn.CONCAT("🆔 ", Table1[[#This Row],[variable]], ": ",Table1[[#This Row],[alias]]), "")</f>
        <v>🆔 B22001_004E: Household received Food Stamps-SNAP in the past 12 months: No people in household 60 years or over</v>
      </c>
      <c r="O626" t="s">
        <v>2428</v>
      </c>
      <c r="P626" t="s">
        <v>2422</v>
      </c>
      <c r="Q626" t="s">
        <v>41</v>
      </c>
      <c r="R626" t="s">
        <v>2429</v>
      </c>
      <c r="S626" t="b">
        <v>1</v>
      </c>
      <c r="T626" t="b">
        <v>1</v>
      </c>
      <c r="U626" t="b">
        <v>1</v>
      </c>
      <c r="V626" t="b">
        <v>1</v>
      </c>
      <c r="W626" t="b">
        <v>1</v>
      </c>
      <c r="X626" t="b">
        <v>1</v>
      </c>
      <c r="Y626" t="b">
        <v>1</v>
      </c>
      <c r="Z626" t="b">
        <v>1</v>
      </c>
      <c r="AA626" t="b">
        <v>1</v>
      </c>
      <c r="AB626" t="b">
        <v>1</v>
      </c>
      <c r="AC626" t="b">
        <v>1</v>
      </c>
      <c r="AD626" t="b">
        <v>1</v>
      </c>
      <c r="AE626" t="b">
        <v>1</v>
      </c>
      <c r="AF626" t="b">
        <v>1</v>
      </c>
      <c r="AG626" t="b">
        <v>1</v>
      </c>
    </row>
    <row r="627" spans="1:33" x14ac:dyDescent="0.25">
      <c r="A627" t="s">
        <v>33</v>
      </c>
      <c r="B627">
        <v>15</v>
      </c>
      <c r="C627" t="b">
        <v>1</v>
      </c>
      <c r="D627" t="s">
        <v>2416</v>
      </c>
      <c r="E627" t="s">
        <v>2417</v>
      </c>
      <c r="F627" t="s">
        <v>2430</v>
      </c>
      <c r="G627" t="s">
        <v>9824</v>
      </c>
      <c r="H627">
        <v>626</v>
      </c>
      <c r="I627" t="str">
        <f>IF(ISBLANK(Table1[[#This Row],[oid]]),"FALSE","TRUE")</f>
        <v>TRUE</v>
      </c>
      <c r="J627" t="str" cm="1">
        <f t="array" ref="J627">_xlfn.SWITCH(LEFT(Table1[[#This Row],[section]],1), "D", "Demographic", "S", "Social", "E", "Economic", "H", "Housing", "")</f>
        <v>Social</v>
      </c>
      <c r="K627" t="s">
        <v>2419</v>
      </c>
      <c r="L627" t="s">
        <v>2420</v>
      </c>
      <c r="M627" t="str">
        <f>IF(Table1[[#This Row],[used]], _xlfn.CONCAT("🆔 ", Table1[[#This Row],[variable]], ": ",Table1[[#This Row],[alias]]), "")</f>
        <v>🆔 B22001_005E: Household did not receive Food Stamps-SNAP in the past 12 months</v>
      </c>
      <c r="O627" t="s">
        <v>2431</v>
      </c>
      <c r="P627" t="s">
        <v>2422</v>
      </c>
      <c r="Q627" t="s">
        <v>41</v>
      </c>
      <c r="R627" t="s">
        <v>2432</v>
      </c>
      <c r="S627" t="b">
        <v>1</v>
      </c>
      <c r="T627" t="b">
        <v>1</v>
      </c>
      <c r="U627" t="b">
        <v>1</v>
      </c>
      <c r="V627" t="b">
        <v>1</v>
      </c>
      <c r="W627" t="b">
        <v>1</v>
      </c>
      <c r="X627" t="b">
        <v>1</v>
      </c>
      <c r="Y627" t="b">
        <v>1</v>
      </c>
      <c r="Z627" t="b">
        <v>1</v>
      </c>
      <c r="AA627" t="b">
        <v>1</v>
      </c>
      <c r="AB627" t="b">
        <v>1</v>
      </c>
      <c r="AC627" t="b">
        <v>1</v>
      </c>
      <c r="AD627" t="b">
        <v>1</v>
      </c>
      <c r="AE627" t="b">
        <v>1</v>
      </c>
      <c r="AF627" t="b">
        <v>1</v>
      </c>
      <c r="AG627" t="b">
        <v>1</v>
      </c>
    </row>
    <row r="628" spans="1:33" x14ac:dyDescent="0.25">
      <c r="A628" t="s">
        <v>33</v>
      </c>
      <c r="B628">
        <v>15</v>
      </c>
      <c r="C628" t="b">
        <v>1</v>
      </c>
      <c r="D628" t="s">
        <v>2416</v>
      </c>
      <c r="E628" t="s">
        <v>2417</v>
      </c>
      <c r="F628" t="s">
        <v>2433</v>
      </c>
      <c r="G628" t="s">
        <v>9825</v>
      </c>
      <c r="H628">
        <v>627</v>
      </c>
      <c r="I628" t="str">
        <f>IF(ISBLANK(Table1[[#This Row],[oid]]),"FALSE","TRUE")</f>
        <v>TRUE</v>
      </c>
      <c r="J628" t="str" cm="1">
        <f t="array" ref="J628">_xlfn.SWITCH(LEFT(Table1[[#This Row],[section]],1), "D", "Demographic", "S", "Social", "E", "Economic", "H", "Housing", "")</f>
        <v>Social</v>
      </c>
      <c r="K628" t="s">
        <v>2419</v>
      </c>
      <c r="L628" t="s">
        <v>2420</v>
      </c>
      <c r="M628" t="str">
        <f>IF(Table1[[#This Row],[used]], _xlfn.CONCAT("🆔 ", Table1[[#This Row],[variable]], ": ",Table1[[#This Row],[alias]]), "")</f>
        <v>🆔 B22001_006E: Household did not receive Food Stamps-SNAP in the past 12 months: At least one person in household 60 years or over</v>
      </c>
      <c r="O628" t="s">
        <v>2434</v>
      </c>
      <c r="P628" t="s">
        <v>2422</v>
      </c>
      <c r="Q628" t="s">
        <v>41</v>
      </c>
      <c r="R628" t="s">
        <v>2435</v>
      </c>
      <c r="S628" t="b">
        <v>1</v>
      </c>
      <c r="T628" t="b">
        <v>1</v>
      </c>
      <c r="U628" t="b">
        <v>1</v>
      </c>
      <c r="V628" t="b">
        <v>1</v>
      </c>
      <c r="W628" t="b">
        <v>1</v>
      </c>
      <c r="X628" t="b">
        <v>1</v>
      </c>
      <c r="Y628" t="b">
        <v>1</v>
      </c>
      <c r="Z628" t="b">
        <v>1</v>
      </c>
      <c r="AA628" t="b">
        <v>1</v>
      </c>
      <c r="AB628" t="b">
        <v>1</v>
      </c>
      <c r="AC628" t="b">
        <v>1</v>
      </c>
      <c r="AD628" t="b">
        <v>1</v>
      </c>
      <c r="AE628" t="b">
        <v>1</v>
      </c>
      <c r="AF628" t="b">
        <v>1</v>
      </c>
      <c r="AG628" t="b">
        <v>1</v>
      </c>
    </row>
    <row r="629" spans="1:33" x14ac:dyDescent="0.25">
      <c r="A629" t="s">
        <v>33</v>
      </c>
      <c r="B629">
        <v>15</v>
      </c>
      <c r="C629" t="b">
        <v>1</v>
      </c>
      <c r="D629" t="s">
        <v>2416</v>
      </c>
      <c r="E629" t="s">
        <v>2417</v>
      </c>
      <c r="F629" t="s">
        <v>2436</v>
      </c>
      <c r="G629" t="s">
        <v>9826</v>
      </c>
      <c r="H629">
        <v>628</v>
      </c>
      <c r="I629" t="str">
        <f>IF(ISBLANK(Table1[[#This Row],[oid]]),"FALSE","TRUE")</f>
        <v>TRUE</v>
      </c>
      <c r="J629" t="str" cm="1">
        <f t="array" ref="J629">_xlfn.SWITCH(LEFT(Table1[[#This Row],[section]],1), "D", "Demographic", "S", "Social", "E", "Economic", "H", "Housing", "")</f>
        <v>Social</v>
      </c>
      <c r="K629" t="s">
        <v>2419</v>
      </c>
      <c r="L629" t="s">
        <v>2420</v>
      </c>
      <c r="M629" t="str">
        <f>IF(Table1[[#This Row],[used]], _xlfn.CONCAT("🆔 ", Table1[[#This Row],[variable]], ": ",Table1[[#This Row],[alias]]), "")</f>
        <v>🆔 B22001_007E: Household did not receive Food Stamps-SNAP in the past 12 months: No people in household 60 years or over</v>
      </c>
      <c r="O629" t="s">
        <v>2437</v>
      </c>
      <c r="P629" t="s">
        <v>2422</v>
      </c>
      <c r="Q629" t="s">
        <v>41</v>
      </c>
      <c r="R629" t="s">
        <v>2438</v>
      </c>
      <c r="S629" t="b">
        <v>1</v>
      </c>
      <c r="T629" t="b">
        <v>1</v>
      </c>
      <c r="U629" t="b">
        <v>1</v>
      </c>
      <c r="V629" t="b">
        <v>1</v>
      </c>
      <c r="W629" t="b">
        <v>1</v>
      </c>
      <c r="X629" t="b">
        <v>1</v>
      </c>
      <c r="Y629" t="b">
        <v>1</v>
      </c>
      <c r="Z629" t="b">
        <v>1</v>
      </c>
      <c r="AA629" t="b">
        <v>1</v>
      </c>
      <c r="AB629" t="b">
        <v>1</v>
      </c>
      <c r="AC629" t="b">
        <v>1</v>
      </c>
      <c r="AD629" t="b">
        <v>1</v>
      </c>
      <c r="AE629" t="b">
        <v>1</v>
      </c>
      <c r="AF629" t="b">
        <v>1</v>
      </c>
      <c r="AG629" t="b">
        <v>1</v>
      </c>
    </row>
    <row r="630" spans="1:33" x14ac:dyDescent="0.25">
      <c r="A630" t="s">
        <v>33</v>
      </c>
      <c r="B630">
        <v>15</v>
      </c>
      <c r="C630" t="b">
        <v>1</v>
      </c>
      <c r="D630" t="s">
        <v>2416</v>
      </c>
      <c r="E630" t="s">
        <v>2439</v>
      </c>
      <c r="F630" t="s">
        <v>2440</v>
      </c>
      <c r="G630" t="s">
        <v>9827</v>
      </c>
      <c r="H630">
        <v>629</v>
      </c>
      <c r="I630" t="str">
        <f>IF(ISBLANK(Table1[[#This Row],[oid]]),"FALSE","TRUE")</f>
        <v>TRUE</v>
      </c>
      <c r="J630" t="str" cm="1">
        <f t="array" ref="J630">_xlfn.SWITCH(LEFT(Table1[[#This Row],[section]],1), "D", "Demographic", "S", "Social", "E", "Economic", "H", "Housing", "")</f>
        <v>Social</v>
      </c>
      <c r="K630" t="s">
        <v>2419</v>
      </c>
      <c r="L630" t="s">
        <v>2420</v>
      </c>
      <c r="M630" t="str">
        <f>IF(Table1[[#This Row],[used]], _xlfn.CONCAT("🆔 ", Table1[[#This Row],[variable]], ": ",Table1[[#This Row],[alias]]), "")</f>
        <v>🆔 B22002_003E: Household received Food Stamps-SNAP in the past 12 months: With children under 18 years</v>
      </c>
      <c r="O630" t="s">
        <v>2441</v>
      </c>
      <c r="P630" t="s">
        <v>2442</v>
      </c>
      <c r="Q630" t="s">
        <v>41</v>
      </c>
      <c r="R630" t="s">
        <v>2443</v>
      </c>
      <c r="S630" t="b">
        <v>1</v>
      </c>
      <c r="T630" t="b">
        <v>1</v>
      </c>
      <c r="U630" t="b">
        <v>1</v>
      </c>
      <c r="V630" t="b">
        <v>1</v>
      </c>
      <c r="W630" t="b">
        <v>1</v>
      </c>
      <c r="X630" t="b">
        <v>1</v>
      </c>
      <c r="Y630" t="b">
        <v>1</v>
      </c>
      <c r="Z630" t="b">
        <v>1</v>
      </c>
      <c r="AA630" t="b">
        <v>1</v>
      </c>
      <c r="AB630" t="b">
        <v>1</v>
      </c>
      <c r="AC630" t="b">
        <v>1</v>
      </c>
      <c r="AD630" t="b">
        <v>1</v>
      </c>
      <c r="AE630" t="b">
        <v>1</v>
      </c>
      <c r="AF630" t="b">
        <v>1</v>
      </c>
      <c r="AG630" t="b">
        <v>1</v>
      </c>
    </row>
    <row r="631" spans="1:33" x14ac:dyDescent="0.25">
      <c r="A631" t="s">
        <v>33</v>
      </c>
      <c r="B631">
        <v>15</v>
      </c>
      <c r="C631" t="b">
        <v>1</v>
      </c>
      <c r="D631" t="s">
        <v>2416</v>
      </c>
      <c r="E631" t="s">
        <v>2439</v>
      </c>
      <c r="F631" t="s">
        <v>2444</v>
      </c>
      <c r="G631" t="s">
        <v>9828</v>
      </c>
      <c r="H631">
        <v>630</v>
      </c>
      <c r="I631" t="str">
        <f>IF(ISBLANK(Table1[[#This Row],[oid]]),"FALSE","TRUE")</f>
        <v>TRUE</v>
      </c>
      <c r="J631" t="str" cm="1">
        <f t="array" ref="J631">_xlfn.SWITCH(LEFT(Table1[[#This Row],[section]],1), "D", "Demographic", "S", "Social", "E", "Economic", "H", "Housing", "")</f>
        <v>Social</v>
      </c>
      <c r="K631" t="s">
        <v>2419</v>
      </c>
      <c r="L631" t="s">
        <v>2420</v>
      </c>
      <c r="M631" t="str">
        <f>IF(Table1[[#This Row],[used]], _xlfn.CONCAT("🆔 ", Table1[[#This Row],[variable]], ": ",Table1[[#This Row],[alias]]), "")</f>
        <v>🆔 B22002_009E: Household received Food Stamps-SNAP in the past 12 months: No children under 18 years</v>
      </c>
      <c r="O631" t="s">
        <v>2445</v>
      </c>
      <c r="P631" t="s">
        <v>2442</v>
      </c>
      <c r="Q631" t="s">
        <v>41</v>
      </c>
      <c r="R631" t="s">
        <v>2446</v>
      </c>
      <c r="S631" t="b">
        <v>1</v>
      </c>
      <c r="T631" t="b">
        <v>1</v>
      </c>
      <c r="U631" t="b">
        <v>1</v>
      </c>
      <c r="V631" t="b">
        <v>1</v>
      </c>
      <c r="W631" t="b">
        <v>1</v>
      </c>
      <c r="X631" t="b">
        <v>1</v>
      </c>
      <c r="Y631" t="b">
        <v>1</v>
      </c>
      <c r="Z631" t="b">
        <v>1</v>
      </c>
      <c r="AA631" t="b">
        <v>1</v>
      </c>
      <c r="AB631" t="b">
        <v>1</v>
      </c>
      <c r="AC631" t="b">
        <v>1</v>
      </c>
      <c r="AD631" t="b">
        <v>1</v>
      </c>
      <c r="AE631" t="b">
        <v>1</v>
      </c>
      <c r="AF631" t="b">
        <v>1</v>
      </c>
      <c r="AG631" t="b">
        <v>1</v>
      </c>
    </row>
    <row r="632" spans="1:33" x14ac:dyDescent="0.25">
      <c r="A632" t="s">
        <v>33</v>
      </c>
      <c r="B632">
        <v>15</v>
      </c>
      <c r="C632" t="b">
        <v>1</v>
      </c>
      <c r="D632" t="s">
        <v>2416</v>
      </c>
      <c r="E632" t="s">
        <v>2447</v>
      </c>
      <c r="F632" t="s">
        <v>2448</v>
      </c>
      <c r="G632" t="s">
        <v>9829</v>
      </c>
      <c r="H632">
        <v>631</v>
      </c>
      <c r="I632" t="str">
        <f>IF(ISBLANK(Table1[[#This Row],[oid]]),"FALSE","TRUE")</f>
        <v>TRUE</v>
      </c>
      <c r="J632" t="str" cm="1">
        <f t="array" ref="J632">_xlfn.SWITCH(LEFT(Table1[[#This Row],[section]],1), "D", "Demographic", "S", "Social", "E", "Economic", "H", "Housing", "")</f>
        <v>Social</v>
      </c>
      <c r="K632" t="s">
        <v>2419</v>
      </c>
      <c r="L632" t="s">
        <v>2420</v>
      </c>
      <c r="M632" t="str">
        <f>IF(Table1[[#This Row],[used]], _xlfn.CONCAT("🆔 ", Table1[[#This Row],[variable]], ": ",Table1[[#This Row],[alias]]), "")</f>
        <v>🆔 B22003_003E: Household received Food Stamps-SNAP in the past 12 months: Income in the past 12 months below poverty level</v>
      </c>
      <c r="O632" t="s">
        <v>2449</v>
      </c>
      <c r="P632" t="s">
        <v>2450</v>
      </c>
      <c r="Q632" t="s">
        <v>41</v>
      </c>
      <c r="R632" t="s">
        <v>2451</v>
      </c>
      <c r="S632" t="b">
        <v>1</v>
      </c>
      <c r="T632" t="b">
        <v>1</v>
      </c>
      <c r="U632" t="b">
        <v>1</v>
      </c>
      <c r="V632" t="b">
        <v>1</v>
      </c>
      <c r="W632" t="b">
        <v>1</v>
      </c>
      <c r="X632" t="b">
        <v>1</v>
      </c>
      <c r="Y632" t="b">
        <v>1</v>
      </c>
      <c r="Z632" t="b">
        <v>1</v>
      </c>
      <c r="AA632" t="b">
        <v>1</v>
      </c>
      <c r="AB632" t="b">
        <v>1</v>
      </c>
      <c r="AC632" t="b">
        <v>1</v>
      </c>
      <c r="AD632" t="b">
        <v>1</v>
      </c>
      <c r="AE632" t="b">
        <v>1</v>
      </c>
      <c r="AF632" t="b">
        <v>1</v>
      </c>
      <c r="AG632" t="b">
        <v>1</v>
      </c>
    </row>
    <row r="633" spans="1:33" x14ac:dyDescent="0.25">
      <c r="A633" t="s">
        <v>33</v>
      </c>
      <c r="B633">
        <v>15</v>
      </c>
      <c r="C633" t="b">
        <v>1</v>
      </c>
      <c r="D633" t="s">
        <v>2416</v>
      </c>
      <c r="E633" t="s">
        <v>2447</v>
      </c>
      <c r="F633" t="s">
        <v>2452</v>
      </c>
      <c r="G633" t="s">
        <v>9830</v>
      </c>
      <c r="H633">
        <v>632</v>
      </c>
      <c r="I633" t="str">
        <f>IF(ISBLANK(Table1[[#This Row],[oid]]),"FALSE","TRUE")</f>
        <v>TRUE</v>
      </c>
      <c r="J633" t="str" cm="1">
        <f t="array" ref="J633">_xlfn.SWITCH(LEFT(Table1[[#This Row],[section]],1), "D", "Demographic", "S", "Social", "E", "Economic", "H", "Housing", "")</f>
        <v>Social</v>
      </c>
      <c r="K633" t="s">
        <v>2419</v>
      </c>
      <c r="L633" t="s">
        <v>2420</v>
      </c>
      <c r="M633" t="str">
        <f>IF(Table1[[#This Row],[used]], _xlfn.CONCAT("🆔 ", Table1[[#This Row],[variable]], ": ",Table1[[#This Row],[alias]]), "")</f>
        <v>🆔 B22003_004E: Household received Food Stamps-SNAP in the past 12 months: Income in the past 12 months at or above poverty level</v>
      </c>
      <c r="O633" t="s">
        <v>2453</v>
      </c>
      <c r="P633" t="s">
        <v>2450</v>
      </c>
      <c r="Q633" t="s">
        <v>41</v>
      </c>
      <c r="R633" t="s">
        <v>2454</v>
      </c>
      <c r="S633" t="b">
        <v>1</v>
      </c>
      <c r="T633" t="b">
        <v>1</v>
      </c>
      <c r="U633" t="b">
        <v>1</v>
      </c>
      <c r="V633" t="b">
        <v>1</v>
      </c>
      <c r="W633" t="b">
        <v>1</v>
      </c>
      <c r="X633" t="b">
        <v>1</v>
      </c>
      <c r="Y633" t="b">
        <v>1</v>
      </c>
      <c r="Z633" t="b">
        <v>1</v>
      </c>
      <c r="AA633" t="b">
        <v>1</v>
      </c>
      <c r="AB633" t="b">
        <v>1</v>
      </c>
      <c r="AC633" t="b">
        <v>1</v>
      </c>
      <c r="AD633" t="b">
        <v>1</v>
      </c>
      <c r="AE633" t="b">
        <v>1</v>
      </c>
      <c r="AF633" t="b">
        <v>1</v>
      </c>
      <c r="AG633" t="b">
        <v>1</v>
      </c>
    </row>
    <row r="634" spans="1:33" x14ac:dyDescent="0.25">
      <c r="A634" t="s">
        <v>33</v>
      </c>
      <c r="B634">
        <v>15</v>
      </c>
      <c r="C634" t="b">
        <v>1</v>
      </c>
      <c r="D634" t="s">
        <v>2455</v>
      </c>
      <c r="E634" t="s">
        <v>2456</v>
      </c>
      <c r="F634" t="s">
        <v>2457</v>
      </c>
      <c r="G634" t="s">
        <v>2458</v>
      </c>
      <c r="H634">
        <v>633</v>
      </c>
      <c r="I634" t="str">
        <f>IF(ISBLANK(Table1[[#This Row],[oid]]),"FALSE","TRUE")</f>
        <v>TRUE</v>
      </c>
      <c r="J634" t="str" cm="1">
        <f t="array" ref="J634">_xlfn.SWITCH(LEFT(Table1[[#This Row],[section]],1), "D", "Demographic", "S", "Social", "E", "Economic", "H", "Housing", "")</f>
        <v>Social</v>
      </c>
      <c r="K634" t="s">
        <v>2459</v>
      </c>
      <c r="L634" t="s">
        <v>2460</v>
      </c>
      <c r="M634" t="str">
        <f>IF(Table1[[#This Row],[used]], _xlfn.CONCAT("🆔 ", Table1[[#This Row],[variable]], ": ",Table1[[#This Row],[alias]]), "")</f>
        <v>🆔 B07001_017E: Residence: Same house 1 year ago</v>
      </c>
      <c r="O634" t="s">
        <v>2461</v>
      </c>
      <c r="P634" t="s">
        <v>2462</v>
      </c>
      <c r="Q634" t="s">
        <v>41</v>
      </c>
      <c r="R634" t="s">
        <v>2463</v>
      </c>
      <c r="S634" t="b">
        <v>1</v>
      </c>
      <c r="T634" t="b">
        <v>1</v>
      </c>
      <c r="U634" t="b">
        <v>1</v>
      </c>
      <c r="V634" t="b">
        <v>1</v>
      </c>
      <c r="W634" t="b">
        <v>1</v>
      </c>
      <c r="X634" t="b">
        <v>1</v>
      </c>
      <c r="Y634" t="b">
        <v>1</v>
      </c>
      <c r="Z634" t="b">
        <v>1</v>
      </c>
      <c r="AA634" t="b">
        <v>1</v>
      </c>
      <c r="AB634" t="b">
        <v>1</v>
      </c>
      <c r="AC634" t="b">
        <v>1</v>
      </c>
      <c r="AD634" t="b">
        <v>1</v>
      </c>
      <c r="AE634" t="b">
        <v>1</v>
      </c>
      <c r="AF634" t="b">
        <v>1</v>
      </c>
      <c r="AG634" t="b">
        <v>1</v>
      </c>
    </row>
    <row r="635" spans="1:33" x14ac:dyDescent="0.25">
      <c r="A635" t="s">
        <v>33</v>
      </c>
      <c r="B635">
        <v>15</v>
      </c>
      <c r="C635" t="b">
        <v>1</v>
      </c>
      <c r="D635" t="s">
        <v>2455</v>
      </c>
      <c r="E635" t="s">
        <v>2456</v>
      </c>
      <c r="F635" t="s">
        <v>2464</v>
      </c>
      <c r="G635" t="s">
        <v>2465</v>
      </c>
      <c r="H635">
        <v>634</v>
      </c>
      <c r="I635" t="str">
        <f>IF(ISBLANK(Table1[[#This Row],[oid]]),"FALSE","TRUE")</f>
        <v>TRUE</v>
      </c>
      <c r="J635" t="str" cm="1">
        <f t="array" ref="J635">_xlfn.SWITCH(LEFT(Table1[[#This Row],[section]],1), "D", "Demographic", "S", "Social", "E", "Economic", "H", "Housing", "")</f>
        <v>Social</v>
      </c>
      <c r="K635" t="s">
        <v>2459</v>
      </c>
      <c r="L635" t="s">
        <v>2460</v>
      </c>
      <c r="M635" t="str">
        <f>IF(Table1[[#This Row],[used]], _xlfn.CONCAT("🆔 ", Table1[[#This Row],[variable]], ": ",Table1[[#This Row],[alias]]), "")</f>
        <v>🆔 B07001_033E: Residence: Moved within same county</v>
      </c>
      <c r="O635" t="s">
        <v>2466</v>
      </c>
      <c r="P635" t="s">
        <v>2462</v>
      </c>
      <c r="Q635" t="s">
        <v>41</v>
      </c>
      <c r="R635" t="s">
        <v>2467</v>
      </c>
      <c r="S635" t="b">
        <v>1</v>
      </c>
      <c r="T635" t="b">
        <v>1</v>
      </c>
      <c r="U635" t="b">
        <v>1</v>
      </c>
      <c r="V635" t="b">
        <v>1</v>
      </c>
      <c r="W635" t="b">
        <v>1</v>
      </c>
      <c r="X635" t="b">
        <v>1</v>
      </c>
      <c r="Y635" t="b">
        <v>1</v>
      </c>
      <c r="Z635" t="b">
        <v>1</v>
      </c>
      <c r="AA635" t="b">
        <v>1</v>
      </c>
      <c r="AB635" t="b">
        <v>1</v>
      </c>
      <c r="AC635" t="b">
        <v>1</v>
      </c>
      <c r="AD635" t="b">
        <v>1</v>
      </c>
      <c r="AE635" t="b">
        <v>1</v>
      </c>
      <c r="AF635" t="b">
        <v>1</v>
      </c>
      <c r="AG635" t="b">
        <v>1</v>
      </c>
    </row>
    <row r="636" spans="1:33" x14ac:dyDescent="0.25">
      <c r="A636" t="s">
        <v>33</v>
      </c>
      <c r="B636">
        <v>15</v>
      </c>
      <c r="C636" t="b">
        <v>1</v>
      </c>
      <c r="D636" t="s">
        <v>2455</v>
      </c>
      <c r="E636" t="s">
        <v>2456</v>
      </c>
      <c r="F636" t="s">
        <v>2468</v>
      </c>
      <c r="G636" t="s">
        <v>2469</v>
      </c>
      <c r="H636">
        <v>635</v>
      </c>
      <c r="I636" t="str">
        <f>IF(ISBLANK(Table1[[#This Row],[oid]]),"FALSE","TRUE")</f>
        <v>TRUE</v>
      </c>
      <c r="J636" t="str" cm="1">
        <f t="array" ref="J636">_xlfn.SWITCH(LEFT(Table1[[#This Row],[section]],1), "D", "Demographic", "S", "Social", "E", "Economic", "H", "Housing", "")</f>
        <v>Social</v>
      </c>
      <c r="K636" t="s">
        <v>2459</v>
      </c>
      <c r="L636" t="s">
        <v>2460</v>
      </c>
      <c r="M636" t="str">
        <f>IF(Table1[[#This Row],[used]], _xlfn.CONCAT("🆔 ", Table1[[#This Row],[variable]], ": ",Table1[[#This Row],[alias]]), "")</f>
        <v>🆔 B07001_049E: Residence: Moved from different county within same state</v>
      </c>
      <c r="O636" t="s">
        <v>2470</v>
      </c>
      <c r="P636" t="s">
        <v>2462</v>
      </c>
      <c r="Q636" t="s">
        <v>41</v>
      </c>
      <c r="R636" t="s">
        <v>2471</v>
      </c>
      <c r="S636" t="b">
        <v>1</v>
      </c>
      <c r="T636" t="b">
        <v>1</v>
      </c>
      <c r="U636" t="b">
        <v>1</v>
      </c>
      <c r="V636" t="b">
        <v>1</v>
      </c>
      <c r="W636" t="b">
        <v>1</v>
      </c>
      <c r="X636" t="b">
        <v>1</v>
      </c>
      <c r="Y636" t="b">
        <v>1</v>
      </c>
      <c r="Z636" t="b">
        <v>1</v>
      </c>
      <c r="AA636" t="b">
        <v>1</v>
      </c>
      <c r="AB636" t="b">
        <v>1</v>
      </c>
      <c r="AC636" t="b">
        <v>1</v>
      </c>
      <c r="AD636" t="b">
        <v>1</v>
      </c>
      <c r="AE636" t="b">
        <v>1</v>
      </c>
      <c r="AF636" t="b">
        <v>1</v>
      </c>
      <c r="AG636" t="b">
        <v>1</v>
      </c>
    </row>
    <row r="637" spans="1:33" x14ac:dyDescent="0.25">
      <c r="A637" t="s">
        <v>33</v>
      </c>
      <c r="B637">
        <v>15</v>
      </c>
      <c r="C637" t="b">
        <v>1</v>
      </c>
      <c r="D637" t="s">
        <v>2455</v>
      </c>
      <c r="E637" t="s">
        <v>2456</v>
      </c>
      <c r="F637" t="s">
        <v>2472</v>
      </c>
      <c r="G637" t="s">
        <v>2473</v>
      </c>
      <c r="H637">
        <v>636</v>
      </c>
      <c r="I637" t="str">
        <f>IF(ISBLANK(Table1[[#This Row],[oid]]),"FALSE","TRUE")</f>
        <v>TRUE</v>
      </c>
      <c r="J637" t="str" cm="1">
        <f t="array" ref="J637">_xlfn.SWITCH(LEFT(Table1[[#This Row],[section]],1), "D", "Demographic", "S", "Social", "E", "Economic", "H", "Housing", "")</f>
        <v>Social</v>
      </c>
      <c r="K637" t="s">
        <v>2459</v>
      </c>
      <c r="L637" t="s">
        <v>2460</v>
      </c>
      <c r="M637" t="str">
        <f>IF(Table1[[#This Row],[used]], _xlfn.CONCAT("🆔 ", Table1[[#This Row],[variable]], ": ",Table1[[#This Row],[alias]]), "")</f>
        <v>🆔 B07001_065E: Residence: Moved from different state</v>
      </c>
      <c r="O637" t="s">
        <v>2474</v>
      </c>
      <c r="P637" t="s">
        <v>2462</v>
      </c>
      <c r="Q637" t="s">
        <v>41</v>
      </c>
      <c r="R637" t="s">
        <v>2475</v>
      </c>
      <c r="S637" t="b">
        <v>1</v>
      </c>
      <c r="T637" t="b">
        <v>1</v>
      </c>
      <c r="U637" t="b">
        <v>1</v>
      </c>
      <c r="V637" t="b">
        <v>1</v>
      </c>
      <c r="W637" t="b">
        <v>1</v>
      </c>
      <c r="X637" t="b">
        <v>1</v>
      </c>
      <c r="Y637" t="b">
        <v>1</v>
      </c>
      <c r="Z637" t="b">
        <v>1</v>
      </c>
      <c r="AA637" t="b">
        <v>1</v>
      </c>
      <c r="AB637" t="b">
        <v>1</v>
      </c>
      <c r="AC637" t="b">
        <v>1</v>
      </c>
      <c r="AD637" t="b">
        <v>1</v>
      </c>
      <c r="AE637" t="b">
        <v>1</v>
      </c>
      <c r="AF637" t="b">
        <v>1</v>
      </c>
      <c r="AG637" t="b">
        <v>1</v>
      </c>
    </row>
    <row r="638" spans="1:33" x14ac:dyDescent="0.25">
      <c r="A638" t="s">
        <v>33</v>
      </c>
      <c r="B638">
        <v>15</v>
      </c>
      <c r="C638" t="b">
        <v>1</v>
      </c>
      <c r="D638" t="s">
        <v>2455</v>
      </c>
      <c r="E638" t="s">
        <v>2456</v>
      </c>
      <c r="F638" t="s">
        <v>2476</v>
      </c>
      <c r="G638" t="s">
        <v>2477</v>
      </c>
      <c r="H638">
        <v>637</v>
      </c>
      <c r="I638" t="str">
        <f>IF(ISBLANK(Table1[[#This Row],[oid]]),"FALSE","TRUE")</f>
        <v>TRUE</v>
      </c>
      <c r="J638" t="str" cm="1">
        <f t="array" ref="J638">_xlfn.SWITCH(LEFT(Table1[[#This Row],[section]],1), "D", "Demographic", "S", "Social", "E", "Economic", "H", "Housing", "")</f>
        <v>Social</v>
      </c>
      <c r="K638" t="s">
        <v>2459</v>
      </c>
      <c r="L638" t="s">
        <v>2460</v>
      </c>
      <c r="M638" t="str">
        <f>IF(Table1[[#This Row],[used]], _xlfn.CONCAT("🆔 ", Table1[[#This Row],[variable]], ": ",Table1[[#This Row],[alias]]), "")</f>
        <v>🆔 B07001_081E: Residence: Moved from abroad</v>
      </c>
      <c r="O638" t="s">
        <v>2478</v>
      </c>
      <c r="P638" t="s">
        <v>2462</v>
      </c>
      <c r="Q638" t="s">
        <v>41</v>
      </c>
      <c r="R638" t="s">
        <v>2479</v>
      </c>
      <c r="S638" t="b">
        <v>1</v>
      </c>
      <c r="T638" t="b">
        <v>1</v>
      </c>
      <c r="U638" t="b">
        <v>1</v>
      </c>
      <c r="V638" t="b">
        <v>1</v>
      </c>
      <c r="W638" t="b">
        <v>1</v>
      </c>
      <c r="X638" t="b">
        <v>1</v>
      </c>
      <c r="Y638" t="b">
        <v>1</v>
      </c>
      <c r="Z638" t="b">
        <v>1</v>
      </c>
      <c r="AA638" t="b">
        <v>1</v>
      </c>
      <c r="AB638" t="b">
        <v>1</v>
      </c>
      <c r="AC638" t="b">
        <v>1</v>
      </c>
      <c r="AD638" t="b">
        <v>1</v>
      </c>
      <c r="AE638" t="b">
        <v>1</v>
      </c>
      <c r="AF638" t="b">
        <v>1</v>
      </c>
      <c r="AG638" t="b">
        <v>1</v>
      </c>
    </row>
    <row r="639" spans="1:33" x14ac:dyDescent="0.25">
      <c r="A639" t="s">
        <v>33</v>
      </c>
      <c r="B639">
        <v>15</v>
      </c>
      <c r="C639" t="b">
        <v>1</v>
      </c>
      <c r="D639" t="s">
        <v>592</v>
      </c>
      <c r="E639" t="s">
        <v>2480</v>
      </c>
      <c r="F639" t="s">
        <v>2481</v>
      </c>
      <c r="G639" t="s">
        <v>2482</v>
      </c>
      <c r="H639">
        <v>638</v>
      </c>
      <c r="I639" t="str">
        <f>IF(ISBLANK(Table1[[#This Row],[oid]]),"FALSE","TRUE")</f>
        <v>TRUE</v>
      </c>
      <c r="J639" t="str" cm="1">
        <f t="array" ref="J639">_xlfn.SWITCH(LEFT(Table1[[#This Row],[section]],1), "D", "Demographic", "S", "Social", "E", "Economic", "H", "Housing", "")</f>
        <v>Social</v>
      </c>
      <c r="K639" t="s">
        <v>2483</v>
      </c>
      <c r="L639" t="s">
        <v>2484</v>
      </c>
      <c r="M639" t="str">
        <f>IF(Table1[[#This Row],[used]], _xlfn.CONCAT("🆔 ", Table1[[#This Row],[variable]], ": ",Table1[[#This Row],[alias]]), "")</f>
        <v>🆔 B05002_001E: Population (Place of Birth)</v>
      </c>
      <c r="O639" t="s">
        <v>39</v>
      </c>
      <c r="P639" t="s">
        <v>2485</v>
      </c>
      <c r="Q639" t="s">
        <v>41</v>
      </c>
      <c r="R639" t="s">
        <v>2486</v>
      </c>
      <c r="S639" t="b">
        <v>1</v>
      </c>
      <c r="T639" t="b">
        <v>1</v>
      </c>
      <c r="U639" t="b">
        <v>1</v>
      </c>
      <c r="V639" t="b">
        <v>1</v>
      </c>
      <c r="W639" t="b">
        <v>1</v>
      </c>
      <c r="X639" t="b">
        <v>1</v>
      </c>
      <c r="Y639" t="b">
        <v>1</v>
      </c>
      <c r="Z639" t="b">
        <v>1</v>
      </c>
      <c r="AA639" t="b">
        <v>1</v>
      </c>
      <c r="AB639" t="b">
        <v>1</v>
      </c>
      <c r="AC639" t="b">
        <v>1</v>
      </c>
      <c r="AD639" t="b">
        <v>1</v>
      </c>
      <c r="AE639" t="b">
        <v>1</v>
      </c>
      <c r="AF639" t="b">
        <v>1</v>
      </c>
      <c r="AG639" t="b">
        <v>1</v>
      </c>
    </row>
    <row r="640" spans="1:33" x14ac:dyDescent="0.25">
      <c r="A640" t="s">
        <v>33</v>
      </c>
      <c r="B640">
        <v>15</v>
      </c>
      <c r="C640" t="b">
        <v>1</v>
      </c>
      <c r="D640" t="s">
        <v>592</v>
      </c>
      <c r="E640" t="s">
        <v>2480</v>
      </c>
      <c r="F640" t="s">
        <v>2487</v>
      </c>
      <c r="G640" t="s">
        <v>2488</v>
      </c>
      <c r="H640">
        <v>639</v>
      </c>
      <c r="I640" t="str">
        <f>IF(ISBLANK(Table1[[#This Row],[oid]]),"FALSE","TRUE")</f>
        <v>TRUE</v>
      </c>
      <c r="J640" t="str" cm="1">
        <f t="array" ref="J640">_xlfn.SWITCH(LEFT(Table1[[#This Row],[section]],1), "D", "Demographic", "S", "Social", "E", "Economic", "H", "Housing", "")</f>
        <v>Social</v>
      </c>
      <c r="K640" t="s">
        <v>2483</v>
      </c>
      <c r="L640" t="s">
        <v>2484</v>
      </c>
      <c r="M640" t="str">
        <f>IF(Table1[[#This Row],[used]], _xlfn.CONCAT("🆔 ", Table1[[#This Row],[variable]], ": ",Table1[[#This Row],[alias]]), "")</f>
        <v>🆔 B05002_002E: Native</v>
      </c>
      <c r="O640" t="s">
        <v>2489</v>
      </c>
      <c r="P640" t="s">
        <v>2485</v>
      </c>
      <c r="Q640" t="s">
        <v>41</v>
      </c>
      <c r="R640" t="s">
        <v>2490</v>
      </c>
      <c r="S640" t="b">
        <v>1</v>
      </c>
      <c r="T640" t="b">
        <v>1</v>
      </c>
      <c r="U640" t="b">
        <v>1</v>
      </c>
      <c r="V640" t="b">
        <v>1</v>
      </c>
      <c r="W640" t="b">
        <v>1</v>
      </c>
      <c r="X640" t="b">
        <v>1</v>
      </c>
      <c r="Y640" t="b">
        <v>1</v>
      </c>
      <c r="Z640" t="b">
        <v>1</v>
      </c>
      <c r="AA640" t="b">
        <v>1</v>
      </c>
      <c r="AB640" t="b">
        <v>1</v>
      </c>
      <c r="AC640" t="b">
        <v>1</v>
      </c>
      <c r="AD640" t="b">
        <v>1</v>
      </c>
      <c r="AE640" t="b">
        <v>1</v>
      </c>
      <c r="AF640" t="b">
        <v>1</v>
      </c>
      <c r="AG640" t="b">
        <v>1</v>
      </c>
    </row>
    <row r="641" spans="1:33" x14ac:dyDescent="0.25">
      <c r="A641" t="s">
        <v>33</v>
      </c>
      <c r="B641">
        <v>15</v>
      </c>
      <c r="C641" t="b">
        <v>1</v>
      </c>
      <c r="D641" t="s">
        <v>592</v>
      </c>
      <c r="E641" t="s">
        <v>2480</v>
      </c>
      <c r="F641" t="s">
        <v>2491</v>
      </c>
      <c r="G641" t="s">
        <v>2492</v>
      </c>
      <c r="H641">
        <v>640</v>
      </c>
      <c r="I641" t="str">
        <f>IF(ISBLANK(Table1[[#This Row],[oid]]),"FALSE","TRUE")</f>
        <v>TRUE</v>
      </c>
      <c r="J641" t="str" cm="1">
        <f t="array" ref="J641">_xlfn.SWITCH(LEFT(Table1[[#This Row],[section]],1), "D", "Demographic", "S", "Social", "E", "Economic", "H", "Housing", "")</f>
        <v>Social</v>
      </c>
      <c r="K641" t="s">
        <v>2483</v>
      </c>
      <c r="L641" t="s">
        <v>2484</v>
      </c>
      <c r="M641" t="str">
        <f>IF(Table1[[#This Row],[used]], _xlfn.CONCAT("🆔 ", Table1[[#This Row],[variable]], ": ",Table1[[#This Row],[alias]]), "")</f>
        <v>🆔 B05002_003E: Native: Born in state of residence</v>
      </c>
      <c r="O641" t="s">
        <v>2493</v>
      </c>
      <c r="P641" t="s">
        <v>2485</v>
      </c>
      <c r="Q641" t="s">
        <v>41</v>
      </c>
      <c r="R641" t="s">
        <v>2494</v>
      </c>
      <c r="S641" t="b">
        <v>1</v>
      </c>
      <c r="T641" t="b">
        <v>1</v>
      </c>
      <c r="U641" t="b">
        <v>1</v>
      </c>
      <c r="V641" t="b">
        <v>1</v>
      </c>
      <c r="W641" t="b">
        <v>1</v>
      </c>
      <c r="X641" t="b">
        <v>1</v>
      </c>
      <c r="Y641" t="b">
        <v>1</v>
      </c>
      <c r="Z641" t="b">
        <v>1</v>
      </c>
      <c r="AA641" t="b">
        <v>1</v>
      </c>
      <c r="AB641" t="b">
        <v>1</v>
      </c>
      <c r="AC641" t="b">
        <v>1</v>
      </c>
      <c r="AD641" t="b">
        <v>1</v>
      </c>
      <c r="AE641" t="b">
        <v>1</v>
      </c>
      <c r="AF641" t="b">
        <v>1</v>
      </c>
      <c r="AG641" t="b">
        <v>1</v>
      </c>
    </row>
    <row r="642" spans="1:33" x14ac:dyDescent="0.25">
      <c r="A642" t="s">
        <v>33</v>
      </c>
      <c r="B642">
        <v>15</v>
      </c>
      <c r="C642" t="b">
        <v>1</v>
      </c>
      <c r="D642" t="s">
        <v>592</v>
      </c>
      <c r="E642" t="s">
        <v>2480</v>
      </c>
      <c r="F642" t="s">
        <v>2495</v>
      </c>
      <c r="G642" t="s">
        <v>2496</v>
      </c>
      <c r="H642">
        <v>641</v>
      </c>
      <c r="I642" t="str">
        <f>IF(ISBLANK(Table1[[#This Row],[oid]]),"FALSE","TRUE")</f>
        <v>TRUE</v>
      </c>
      <c r="J642" t="str" cm="1">
        <f t="array" ref="J642">_xlfn.SWITCH(LEFT(Table1[[#This Row],[section]],1), "D", "Demographic", "S", "Social", "E", "Economic", "H", "Housing", "")</f>
        <v>Social</v>
      </c>
      <c r="K642" t="s">
        <v>2483</v>
      </c>
      <c r="L642" t="s">
        <v>2484</v>
      </c>
      <c r="M642" t="str">
        <f>IF(Table1[[#This Row],[used]], _xlfn.CONCAT("🆔 ", Table1[[#This Row],[variable]], ": ",Table1[[#This Row],[alias]]), "")</f>
        <v>🆔 B05002_004E: Native: Born in other state in the United States</v>
      </c>
      <c r="O642" t="s">
        <v>2497</v>
      </c>
      <c r="P642" t="s">
        <v>2485</v>
      </c>
      <c r="Q642" t="s">
        <v>41</v>
      </c>
      <c r="R642" t="s">
        <v>2498</v>
      </c>
      <c r="S642" t="b">
        <v>1</v>
      </c>
      <c r="T642" t="b">
        <v>1</v>
      </c>
      <c r="U642" t="b">
        <v>1</v>
      </c>
      <c r="V642" t="b">
        <v>1</v>
      </c>
      <c r="W642" t="b">
        <v>1</v>
      </c>
      <c r="X642" t="b">
        <v>1</v>
      </c>
      <c r="Y642" t="b">
        <v>1</v>
      </c>
      <c r="Z642" t="b">
        <v>1</v>
      </c>
      <c r="AA642" t="b">
        <v>1</v>
      </c>
      <c r="AB642" t="b">
        <v>1</v>
      </c>
      <c r="AC642" t="b">
        <v>1</v>
      </c>
      <c r="AD642" t="b">
        <v>1</v>
      </c>
      <c r="AE642" t="b">
        <v>1</v>
      </c>
      <c r="AF642" t="b">
        <v>1</v>
      </c>
      <c r="AG642" t="b">
        <v>1</v>
      </c>
    </row>
    <row r="643" spans="1:33" x14ac:dyDescent="0.25">
      <c r="A643" t="s">
        <v>33</v>
      </c>
      <c r="B643">
        <v>15</v>
      </c>
      <c r="C643" t="b">
        <v>1</v>
      </c>
      <c r="D643" t="s">
        <v>592</v>
      </c>
      <c r="E643" t="s">
        <v>2480</v>
      </c>
      <c r="F643" t="s">
        <v>2499</v>
      </c>
      <c r="G643" t="s">
        <v>2500</v>
      </c>
      <c r="H643">
        <v>642</v>
      </c>
      <c r="I643" t="str">
        <f>IF(ISBLANK(Table1[[#This Row],[oid]]),"FALSE","TRUE")</f>
        <v>TRUE</v>
      </c>
      <c r="J643" t="str" cm="1">
        <f t="array" ref="J643">_xlfn.SWITCH(LEFT(Table1[[#This Row],[section]],1), "D", "Demographic", "S", "Social", "E", "Economic", "H", "Housing", "")</f>
        <v>Social</v>
      </c>
      <c r="K643" t="s">
        <v>2483</v>
      </c>
      <c r="L643" t="s">
        <v>2484</v>
      </c>
      <c r="M643" t="str">
        <f>IF(Table1[[#This Row],[used]], _xlfn.CONCAT("🆔 ", Table1[[#This Row],[variable]], ": ",Table1[[#This Row],[alias]]), "")</f>
        <v>🆔 B05002_005E: Native: Born in other state in the United States: Northeast</v>
      </c>
      <c r="O643" t="s">
        <v>2501</v>
      </c>
      <c r="P643" t="s">
        <v>2485</v>
      </c>
      <c r="Q643" t="s">
        <v>41</v>
      </c>
      <c r="R643" t="s">
        <v>2502</v>
      </c>
      <c r="S643" t="b">
        <v>1</v>
      </c>
      <c r="T643" t="b">
        <v>1</v>
      </c>
      <c r="U643" t="b">
        <v>1</v>
      </c>
      <c r="V643" t="b">
        <v>1</v>
      </c>
      <c r="W643" t="b">
        <v>1</v>
      </c>
      <c r="X643" t="b">
        <v>1</v>
      </c>
      <c r="Y643" t="b">
        <v>1</v>
      </c>
      <c r="Z643" t="b">
        <v>1</v>
      </c>
      <c r="AA643" t="b">
        <v>1</v>
      </c>
      <c r="AB643" t="b">
        <v>1</v>
      </c>
      <c r="AC643" t="b">
        <v>1</v>
      </c>
      <c r="AD643" t="b">
        <v>1</v>
      </c>
      <c r="AE643" t="b">
        <v>1</v>
      </c>
      <c r="AF643" t="b">
        <v>1</v>
      </c>
      <c r="AG643" t="b">
        <v>1</v>
      </c>
    </row>
    <row r="644" spans="1:33" x14ac:dyDescent="0.25">
      <c r="A644" t="s">
        <v>33</v>
      </c>
      <c r="B644">
        <v>15</v>
      </c>
      <c r="C644" t="b">
        <v>1</v>
      </c>
      <c r="D644" t="s">
        <v>592</v>
      </c>
      <c r="E644" t="s">
        <v>2480</v>
      </c>
      <c r="F644" t="s">
        <v>2503</v>
      </c>
      <c r="G644" t="s">
        <v>2504</v>
      </c>
      <c r="H644">
        <v>643</v>
      </c>
      <c r="I644" t="str">
        <f>IF(ISBLANK(Table1[[#This Row],[oid]]),"FALSE","TRUE")</f>
        <v>TRUE</v>
      </c>
      <c r="J644" t="str" cm="1">
        <f t="array" ref="J644">_xlfn.SWITCH(LEFT(Table1[[#This Row],[section]],1), "D", "Demographic", "S", "Social", "E", "Economic", "H", "Housing", "")</f>
        <v>Social</v>
      </c>
      <c r="K644" t="s">
        <v>2483</v>
      </c>
      <c r="L644" t="s">
        <v>2484</v>
      </c>
      <c r="M644" t="str">
        <f>IF(Table1[[#This Row],[used]], _xlfn.CONCAT("🆔 ", Table1[[#This Row],[variable]], ": ",Table1[[#This Row],[alias]]), "")</f>
        <v>🆔 B05002_006E: Native: Born in other state in the United States: Midwest</v>
      </c>
      <c r="O644" t="s">
        <v>2505</v>
      </c>
      <c r="P644" t="s">
        <v>2485</v>
      </c>
      <c r="Q644" t="s">
        <v>41</v>
      </c>
      <c r="R644" t="s">
        <v>2506</v>
      </c>
      <c r="S644" t="b">
        <v>1</v>
      </c>
      <c r="T644" t="b">
        <v>1</v>
      </c>
      <c r="U644" t="b">
        <v>1</v>
      </c>
      <c r="V644" t="b">
        <v>1</v>
      </c>
      <c r="W644" t="b">
        <v>1</v>
      </c>
      <c r="X644" t="b">
        <v>1</v>
      </c>
      <c r="Y644" t="b">
        <v>1</v>
      </c>
      <c r="Z644" t="b">
        <v>1</v>
      </c>
      <c r="AA644" t="b">
        <v>1</v>
      </c>
      <c r="AB644" t="b">
        <v>1</v>
      </c>
      <c r="AC644" t="b">
        <v>1</v>
      </c>
      <c r="AD644" t="b">
        <v>1</v>
      </c>
      <c r="AE644" t="b">
        <v>1</v>
      </c>
      <c r="AF644" t="b">
        <v>1</v>
      </c>
      <c r="AG644" t="b">
        <v>1</v>
      </c>
    </row>
    <row r="645" spans="1:33" x14ac:dyDescent="0.25">
      <c r="A645" t="s">
        <v>33</v>
      </c>
      <c r="B645">
        <v>15</v>
      </c>
      <c r="C645" t="b">
        <v>1</v>
      </c>
      <c r="D645" t="s">
        <v>592</v>
      </c>
      <c r="E645" t="s">
        <v>2480</v>
      </c>
      <c r="F645" t="s">
        <v>2507</v>
      </c>
      <c r="G645" t="s">
        <v>2508</v>
      </c>
      <c r="H645">
        <v>644</v>
      </c>
      <c r="I645" t="str">
        <f>IF(ISBLANK(Table1[[#This Row],[oid]]),"FALSE","TRUE")</f>
        <v>TRUE</v>
      </c>
      <c r="J645" t="str" cm="1">
        <f t="array" ref="J645">_xlfn.SWITCH(LEFT(Table1[[#This Row],[section]],1), "D", "Demographic", "S", "Social", "E", "Economic", "H", "Housing", "")</f>
        <v>Social</v>
      </c>
      <c r="K645" t="s">
        <v>2483</v>
      </c>
      <c r="L645" t="s">
        <v>2484</v>
      </c>
      <c r="M645" t="str">
        <f>IF(Table1[[#This Row],[used]], _xlfn.CONCAT("🆔 ", Table1[[#This Row],[variable]], ": ",Table1[[#This Row],[alias]]), "")</f>
        <v>🆔 B05002_007E: Native: Born in other state in the United States: South</v>
      </c>
      <c r="O645" t="s">
        <v>2509</v>
      </c>
      <c r="P645" t="s">
        <v>2485</v>
      </c>
      <c r="Q645" t="s">
        <v>41</v>
      </c>
      <c r="R645" t="s">
        <v>2510</v>
      </c>
      <c r="S645" t="b">
        <v>1</v>
      </c>
      <c r="T645" t="b">
        <v>1</v>
      </c>
      <c r="U645" t="b">
        <v>1</v>
      </c>
      <c r="V645" t="b">
        <v>1</v>
      </c>
      <c r="W645" t="b">
        <v>1</v>
      </c>
      <c r="X645" t="b">
        <v>1</v>
      </c>
      <c r="Y645" t="b">
        <v>1</v>
      </c>
      <c r="Z645" t="b">
        <v>1</v>
      </c>
      <c r="AA645" t="b">
        <v>1</v>
      </c>
      <c r="AB645" t="b">
        <v>1</v>
      </c>
      <c r="AC645" t="b">
        <v>1</v>
      </c>
      <c r="AD645" t="b">
        <v>1</v>
      </c>
      <c r="AE645" t="b">
        <v>1</v>
      </c>
      <c r="AF645" t="b">
        <v>1</v>
      </c>
      <c r="AG645" t="b">
        <v>1</v>
      </c>
    </row>
    <row r="646" spans="1:33" x14ac:dyDescent="0.25">
      <c r="A646" t="s">
        <v>33</v>
      </c>
      <c r="B646">
        <v>15</v>
      </c>
      <c r="C646" t="b">
        <v>1</v>
      </c>
      <c r="D646" t="s">
        <v>592</v>
      </c>
      <c r="E646" t="s">
        <v>2480</v>
      </c>
      <c r="F646" t="s">
        <v>2511</v>
      </c>
      <c r="G646" t="s">
        <v>2512</v>
      </c>
      <c r="H646">
        <v>645</v>
      </c>
      <c r="I646" t="str">
        <f>IF(ISBLANK(Table1[[#This Row],[oid]]),"FALSE","TRUE")</f>
        <v>TRUE</v>
      </c>
      <c r="J646" t="str" cm="1">
        <f t="array" ref="J646">_xlfn.SWITCH(LEFT(Table1[[#This Row],[section]],1), "D", "Demographic", "S", "Social", "E", "Economic", "H", "Housing", "")</f>
        <v>Social</v>
      </c>
      <c r="K646" t="s">
        <v>2483</v>
      </c>
      <c r="L646" t="s">
        <v>2484</v>
      </c>
      <c r="M646" t="str">
        <f>IF(Table1[[#This Row],[used]], _xlfn.CONCAT("🆔 ", Table1[[#This Row],[variable]], ": ",Table1[[#This Row],[alias]]), "")</f>
        <v>🆔 B05002_008E: Native: Born in other state in the United States: West</v>
      </c>
      <c r="O646" t="s">
        <v>2513</v>
      </c>
      <c r="P646" t="s">
        <v>2485</v>
      </c>
      <c r="Q646" t="s">
        <v>41</v>
      </c>
      <c r="R646" t="s">
        <v>2514</v>
      </c>
      <c r="S646" t="b">
        <v>1</v>
      </c>
      <c r="T646" t="b">
        <v>1</v>
      </c>
      <c r="U646" t="b">
        <v>1</v>
      </c>
      <c r="V646" t="b">
        <v>1</v>
      </c>
      <c r="W646" t="b">
        <v>1</v>
      </c>
      <c r="X646" t="b">
        <v>1</v>
      </c>
      <c r="Y646" t="b">
        <v>1</v>
      </c>
      <c r="Z646" t="b">
        <v>1</v>
      </c>
      <c r="AA646" t="b">
        <v>1</v>
      </c>
      <c r="AB646" t="b">
        <v>1</v>
      </c>
      <c r="AC646" t="b">
        <v>1</v>
      </c>
      <c r="AD646" t="b">
        <v>1</v>
      </c>
      <c r="AE646" t="b">
        <v>1</v>
      </c>
      <c r="AF646" t="b">
        <v>1</v>
      </c>
      <c r="AG646" t="b">
        <v>1</v>
      </c>
    </row>
    <row r="647" spans="1:33" x14ac:dyDescent="0.25">
      <c r="A647" t="s">
        <v>33</v>
      </c>
      <c r="B647">
        <v>15</v>
      </c>
      <c r="C647" t="b">
        <v>1</v>
      </c>
      <c r="D647" t="s">
        <v>592</v>
      </c>
      <c r="E647" t="s">
        <v>2480</v>
      </c>
      <c r="F647" t="s">
        <v>2515</v>
      </c>
      <c r="G647" t="s">
        <v>2516</v>
      </c>
      <c r="H647">
        <v>646</v>
      </c>
      <c r="I647" t="str">
        <f>IF(ISBLANK(Table1[[#This Row],[oid]]),"FALSE","TRUE")</f>
        <v>TRUE</v>
      </c>
      <c r="J647" t="str" cm="1">
        <f t="array" ref="J647">_xlfn.SWITCH(LEFT(Table1[[#This Row],[section]],1), "D", "Demographic", "S", "Social", "E", "Economic", "H", "Housing", "")</f>
        <v>Social</v>
      </c>
      <c r="K647" t="s">
        <v>2483</v>
      </c>
      <c r="L647" t="s">
        <v>2484</v>
      </c>
      <c r="M647" t="str">
        <f>IF(Table1[[#This Row],[used]], _xlfn.CONCAT("🆔 ", Table1[[#This Row],[variable]], ": ",Table1[[#This Row],[alias]]), "")</f>
        <v>🆔 B05002_009E: Native: Born outside the United States</v>
      </c>
      <c r="O647" t="s">
        <v>2517</v>
      </c>
      <c r="P647" t="s">
        <v>2485</v>
      </c>
      <c r="Q647" t="s">
        <v>41</v>
      </c>
      <c r="R647" t="s">
        <v>2518</v>
      </c>
      <c r="S647" t="b">
        <v>1</v>
      </c>
      <c r="T647" t="b">
        <v>1</v>
      </c>
      <c r="U647" t="b">
        <v>1</v>
      </c>
      <c r="V647" t="b">
        <v>1</v>
      </c>
      <c r="W647" t="b">
        <v>1</v>
      </c>
      <c r="X647" t="b">
        <v>1</v>
      </c>
      <c r="Y647" t="b">
        <v>1</v>
      </c>
      <c r="Z647" t="b">
        <v>1</v>
      </c>
      <c r="AA647" t="b">
        <v>1</v>
      </c>
      <c r="AB647" t="b">
        <v>1</v>
      </c>
      <c r="AC647" t="b">
        <v>1</v>
      </c>
      <c r="AD647" t="b">
        <v>1</v>
      </c>
      <c r="AE647" t="b">
        <v>1</v>
      </c>
      <c r="AF647" t="b">
        <v>1</v>
      </c>
      <c r="AG647" t="b">
        <v>1</v>
      </c>
    </row>
    <row r="648" spans="1:33" x14ac:dyDescent="0.25">
      <c r="A648" t="s">
        <v>33</v>
      </c>
      <c r="B648">
        <v>15</v>
      </c>
      <c r="C648" t="b">
        <v>1</v>
      </c>
      <c r="D648" t="s">
        <v>592</v>
      </c>
      <c r="E648" t="s">
        <v>2480</v>
      </c>
      <c r="F648" t="s">
        <v>2519</v>
      </c>
      <c r="G648" t="s">
        <v>2520</v>
      </c>
      <c r="H648">
        <v>647</v>
      </c>
      <c r="I648" t="str">
        <f>IF(ISBLANK(Table1[[#This Row],[oid]]),"FALSE","TRUE")</f>
        <v>TRUE</v>
      </c>
      <c r="J648" t="str" cm="1">
        <f t="array" ref="J648">_xlfn.SWITCH(LEFT(Table1[[#This Row],[section]],1), "D", "Demographic", "S", "Social", "E", "Economic", "H", "Housing", "")</f>
        <v>Social</v>
      </c>
      <c r="K648" t="s">
        <v>2483</v>
      </c>
      <c r="L648" t="s">
        <v>2484</v>
      </c>
      <c r="M648" t="str">
        <f>IF(Table1[[#This Row],[used]], _xlfn.CONCAT("🆔 ", Table1[[#This Row],[variable]], ": ",Table1[[#This Row],[alias]]), "")</f>
        <v>🆔 B05002_010E: Native: Born outside the United States: Puerto Rico</v>
      </c>
      <c r="O648" t="s">
        <v>2521</v>
      </c>
      <c r="P648" t="s">
        <v>2485</v>
      </c>
      <c r="Q648" t="s">
        <v>41</v>
      </c>
      <c r="R648" t="s">
        <v>2522</v>
      </c>
      <c r="S648" t="b">
        <v>1</v>
      </c>
      <c r="T648" t="b">
        <v>1</v>
      </c>
      <c r="U648" t="b">
        <v>1</v>
      </c>
      <c r="V648" t="b">
        <v>1</v>
      </c>
      <c r="W648" t="b">
        <v>1</v>
      </c>
      <c r="X648" t="b">
        <v>1</v>
      </c>
      <c r="Y648" t="b">
        <v>1</v>
      </c>
      <c r="Z648" t="b">
        <v>1</v>
      </c>
      <c r="AA648" t="b">
        <v>1</v>
      </c>
      <c r="AB648" t="b">
        <v>1</v>
      </c>
      <c r="AC648" t="b">
        <v>1</v>
      </c>
      <c r="AD648" t="b">
        <v>1</v>
      </c>
      <c r="AE648" t="b">
        <v>1</v>
      </c>
      <c r="AF648" t="b">
        <v>1</v>
      </c>
      <c r="AG648" t="b">
        <v>1</v>
      </c>
    </row>
    <row r="649" spans="1:33" x14ac:dyDescent="0.25">
      <c r="A649" t="s">
        <v>33</v>
      </c>
      <c r="B649">
        <v>15</v>
      </c>
      <c r="C649" t="b">
        <v>1</v>
      </c>
      <c r="D649" t="s">
        <v>592</v>
      </c>
      <c r="E649" t="s">
        <v>2480</v>
      </c>
      <c r="F649" t="s">
        <v>2523</v>
      </c>
      <c r="G649" t="s">
        <v>2524</v>
      </c>
      <c r="H649">
        <v>648</v>
      </c>
      <c r="I649" t="str">
        <f>IF(ISBLANK(Table1[[#This Row],[oid]]),"FALSE","TRUE")</f>
        <v>TRUE</v>
      </c>
      <c r="J649" t="str" cm="1">
        <f t="array" ref="J649">_xlfn.SWITCH(LEFT(Table1[[#This Row],[section]],1), "D", "Demographic", "S", "Social", "E", "Economic", "H", "Housing", "")</f>
        <v>Social</v>
      </c>
      <c r="K649" t="s">
        <v>2483</v>
      </c>
      <c r="L649" t="s">
        <v>2484</v>
      </c>
      <c r="M649" t="str">
        <f>IF(Table1[[#This Row],[used]], _xlfn.CONCAT("🆔 ", Table1[[#This Row],[variable]], ": ",Table1[[#This Row],[alias]]), "")</f>
        <v>🆔 B05002_011E: Native: Born outside the United States: US Island Areas</v>
      </c>
      <c r="O649" t="s">
        <v>2525</v>
      </c>
      <c r="P649" t="s">
        <v>2485</v>
      </c>
      <c r="Q649" t="s">
        <v>41</v>
      </c>
      <c r="R649" t="s">
        <v>2526</v>
      </c>
      <c r="S649" t="b">
        <v>1</v>
      </c>
      <c r="T649" t="b">
        <v>1</v>
      </c>
      <c r="U649" t="b">
        <v>1</v>
      </c>
      <c r="V649" t="b">
        <v>1</v>
      </c>
      <c r="W649" t="b">
        <v>1</v>
      </c>
      <c r="X649" t="b">
        <v>1</v>
      </c>
      <c r="Y649" t="b">
        <v>1</v>
      </c>
      <c r="Z649" t="b">
        <v>1</v>
      </c>
      <c r="AA649" t="b">
        <v>1</v>
      </c>
      <c r="AB649" t="b">
        <v>1</v>
      </c>
      <c r="AC649" t="b">
        <v>1</v>
      </c>
      <c r="AD649" t="b">
        <v>1</v>
      </c>
      <c r="AE649" t="b">
        <v>1</v>
      </c>
      <c r="AF649" t="b">
        <v>1</v>
      </c>
      <c r="AG649" t="b">
        <v>1</v>
      </c>
    </row>
    <row r="650" spans="1:33" x14ac:dyDescent="0.25">
      <c r="A650" t="s">
        <v>33</v>
      </c>
      <c r="B650">
        <v>15</v>
      </c>
      <c r="C650" t="b">
        <v>1</v>
      </c>
      <c r="D650" t="s">
        <v>592</v>
      </c>
      <c r="E650" t="s">
        <v>2480</v>
      </c>
      <c r="F650" t="s">
        <v>2527</v>
      </c>
      <c r="G650" t="s">
        <v>2528</v>
      </c>
      <c r="H650">
        <v>649</v>
      </c>
      <c r="I650" t="str">
        <f>IF(ISBLANK(Table1[[#This Row],[oid]]),"FALSE","TRUE")</f>
        <v>TRUE</v>
      </c>
      <c r="J650" t="str" cm="1">
        <f t="array" ref="J650">_xlfn.SWITCH(LEFT(Table1[[#This Row],[section]],1), "D", "Demographic", "S", "Social", "E", "Economic", "H", "Housing", "")</f>
        <v>Social</v>
      </c>
      <c r="K650" t="s">
        <v>2483</v>
      </c>
      <c r="L650" t="s">
        <v>2484</v>
      </c>
      <c r="M650" t="str">
        <f>IF(Table1[[#This Row],[used]], _xlfn.CONCAT("🆔 ", Table1[[#This Row],[variable]], ": ",Table1[[#This Row],[alias]]), "")</f>
        <v>🆔 B05002_012E: Native: Born outside the United States: Born abroad of American parents</v>
      </c>
      <c r="O650" t="s">
        <v>2529</v>
      </c>
      <c r="P650" t="s">
        <v>2485</v>
      </c>
      <c r="Q650" t="s">
        <v>41</v>
      </c>
      <c r="R650" t="s">
        <v>2530</v>
      </c>
      <c r="S650" t="b">
        <v>1</v>
      </c>
      <c r="T650" t="b">
        <v>1</v>
      </c>
      <c r="U650" t="b">
        <v>1</v>
      </c>
      <c r="V650" t="b">
        <v>1</v>
      </c>
      <c r="W650" t="b">
        <v>1</v>
      </c>
      <c r="X650" t="b">
        <v>1</v>
      </c>
      <c r="Y650" t="b">
        <v>1</v>
      </c>
      <c r="Z650" t="b">
        <v>1</v>
      </c>
      <c r="AA650" t="b">
        <v>1</v>
      </c>
      <c r="AB650" t="b">
        <v>1</v>
      </c>
      <c r="AC650" t="b">
        <v>1</v>
      </c>
      <c r="AD650" t="b">
        <v>1</v>
      </c>
      <c r="AE650" t="b">
        <v>1</v>
      </c>
      <c r="AF650" t="b">
        <v>1</v>
      </c>
      <c r="AG650" t="b">
        <v>1</v>
      </c>
    </row>
    <row r="651" spans="1:33" x14ac:dyDescent="0.25">
      <c r="A651" t="s">
        <v>605</v>
      </c>
      <c r="B651">
        <v>13</v>
      </c>
      <c r="C651" t="b">
        <v>0</v>
      </c>
      <c r="D651" t="s">
        <v>592</v>
      </c>
      <c r="E651" t="s">
        <v>2480</v>
      </c>
      <c r="F651" t="s">
        <v>2531</v>
      </c>
      <c r="G651" t="s">
        <v>2532</v>
      </c>
      <c r="H651">
        <v>650</v>
      </c>
      <c r="I651" t="str">
        <f>IF(ISBLANK(Table1[[#This Row],[oid]]),"FALSE","TRUE")</f>
        <v>TRUE</v>
      </c>
      <c r="J651" t="str" cm="1">
        <f t="array" ref="J651">_xlfn.SWITCH(LEFT(Table1[[#This Row],[section]],1), "D", "Demographic", "S", "Social", "E", "Economic", "H", "Housing", "")</f>
        <v>Social</v>
      </c>
      <c r="K651" t="s">
        <v>2483</v>
      </c>
      <c r="L651" t="s">
        <v>2484</v>
      </c>
      <c r="M651" t="str">
        <f>IF(Table1[[#This Row],[used]], _xlfn.CONCAT("🆔 ", Table1[[#This Row],[variable]], ": ",Table1[[#This Row],[alias]]), "")</f>
        <v>🆔 B05002_013E: Foreign born</v>
      </c>
      <c r="O651" t="s">
        <v>2533</v>
      </c>
      <c r="P651" t="s">
        <v>2485</v>
      </c>
      <c r="Q651" t="s">
        <v>41</v>
      </c>
      <c r="R651" t="s">
        <v>2534</v>
      </c>
      <c r="S651" t="b">
        <v>1</v>
      </c>
      <c r="T651" t="b">
        <v>1</v>
      </c>
      <c r="U651" t="b">
        <v>1</v>
      </c>
      <c r="V651" t="b">
        <v>1</v>
      </c>
      <c r="W651" t="b">
        <v>1</v>
      </c>
      <c r="X651" t="b">
        <v>1</v>
      </c>
      <c r="Y651" t="b">
        <v>1</v>
      </c>
      <c r="Z651" t="b">
        <v>1</v>
      </c>
      <c r="AA651" t="b">
        <v>1</v>
      </c>
      <c r="AB651" t="b">
        <v>1</v>
      </c>
      <c r="AC651" t="b">
        <v>1</v>
      </c>
      <c r="AD651" t="b">
        <v>1</v>
      </c>
      <c r="AE651" t="b">
        <v>1</v>
      </c>
      <c r="AF651" t="b">
        <v>0</v>
      </c>
      <c r="AG651" t="b">
        <v>0</v>
      </c>
    </row>
    <row r="652" spans="1:33" x14ac:dyDescent="0.25">
      <c r="A652" t="s">
        <v>610</v>
      </c>
      <c r="B652">
        <v>2</v>
      </c>
      <c r="C652" t="b">
        <v>0</v>
      </c>
      <c r="D652" t="s">
        <v>592</v>
      </c>
      <c r="E652" t="s">
        <v>2480</v>
      </c>
      <c r="F652" t="s">
        <v>2531</v>
      </c>
      <c r="G652" t="s">
        <v>2535</v>
      </c>
      <c r="H652">
        <v>651</v>
      </c>
      <c r="I652" t="str">
        <f>IF(ISBLANK(Table1[[#This Row],[oid]]),"FALSE","TRUE")</f>
        <v>TRUE</v>
      </c>
      <c r="J652" t="str" cm="1">
        <f t="array" ref="J652">_xlfn.SWITCH(LEFT(Table1[[#This Row],[section]],1), "D", "Demographic", "S", "Social", "E", "Economic", "H", "Housing", "")</f>
        <v>Social</v>
      </c>
      <c r="K652" t="s">
        <v>2483</v>
      </c>
      <c r="L652" t="s">
        <v>2484</v>
      </c>
      <c r="M652" t="str">
        <f>IF(Table1[[#This Row],[used]], _xlfn.CONCAT("🆔 ", Table1[[#This Row],[variable]], ": ",Table1[[#This Row],[alias]]), "")</f>
        <v>🆔 B05002_013E: Foreign-born</v>
      </c>
      <c r="O652" t="s">
        <v>2536</v>
      </c>
      <c r="P652" t="s">
        <v>2537</v>
      </c>
      <c r="Q652" t="s">
        <v>41</v>
      </c>
      <c r="R652" t="s">
        <v>2534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1</v>
      </c>
      <c r="AG652" t="b">
        <v>1</v>
      </c>
    </row>
    <row r="653" spans="1:33" x14ac:dyDescent="0.25">
      <c r="A653" t="s">
        <v>605</v>
      </c>
      <c r="B653">
        <v>13</v>
      </c>
      <c r="C653" t="b">
        <v>0</v>
      </c>
      <c r="D653" t="s">
        <v>592</v>
      </c>
      <c r="E653" t="s">
        <v>2480</v>
      </c>
      <c r="F653" t="s">
        <v>2538</v>
      </c>
      <c r="G653" t="s">
        <v>2539</v>
      </c>
      <c r="H653">
        <v>652</v>
      </c>
      <c r="I653" t="str">
        <f>IF(ISBLANK(Table1[[#This Row],[oid]]),"FALSE","TRUE")</f>
        <v>TRUE</v>
      </c>
      <c r="J653" t="str" cm="1">
        <f t="array" ref="J653">_xlfn.SWITCH(LEFT(Table1[[#This Row],[section]],1), "D", "Demographic", "S", "Social", "E", "Economic", "H", "Housing", "")</f>
        <v>Social</v>
      </c>
      <c r="K653" t="s">
        <v>2483</v>
      </c>
      <c r="L653" t="s">
        <v>2484</v>
      </c>
      <c r="M653" t="str">
        <f>IF(Table1[[#This Row],[used]], _xlfn.CONCAT("🆔 ", Table1[[#This Row],[variable]], ": ",Table1[[#This Row],[alias]]), "")</f>
        <v>🆔 B05002_014E: Foreign born: Naturalized US citizen</v>
      </c>
      <c r="O653" t="s">
        <v>2540</v>
      </c>
      <c r="P653" t="s">
        <v>2485</v>
      </c>
      <c r="Q653" t="s">
        <v>41</v>
      </c>
      <c r="R653" t="s">
        <v>2541</v>
      </c>
      <c r="S653" t="b">
        <v>1</v>
      </c>
      <c r="T653" t="b">
        <v>1</v>
      </c>
      <c r="U653" t="b">
        <v>1</v>
      </c>
      <c r="V653" t="b">
        <v>1</v>
      </c>
      <c r="W653" t="b">
        <v>1</v>
      </c>
      <c r="X653" t="b">
        <v>1</v>
      </c>
      <c r="Y653" t="b">
        <v>1</v>
      </c>
      <c r="Z653" t="b">
        <v>1</v>
      </c>
      <c r="AA653" t="b">
        <v>1</v>
      </c>
      <c r="AB653" t="b">
        <v>1</v>
      </c>
      <c r="AC653" t="b">
        <v>1</v>
      </c>
      <c r="AD653" t="b">
        <v>1</v>
      </c>
      <c r="AE653" t="b">
        <v>1</v>
      </c>
      <c r="AF653" t="b">
        <v>0</v>
      </c>
      <c r="AG653" t="b">
        <v>0</v>
      </c>
    </row>
    <row r="654" spans="1:33" x14ac:dyDescent="0.25">
      <c r="A654" t="s">
        <v>610</v>
      </c>
      <c r="B654">
        <v>2</v>
      </c>
      <c r="C654" t="b">
        <v>0</v>
      </c>
      <c r="D654" t="s">
        <v>592</v>
      </c>
      <c r="E654" t="s">
        <v>2480</v>
      </c>
      <c r="F654" t="s">
        <v>2538</v>
      </c>
      <c r="G654" t="s">
        <v>2542</v>
      </c>
      <c r="H654">
        <v>653</v>
      </c>
      <c r="I654" t="str">
        <f>IF(ISBLANK(Table1[[#This Row],[oid]]),"FALSE","TRUE")</f>
        <v>TRUE</v>
      </c>
      <c r="J654" t="str" cm="1">
        <f t="array" ref="J654">_xlfn.SWITCH(LEFT(Table1[[#This Row],[section]],1), "D", "Demographic", "S", "Social", "E", "Economic", "H", "Housing", "")</f>
        <v>Social</v>
      </c>
      <c r="K654" t="s">
        <v>2483</v>
      </c>
      <c r="L654" t="s">
        <v>2484</v>
      </c>
      <c r="M654" t="str">
        <f>IF(Table1[[#This Row],[used]], _xlfn.CONCAT("🆔 ", Table1[[#This Row],[variable]], ": ",Table1[[#This Row],[alias]]), "")</f>
        <v>🆔 B05002_014E: Foreign-born: Naturalized US citizen</v>
      </c>
      <c r="O654" t="s">
        <v>2543</v>
      </c>
      <c r="P654" t="s">
        <v>2537</v>
      </c>
      <c r="Q654" t="s">
        <v>41</v>
      </c>
      <c r="R654" t="s">
        <v>2541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1</v>
      </c>
      <c r="AG654" t="b">
        <v>1</v>
      </c>
    </row>
    <row r="655" spans="1:33" x14ac:dyDescent="0.25">
      <c r="A655" t="s">
        <v>709</v>
      </c>
      <c r="B655">
        <v>5</v>
      </c>
      <c r="C655" t="b">
        <v>0</v>
      </c>
      <c r="D655" t="s">
        <v>592</v>
      </c>
      <c r="E655" t="s">
        <v>2480</v>
      </c>
      <c r="F655" t="s">
        <v>2544</v>
      </c>
      <c r="G655" t="s">
        <v>2545</v>
      </c>
      <c r="H655">
        <v>654</v>
      </c>
      <c r="I655" t="str">
        <f>IF(ISBLANK(Table1[[#This Row],[oid]]),"FALSE","TRUE")</f>
        <v>TRUE</v>
      </c>
      <c r="J655" t="str" cm="1">
        <f t="array" ref="J655">_xlfn.SWITCH(LEFT(Table1[[#This Row],[section]],1), "D", "Demographic", "S", "Social", "E", "Economic", "H", "Housing", "")</f>
        <v>Social</v>
      </c>
      <c r="K655" t="s">
        <v>2483</v>
      </c>
      <c r="L655" t="s">
        <v>2484</v>
      </c>
      <c r="M655" t="str">
        <f>IF(Table1[[#This Row],[used]], _xlfn.CONCAT("🆔 ", Table1[[#This Row],[variable]], ": ",Table1[[#This Row],[alias]]), "")</f>
        <v>🆔 B05002_015E: Foreign born: Not a US citizen</v>
      </c>
      <c r="O655" t="s">
        <v>2546</v>
      </c>
      <c r="P655" t="s">
        <v>2485</v>
      </c>
      <c r="Q655" t="s">
        <v>41</v>
      </c>
      <c r="R655" t="s">
        <v>2547</v>
      </c>
      <c r="S655" t="b">
        <v>1</v>
      </c>
      <c r="T655" t="b">
        <v>1</v>
      </c>
      <c r="U655" t="b">
        <v>1</v>
      </c>
      <c r="V655" t="b">
        <v>1</v>
      </c>
      <c r="W655" t="b">
        <v>1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</row>
    <row r="656" spans="1:33" x14ac:dyDescent="0.25">
      <c r="A656" t="s">
        <v>2548</v>
      </c>
      <c r="B656">
        <v>8</v>
      </c>
      <c r="C656" t="b">
        <v>0</v>
      </c>
      <c r="D656" t="s">
        <v>592</v>
      </c>
      <c r="E656" t="s">
        <v>2480</v>
      </c>
      <c r="F656" t="s">
        <v>2544</v>
      </c>
      <c r="G656" t="s">
        <v>2549</v>
      </c>
      <c r="H656">
        <v>655</v>
      </c>
      <c r="I656" t="str">
        <f>IF(ISBLANK(Table1[[#This Row],[oid]]),"FALSE","TRUE")</f>
        <v>TRUE</v>
      </c>
      <c r="J656" t="str" cm="1">
        <f t="array" ref="J656">_xlfn.SWITCH(LEFT(Table1[[#This Row],[section]],1), "D", "Demographic", "S", "Social", "E", "Economic", "H", "Housing", "")</f>
        <v>Social</v>
      </c>
      <c r="K656" t="s">
        <v>2483</v>
      </c>
      <c r="L656" t="s">
        <v>2484</v>
      </c>
      <c r="M656" t="str">
        <f>IF(Table1[[#This Row],[used]], _xlfn.CONCAT("🆔 ", Table1[[#This Row],[variable]], ": ",Table1[[#This Row],[alias]]), "")</f>
        <v>🆔 B05002_015E: Foreign born: Naturalized US citizen: Europe</v>
      </c>
      <c r="O656" t="s">
        <v>2550</v>
      </c>
      <c r="P656" t="s">
        <v>2551</v>
      </c>
      <c r="Q656" t="s">
        <v>41</v>
      </c>
      <c r="R656" t="s">
        <v>2547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1</v>
      </c>
      <c r="Y656" t="b">
        <v>1</v>
      </c>
      <c r="Z656" t="b">
        <v>1</v>
      </c>
      <c r="AA656" t="b">
        <v>1</v>
      </c>
      <c r="AB656" t="b">
        <v>1</v>
      </c>
      <c r="AC656" t="b">
        <v>1</v>
      </c>
      <c r="AD656" t="b">
        <v>1</v>
      </c>
      <c r="AE656" t="b">
        <v>1</v>
      </c>
      <c r="AF656" t="b">
        <v>0</v>
      </c>
      <c r="AG656" t="b">
        <v>0</v>
      </c>
    </row>
    <row r="657" spans="1:33" x14ac:dyDescent="0.25">
      <c r="A657" t="s">
        <v>610</v>
      </c>
      <c r="B657">
        <v>2</v>
      </c>
      <c r="C657" t="b">
        <v>0</v>
      </c>
      <c r="D657" t="s">
        <v>592</v>
      </c>
      <c r="E657" t="s">
        <v>2480</v>
      </c>
      <c r="F657" t="s">
        <v>2544</v>
      </c>
      <c r="G657" t="s">
        <v>2552</v>
      </c>
      <c r="H657">
        <v>656</v>
      </c>
      <c r="I657" t="str">
        <f>IF(ISBLANK(Table1[[#This Row],[oid]]),"FALSE","TRUE")</f>
        <v>TRUE</v>
      </c>
      <c r="J657" t="str" cm="1">
        <f t="array" ref="J657">_xlfn.SWITCH(LEFT(Table1[[#This Row],[section]],1), "D", "Demographic", "S", "Social", "E", "Economic", "H", "Housing", "")</f>
        <v>Social</v>
      </c>
      <c r="K657" t="s">
        <v>2483</v>
      </c>
      <c r="L657" t="s">
        <v>2484</v>
      </c>
      <c r="M657" t="str">
        <f>IF(Table1[[#This Row],[used]], _xlfn.CONCAT("🆔 ", Table1[[#This Row],[variable]], ": ",Table1[[#This Row],[alias]]), "")</f>
        <v>🆔 B05002_015E: Foreign-born: Naturalized US citizen: Europe</v>
      </c>
      <c r="O657" t="s">
        <v>2553</v>
      </c>
      <c r="P657" t="s">
        <v>2537</v>
      </c>
      <c r="Q657" t="s">
        <v>41</v>
      </c>
      <c r="R657" t="s">
        <v>2547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1</v>
      </c>
      <c r="AG657" t="b">
        <v>1</v>
      </c>
    </row>
    <row r="658" spans="1:33" x14ac:dyDescent="0.25">
      <c r="A658" t="s">
        <v>2548</v>
      </c>
      <c r="B658">
        <v>8</v>
      </c>
      <c r="C658" t="b">
        <v>0</v>
      </c>
      <c r="D658" t="s">
        <v>592</v>
      </c>
      <c r="E658" t="s">
        <v>2480</v>
      </c>
      <c r="F658" t="s">
        <v>2554</v>
      </c>
      <c r="G658" t="s">
        <v>2555</v>
      </c>
      <c r="H658">
        <v>657</v>
      </c>
      <c r="I658" t="str">
        <f>IF(ISBLANK(Table1[[#This Row],[oid]]),"FALSE","TRUE")</f>
        <v>TRUE</v>
      </c>
      <c r="J658" t="str" cm="1">
        <f t="array" ref="J658">_xlfn.SWITCH(LEFT(Table1[[#This Row],[section]],1), "D", "Demographic", "S", "Social", "E", "Economic", "H", "Housing", "")</f>
        <v>Social</v>
      </c>
      <c r="K658" t="s">
        <v>2483</v>
      </c>
      <c r="L658" t="s">
        <v>2484</v>
      </c>
      <c r="M658" t="str">
        <f>IF(Table1[[#This Row],[used]], _xlfn.CONCAT("🆔 ", Table1[[#This Row],[variable]], ": ",Table1[[#This Row],[alias]]), "")</f>
        <v>🆔 B05002_016E: Foreign born: Naturalized US citizen: Asia</v>
      </c>
      <c r="O658" t="s">
        <v>2556</v>
      </c>
      <c r="P658" t="s">
        <v>2551</v>
      </c>
      <c r="Q658" t="s">
        <v>41</v>
      </c>
      <c r="R658" t="s">
        <v>2557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1</v>
      </c>
      <c r="Y658" t="b">
        <v>1</v>
      </c>
      <c r="Z658" t="b">
        <v>1</v>
      </c>
      <c r="AA658" t="b">
        <v>1</v>
      </c>
      <c r="AB658" t="b">
        <v>1</v>
      </c>
      <c r="AC658" t="b">
        <v>1</v>
      </c>
      <c r="AD658" t="b">
        <v>1</v>
      </c>
      <c r="AE658" t="b">
        <v>1</v>
      </c>
      <c r="AF658" t="b">
        <v>0</v>
      </c>
      <c r="AG658" t="b">
        <v>0</v>
      </c>
    </row>
    <row r="659" spans="1:33" x14ac:dyDescent="0.25">
      <c r="A659" t="s">
        <v>610</v>
      </c>
      <c r="B659">
        <v>2</v>
      </c>
      <c r="C659" t="b">
        <v>0</v>
      </c>
      <c r="D659" t="s">
        <v>592</v>
      </c>
      <c r="E659" t="s">
        <v>2480</v>
      </c>
      <c r="F659" t="s">
        <v>2554</v>
      </c>
      <c r="G659" t="s">
        <v>2558</v>
      </c>
      <c r="H659">
        <v>658</v>
      </c>
      <c r="I659" t="str">
        <f>IF(ISBLANK(Table1[[#This Row],[oid]]),"FALSE","TRUE")</f>
        <v>TRUE</v>
      </c>
      <c r="J659" t="str" cm="1">
        <f t="array" ref="J659">_xlfn.SWITCH(LEFT(Table1[[#This Row],[section]],1), "D", "Demographic", "S", "Social", "E", "Economic", "H", "Housing", "")</f>
        <v>Social</v>
      </c>
      <c r="K659" t="s">
        <v>2483</v>
      </c>
      <c r="L659" t="s">
        <v>2484</v>
      </c>
      <c r="M659" t="str">
        <f>IF(Table1[[#This Row],[used]], _xlfn.CONCAT("🆔 ", Table1[[#This Row],[variable]], ": ",Table1[[#This Row],[alias]]), "")</f>
        <v>🆔 B05002_016E: Foreign-born: Naturalized US citizen: Asia</v>
      </c>
      <c r="O659" t="s">
        <v>2559</v>
      </c>
      <c r="P659" t="s">
        <v>2537</v>
      </c>
      <c r="Q659" t="s">
        <v>41</v>
      </c>
      <c r="R659" t="s">
        <v>2557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1</v>
      </c>
      <c r="AG659" t="b">
        <v>1</v>
      </c>
    </row>
    <row r="660" spans="1:33" x14ac:dyDescent="0.25">
      <c r="A660" t="s">
        <v>2548</v>
      </c>
      <c r="B660">
        <v>8</v>
      </c>
      <c r="C660" t="b">
        <v>0</v>
      </c>
      <c r="D660" t="s">
        <v>592</v>
      </c>
      <c r="E660" t="s">
        <v>2480</v>
      </c>
      <c r="F660" t="s">
        <v>2560</v>
      </c>
      <c r="G660" t="s">
        <v>2561</v>
      </c>
      <c r="H660">
        <v>659</v>
      </c>
      <c r="I660" t="str">
        <f>IF(ISBLANK(Table1[[#This Row],[oid]]),"FALSE","TRUE")</f>
        <v>TRUE</v>
      </c>
      <c r="J660" t="str" cm="1">
        <f t="array" ref="J660">_xlfn.SWITCH(LEFT(Table1[[#This Row],[section]],1), "D", "Demographic", "S", "Social", "E", "Economic", "H", "Housing", "")</f>
        <v>Social</v>
      </c>
      <c r="K660" t="s">
        <v>2483</v>
      </c>
      <c r="L660" t="s">
        <v>2484</v>
      </c>
      <c r="M660" t="str">
        <f>IF(Table1[[#This Row],[used]], _xlfn.CONCAT("🆔 ", Table1[[#This Row],[variable]], ": ",Table1[[#This Row],[alias]]), "")</f>
        <v>🆔 B05002_017E: Foreign born: Naturalized US citizen: Africa</v>
      </c>
      <c r="O660" t="s">
        <v>2562</v>
      </c>
      <c r="P660" t="s">
        <v>2551</v>
      </c>
      <c r="Q660" t="s">
        <v>41</v>
      </c>
      <c r="R660" t="s">
        <v>2563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1</v>
      </c>
      <c r="Y660" t="b">
        <v>1</v>
      </c>
      <c r="Z660" t="b">
        <v>1</v>
      </c>
      <c r="AA660" t="b">
        <v>1</v>
      </c>
      <c r="AB660" t="b">
        <v>1</v>
      </c>
      <c r="AC660" t="b">
        <v>1</v>
      </c>
      <c r="AD660" t="b">
        <v>1</v>
      </c>
      <c r="AE660" t="b">
        <v>1</v>
      </c>
      <c r="AF660" t="b">
        <v>0</v>
      </c>
      <c r="AG660" t="b">
        <v>0</v>
      </c>
    </row>
    <row r="661" spans="1:33" x14ac:dyDescent="0.25">
      <c r="A661" t="s">
        <v>610</v>
      </c>
      <c r="B661">
        <v>2</v>
      </c>
      <c r="C661" t="b">
        <v>0</v>
      </c>
      <c r="D661" t="s">
        <v>592</v>
      </c>
      <c r="E661" t="s">
        <v>2480</v>
      </c>
      <c r="F661" t="s">
        <v>2560</v>
      </c>
      <c r="G661" t="s">
        <v>2564</v>
      </c>
      <c r="H661">
        <v>660</v>
      </c>
      <c r="I661" t="str">
        <f>IF(ISBLANK(Table1[[#This Row],[oid]]),"FALSE","TRUE")</f>
        <v>TRUE</v>
      </c>
      <c r="J661" t="str" cm="1">
        <f t="array" ref="J661">_xlfn.SWITCH(LEFT(Table1[[#This Row],[section]],1), "D", "Demographic", "S", "Social", "E", "Economic", "H", "Housing", "")</f>
        <v>Social</v>
      </c>
      <c r="K661" t="s">
        <v>2483</v>
      </c>
      <c r="L661" t="s">
        <v>2484</v>
      </c>
      <c r="M661" t="str">
        <f>IF(Table1[[#This Row],[used]], _xlfn.CONCAT("🆔 ", Table1[[#This Row],[variable]], ": ",Table1[[#This Row],[alias]]), "")</f>
        <v>🆔 B05002_017E: Foreign-born: Naturalized US citizen: Africa</v>
      </c>
      <c r="O661" t="s">
        <v>2565</v>
      </c>
      <c r="P661" t="s">
        <v>2537</v>
      </c>
      <c r="Q661" t="s">
        <v>41</v>
      </c>
      <c r="R661" t="s">
        <v>2563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1</v>
      </c>
      <c r="AG661" t="b">
        <v>1</v>
      </c>
    </row>
    <row r="662" spans="1:33" x14ac:dyDescent="0.25">
      <c r="A662" t="s">
        <v>2548</v>
      </c>
      <c r="B662">
        <v>8</v>
      </c>
      <c r="C662" t="b">
        <v>0</v>
      </c>
      <c r="D662" t="s">
        <v>592</v>
      </c>
      <c r="E662" t="s">
        <v>2480</v>
      </c>
      <c r="F662" t="s">
        <v>2566</v>
      </c>
      <c r="G662" t="s">
        <v>2567</v>
      </c>
      <c r="H662">
        <v>661</v>
      </c>
      <c r="I662" t="str">
        <f>IF(ISBLANK(Table1[[#This Row],[oid]]),"FALSE","TRUE")</f>
        <v>TRUE</v>
      </c>
      <c r="J662" t="str" cm="1">
        <f t="array" ref="J662">_xlfn.SWITCH(LEFT(Table1[[#This Row],[section]],1), "D", "Demographic", "S", "Social", "E", "Economic", "H", "Housing", "")</f>
        <v>Social</v>
      </c>
      <c r="K662" t="s">
        <v>2483</v>
      </c>
      <c r="L662" t="s">
        <v>2484</v>
      </c>
      <c r="M662" t="str">
        <f>IF(Table1[[#This Row],[used]], _xlfn.CONCAT("🆔 ", Table1[[#This Row],[variable]], ": ",Table1[[#This Row],[alias]]), "")</f>
        <v>🆔 B05002_018E: Foreign born: Naturalized US citizen: Oceania</v>
      </c>
      <c r="O662" t="s">
        <v>2568</v>
      </c>
      <c r="P662" t="s">
        <v>2551</v>
      </c>
      <c r="Q662" t="s">
        <v>41</v>
      </c>
      <c r="R662" t="s">
        <v>2569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1</v>
      </c>
      <c r="Y662" t="b">
        <v>1</v>
      </c>
      <c r="Z662" t="b">
        <v>1</v>
      </c>
      <c r="AA662" t="b">
        <v>1</v>
      </c>
      <c r="AB662" t="b">
        <v>1</v>
      </c>
      <c r="AC662" t="b">
        <v>1</v>
      </c>
      <c r="AD662" t="b">
        <v>1</v>
      </c>
      <c r="AE662" t="b">
        <v>1</v>
      </c>
      <c r="AF662" t="b">
        <v>0</v>
      </c>
      <c r="AG662" t="b">
        <v>0</v>
      </c>
    </row>
    <row r="663" spans="1:33" x14ac:dyDescent="0.25">
      <c r="A663" t="s">
        <v>610</v>
      </c>
      <c r="B663">
        <v>2</v>
      </c>
      <c r="C663" t="b">
        <v>0</v>
      </c>
      <c r="D663" t="s">
        <v>592</v>
      </c>
      <c r="E663" t="s">
        <v>2480</v>
      </c>
      <c r="F663" t="s">
        <v>2566</v>
      </c>
      <c r="G663" t="s">
        <v>2570</v>
      </c>
      <c r="H663">
        <v>662</v>
      </c>
      <c r="I663" t="str">
        <f>IF(ISBLANK(Table1[[#This Row],[oid]]),"FALSE","TRUE")</f>
        <v>TRUE</v>
      </c>
      <c r="J663" t="str" cm="1">
        <f t="array" ref="J663">_xlfn.SWITCH(LEFT(Table1[[#This Row],[section]],1), "D", "Demographic", "S", "Social", "E", "Economic", "H", "Housing", "")</f>
        <v>Social</v>
      </c>
      <c r="K663" t="s">
        <v>2483</v>
      </c>
      <c r="L663" t="s">
        <v>2484</v>
      </c>
      <c r="M663" t="str">
        <f>IF(Table1[[#This Row],[used]], _xlfn.CONCAT("🆔 ", Table1[[#This Row],[variable]], ": ",Table1[[#This Row],[alias]]), "")</f>
        <v>🆔 B05002_018E: Foreign-born: Naturalized US citizen: Oceania</v>
      </c>
      <c r="O663" t="s">
        <v>2571</v>
      </c>
      <c r="P663" t="s">
        <v>2537</v>
      </c>
      <c r="Q663" t="s">
        <v>41</v>
      </c>
      <c r="R663" t="s">
        <v>2569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1</v>
      </c>
      <c r="AG663" t="b">
        <v>1</v>
      </c>
    </row>
    <row r="664" spans="1:33" x14ac:dyDescent="0.25">
      <c r="A664" t="s">
        <v>2548</v>
      </c>
      <c r="B664">
        <v>8</v>
      </c>
      <c r="C664" t="b">
        <v>0</v>
      </c>
      <c r="D664" t="s">
        <v>592</v>
      </c>
      <c r="E664" t="s">
        <v>2480</v>
      </c>
      <c r="F664" t="s">
        <v>2572</v>
      </c>
      <c r="G664" t="s">
        <v>2573</v>
      </c>
      <c r="H664">
        <v>663</v>
      </c>
      <c r="I664" t="str">
        <f>IF(ISBLANK(Table1[[#This Row],[oid]]),"FALSE","TRUE")</f>
        <v>TRUE</v>
      </c>
      <c r="J664" t="str" cm="1">
        <f t="array" ref="J664">_xlfn.SWITCH(LEFT(Table1[[#This Row],[section]],1), "D", "Demographic", "S", "Social", "E", "Economic", "H", "Housing", "")</f>
        <v>Social</v>
      </c>
      <c r="K664" t="s">
        <v>2483</v>
      </c>
      <c r="L664" t="s">
        <v>2484</v>
      </c>
      <c r="M664" t="str">
        <f>IF(Table1[[#This Row],[used]], _xlfn.CONCAT("🆔 ", Table1[[#This Row],[variable]], ": ",Table1[[#This Row],[alias]]), "")</f>
        <v>🆔 B05002_019E: Foreign born: Naturalized US citizen: Latin America</v>
      </c>
      <c r="O664" t="s">
        <v>2574</v>
      </c>
      <c r="P664" t="s">
        <v>2551</v>
      </c>
      <c r="Q664" t="s">
        <v>41</v>
      </c>
      <c r="R664" t="s">
        <v>2575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1</v>
      </c>
      <c r="Y664" t="b">
        <v>1</v>
      </c>
      <c r="Z664" t="b">
        <v>1</v>
      </c>
      <c r="AA664" t="b">
        <v>1</v>
      </c>
      <c r="AB664" t="b">
        <v>1</v>
      </c>
      <c r="AC664" t="b">
        <v>1</v>
      </c>
      <c r="AD664" t="b">
        <v>1</v>
      </c>
      <c r="AE664" t="b">
        <v>1</v>
      </c>
      <c r="AF664" t="b">
        <v>0</v>
      </c>
      <c r="AG664" t="b">
        <v>0</v>
      </c>
    </row>
    <row r="665" spans="1:33" x14ac:dyDescent="0.25">
      <c r="A665" t="s">
        <v>610</v>
      </c>
      <c r="B665">
        <v>2</v>
      </c>
      <c r="C665" t="b">
        <v>0</v>
      </c>
      <c r="D665" t="s">
        <v>592</v>
      </c>
      <c r="E665" t="s">
        <v>2480</v>
      </c>
      <c r="F665" t="s">
        <v>2572</v>
      </c>
      <c r="G665" t="s">
        <v>2576</v>
      </c>
      <c r="H665">
        <v>664</v>
      </c>
      <c r="I665" t="str">
        <f>IF(ISBLANK(Table1[[#This Row],[oid]]),"FALSE","TRUE")</f>
        <v>TRUE</v>
      </c>
      <c r="J665" t="str" cm="1">
        <f t="array" ref="J665">_xlfn.SWITCH(LEFT(Table1[[#This Row],[section]],1), "D", "Demographic", "S", "Social", "E", "Economic", "H", "Housing", "")</f>
        <v>Social</v>
      </c>
      <c r="K665" t="s">
        <v>2483</v>
      </c>
      <c r="L665" t="s">
        <v>2484</v>
      </c>
      <c r="M665" t="str">
        <f>IF(Table1[[#This Row],[used]], _xlfn.CONCAT("🆔 ", Table1[[#This Row],[variable]], ": ",Table1[[#This Row],[alias]]), "")</f>
        <v>🆔 B05002_019E: Foreign-born: Naturalized US citizen: Latin America</v>
      </c>
      <c r="O665" t="s">
        <v>2577</v>
      </c>
      <c r="P665" t="s">
        <v>2537</v>
      </c>
      <c r="Q665" t="s">
        <v>41</v>
      </c>
      <c r="R665" t="s">
        <v>2575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1</v>
      </c>
      <c r="AG665" t="b">
        <v>1</v>
      </c>
    </row>
    <row r="666" spans="1:33" x14ac:dyDescent="0.25">
      <c r="A666" t="s">
        <v>2548</v>
      </c>
      <c r="B666">
        <v>8</v>
      </c>
      <c r="C666" t="b">
        <v>0</v>
      </c>
      <c r="D666" t="s">
        <v>592</v>
      </c>
      <c r="E666" t="s">
        <v>2480</v>
      </c>
      <c r="F666" t="s">
        <v>2578</v>
      </c>
      <c r="G666" t="s">
        <v>2579</v>
      </c>
      <c r="H666">
        <v>665</v>
      </c>
      <c r="I666" t="str">
        <f>IF(ISBLANK(Table1[[#This Row],[oid]]),"FALSE","TRUE")</f>
        <v>TRUE</v>
      </c>
      <c r="J666" t="str" cm="1">
        <f t="array" ref="J666">_xlfn.SWITCH(LEFT(Table1[[#This Row],[section]],1), "D", "Demographic", "S", "Social", "E", "Economic", "H", "Housing", "")</f>
        <v>Social</v>
      </c>
      <c r="K666" t="s">
        <v>2483</v>
      </c>
      <c r="L666" t="s">
        <v>2484</v>
      </c>
      <c r="M666" t="str">
        <f>IF(Table1[[#This Row],[used]], _xlfn.CONCAT("🆔 ", Table1[[#This Row],[variable]], ": ",Table1[[#This Row],[alias]]), "")</f>
        <v>🆔 B05002_020E: Foreign born: Naturalized US citizen: Northern America</v>
      </c>
      <c r="O666" t="s">
        <v>2580</v>
      </c>
      <c r="P666" t="s">
        <v>2551</v>
      </c>
      <c r="Q666" t="s">
        <v>41</v>
      </c>
      <c r="R666" t="s">
        <v>2581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1</v>
      </c>
      <c r="Y666" t="b">
        <v>1</v>
      </c>
      <c r="Z666" t="b">
        <v>1</v>
      </c>
      <c r="AA666" t="b">
        <v>1</v>
      </c>
      <c r="AB666" t="b">
        <v>1</v>
      </c>
      <c r="AC666" t="b">
        <v>1</v>
      </c>
      <c r="AD666" t="b">
        <v>1</v>
      </c>
      <c r="AE666" t="b">
        <v>1</v>
      </c>
      <c r="AF666" t="b">
        <v>0</v>
      </c>
      <c r="AG666" t="b">
        <v>0</v>
      </c>
    </row>
    <row r="667" spans="1:33" x14ac:dyDescent="0.25">
      <c r="A667" t="s">
        <v>610</v>
      </c>
      <c r="B667">
        <v>2</v>
      </c>
      <c r="C667" t="b">
        <v>0</v>
      </c>
      <c r="D667" t="s">
        <v>592</v>
      </c>
      <c r="E667" t="s">
        <v>2480</v>
      </c>
      <c r="F667" t="s">
        <v>2578</v>
      </c>
      <c r="G667" t="s">
        <v>2582</v>
      </c>
      <c r="H667">
        <v>666</v>
      </c>
      <c r="I667" t="str">
        <f>IF(ISBLANK(Table1[[#This Row],[oid]]),"FALSE","TRUE")</f>
        <v>TRUE</v>
      </c>
      <c r="J667" t="str" cm="1">
        <f t="array" ref="J667">_xlfn.SWITCH(LEFT(Table1[[#This Row],[section]],1), "D", "Demographic", "S", "Social", "E", "Economic", "H", "Housing", "")</f>
        <v>Social</v>
      </c>
      <c r="K667" t="s">
        <v>2483</v>
      </c>
      <c r="L667" t="s">
        <v>2484</v>
      </c>
      <c r="M667" t="str">
        <f>IF(Table1[[#This Row],[used]], _xlfn.CONCAT("🆔 ", Table1[[#This Row],[variable]], ": ",Table1[[#This Row],[alias]]), "")</f>
        <v>🆔 B05002_020E: Foreign-born: Naturalized US citizen: Northern America</v>
      </c>
      <c r="O667" t="s">
        <v>2583</v>
      </c>
      <c r="P667" t="s">
        <v>2537</v>
      </c>
      <c r="Q667" t="s">
        <v>41</v>
      </c>
      <c r="R667" t="s">
        <v>2581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1</v>
      </c>
      <c r="AG667" t="b">
        <v>1</v>
      </c>
    </row>
    <row r="668" spans="1:33" x14ac:dyDescent="0.25">
      <c r="A668" t="s">
        <v>2548</v>
      </c>
      <c r="B668">
        <v>8</v>
      </c>
      <c r="C668" t="b">
        <v>0</v>
      </c>
      <c r="D668" t="s">
        <v>592</v>
      </c>
      <c r="E668" t="s">
        <v>2480</v>
      </c>
      <c r="F668" t="s">
        <v>2584</v>
      </c>
      <c r="G668" t="s">
        <v>2545</v>
      </c>
      <c r="H668">
        <v>667</v>
      </c>
      <c r="I668" t="str">
        <f>IF(ISBLANK(Table1[[#This Row],[oid]]),"FALSE","TRUE")</f>
        <v>TRUE</v>
      </c>
      <c r="J668" t="str" cm="1">
        <f t="array" ref="J668">_xlfn.SWITCH(LEFT(Table1[[#This Row],[section]],1), "D", "Demographic", "S", "Social", "E", "Economic", "H", "Housing", "")</f>
        <v>Social</v>
      </c>
      <c r="K668" t="s">
        <v>2483</v>
      </c>
      <c r="L668" t="s">
        <v>2484</v>
      </c>
      <c r="M668" t="str">
        <f>IF(Table1[[#This Row],[used]], _xlfn.CONCAT("🆔 ", Table1[[#This Row],[variable]], ": ",Table1[[#This Row],[alias]]), "")</f>
        <v>🆔 B05002_021E: Foreign born: Not a US citizen</v>
      </c>
      <c r="O668" t="s">
        <v>2546</v>
      </c>
      <c r="P668" t="s">
        <v>2551</v>
      </c>
      <c r="Q668" t="s">
        <v>41</v>
      </c>
      <c r="R668" t="s">
        <v>2585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1</v>
      </c>
      <c r="Y668" t="b">
        <v>1</v>
      </c>
      <c r="Z668" t="b">
        <v>1</v>
      </c>
      <c r="AA668" t="b">
        <v>1</v>
      </c>
      <c r="AB668" t="b">
        <v>1</v>
      </c>
      <c r="AC668" t="b">
        <v>1</v>
      </c>
      <c r="AD668" t="b">
        <v>1</v>
      </c>
      <c r="AE668" t="b">
        <v>1</v>
      </c>
      <c r="AF668" t="b">
        <v>0</v>
      </c>
      <c r="AG668" t="b">
        <v>0</v>
      </c>
    </row>
    <row r="669" spans="1:33" x14ac:dyDescent="0.25">
      <c r="A669" t="s">
        <v>610</v>
      </c>
      <c r="B669">
        <v>2</v>
      </c>
      <c r="C669" t="b">
        <v>0</v>
      </c>
      <c r="D669" t="s">
        <v>592</v>
      </c>
      <c r="E669" t="s">
        <v>2480</v>
      </c>
      <c r="F669" t="s">
        <v>2584</v>
      </c>
      <c r="G669" t="s">
        <v>2586</v>
      </c>
      <c r="H669">
        <v>668</v>
      </c>
      <c r="I669" t="str">
        <f>IF(ISBLANK(Table1[[#This Row],[oid]]),"FALSE","TRUE")</f>
        <v>TRUE</v>
      </c>
      <c r="J669" t="str" cm="1">
        <f t="array" ref="J669">_xlfn.SWITCH(LEFT(Table1[[#This Row],[section]],1), "D", "Demographic", "S", "Social", "E", "Economic", "H", "Housing", "")</f>
        <v>Social</v>
      </c>
      <c r="K669" t="s">
        <v>2483</v>
      </c>
      <c r="L669" t="s">
        <v>2484</v>
      </c>
      <c r="M669" t="str">
        <f>IF(Table1[[#This Row],[used]], _xlfn.CONCAT("🆔 ", Table1[[#This Row],[variable]], ": ",Table1[[#This Row],[alias]]), "")</f>
        <v>🆔 B05002_021E: Foreign-born: Not a US citizen</v>
      </c>
      <c r="O669" t="s">
        <v>2587</v>
      </c>
      <c r="P669" t="s">
        <v>2537</v>
      </c>
      <c r="Q669" t="s">
        <v>41</v>
      </c>
      <c r="R669" t="s">
        <v>2585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1</v>
      </c>
      <c r="AG669" t="b">
        <v>1</v>
      </c>
    </row>
    <row r="670" spans="1:33" x14ac:dyDescent="0.25">
      <c r="A670" t="s">
        <v>2548</v>
      </c>
      <c r="B670">
        <v>8</v>
      </c>
      <c r="C670" t="b">
        <v>0</v>
      </c>
      <c r="D670" t="s">
        <v>592</v>
      </c>
      <c r="E670" t="s">
        <v>2480</v>
      </c>
      <c r="F670" t="s">
        <v>2588</v>
      </c>
      <c r="G670" t="s">
        <v>2589</v>
      </c>
      <c r="H670">
        <v>669</v>
      </c>
      <c r="I670" t="str">
        <f>IF(ISBLANK(Table1[[#This Row],[oid]]),"FALSE","TRUE")</f>
        <v>TRUE</v>
      </c>
      <c r="J670" t="str" cm="1">
        <f t="array" ref="J670">_xlfn.SWITCH(LEFT(Table1[[#This Row],[section]],1), "D", "Demographic", "S", "Social", "E", "Economic", "H", "Housing", "")</f>
        <v>Social</v>
      </c>
      <c r="K670" t="s">
        <v>2483</v>
      </c>
      <c r="L670" t="s">
        <v>2484</v>
      </c>
      <c r="M670" t="str">
        <f>IF(Table1[[#This Row],[used]], _xlfn.CONCAT("🆔 ", Table1[[#This Row],[variable]], ": ",Table1[[#This Row],[alias]]), "")</f>
        <v>🆔 B05002_022E: Foreign born: Not a US citizen: Europe</v>
      </c>
      <c r="O670" t="s">
        <v>2590</v>
      </c>
      <c r="P670" t="s">
        <v>2551</v>
      </c>
      <c r="Q670" t="s">
        <v>41</v>
      </c>
      <c r="R670" t="s">
        <v>2591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1</v>
      </c>
      <c r="Y670" t="b">
        <v>1</v>
      </c>
      <c r="Z670" t="b">
        <v>1</v>
      </c>
      <c r="AA670" t="b">
        <v>1</v>
      </c>
      <c r="AB670" t="b">
        <v>1</v>
      </c>
      <c r="AC670" t="b">
        <v>1</v>
      </c>
      <c r="AD670" t="b">
        <v>1</v>
      </c>
      <c r="AE670" t="b">
        <v>1</v>
      </c>
      <c r="AF670" t="b">
        <v>0</v>
      </c>
      <c r="AG670" t="b">
        <v>0</v>
      </c>
    </row>
    <row r="671" spans="1:33" x14ac:dyDescent="0.25">
      <c r="A671" t="s">
        <v>610</v>
      </c>
      <c r="B671">
        <v>2</v>
      </c>
      <c r="C671" t="b">
        <v>0</v>
      </c>
      <c r="D671" t="s">
        <v>592</v>
      </c>
      <c r="E671" t="s">
        <v>2480</v>
      </c>
      <c r="F671" t="s">
        <v>2588</v>
      </c>
      <c r="G671" t="s">
        <v>2592</v>
      </c>
      <c r="H671">
        <v>670</v>
      </c>
      <c r="I671" t="str">
        <f>IF(ISBLANK(Table1[[#This Row],[oid]]),"FALSE","TRUE")</f>
        <v>TRUE</v>
      </c>
      <c r="J671" t="str" cm="1">
        <f t="array" ref="J671">_xlfn.SWITCH(LEFT(Table1[[#This Row],[section]],1), "D", "Demographic", "S", "Social", "E", "Economic", "H", "Housing", "")</f>
        <v>Social</v>
      </c>
      <c r="K671" t="s">
        <v>2483</v>
      </c>
      <c r="L671" t="s">
        <v>2484</v>
      </c>
      <c r="M671" t="str">
        <f>IF(Table1[[#This Row],[used]], _xlfn.CONCAT("🆔 ", Table1[[#This Row],[variable]], ": ",Table1[[#This Row],[alias]]), "")</f>
        <v>🆔 B05002_022E: Foreign-born: Not a US citizen: Europe</v>
      </c>
      <c r="O671" t="s">
        <v>2593</v>
      </c>
      <c r="P671" t="s">
        <v>2537</v>
      </c>
      <c r="Q671" t="s">
        <v>41</v>
      </c>
      <c r="R671" t="s">
        <v>2591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1</v>
      </c>
      <c r="AG671" t="b">
        <v>1</v>
      </c>
    </row>
    <row r="672" spans="1:33" x14ac:dyDescent="0.25">
      <c r="A672" t="s">
        <v>2548</v>
      </c>
      <c r="B672">
        <v>8</v>
      </c>
      <c r="C672" t="b">
        <v>0</v>
      </c>
      <c r="D672" t="s">
        <v>592</v>
      </c>
      <c r="E672" t="s">
        <v>2480</v>
      </c>
      <c r="F672" t="s">
        <v>2594</v>
      </c>
      <c r="G672" t="s">
        <v>2595</v>
      </c>
      <c r="H672">
        <v>671</v>
      </c>
      <c r="I672" t="str">
        <f>IF(ISBLANK(Table1[[#This Row],[oid]]),"FALSE","TRUE")</f>
        <v>TRUE</v>
      </c>
      <c r="J672" t="str" cm="1">
        <f t="array" ref="J672">_xlfn.SWITCH(LEFT(Table1[[#This Row],[section]],1), "D", "Demographic", "S", "Social", "E", "Economic", "H", "Housing", "")</f>
        <v>Social</v>
      </c>
      <c r="K672" t="s">
        <v>2483</v>
      </c>
      <c r="L672" t="s">
        <v>2484</v>
      </c>
      <c r="M672" t="str">
        <f>IF(Table1[[#This Row],[used]], _xlfn.CONCAT("🆔 ", Table1[[#This Row],[variable]], ": ",Table1[[#This Row],[alias]]), "")</f>
        <v>🆔 B05002_023E: Foreign born: Not a US citizen: Asia</v>
      </c>
      <c r="O672" t="s">
        <v>2596</v>
      </c>
      <c r="P672" t="s">
        <v>2551</v>
      </c>
      <c r="Q672" t="s">
        <v>41</v>
      </c>
      <c r="R672" t="s">
        <v>2597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1</v>
      </c>
      <c r="Y672" t="b">
        <v>1</v>
      </c>
      <c r="Z672" t="b">
        <v>1</v>
      </c>
      <c r="AA672" t="b">
        <v>1</v>
      </c>
      <c r="AB672" t="b">
        <v>1</v>
      </c>
      <c r="AC672" t="b">
        <v>1</v>
      </c>
      <c r="AD672" t="b">
        <v>1</v>
      </c>
      <c r="AE672" t="b">
        <v>1</v>
      </c>
      <c r="AF672" t="b">
        <v>0</v>
      </c>
      <c r="AG672" t="b">
        <v>0</v>
      </c>
    </row>
    <row r="673" spans="1:33" x14ac:dyDescent="0.25">
      <c r="A673" t="s">
        <v>610</v>
      </c>
      <c r="B673">
        <v>2</v>
      </c>
      <c r="C673" t="b">
        <v>0</v>
      </c>
      <c r="D673" t="s">
        <v>592</v>
      </c>
      <c r="E673" t="s">
        <v>2480</v>
      </c>
      <c r="F673" t="s">
        <v>2594</v>
      </c>
      <c r="G673" t="s">
        <v>2598</v>
      </c>
      <c r="H673">
        <v>672</v>
      </c>
      <c r="I673" t="str">
        <f>IF(ISBLANK(Table1[[#This Row],[oid]]),"FALSE","TRUE")</f>
        <v>TRUE</v>
      </c>
      <c r="J673" t="str" cm="1">
        <f t="array" ref="J673">_xlfn.SWITCH(LEFT(Table1[[#This Row],[section]],1), "D", "Demographic", "S", "Social", "E", "Economic", "H", "Housing", "")</f>
        <v>Social</v>
      </c>
      <c r="K673" t="s">
        <v>2483</v>
      </c>
      <c r="L673" t="s">
        <v>2484</v>
      </c>
      <c r="M673" t="str">
        <f>IF(Table1[[#This Row],[used]], _xlfn.CONCAT("🆔 ", Table1[[#This Row],[variable]], ": ",Table1[[#This Row],[alias]]), "")</f>
        <v>🆔 B05002_023E: Foreign-born: Not a US citizen: Asia</v>
      </c>
      <c r="O673" t="s">
        <v>2599</v>
      </c>
      <c r="P673" t="s">
        <v>2537</v>
      </c>
      <c r="Q673" t="s">
        <v>41</v>
      </c>
      <c r="R673" t="s">
        <v>2597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1</v>
      </c>
      <c r="AG673" t="b">
        <v>1</v>
      </c>
    </row>
    <row r="674" spans="1:33" x14ac:dyDescent="0.25">
      <c r="A674" t="s">
        <v>2548</v>
      </c>
      <c r="B674">
        <v>8</v>
      </c>
      <c r="C674" t="b">
        <v>0</v>
      </c>
      <c r="D674" t="s">
        <v>592</v>
      </c>
      <c r="E674" t="s">
        <v>2480</v>
      </c>
      <c r="F674" t="s">
        <v>2600</v>
      </c>
      <c r="G674" t="s">
        <v>2601</v>
      </c>
      <c r="H674">
        <v>673</v>
      </c>
      <c r="I674" t="str">
        <f>IF(ISBLANK(Table1[[#This Row],[oid]]),"FALSE","TRUE")</f>
        <v>TRUE</v>
      </c>
      <c r="J674" t="str" cm="1">
        <f t="array" ref="J674">_xlfn.SWITCH(LEFT(Table1[[#This Row],[section]],1), "D", "Demographic", "S", "Social", "E", "Economic", "H", "Housing", "")</f>
        <v>Social</v>
      </c>
      <c r="K674" t="s">
        <v>2483</v>
      </c>
      <c r="L674" t="s">
        <v>2484</v>
      </c>
      <c r="M674" t="str">
        <f>IF(Table1[[#This Row],[used]], _xlfn.CONCAT("🆔 ", Table1[[#This Row],[variable]], ": ",Table1[[#This Row],[alias]]), "")</f>
        <v>🆔 B05002_024E: Foreign born: Not a US citizen: Africa</v>
      </c>
      <c r="O674" t="s">
        <v>2602</v>
      </c>
      <c r="P674" t="s">
        <v>2551</v>
      </c>
      <c r="Q674" t="s">
        <v>41</v>
      </c>
      <c r="R674" t="s">
        <v>2603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1</v>
      </c>
      <c r="Y674" t="b">
        <v>1</v>
      </c>
      <c r="Z674" t="b">
        <v>1</v>
      </c>
      <c r="AA674" t="b">
        <v>1</v>
      </c>
      <c r="AB674" t="b">
        <v>1</v>
      </c>
      <c r="AC674" t="b">
        <v>1</v>
      </c>
      <c r="AD674" t="b">
        <v>1</v>
      </c>
      <c r="AE674" t="b">
        <v>1</v>
      </c>
      <c r="AF674" t="b">
        <v>0</v>
      </c>
      <c r="AG674" t="b">
        <v>0</v>
      </c>
    </row>
    <row r="675" spans="1:33" x14ac:dyDescent="0.25">
      <c r="A675" t="s">
        <v>610</v>
      </c>
      <c r="B675">
        <v>2</v>
      </c>
      <c r="C675" t="b">
        <v>0</v>
      </c>
      <c r="D675" t="s">
        <v>592</v>
      </c>
      <c r="E675" t="s">
        <v>2480</v>
      </c>
      <c r="F675" t="s">
        <v>2600</v>
      </c>
      <c r="G675" t="s">
        <v>2604</v>
      </c>
      <c r="H675">
        <v>674</v>
      </c>
      <c r="I675" t="str">
        <f>IF(ISBLANK(Table1[[#This Row],[oid]]),"FALSE","TRUE")</f>
        <v>TRUE</v>
      </c>
      <c r="J675" t="str" cm="1">
        <f t="array" ref="J675">_xlfn.SWITCH(LEFT(Table1[[#This Row],[section]],1), "D", "Demographic", "S", "Social", "E", "Economic", "H", "Housing", "")</f>
        <v>Social</v>
      </c>
      <c r="K675" t="s">
        <v>2483</v>
      </c>
      <c r="L675" t="s">
        <v>2484</v>
      </c>
      <c r="M675" t="str">
        <f>IF(Table1[[#This Row],[used]], _xlfn.CONCAT("🆔 ", Table1[[#This Row],[variable]], ": ",Table1[[#This Row],[alias]]), "")</f>
        <v>🆔 B05002_024E: Foreign-born: Not a US citizen: Africa</v>
      </c>
      <c r="O675" t="s">
        <v>2605</v>
      </c>
      <c r="P675" t="s">
        <v>2537</v>
      </c>
      <c r="Q675" t="s">
        <v>41</v>
      </c>
      <c r="R675" t="s">
        <v>2603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1</v>
      </c>
      <c r="AG675" t="b">
        <v>1</v>
      </c>
    </row>
    <row r="676" spans="1:33" x14ac:dyDescent="0.25">
      <c r="A676" t="s">
        <v>2548</v>
      </c>
      <c r="B676">
        <v>8</v>
      </c>
      <c r="C676" t="b">
        <v>0</v>
      </c>
      <c r="D676" t="s">
        <v>592</v>
      </c>
      <c r="E676" t="s">
        <v>2480</v>
      </c>
      <c r="F676" t="s">
        <v>2606</v>
      </c>
      <c r="G676" t="s">
        <v>2607</v>
      </c>
      <c r="H676">
        <v>675</v>
      </c>
      <c r="I676" t="str">
        <f>IF(ISBLANK(Table1[[#This Row],[oid]]),"FALSE","TRUE")</f>
        <v>TRUE</v>
      </c>
      <c r="J676" t="str" cm="1">
        <f t="array" ref="J676">_xlfn.SWITCH(LEFT(Table1[[#This Row],[section]],1), "D", "Demographic", "S", "Social", "E", "Economic", "H", "Housing", "")</f>
        <v>Social</v>
      </c>
      <c r="K676" t="s">
        <v>2483</v>
      </c>
      <c r="L676" t="s">
        <v>2484</v>
      </c>
      <c r="M676" t="str">
        <f>IF(Table1[[#This Row],[used]], _xlfn.CONCAT("🆔 ", Table1[[#This Row],[variable]], ": ",Table1[[#This Row],[alias]]), "")</f>
        <v>🆔 B05002_025E: Foreign born: Not a US citizen: Oceania</v>
      </c>
      <c r="O676" t="s">
        <v>2608</v>
      </c>
      <c r="P676" t="s">
        <v>2551</v>
      </c>
      <c r="Q676" t="s">
        <v>41</v>
      </c>
      <c r="R676" t="s">
        <v>2609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1</v>
      </c>
      <c r="Y676" t="b">
        <v>1</v>
      </c>
      <c r="Z676" t="b">
        <v>1</v>
      </c>
      <c r="AA676" t="b">
        <v>1</v>
      </c>
      <c r="AB676" t="b">
        <v>1</v>
      </c>
      <c r="AC676" t="b">
        <v>1</v>
      </c>
      <c r="AD676" t="b">
        <v>1</v>
      </c>
      <c r="AE676" t="b">
        <v>1</v>
      </c>
      <c r="AF676" t="b">
        <v>0</v>
      </c>
      <c r="AG676" t="b">
        <v>0</v>
      </c>
    </row>
    <row r="677" spans="1:33" x14ac:dyDescent="0.25">
      <c r="A677" t="s">
        <v>610</v>
      </c>
      <c r="B677">
        <v>2</v>
      </c>
      <c r="C677" t="b">
        <v>0</v>
      </c>
      <c r="D677" t="s">
        <v>592</v>
      </c>
      <c r="E677" t="s">
        <v>2480</v>
      </c>
      <c r="F677" t="s">
        <v>2606</v>
      </c>
      <c r="G677" t="s">
        <v>2610</v>
      </c>
      <c r="H677">
        <v>676</v>
      </c>
      <c r="I677" t="str">
        <f>IF(ISBLANK(Table1[[#This Row],[oid]]),"FALSE","TRUE")</f>
        <v>TRUE</v>
      </c>
      <c r="J677" t="str" cm="1">
        <f t="array" ref="J677">_xlfn.SWITCH(LEFT(Table1[[#This Row],[section]],1), "D", "Demographic", "S", "Social", "E", "Economic", "H", "Housing", "")</f>
        <v>Social</v>
      </c>
      <c r="K677" t="s">
        <v>2483</v>
      </c>
      <c r="L677" t="s">
        <v>2484</v>
      </c>
      <c r="M677" t="str">
        <f>IF(Table1[[#This Row],[used]], _xlfn.CONCAT("🆔 ", Table1[[#This Row],[variable]], ": ",Table1[[#This Row],[alias]]), "")</f>
        <v>🆔 B05002_025E: Foreign-born: Not a US citizen: Oceania</v>
      </c>
      <c r="O677" t="s">
        <v>2611</v>
      </c>
      <c r="P677" t="s">
        <v>2537</v>
      </c>
      <c r="Q677" t="s">
        <v>41</v>
      </c>
      <c r="R677" t="s">
        <v>2609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1</v>
      </c>
      <c r="AG677" t="b">
        <v>1</v>
      </c>
    </row>
    <row r="678" spans="1:33" x14ac:dyDescent="0.25">
      <c r="A678" t="s">
        <v>2548</v>
      </c>
      <c r="B678">
        <v>8</v>
      </c>
      <c r="C678" t="b">
        <v>0</v>
      </c>
      <c r="D678" t="s">
        <v>592</v>
      </c>
      <c r="E678" t="s">
        <v>2480</v>
      </c>
      <c r="F678" t="s">
        <v>2612</v>
      </c>
      <c r="G678" t="s">
        <v>2613</v>
      </c>
      <c r="H678">
        <v>677</v>
      </c>
      <c r="I678" t="str">
        <f>IF(ISBLANK(Table1[[#This Row],[oid]]),"FALSE","TRUE")</f>
        <v>TRUE</v>
      </c>
      <c r="J678" t="str" cm="1">
        <f t="array" ref="J678">_xlfn.SWITCH(LEFT(Table1[[#This Row],[section]],1), "D", "Demographic", "S", "Social", "E", "Economic", "H", "Housing", "")</f>
        <v>Social</v>
      </c>
      <c r="K678" t="s">
        <v>2483</v>
      </c>
      <c r="L678" t="s">
        <v>2484</v>
      </c>
      <c r="M678" t="str">
        <f>IF(Table1[[#This Row],[used]], _xlfn.CONCAT("🆔 ", Table1[[#This Row],[variable]], ": ",Table1[[#This Row],[alias]]), "")</f>
        <v>🆔 B05002_026E: Foreign born: Not a US citizen: Latin America</v>
      </c>
      <c r="O678" t="s">
        <v>2614</v>
      </c>
      <c r="P678" t="s">
        <v>2551</v>
      </c>
      <c r="Q678" t="s">
        <v>41</v>
      </c>
      <c r="R678" t="s">
        <v>2615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1</v>
      </c>
      <c r="Y678" t="b">
        <v>1</v>
      </c>
      <c r="Z678" t="b">
        <v>1</v>
      </c>
      <c r="AA678" t="b">
        <v>1</v>
      </c>
      <c r="AB678" t="b">
        <v>1</v>
      </c>
      <c r="AC678" t="b">
        <v>1</v>
      </c>
      <c r="AD678" t="b">
        <v>1</v>
      </c>
      <c r="AE678" t="b">
        <v>1</v>
      </c>
      <c r="AF678" t="b">
        <v>0</v>
      </c>
      <c r="AG678" t="b">
        <v>0</v>
      </c>
    </row>
    <row r="679" spans="1:33" x14ac:dyDescent="0.25">
      <c r="A679" t="s">
        <v>610</v>
      </c>
      <c r="B679">
        <v>2</v>
      </c>
      <c r="C679" t="b">
        <v>0</v>
      </c>
      <c r="D679" t="s">
        <v>592</v>
      </c>
      <c r="E679" t="s">
        <v>2480</v>
      </c>
      <c r="F679" t="s">
        <v>2612</v>
      </c>
      <c r="G679" t="s">
        <v>2616</v>
      </c>
      <c r="H679">
        <v>678</v>
      </c>
      <c r="I679" t="str">
        <f>IF(ISBLANK(Table1[[#This Row],[oid]]),"FALSE","TRUE")</f>
        <v>TRUE</v>
      </c>
      <c r="J679" t="str" cm="1">
        <f t="array" ref="J679">_xlfn.SWITCH(LEFT(Table1[[#This Row],[section]],1), "D", "Demographic", "S", "Social", "E", "Economic", "H", "Housing", "")</f>
        <v>Social</v>
      </c>
      <c r="K679" t="s">
        <v>2483</v>
      </c>
      <c r="L679" t="s">
        <v>2484</v>
      </c>
      <c r="M679" t="str">
        <f>IF(Table1[[#This Row],[used]], _xlfn.CONCAT("🆔 ", Table1[[#This Row],[variable]], ": ",Table1[[#This Row],[alias]]), "")</f>
        <v>🆔 B05002_026E: Foreign-born: Not a US citizen: Latin America</v>
      </c>
      <c r="O679" t="s">
        <v>2617</v>
      </c>
      <c r="P679" t="s">
        <v>2537</v>
      </c>
      <c r="Q679" t="s">
        <v>41</v>
      </c>
      <c r="R679" t="s">
        <v>2615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1</v>
      </c>
      <c r="AG679" t="b">
        <v>1</v>
      </c>
    </row>
    <row r="680" spans="1:33" x14ac:dyDescent="0.25">
      <c r="A680" t="s">
        <v>2548</v>
      </c>
      <c r="B680">
        <v>8</v>
      </c>
      <c r="C680" t="b">
        <v>0</v>
      </c>
      <c r="D680" t="s">
        <v>592</v>
      </c>
      <c r="E680" t="s">
        <v>2480</v>
      </c>
      <c r="F680" t="s">
        <v>2618</v>
      </c>
      <c r="G680" t="s">
        <v>2619</v>
      </c>
      <c r="H680">
        <v>679</v>
      </c>
      <c r="I680" t="str">
        <f>IF(ISBLANK(Table1[[#This Row],[oid]]),"FALSE","TRUE")</f>
        <v>TRUE</v>
      </c>
      <c r="J680" t="str" cm="1">
        <f t="array" ref="J680">_xlfn.SWITCH(LEFT(Table1[[#This Row],[section]],1), "D", "Demographic", "S", "Social", "E", "Economic", "H", "Housing", "")</f>
        <v>Social</v>
      </c>
      <c r="K680" t="s">
        <v>2483</v>
      </c>
      <c r="L680" t="s">
        <v>2484</v>
      </c>
      <c r="M680" t="str">
        <f>IF(Table1[[#This Row],[used]], _xlfn.CONCAT("🆔 ", Table1[[#This Row],[variable]], ": ",Table1[[#This Row],[alias]]), "")</f>
        <v>🆔 B05002_027E: Foreign born: Not a US citizen: Northern America</v>
      </c>
      <c r="O680" t="s">
        <v>2620</v>
      </c>
      <c r="P680" t="s">
        <v>2551</v>
      </c>
      <c r="Q680" t="s">
        <v>41</v>
      </c>
      <c r="R680" t="s">
        <v>2621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1</v>
      </c>
      <c r="Y680" t="b">
        <v>1</v>
      </c>
      <c r="Z680" t="b">
        <v>1</v>
      </c>
      <c r="AA680" t="b">
        <v>1</v>
      </c>
      <c r="AB680" t="b">
        <v>1</v>
      </c>
      <c r="AC680" t="b">
        <v>1</v>
      </c>
      <c r="AD680" t="b">
        <v>1</v>
      </c>
      <c r="AE680" t="b">
        <v>1</v>
      </c>
      <c r="AF680" t="b">
        <v>0</v>
      </c>
      <c r="AG680" t="b">
        <v>0</v>
      </c>
    </row>
    <row r="681" spans="1:33" x14ac:dyDescent="0.25">
      <c r="A681" t="s">
        <v>610</v>
      </c>
      <c r="B681">
        <v>2</v>
      </c>
      <c r="C681" t="b">
        <v>0</v>
      </c>
      <c r="D681" t="s">
        <v>592</v>
      </c>
      <c r="E681" t="s">
        <v>2480</v>
      </c>
      <c r="F681" t="s">
        <v>2618</v>
      </c>
      <c r="G681" t="s">
        <v>2622</v>
      </c>
      <c r="H681">
        <v>680</v>
      </c>
      <c r="I681" t="str">
        <f>IF(ISBLANK(Table1[[#This Row],[oid]]),"FALSE","TRUE")</f>
        <v>TRUE</v>
      </c>
      <c r="J681" t="str" cm="1">
        <f t="array" ref="J681">_xlfn.SWITCH(LEFT(Table1[[#This Row],[section]],1), "D", "Demographic", "S", "Social", "E", "Economic", "H", "Housing", "")</f>
        <v>Social</v>
      </c>
      <c r="K681" t="s">
        <v>2483</v>
      </c>
      <c r="L681" t="s">
        <v>2484</v>
      </c>
      <c r="M681" t="str">
        <f>IF(Table1[[#This Row],[used]], _xlfn.CONCAT("🆔 ", Table1[[#This Row],[variable]], ": ",Table1[[#This Row],[alias]]), "")</f>
        <v>🆔 B05002_027E: Foreign-born: Not a US citizen: Northern America</v>
      </c>
      <c r="O681" t="s">
        <v>2623</v>
      </c>
      <c r="P681" t="s">
        <v>2537</v>
      </c>
      <c r="Q681" t="s">
        <v>41</v>
      </c>
      <c r="R681" t="s">
        <v>2621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1</v>
      </c>
      <c r="AG681" t="b">
        <v>1</v>
      </c>
    </row>
    <row r="682" spans="1:33" x14ac:dyDescent="0.25">
      <c r="A682" t="s">
        <v>33</v>
      </c>
      <c r="B682">
        <v>15</v>
      </c>
      <c r="C682" t="b">
        <v>1</v>
      </c>
      <c r="D682" t="s">
        <v>592</v>
      </c>
      <c r="E682" t="s">
        <v>2624</v>
      </c>
      <c r="F682" t="s">
        <v>2625</v>
      </c>
      <c r="G682" t="s">
        <v>2626</v>
      </c>
      <c r="H682">
        <v>681</v>
      </c>
      <c r="I682" t="str">
        <f>IF(ISBLANK(Table1[[#This Row],[oid]]),"FALSE","TRUE")</f>
        <v>TRUE</v>
      </c>
      <c r="J682" t="str" cm="1">
        <f t="array" ref="J682">_xlfn.SWITCH(LEFT(Table1[[#This Row],[section]],1), "D", "Demographic", "S", "Social", "E", "Economic", "H", "Housing", "")</f>
        <v>Social</v>
      </c>
      <c r="K682" t="s">
        <v>2627</v>
      </c>
      <c r="L682" t="s">
        <v>2628</v>
      </c>
      <c r="M682" t="str">
        <f>IF(Table1[[#This Row],[used]], _xlfn.CONCAT("🆔 ", Table1[[#This Row],[variable]], ": ",Table1[[#This Row],[alias]]), "")</f>
        <v>🆔 B05001_002E: US citizen born in the United States</v>
      </c>
      <c r="O682" t="s">
        <v>2629</v>
      </c>
      <c r="P682" t="s">
        <v>2630</v>
      </c>
      <c r="Q682" t="s">
        <v>41</v>
      </c>
      <c r="R682" t="s">
        <v>2631</v>
      </c>
      <c r="S682" t="b">
        <v>1</v>
      </c>
      <c r="T682" t="b">
        <v>1</v>
      </c>
      <c r="U682" t="b">
        <v>1</v>
      </c>
      <c r="V682" t="b">
        <v>1</v>
      </c>
      <c r="W682" t="b">
        <v>1</v>
      </c>
      <c r="X682" t="b">
        <v>1</v>
      </c>
      <c r="Y682" t="b">
        <v>1</v>
      </c>
      <c r="Z682" t="b">
        <v>1</v>
      </c>
      <c r="AA682" t="b">
        <v>1</v>
      </c>
      <c r="AB682" t="b">
        <v>1</v>
      </c>
      <c r="AC682" t="b">
        <v>1</v>
      </c>
      <c r="AD682" t="b">
        <v>1</v>
      </c>
      <c r="AE682" t="b">
        <v>1</v>
      </c>
      <c r="AF682" t="b">
        <v>1</v>
      </c>
      <c r="AG682" t="b">
        <v>1</v>
      </c>
    </row>
    <row r="683" spans="1:33" x14ac:dyDescent="0.25">
      <c r="A683" t="s">
        <v>33</v>
      </c>
      <c r="B683">
        <v>15</v>
      </c>
      <c r="C683" t="b">
        <v>1</v>
      </c>
      <c r="D683" t="s">
        <v>592</v>
      </c>
      <c r="E683" t="s">
        <v>2624</v>
      </c>
      <c r="F683" t="s">
        <v>2632</v>
      </c>
      <c r="G683" t="s">
        <v>2633</v>
      </c>
      <c r="H683">
        <v>682</v>
      </c>
      <c r="I683" t="str">
        <f>IF(ISBLANK(Table1[[#This Row],[oid]]),"FALSE","TRUE")</f>
        <v>TRUE</v>
      </c>
      <c r="J683" t="str" cm="1">
        <f t="array" ref="J683">_xlfn.SWITCH(LEFT(Table1[[#This Row],[section]],1), "D", "Demographic", "S", "Social", "E", "Economic", "H", "Housing", "")</f>
        <v>Social</v>
      </c>
      <c r="K683" t="s">
        <v>2627</v>
      </c>
      <c r="L683" t="s">
        <v>2628</v>
      </c>
      <c r="M683" t="str">
        <f>IF(Table1[[#This Row],[used]], _xlfn.CONCAT("🆔 ", Table1[[#This Row],[variable]], ": ",Table1[[#This Row],[alias]]), "")</f>
        <v>🆔 B05001_003E: US citizen born in Puerto Rico or US Island Areas</v>
      </c>
      <c r="O683" t="s">
        <v>2634</v>
      </c>
      <c r="P683" t="s">
        <v>2630</v>
      </c>
      <c r="Q683" t="s">
        <v>41</v>
      </c>
      <c r="R683" t="s">
        <v>2635</v>
      </c>
      <c r="S683" t="b">
        <v>1</v>
      </c>
      <c r="T683" t="b">
        <v>1</v>
      </c>
      <c r="U683" t="b">
        <v>1</v>
      </c>
      <c r="V683" t="b">
        <v>1</v>
      </c>
      <c r="W683" t="b">
        <v>1</v>
      </c>
      <c r="X683" t="b">
        <v>1</v>
      </c>
      <c r="Y683" t="b">
        <v>1</v>
      </c>
      <c r="Z683" t="b">
        <v>1</v>
      </c>
      <c r="AA683" t="b">
        <v>1</v>
      </c>
      <c r="AB683" t="b">
        <v>1</v>
      </c>
      <c r="AC683" t="b">
        <v>1</v>
      </c>
      <c r="AD683" t="b">
        <v>1</v>
      </c>
      <c r="AE683" t="b">
        <v>1</v>
      </c>
      <c r="AF683" t="b">
        <v>1</v>
      </c>
      <c r="AG683" t="b">
        <v>1</v>
      </c>
    </row>
    <row r="684" spans="1:33" x14ac:dyDescent="0.25">
      <c r="A684" t="s">
        <v>33</v>
      </c>
      <c r="B684">
        <v>15</v>
      </c>
      <c r="C684" t="b">
        <v>1</v>
      </c>
      <c r="D684" t="s">
        <v>592</v>
      </c>
      <c r="E684" t="s">
        <v>2624</v>
      </c>
      <c r="F684" t="s">
        <v>2636</v>
      </c>
      <c r="G684" t="s">
        <v>2637</v>
      </c>
      <c r="H684">
        <v>683</v>
      </c>
      <c r="I684" t="str">
        <f>IF(ISBLANK(Table1[[#This Row],[oid]]),"FALSE","TRUE")</f>
        <v>TRUE</v>
      </c>
      <c r="J684" t="str" cm="1">
        <f t="array" ref="J684">_xlfn.SWITCH(LEFT(Table1[[#This Row],[section]],1), "D", "Demographic", "S", "Social", "E", "Economic", "H", "Housing", "")</f>
        <v>Social</v>
      </c>
      <c r="K684" t="s">
        <v>2627</v>
      </c>
      <c r="L684" t="s">
        <v>2628</v>
      </c>
      <c r="M684" t="str">
        <f>IF(Table1[[#This Row],[used]], _xlfn.CONCAT("🆔 ", Table1[[#This Row],[variable]], ": ",Table1[[#This Row],[alias]]), "")</f>
        <v>🆔 B05001_004E: US citizen born abroad of American parents</v>
      </c>
      <c r="O684" t="s">
        <v>2638</v>
      </c>
      <c r="P684" t="s">
        <v>2630</v>
      </c>
      <c r="Q684" t="s">
        <v>41</v>
      </c>
      <c r="R684" t="s">
        <v>2639</v>
      </c>
      <c r="S684" t="b">
        <v>1</v>
      </c>
      <c r="T684" t="b">
        <v>1</v>
      </c>
      <c r="U684" t="b">
        <v>1</v>
      </c>
      <c r="V684" t="b">
        <v>1</v>
      </c>
      <c r="W684" t="b">
        <v>1</v>
      </c>
      <c r="X684" t="b">
        <v>1</v>
      </c>
      <c r="Y684" t="b">
        <v>1</v>
      </c>
      <c r="Z684" t="b">
        <v>1</v>
      </c>
      <c r="AA684" t="b">
        <v>1</v>
      </c>
      <c r="AB684" t="b">
        <v>1</v>
      </c>
      <c r="AC684" t="b">
        <v>1</v>
      </c>
      <c r="AD684" t="b">
        <v>1</v>
      </c>
      <c r="AE684" t="b">
        <v>1</v>
      </c>
      <c r="AF684" t="b">
        <v>1</v>
      </c>
      <c r="AG684" t="b">
        <v>1</v>
      </c>
    </row>
    <row r="685" spans="1:33" x14ac:dyDescent="0.25">
      <c r="A685" t="s">
        <v>33</v>
      </c>
      <c r="B685">
        <v>15</v>
      </c>
      <c r="C685" t="b">
        <v>1</v>
      </c>
      <c r="D685" t="s">
        <v>592</v>
      </c>
      <c r="E685" t="s">
        <v>2624</v>
      </c>
      <c r="F685" t="s">
        <v>2640</v>
      </c>
      <c r="G685" t="s">
        <v>2641</v>
      </c>
      <c r="H685">
        <v>684</v>
      </c>
      <c r="I685" t="str">
        <f>IF(ISBLANK(Table1[[#This Row],[oid]]),"FALSE","TRUE")</f>
        <v>TRUE</v>
      </c>
      <c r="J685" t="str" cm="1">
        <f t="array" ref="J685">_xlfn.SWITCH(LEFT(Table1[[#This Row],[section]],1), "D", "Demographic", "S", "Social", "E", "Economic", "H", "Housing", "")</f>
        <v>Social</v>
      </c>
      <c r="K685" t="s">
        <v>2627</v>
      </c>
      <c r="L685" t="s">
        <v>2628</v>
      </c>
      <c r="M685" t="str">
        <f>IF(Table1[[#This Row],[used]], _xlfn.CONCAT("🆔 ", Table1[[#This Row],[variable]], ": ",Table1[[#This Row],[alias]]), "")</f>
        <v>🆔 B05001_005E: US citizen by naturalization</v>
      </c>
      <c r="O685" t="s">
        <v>2642</v>
      </c>
      <c r="P685" t="s">
        <v>2630</v>
      </c>
      <c r="Q685" t="s">
        <v>41</v>
      </c>
      <c r="R685" t="s">
        <v>2643</v>
      </c>
      <c r="S685" t="b">
        <v>1</v>
      </c>
      <c r="T685" t="b">
        <v>1</v>
      </c>
      <c r="U685" t="b">
        <v>1</v>
      </c>
      <c r="V685" t="b">
        <v>1</v>
      </c>
      <c r="W685" t="b">
        <v>1</v>
      </c>
      <c r="X685" t="b">
        <v>1</v>
      </c>
      <c r="Y685" t="b">
        <v>1</v>
      </c>
      <c r="Z685" t="b">
        <v>1</v>
      </c>
      <c r="AA685" t="b">
        <v>1</v>
      </c>
      <c r="AB685" t="b">
        <v>1</v>
      </c>
      <c r="AC685" t="b">
        <v>1</v>
      </c>
      <c r="AD685" t="b">
        <v>1</v>
      </c>
      <c r="AE685" t="b">
        <v>1</v>
      </c>
      <c r="AF685" t="b">
        <v>1</v>
      </c>
      <c r="AG685" t="b">
        <v>1</v>
      </c>
    </row>
    <row r="686" spans="1:33" x14ac:dyDescent="0.25">
      <c r="A686" t="s">
        <v>33</v>
      </c>
      <c r="B686">
        <v>15</v>
      </c>
      <c r="C686" t="b">
        <v>1</v>
      </c>
      <c r="D686" t="s">
        <v>592</v>
      </c>
      <c r="E686" t="s">
        <v>2624</v>
      </c>
      <c r="F686" t="s">
        <v>2644</v>
      </c>
      <c r="G686" t="s">
        <v>2645</v>
      </c>
      <c r="H686">
        <v>685</v>
      </c>
      <c r="I686" t="str">
        <f>IF(ISBLANK(Table1[[#This Row],[oid]]),"FALSE","TRUE")</f>
        <v>TRUE</v>
      </c>
      <c r="J686" t="str" cm="1">
        <f t="array" ref="J686">_xlfn.SWITCH(LEFT(Table1[[#This Row],[section]],1), "D", "Demographic", "S", "Social", "E", "Economic", "H", "Housing", "")</f>
        <v>Social</v>
      </c>
      <c r="K686" t="s">
        <v>2627</v>
      </c>
      <c r="L686" t="s">
        <v>2628</v>
      </c>
      <c r="M686" t="str">
        <f>IF(Table1[[#This Row],[used]], _xlfn.CONCAT("🆔 ", Table1[[#This Row],[variable]], ": ",Table1[[#This Row],[alias]]), "")</f>
        <v>🆔 B05001_006E: Not a US citizen</v>
      </c>
      <c r="O686" t="s">
        <v>2646</v>
      </c>
      <c r="P686" t="s">
        <v>2630</v>
      </c>
      <c r="Q686" t="s">
        <v>41</v>
      </c>
      <c r="R686" t="s">
        <v>2647</v>
      </c>
      <c r="S686" t="b">
        <v>1</v>
      </c>
      <c r="T686" t="b">
        <v>1</v>
      </c>
      <c r="U686" t="b">
        <v>1</v>
      </c>
      <c r="V686" t="b">
        <v>1</v>
      </c>
      <c r="W686" t="b">
        <v>1</v>
      </c>
      <c r="X686" t="b">
        <v>1</v>
      </c>
      <c r="Y686" t="b">
        <v>1</v>
      </c>
      <c r="Z686" t="b">
        <v>1</v>
      </c>
      <c r="AA686" t="b">
        <v>1</v>
      </c>
      <c r="AB686" t="b">
        <v>1</v>
      </c>
      <c r="AC686" t="b">
        <v>1</v>
      </c>
      <c r="AD686" t="b">
        <v>1</v>
      </c>
      <c r="AE686" t="b">
        <v>1</v>
      </c>
      <c r="AF686" t="b">
        <v>1</v>
      </c>
      <c r="AG686" t="b">
        <v>1</v>
      </c>
    </row>
    <row r="687" spans="1:33" x14ac:dyDescent="0.25">
      <c r="A687" t="s">
        <v>33</v>
      </c>
      <c r="B687">
        <v>15</v>
      </c>
      <c r="C687" t="b">
        <v>1</v>
      </c>
      <c r="D687" t="s">
        <v>592</v>
      </c>
      <c r="E687" t="s">
        <v>2648</v>
      </c>
      <c r="F687" t="s">
        <v>2649</v>
      </c>
      <c r="G687" t="s">
        <v>2650</v>
      </c>
      <c r="H687">
        <v>686</v>
      </c>
      <c r="I687" t="str">
        <f>IF(ISBLANK(Table1[[#This Row],[oid]]),"FALSE","TRUE")</f>
        <v>TRUE</v>
      </c>
      <c r="J687" t="str" cm="1">
        <f t="array" ref="J687">_xlfn.SWITCH(LEFT(Table1[[#This Row],[section]],1), "D", "Demographic", "S", "Social", "E", "Economic", "H", "Housing", "")</f>
        <v>Social</v>
      </c>
      <c r="K687" t="s">
        <v>2651</v>
      </c>
      <c r="L687" t="s">
        <v>2652</v>
      </c>
      <c r="M687" t="str">
        <f>IF(Table1[[#This Row],[used]], _xlfn.CONCAT("🆔 ", Table1[[#This Row],[variable]], ": ",Table1[[#This Row],[alias]]), "")</f>
        <v>🆔 B05005_001E: Population born outside the US</v>
      </c>
      <c r="O687" t="s">
        <v>39</v>
      </c>
      <c r="P687" t="s">
        <v>2653</v>
      </c>
      <c r="Q687" t="s">
        <v>41</v>
      </c>
      <c r="R687" t="s">
        <v>2654</v>
      </c>
      <c r="S687" t="b">
        <v>1</v>
      </c>
      <c r="T687" t="b">
        <v>1</v>
      </c>
      <c r="U687" t="b">
        <v>1</v>
      </c>
      <c r="V687" t="b">
        <v>1</v>
      </c>
      <c r="W687" t="b">
        <v>1</v>
      </c>
      <c r="X687" t="b">
        <v>1</v>
      </c>
      <c r="Y687" t="b">
        <v>1</v>
      </c>
      <c r="Z687" t="b">
        <v>1</v>
      </c>
      <c r="AA687" t="b">
        <v>1</v>
      </c>
      <c r="AB687" t="b">
        <v>1</v>
      </c>
      <c r="AC687" t="b">
        <v>1</v>
      </c>
      <c r="AD687" t="b">
        <v>1</v>
      </c>
      <c r="AE687" t="b">
        <v>1</v>
      </c>
      <c r="AF687" t="b">
        <v>1</v>
      </c>
      <c r="AG687" t="b">
        <v>1</v>
      </c>
    </row>
    <row r="688" spans="1:33" x14ac:dyDescent="0.25">
      <c r="A688" t="s">
        <v>838</v>
      </c>
      <c r="B688">
        <v>2</v>
      </c>
      <c r="C688" t="b">
        <v>0</v>
      </c>
      <c r="D688" t="s">
        <v>592</v>
      </c>
      <c r="E688" t="s">
        <v>2648</v>
      </c>
      <c r="F688" t="s">
        <v>2655</v>
      </c>
      <c r="G688" t="s">
        <v>2656</v>
      </c>
      <c r="H688">
        <v>687</v>
      </c>
      <c r="I688" t="str">
        <f>IF(ISBLANK(Table1[[#This Row],[oid]]),"FALSE","TRUE")</f>
        <v>TRUE</v>
      </c>
      <c r="J688" t="str" cm="1">
        <f t="array" ref="J688">_xlfn.SWITCH(LEFT(Table1[[#This Row],[section]],1), "D", "Demographic", "S", "Social", "E", "Economic", "H", "Housing", "")</f>
        <v>Social</v>
      </c>
      <c r="K688" t="s">
        <v>2651</v>
      </c>
      <c r="L688" t="s">
        <v>2652</v>
      </c>
      <c r="M688" t="str">
        <f>IF(Table1[[#This Row],[used]], _xlfn.CONCAT("🆔 ", Table1[[#This Row],[variable]], ": ",Table1[[#This Row],[alias]]), "")</f>
        <v>🆔 B05005_002E: Entered 2000 or later</v>
      </c>
      <c r="O688" t="s">
        <v>2657</v>
      </c>
      <c r="P688" t="s">
        <v>2653</v>
      </c>
      <c r="Q688" t="s">
        <v>41</v>
      </c>
      <c r="R688" t="s">
        <v>2658</v>
      </c>
      <c r="S688" t="b">
        <v>1</v>
      </c>
      <c r="T688" t="b">
        <v>1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</row>
    <row r="689" spans="1:33" x14ac:dyDescent="0.25">
      <c r="A689" t="s">
        <v>972</v>
      </c>
      <c r="B689">
        <v>13</v>
      </c>
      <c r="C689" t="b">
        <v>0</v>
      </c>
      <c r="D689" t="s">
        <v>592</v>
      </c>
      <c r="E689" t="s">
        <v>2648</v>
      </c>
      <c r="F689" t="s">
        <v>2655</v>
      </c>
      <c r="G689" t="s">
        <v>2659</v>
      </c>
      <c r="H689">
        <v>688</v>
      </c>
      <c r="I689" t="str">
        <f>IF(ISBLANK(Table1[[#This Row],[oid]]),"FALSE","TRUE")</f>
        <v>TRUE</v>
      </c>
      <c r="J689" t="str" cm="1">
        <f t="array" ref="J689">_xlfn.SWITCH(LEFT(Table1[[#This Row],[section]],1), "D", "Demographic", "S", "Social", "E", "Economic", "H", "Housing", "")</f>
        <v>Social</v>
      </c>
      <c r="K689" t="s">
        <v>2651</v>
      </c>
      <c r="L689" t="s">
        <v>2652</v>
      </c>
      <c r="M689" t="str">
        <f>IF(Table1[[#This Row],[used]], _xlfn.CONCAT("🆔 ", Table1[[#This Row],[variable]], ": ",Table1[[#This Row],[alias]]), "")</f>
        <v>🆔 B05005_002E: Entered 2010 or later</v>
      </c>
      <c r="O689" t="s">
        <v>2660</v>
      </c>
      <c r="P689" t="s">
        <v>2661</v>
      </c>
      <c r="Q689" t="s">
        <v>41</v>
      </c>
      <c r="R689" t="s">
        <v>2658</v>
      </c>
      <c r="S689" t="b">
        <v>0</v>
      </c>
      <c r="T689" t="b">
        <v>0</v>
      </c>
      <c r="U689" t="b">
        <v>1</v>
      </c>
      <c r="V689" t="b">
        <v>1</v>
      </c>
      <c r="W689" t="b">
        <v>1</v>
      </c>
      <c r="X689" t="b">
        <v>1</v>
      </c>
      <c r="Y689" t="b">
        <v>1</v>
      </c>
      <c r="Z689" t="b">
        <v>1</v>
      </c>
      <c r="AA689" t="b">
        <v>1</v>
      </c>
      <c r="AB689" t="b">
        <v>1</v>
      </c>
      <c r="AC689" t="b">
        <v>1</v>
      </c>
      <c r="AD689" t="b">
        <v>1</v>
      </c>
      <c r="AE689" t="b">
        <v>1</v>
      </c>
      <c r="AF689" t="b">
        <v>1</v>
      </c>
      <c r="AG689" t="b">
        <v>1</v>
      </c>
    </row>
    <row r="690" spans="1:33" x14ac:dyDescent="0.25">
      <c r="A690" t="s">
        <v>838</v>
      </c>
      <c r="B690">
        <v>2</v>
      </c>
      <c r="C690" t="b">
        <v>0</v>
      </c>
      <c r="D690" t="s">
        <v>592</v>
      </c>
      <c r="E690" t="s">
        <v>2648</v>
      </c>
      <c r="F690" t="s">
        <v>2662</v>
      </c>
      <c r="G690" t="s">
        <v>2663</v>
      </c>
      <c r="H690">
        <v>689</v>
      </c>
      <c r="I690" t="str">
        <f>IF(ISBLANK(Table1[[#This Row],[oid]]),"FALSE","TRUE")</f>
        <v>TRUE</v>
      </c>
      <c r="J690" t="str" cm="1">
        <f t="array" ref="J690">_xlfn.SWITCH(LEFT(Table1[[#This Row],[section]],1), "D", "Demographic", "S", "Social", "E", "Economic", "H", "Housing", "")</f>
        <v>Social</v>
      </c>
      <c r="K690" t="s">
        <v>2651</v>
      </c>
      <c r="L690" t="s">
        <v>2652</v>
      </c>
      <c r="M690" t="str">
        <f>IF(Table1[[#This Row],[used]], _xlfn.CONCAT("🆔 ", Table1[[#This Row],[variable]], ": ",Table1[[#This Row],[alias]]), "")</f>
        <v>🆔 B05005_003E: Entered 2000 or later: Native</v>
      </c>
      <c r="O690" t="s">
        <v>2664</v>
      </c>
      <c r="P690" t="s">
        <v>2653</v>
      </c>
      <c r="Q690" t="s">
        <v>41</v>
      </c>
      <c r="R690" t="s">
        <v>2665</v>
      </c>
      <c r="S690" t="b">
        <v>1</v>
      </c>
      <c r="T690" t="b">
        <v>1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</row>
    <row r="691" spans="1:33" x14ac:dyDescent="0.25">
      <c r="A691" t="s">
        <v>972</v>
      </c>
      <c r="B691">
        <v>13</v>
      </c>
      <c r="C691" t="b">
        <v>0</v>
      </c>
      <c r="D691" t="s">
        <v>592</v>
      </c>
      <c r="E691" t="s">
        <v>2648</v>
      </c>
      <c r="F691" t="s">
        <v>2662</v>
      </c>
      <c r="G691" t="s">
        <v>2666</v>
      </c>
      <c r="H691">
        <v>690</v>
      </c>
      <c r="I691" t="str">
        <f>IF(ISBLANK(Table1[[#This Row],[oid]]),"FALSE","TRUE")</f>
        <v>TRUE</v>
      </c>
      <c r="J691" t="str" cm="1">
        <f t="array" ref="J691">_xlfn.SWITCH(LEFT(Table1[[#This Row],[section]],1), "D", "Demographic", "S", "Social", "E", "Economic", "H", "Housing", "")</f>
        <v>Social</v>
      </c>
      <c r="K691" t="s">
        <v>2651</v>
      </c>
      <c r="L691" t="s">
        <v>2652</v>
      </c>
      <c r="M691" t="str">
        <f>IF(Table1[[#This Row],[used]], _xlfn.CONCAT("🆔 ", Table1[[#This Row],[variable]], ": ",Table1[[#This Row],[alias]]), "")</f>
        <v>🆔 B05005_003E: Entered 2010 or later: Native</v>
      </c>
      <c r="O691" t="s">
        <v>2667</v>
      </c>
      <c r="P691" t="s">
        <v>2661</v>
      </c>
      <c r="Q691" t="s">
        <v>41</v>
      </c>
      <c r="R691" t="s">
        <v>2665</v>
      </c>
      <c r="S691" t="b">
        <v>0</v>
      </c>
      <c r="T691" t="b">
        <v>0</v>
      </c>
      <c r="U691" t="b">
        <v>1</v>
      </c>
      <c r="V691" t="b">
        <v>1</v>
      </c>
      <c r="W691" t="b">
        <v>1</v>
      </c>
      <c r="X691" t="b">
        <v>1</v>
      </c>
      <c r="Y691" t="b">
        <v>1</v>
      </c>
      <c r="Z691" t="b">
        <v>1</v>
      </c>
      <c r="AA691" t="b">
        <v>1</v>
      </c>
      <c r="AB691" t="b">
        <v>1</v>
      </c>
      <c r="AC691" t="b">
        <v>1</v>
      </c>
      <c r="AD691" t="b">
        <v>1</v>
      </c>
      <c r="AE691" t="b">
        <v>1</v>
      </c>
      <c r="AF691" t="b">
        <v>1</v>
      </c>
      <c r="AG691" t="b">
        <v>1</v>
      </c>
    </row>
    <row r="692" spans="1:33" x14ac:dyDescent="0.25">
      <c r="A692" t="s">
        <v>838</v>
      </c>
      <c r="B692">
        <v>2</v>
      </c>
      <c r="C692" t="b">
        <v>0</v>
      </c>
      <c r="D692" t="s">
        <v>592</v>
      </c>
      <c r="E692" t="s">
        <v>2648</v>
      </c>
      <c r="F692" t="s">
        <v>2668</v>
      </c>
      <c r="G692" t="s">
        <v>2669</v>
      </c>
      <c r="H692">
        <v>691</v>
      </c>
      <c r="I692" t="str">
        <f>IF(ISBLANK(Table1[[#This Row],[oid]]),"FALSE","TRUE")</f>
        <v>TRUE</v>
      </c>
      <c r="J692" t="str" cm="1">
        <f t="array" ref="J692">_xlfn.SWITCH(LEFT(Table1[[#This Row],[section]],1), "D", "Demographic", "S", "Social", "E", "Economic", "H", "Housing", "")</f>
        <v>Social</v>
      </c>
      <c r="K692" t="s">
        <v>2651</v>
      </c>
      <c r="L692" t="s">
        <v>2652</v>
      </c>
      <c r="M692" t="str">
        <f>IF(Table1[[#This Row],[used]], _xlfn.CONCAT("🆔 ", Table1[[#This Row],[variable]], ": ",Table1[[#This Row],[alias]]), "")</f>
        <v>🆔 B05005_004E: Entered 2000 or later: Foreign born</v>
      </c>
      <c r="O692" t="s">
        <v>2670</v>
      </c>
      <c r="P692" t="s">
        <v>2653</v>
      </c>
      <c r="Q692" t="s">
        <v>41</v>
      </c>
      <c r="R692" t="s">
        <v>2671</v>
      </c>
      <c r="S692" t="b">
        <v>1</v>
      </c>
      <c r="T692" t="b">
        <v>1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</row>
    <row r="693" spans="1:33" x14ac:dyDescent="0.25">
      <c r="A693" t="s">
        <v>2672</v>
      </c>
      <c r="B693">
        <v>11</v>
      </c>
      <c r="C693" t="b">
        <v>0</v>
      </c>
      <c r="D693" t="s">
        <v>592</v>
      </c>
      <c r="E693" t="s">
        <v>2648</v>
      </c>
      <c r="F693" t="s">
        <v>2668</v>
      </c>
      <c r="G693" t="s">
        <v>2673</v>
      </c>
      <c r="H693">
        <v>692</v>
      </c>
      <c r="I693" t="str">
        <f>IF(ISBLANK(Table1[[#This Row],[oid]]),"FALSE","TRUE")</f>
        <v>TRUE</v>
      </c>
      <c r="J693" t="str" cm="1">
        <f t="array" ref="J693">_xlfn.SWITCH(LEFT(Table1[[#This Row],[section]],1), "D", "Demographic", "S", "Social", "E", "Economic", "H", "Housing", "")</f>
        <v>Social</v>
      </c>
      <c r="K693" t="s">
        <v>2651</v>
      </c>
      <c r="L693" t="s">
        <v>2652</v>
      </c>
      <c r="M693" t="str">
        <f>IF(Table1[[#This Row],[used]], _xlfn.CONCAT("🆔 ", Table1[[#This Row],[variable]], ": ",Table1[[#This Row],[alias]]), "")</f>
        <v>🆔 B05005_004E: Entered 2010 or later: Foreign born</v>
      </c>
      <c r="O693" t="s">
        <v>2674</v>
      </c>
      <c r="P693" t="s">
        <v>2661</v>
      </c>
      <c r="Q693" t="s">
        <v>41</v>
      </c>
      <c r="R693" t="s">
        <v>2671</v>
      </c>
      <c r="S693" t="b">
        <v>0</v>
      </c>
      <c r="T693" t="b">
        <v>0</v>
      </c>
      <c r="U693" t="b">
        <v>1</v>
      </c>
      <c r="V693" t="b">
        <v>1</v>
      </c>
      <c r="W693" t="b">
        <v>1</v>
      </c>
      <c r="X693" t="b">
        <v>1</v>
      </c>
      <c r="Y693" t="b">
        <v>1</v>
      </c>
      <c r="Z693" t="b">
        <v>1</v>
      </c>
      <c r="AA693" t="b">
        <v>1</v>
      </c>
      <c r="AB693" t="b">
        <v>1</v>
      </c>
      <c r="AC693" t="b">
        <v>1</v>
      </c>
      <c r="AD693" t="b">
        <v>1</v>
      </c>
      <c r="AE693" t="b">
        <v>1</v>
      </c>
      <c r="AF693" t="b">
        <v>0</v>
      </c>
      <c r="AG693" t="b">
        <v>0</v>
      </c>
    </row>
    <row r="694" spans="1:33" x14ac:dyDescent="0.25">
      <c r="A694" t="s">
        <v>610</v>
      </c>
      <c r="B694">
        <v>2</v>
      </c>
      <c r="C694" t="b">
        <v>0</v>
      </c>
      <c r="D694" t="s">
        <v>592</v>
      </c>
      <c r="E694" t="s">
        <v>2648</v>
      </c>
      <c r="F694" t="s">
        <v>2668</v>
      </c>
      <c r="G694" t="s">
        <v>2675</v>
      </c>
      <c r="H694">
        <v>693</v>
      </c>
      <c r="I694" t="str">
        <f>IF(ISBLANK(Table1[[#This Row],[oid]]),"FALSE","TRUE")</f>
        <v>TRUE</v>
      </c>
      <c r="J694" t="str" cm="1">
        <f t="array" ref="J694">_xlfn.SWITCH(LEFT(Table1[[#This Row],[section]],1), "D", "Demographic", "S", "Social", "E", "Economic", "H", "Housing", "")</f>
        <v>Social</v>
      </c>
      <c r="K694" t="s">
        <v>2651</v>
      </c>
      <c r="L694" t="s">
        <v>2652</v>
      </c>
      <c r="M694" t="str">
        <f>IF(Table1[[#This Row],[used]], _xlfn.CONCAT("🆔 ", Table1[[#This Row],[variable]], ": ",Table1[[#This Row],[alias]]), "")</f>
        <v>🆔 B05005_004E: Entered 2010 or later: Foreign-born</v>
      </c>
      <c r="O694" t="s">
        <v>2676</v>
      </c>
      <c r="P694" t="s">
        <v>2677</v>
      </c>
      <c r="Q694" t="s">
        <v>41</v>
      </c>
      <c r="R694" t="s">
        <v>2671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1</v>
      </c>
      <c r="AG694" t="b">
        <v>1</v>
      </c>
    </row>
    <row r="695" spans="1:33" x14ac:dyDescent="0.25">
      <c r="A695" t="s">
        <v>838</v>
      </c>
      <c r="B695">
        <v>2</v>
      </c>
      <c r="C695" t="b">
        <v>0</v>
      </c>
      <c r="D695" t="s">
        <v>592</v>
      </c>
      <c r="E695" t="s">
        <v>2648</v>
      </c>
      <c r="F695" t="s">
        <v>2678</v>
      </c>
      <c r="G695" t="s">
        <v>2679</v>
      </c>
      <c r="H695">
        <v>694</v>
      </c>
      <c r="I695" t="str">
        <f>IF(ISBLANK(Table1[[#This Row],[oid]]),"FALSE","TRUE")</f>
        <v>TRUE</v>
      </c>
      <c r="J695" t="str" cm="1">
        <f t="array" ref="J695">_xlfn.SWITCH(LEFT(Table1[[#This Row],[section]],1), "D", "Demographic", "S", "Social", "E", "Economic", "H", "Housing", "")</f>
        <v>Social</v>
      </c>
      <c r="K695" t="s">
        <v>2651</v>
      </c>
      <c r="L695" t="s">
        <v>2652</v>
      </c>
      <c r="M695" t="str">
        <f>IF(Table1[[#This Row],[used]], _xlfn.CONCAT("🆔 ", Table1[[#This Row],[variable]], ": ",Table1[[#This Row],[alias]]), "")</f>
        <v>🆔 B05005_005E: Entered 2000 or later: Foreign born: Naturalized US citizen</v>
      </c>
      <c r="O695" t="s">
        <v>2680</v>
      </c>
      <c r="P695" t="s">
        <v>2653</v>
      </c>
      <c r="Q695" t="s">
        <v>41</v>
      </c>
      <c r="R695" t="s">
        <v>2681</v>
      </c>
      <c r="S695" t="b">
        <v>1</v>
      </c>
      <c r="T695" t="b">
        <v>1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</row>
    <row r="696" spans="1:33" x14ac:dyDescent="0.25">
      <c r="A696" t="s">
        <v>2672</v>
      </c>
      <c r="B696">
        <v>11</v>
      </c>
      <c r="C696" t="b">
        <v>0</v>
      </c>
      <c r="D696" t="s">
        <v>592</v>
      </c>
      <c r="E696" t="s">
        <v>2648</v>
      </c>
      <c r="F696" t="s">
        <v>2678</v>
      </c>
      <c r="G696" t="s">
        <v>2682</v>
      </c>
      <c r="H696">
        <v>695</v>
      </c>
      <c r="I696" t="str">
        <f>IF(ISBLANK(Table1[[#This Row],[oid]]),"FALSE","TRUE")</f>
        <v>TRUE</v>
      </c>
      <c r="J696" t="str" cm="1">
        <f t="array" ref="J696">_xlfn.SWITCH(LEFT(Table1[[#This Row],[section]],1), "D", "Demographic", "S", "Social", "E", "Economic", "H", "Housing", "")</f>
        <v>Social</v>
      </c>
      <c r="K696" t="s">
        <v>2651</v>
      </c>
      <c r="L696" t="s">
        <v>2652</v>
      </c>
      <c r="M696" t="str">
        <f>IF(Table1[[#This Row],[used]], _xlfn.CONCAT("🆔 ", Table1[[#This Row],[variable]], ": ",Table1[[#This Row],[alias]]), "")</f>
        <v>🆔 B05005_005E: Entered 2010 or later: Foreign born: Naturalized US citizen</v>
      </c>
      <c r="O696" t="s">
        <v>2683</v>
      </c>
      <c r="P696" t="s">
        <v>2661</v>
      </c>
      <c r="Q696" t="s">
        <v>41</v>
      </c>
      <c r="R696" t="s">
        <v>2681</v>
      </c>
      <c r="S696" t="b">
        <v>0</v>
      </c>
      <c r="T696" t="b">
        <v>0</v>
      </c>
      <c r="U696" t="b">
        <v>1</v>
      </c>
      <c r="V696" t="b">
        <v>1</v>
      </c>
      <c r="W696" t="b">
        <v>1</v>
      </c>
      <c r="X696" t="b">
        <v>1</v>
      </c>
      <c r="Y696" t="b">
        <v>1</v>
      </c>
      <c r="Z696" t="b">
        <v>1</v>
      </c>
      <c r="AA696" t="b">
        <v>1</v>
      </c>
      <c r="AB696" t="b">
        <v>1</v>
      </c>
      <c r="AC696" t="b">
        <v>1</v>
      </c>
      <c r="AD696" t="b">
        <v>1</v>
      </c>
      <c r="AE696" t="b">
        <v>1</v>
      </c>
      <c r="AF696" t="b">
        <v>0</v>
      </c>
      <c r="AG696" t="b">
        <v>0</v>
      </c>
    </row>
    <row r="697" spans="1:33" x14ac:dyDescent="0.25">
      <c r="A697" t="s">
        <v>610</v>
      </c>
      <c r="B697">
        <v>2</v>
      </c>
      <c r="C697" t="b">
        <v>0</v>
      </c>
      <c r="D697" t="s">
        <v>592</v>
      </c>
      <c r="E697" t="s">
        <v>2648</v>
      </c>
      <c r="F697" t="s">
        <v>2678</v>
      </c>
      <c r="G697" t="s">
        <v>2684</v>
      </c>
      <c r="H697">
        <v>696</v>
      </c>
      <c r="I697" t="str">
        <f>IF(ISBLANK(Table1[[#This Row],[oid]]),"FALSE","TRUE")</f>
        <v>TRUE</v>
      </c>
      <c r="J697" t="str" cm="1">
        <f t="array" ref="J697">_xlfn.SWITCH(LEFT(Table1[[#This Row],[section]],1), "D", "Demographic", "S", "Social", "E", "Economic", "H", "Housing", "")</f>
        <v>Social</v>
      </c>
      <c r="K697" t="s">
        <v>2651</v>
      </c>
      <c r="L697" t="s">
        <v>2652</v>
      </c>
      <c r="M697" t="str">
        <f>IF(Table1[[#This Row],[used]], _xlfn.CONCAT("🆔 ", Table1[[#This Row],[variable]], ": ",Table1[[#This Row],[alias]]), "")</f>
        <v>🆔 B05005_005E: Entered 2010 or later: Foreign-born: Naturalized US citizen</v>
      </c>
      <c r="O697" t="s">
        <v>2685</v>
      </c>
      <c r="P697" t="s">
        <v>2677</v>
      </c>
      <c r="Q697" t="s">
        <v>41</v>
      </c>
      <c r="R697" t="s">
        <v>2681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1</v>
      </c>
      <c r="AG697" t="b">
        <v>1</v>
      </c>
    </row>
    <row r="698" spans="1:33" x14ac:dyDescent="0.25">
      <c r="A698" t="s">
        <v>838</v>
      </c>
      <c r="B698">
        <v>2</v>
      </c>
      <c r="C698" t="b">
        <v>0</v>
      </c>
      <c r="D698" t="s">
        <v>592</v>
      </c>
      <c r="E698" t="s">
        <v>2648</v>
      </c>
      <c r="F698" t="s">
        <v>2686</v>
      </c>
      <c r="G698" t="s">
        <v>2687</v>
      </c>
      <c r="H698">
        <v>697</v>
      </c>
      <c r="I698" t="str">
        <f>IF(ISBLANK(Table1[[#This Row],[oid]]),"FALSE","TRUE")</f>
        <v>TRUE</v>
      </c>
      <c r="J698" t="str" cm="1">
        <f t="array" ref="J698">_xlfn.SWITCH(LEFT(Table1[[#This Row],[section]],1), "D", "Demographic", "S", "Social", "E", "Economic", "H", "Housing", "")</f>
        <v>Social</v>
      </c>
      <c r="K698" t="s">
        <v>2651</v>
      </c>
      <c r="L698" t="s">
        <v>2652</v>
      </c>
      <c r="M698" t="str">
        <f>IF(Table1[[#This Row],[used]], _xlfn.CONCAT("🆔 ", Table1[[#This Row],[variable]], ": ",Table1[[#This Row],[alias]]), "")</f>
        <v>🆔 B05005_006E: Entered 2000 or later: Foreign born: Not a US citizen</v>
      </c>
      <c r="O698" t="s">
        <v>2688</v>
      </c>
      <c r="P698" t="s">
        <v>2653</v>
      </c>
      <c r="Q698" t="s">
        <v>41</v>
      </c>
      <c r="R698" t="s">
        <v>2689</v>
      </c>
      <c r="S698" t="b">
        <v>1</v>
      </c>
      <c r="T698" t="b">
        <v>1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</row>
    <row r="699" spans="1:33" x14ac:dyDescent="0.25">
      <c r="A699" t="s">
        <v>2672</v>
      </c>
      <c r="B699">
        <v>11</v>
      </c>
      <c r="C699" t="b">
        <v>0</v>
      </c>
      <c r="D699" t="s">
        <v>592</v>
      </c>
      <c r="E699" t="s">
        <v>2648</v>
      </c>
      <c r="F699" t="s">
        <v>2686</v>
      </c>
      <c r="G699" t="s">
        <v>2690</v>
      </c>
      <c r="H699">
        <v>698</v>
      </c>
      <c r="I699" t="str">
        <f>IF(ISBLANK(Table1[[#This Row],[oid]]),"FALSE","TRUE")</f>
        <v>TRUE</v>
      </c>
      <c r="J699" t="str" cm="1">
        <f t="array" ref="J699">_xlfn.SWITCH(LEFT(Table1[[#This Row],[section]],1), "D", "Demographic", "S", "Social", "E", "Economic", "H", "Housing", "")</f>
        <v>Social</v>
      </c>
      <c r="K699" t="s">
        <v>2651</v>
      </c>
      <c r="L699" t="s">
        <v>2652</v>
      </c>
      <c r="M699" t="str">
        <f>IF(Table1[[#This Row],[used]], _xlfn.CONCAT("🆔 ", Table1[[#This Row],[variable]], ": ",Table1[[#This Row],[alias]]), "")</f>
        <v>🆔 B05005_006E: Entered 2010 or later: Foreign born: Not a US citizen</v>
      </c>
      <c r="O699" t="s">
        <v>2691</v>
      </c>
      <c r="P699" t="s">
        <v>2661</v>
      </c>
      <c r="Q699" t="s">
        <v>41</v>
      </c>
      <c r="R699" t="s">
        <v>2689</v>
      </c>
      <c r="S699" t="b">
        <v>0</v>
      </c>
      <c r="T699" t="b">
        <v>0</v>
      </c>
      <c r="U699" t="b">
        <v>1</v>
      </c>
      <c r="V699" t="b">
        <v>1</v>
      </c>
      <c r="W699" t="b">
        <v>1</v>
      </c>
      <c r="X699" t="b">
        <v>1</v>
      </c>
      <c r="Y699" t="b">
        <v>1</v>
      </c>
      <c r="Z699" t="b">
        <v>1</v>
      </c>
      <c r="AA699" t="b">
        <v>1</v>
      </c>
      <c r="AB699" t="b">
        <v>1</v>
      </c>
      <c r="AC699" t="b">
        <v>1</v>
      </c>
      <c r="AD699" t="b">
        <v>1</v>
      </c>
      <c r="AE699" t="b">
        <v>1</v>
      </c>
      <c r="AF699" t="b">
        <v>0</v>
      </c>
      <c r="AG699" t="b">
        <v>0</v>
      </c>
    </row>
    <row r="700" spans="1:33" x14ac:dyDescent="0.25">
      <c r="A700" t="s">
        <v>610</v>
      </c>
      <c r="B700">
        <v>2</v>
      </c>
      <c r="C700" t="b">
        <v>0</v>
      </c>
      <c r="D700" t="s">
        <v>592</v>
      </c>
      <c r="E700" t="s">
        <v>2648</v>
      </c>
      <c r="F700" t="s">
        <v>2686</v>
      </c>
      <c r="G700" t="s">
        <v>2692</v>
      </c>
      <c r="H700">
        <v>699</v>
      </c>
      <c r="I700" t="str">
        <f>IF(ISBLANK(Table1[[#This Row],[oid]]),"FALSE","TRUE")</f>
        <v>TRUE</v>
      </c>
      <c r="J700" t="str" cm="1">
        <f t="array" ref="J700">_xlfn.SWITCH(LEFT(Table1[[#This Row],[section]],1), "D", "Demographic", "S", "Social", "E", "Economic", "H", "Housing", "")</f>
        <v>Social</v>
      </c>
      <c r="K700" t="s">
        <v>2651</v>
      </c>
      <c r="L700" t="s">
        <v>2652</v>
      </c>
      <c r="M700" t="str">
        <f>IF(Table1[[#This Row],[used]], _xlfn.CONCAT("🆔 ", Table1[[#This Row],[variable]], ": ",Table1[[#This Row],[alias]]), "")</f>
        <v>🆔 B05005_006E: Entered 2010 or later: Foreign-born: Not a US citizen</v>
      </c>
      <c r="O700" t="s">
        <v>2693</v>
      </c>
      <c r="P700" t="s">
        <v>2677</v>
      </c>
      <c r="Q700" t="s">
        <v>41</v>
      </c>
      <c r="R700" t="s">
        <v>2689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1</v>
      </c>
      <c r="AG700" t="b">
        <v>1</v>
      </c>
    </row>
    <row r="701" spans="1:33" x14ac:dyDescent="0.25">
      <c r="A701" t="s">
        <v>838</v>
      </c>
      <c r="B701">
        <v>2</v>
      </c>
      <c r="C701" t="b">
        <v>0</v>
      </c>
      <c r="D701" t="s">
        <v>592</v>
      </c>
      <c r="E701" t="s">
        <v>2648</v>
      </c>
      <c r="F701" t="s">
        <v>2694</v>
      </c>
      <c r="G701" t="s">
        <v>2695</v>
      </c>
      <c r="H701">
        <v>700</v>
      </c>
      <c r="I701" t="str">
        <f>IF(ISBLANK(Table1[[#This Row],[oid]]),"FALSE","TRUE")</f>
        <v>TRUE</v>
      </c>
      <c r="J701" t="str" cm="1">
        <f t="array" ref="J701">_xlfn.SWITCH(LEFT(Table1[[#This Row],[section]],1), "D", "Demographic", "S", "Social", "E", "Economic", "H", "Housing", "")</f>
        <v>Social</v>
      </c>
      <c r="K701" t="s">
        <v>2651</v>
      </c>
      <c r="L701" t="s">
        <v>2652</v>
      </c>
      <c r="M701" t="str">
        <f>IF(Table1[[#This Row],[used]], _xlfn.CONCAT("🆔 ", Table1[[#This Row],[variable]], ": ",Table1[[#This Row],[alias]]), "")</f>
        <v>🆔 B05005_007E: Entered 1990 to 1999</v>
      </c>
      <c r="O701" t="s">
        <v>2696</v>
      </c>
      <c r="P701" t="s">
        <v>2653</v>
      </c>
      <c r="Q701" t="s">
        <v>41</v>
      </c>
      <c r="R701" t="s">
        <v>2697</v>
      </c>
      <c r="S701" t="b">
        <v>1</v>
      </c>
      <c r="T701" t="b">
        <v>1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</row>
    <row r="702" spans="1:33" x14ac:dyDescent="0.25">
      <c r="A702" t="s">
        <v>972</v>
      </c>
      <c r="B702">
        <v>13</v>
      </c>
      <c r="C702" t="b">
        <v>0</v>
      </c>
      <c r="D702" t="s">
        <v>592</v>
      </c>
      <c r="E702" t="s">
        <v>2648</v>
      </c>
      <c r="F702" t="s">
        <v>2694</v>
      </c>
      <c r="G702" t="s">
        <v>2698</v>
      </c>
      <c r="H702">
        <v>701</v>
      </c>
      <c r="I702" t="str">
        <f>IF(ISBLANK(Table1[[#This Row],[oid]]),"FALSE","TRUE")</f>
        <v>TRUE</v>
      </c>
      <c r="J702" t="str" cm="1">
        <f t="array" ref="J702">_xlfn.SWITCH(LEFT(Table1[[#This Row],[section]],1), "D", "Demographic", "S", "Social", "E", "Economic", "H", "Housing", "")</f>
        <v>Social</v>
      </c>
      <c r="K702" t="s">
        <v>2651</v>
      </c>
      <c r="L702" t="s">
        <v>2652</v>
      </c>
      <c r="M702" t="str">
        <f>IF(Table1[[#This Row],[used]], _xlfn.CONCAT("🆔 ", Table1[[#This Row],[variable]], ": ",Table1[[#This Row],[alias]]), "")</f>
        <v>🆔 B05005_007E: Entered 2000 to 2009</v>
      </c>
      <c r="O702" t="s">
        <v>2699</v>
      </c>
      <c r="P702" t="s">
        <v>2661</v>
      </c>
      <c r="Q702" t="s">
        <v>41</v>
      </c>
      <c r="R702" t="s">
        <v>2697</v>
      </c>
      <c r="S702" t="b">
        <v>0</v>
      </c>
      <c r="T702" t="b">
        <v>0</v>
      </c>
      <c r="U702" t="b">
        <v>1</v>
      </c>
      <c r="V702" t="b">
        <v>1</v>
      </c>
      <c r="W702" t="b">
        <v>1</v>
      </c>
      <c r="X702" t="b">
        <v>1</v>
      </c>
      <c r="Y702" t="b">
        <v>1</v>
      </c>
      <c r="Z702" t="b">
        <v>1</v>
      </c>
      <c r="AA702" t="b">
        <v>1</v>
      </c>
      <c r="AB702" t="b">
        <v>1</v>
      </c>
      <c r="AC702" t="b">
        <v>1</v>
      </c>
      <c r="AD702" t="b">
        <v>1</v>
      </c>
      <c r="AE702" t="b">
        <v>1</v>
      </c>
      <c r="AF702" t="b">
        <v>1</v>
      </c>
      <c r="AG702" t="b">
        <v>1</v>
      </c>
    </row>
    <row r="703" spans="1:33" x14ac:dyDescent="0.25">
      <c r="A703" t="s">
        <v>838</v>
      </c>
      <c r="B703">
        <v>2</v>
      </c>
      <c r="C703" t="b">
        <v>0</v>
      </c>
      <c r="D703" t="s">
        <v>592</v>
      </c>
      <c r="E703" t="s">
        <v>2648</v>
      </c>
      <c r="F703" t="s">
        <v>2700</v>
      </c>
      <c r="G703" t="s">
        <v>2701</v>
      </c>
      <c r="H703">
        <v>702</v>
      </c>
      <c r="I703" t="str">
        <f>IF(ISBLANK(Table1[[#This Row],[oid]]),"FALSE","TRUE")</f>
        <v>TRUE</v>
      </c>
      <c r="J703" t="str" cm="1">
        <f t="array" ref="J703">_xlfn.SWITCH(LEFT(Table1[[#This Row],[section]],1), "D", "Demographic", "S", "Social", "E", "Economic", "H", "Housing", "")</f>
        <v>Social</v>
      </c>
      <c r="K703" t="s">
        <v>2651</v>
      </c>
      <c r="L703" t="s">
        <v>2652</v>
      </c>
      <c r="M703" t="str">
        <f>IF(Table1[[#This Row],[used]], _xlfn.CONCAT("🆔 ", Table1[[#This Row],[variable]], ": ",Table1[[#This Row],[alias]]), "")</f>
        <v>🆔 B05005_008E: Entered 1990 to 1999: Native</v>
      </c>
      <c r="O703" t="s">
        <v>2702</v>
      </c>
      <c r="P703" t="s">
        <v>2653</v>
      </c>
      <c r="Q703" t="s">
        <v>41</v>
      </c>
      <c r="R703" t="s">
        <v>2703</v>
      </c>
      <c r="S703" t="b">
        <v>1</v>
      </c>
      <c r="T703" t="b">
        <v>1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</row>
    <row r="704" spans="1:33" x14ac:dyDescent="0.25">
      <c r="A704" t="s">
        <v>972</v>
      </c>
      <c r="B704">
        <v>13</v>
      </c>
      <c r="C704" t="b">
        <v>0</v>
      </c>
      <c r="D704" t="s">
        <v>592</v>
      </c>
      <c r="E704" t="s">
        <v>2648</v>
      </c>
      <c r="F704" t="s">
        <v>2700</v>
      </c>
      <c r="G704" t="s">
        <v>2704</v>
      </c>
      <c r="H704">
        <v>703</v>
      </c>
      <c r="I704" t="str">
        <f>IF(ISBLANK(Table1[[#This Row],[oid]]),"FALSE","TRUE")</f>
        <v>TRUE</v>
      </c>
      <c r="J704" t="str" cm="1">
        <f t="array" ref="J704">_xlfn.SWITCH(LEFT(Table1[[#This Row],[section]],1), "D", "Demographic", "S", "Social", "E", "Economic", "H", "Housing", "")</f>
        <v>Social</v>
      </c>
      <c r="K704" t="s">
        <v>2651</v>
      </c>
      <c r="L704" t="s">
        <v>2652</v>
      </c>
      <c r="M704" t="str">
        <f>IF(Table1[[#This Row],[used]], _xlfn.CONCAT("🆔 ", Table1[[#This Row],[variable]], ": ",Table1[[#This Row],[alias]]), "")</f>
        <v>🆔 B05005_008E: Entered 2000 to 2009: Native</v>
      </c>
      <c r="O704" t="s">
        <v>2705</v>
      </c>
      <c r="P704" t="s">
        <v>2661</v>
      </c>
      <c r="Q704" t="s">
        <v>41</v>
      </c>
      <c r="R704" t="s">
        <v>2703</v>
      </c>
      <c r="S704" t="b">
        <v>0</v>
      </c>
      <c r="T704" t="b">
        <v>0</v>
      </c>
      <c r="U704" t="b">
        <v>1</v>
      </c>
      <c r="V704" t="b">
        <v>1</v>
      </c>
      <c r="W704" t="b">
        <v>1</v>
      </c>
      <c r="X704" t="b">
        <v>1</v>
      </c>
      <c r="Y704" t="b">
        <v>1</v>
      </c>
      <c r="Z704" t="b">
        <v>1</v>
      </c>
      <c r="AA704" t="b">
        <v>1</v>
      </c>
      <c r="AB704" t="b">
        <v>1</v>
      </c>
      <c r="AC704" t="b">
        <v>1</v>
      </c>
      <c r="AD704" t="b">
        <v>1</v>
      </c>
      <c r="AE704" t="b">
        <v>1</v>
      </c>
      <c r="AF704" t="b">
        <v>1</v>
      </c>
      <c r="AG704" t="b">
        <v>1</v>
      </c>
    </row>
    <row r="705" spans="1:33" x14ac:dyDescent="0.25">
      <c r="A705" t="s">
        <v>838</v>
      </c>
      <c r="B705">
        <v>2</v>
      </c>
      <c r="C705" t="b">
        <v>0</v>
      </c>
      <c r="D705" t="s">
        <v>592</v>
      </c>
      <c r="E705" t="s">
        <v>2648</v>
      </c>
      <c r="F705" t="s">
        <v>2706</v>
      </c>
      <c r="G705" t="s">
        <v>2707</v>
      </c>
      <c r="H705">
        <v>704</v>
      </c>
      <c r="I705" t="str">
        <f>IF(ISBLANK(Table1[[#This Row],[oid]]),"FALSE","TRUE")</f>
        <v>TRUE</v>
      </c>
      <c r="J705" t="str" cm="1">
        <f t="array" ref="J705">_xlfn.SWITCH(LEFT(Table1[[#This Row],[section]],1), "D", "Demographic", "S", "Social", "E", "Economic", "H", "Housing", "")</f>
        <v>Social</v>
      </c>
      <c r="K705" t="s">
        <v>2651</v>
      </c>
      <c r="L705" t="s">
        <v>2652</v>
      </c>
      <c r="M705" t="str">
        <f>IF(Table1[[#This Row],[used]], _xlfn.CONCAT("🆔 ", Table1[[#This Row],[variable]], ": ",Table1[[#This Row],[alias]]), "")</f>
        <v>🆔 B05005_009E: Entered 1990 to 1999: Foreign born</v>
      </c>
      <c r="O705" t="s">
        <v>2708</v>
      </c>
      <c r="P705" t="s">
        <v>2653</v>
      </c>
      <c r="Q705" t="s">
        <v>41</v>
      </c>
      <c r="R705" t="s">
        <v>2709</v>
      </c>
      <c r="S705" t="b">
        <v>1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</row>
    <row r="706" spans="1:33" x14ac:dyDescent="0.25">
      <c r="A706" t="s">
        <v>2672</v>
      </c>
      <c r="B706">
        <v>11</v>
      </c>
      <c r="C706" t="b">
        <v>0</v>
      </c>
      <c r="D706" t="s">
        <v>592</v>
      </c>
      <c r="E706" t="s">
        <v>2648</v>
      </c>
      <c r="F706" t="s">
        <v>2706</v>
      </c>
      <c r="G706" t="s">
        <v>2710</v>
      </c>
      <c r="H706">
        <v>705</v>
      </c>
      <c r="I706" t="str">
        <f>IF(ISBLANK(Table1[[#This Row],[oid]]),"FALSE","TRUE")</f>
        <v>TRUE</v>
      </c>
      <c r="J706" t="str" cm="1">
        <f t="array" ref="J706">_xlfn.SWITCH(LEFT(Table1[[#This Row],[section]],1), "D", "Demographic", "S", "Social", "E", "Economic", "H", "Housing", "")</f>
        <v>Social</v>
      </c>
      <c r="K706" t="s">
        <v>2651</v>
      </c>
      <c r="L706" t="s">
        <v>2652</v>
      </c>
      <c r="M706" t="str">
        <f>IF(Table1[[#This Row],[used]], _xlfn.CONCAT("🆔 ", Table1[[#This Row],[variable]], ": ",Table1[[#This Row],[alias]]), "")</f>
        <v>🆔 B05005_009E: Entered 2000 to 2009: Foreign born</v>
      </c>
      <c r="O706" t="s">
        <v>2711</v>
      </c>
      <c r="P706" t="s">
        <v>2661</v>
      </c>
      <c r="Q706" t="s">
        <v>41</v>
      </c>
      <c r="R706" t="s">
        <v>2709</v>
      </c>
      <c r="S706" t="b">
        <v>0</v>
      </c>
      <c r="T706" t="b">
        <v>0</v>
      </c>
      <c r="U706" t="b">
        <v>1</v>
      </c>
      <c r="V706" t="b">
        <v>1</v>
      </c>
      <c r="W706" t="b">
        <v>1</v>
      </c>
      <c r="X706" t="b">
        <v>1</v>
      </c>
      <c r="Y706" t="b">
        <v>1</v>
      </c>
      <c r="Z706" t="b">
        <v>1</v>
      </c>
      <c r="AA706" t="b">
        <v>1</v>
      </c>
      <c r="AB706" t="b">
        <v>1</v>
      </c>
      <c r="AC706" t="b">
        <v>1</v>
      </c>
      <c r="AD706" t="b">
        <v>1</v>
      </c>
      <c r="AE706" t="b">
        <v>1</v>
      </c>
      <c r="AF706" t="b">
        <v>0</v>
      </c>
      <c r="AG706" t="b">
        <v>0</v>
      </c>
    </row>
    <row r="707" spans="1:33" x14ac:dyDescent="0.25">
      <c r="A707" t="s">
        <v>610</v>
      </c>
      <c r="B707">
        <v>2</v>
      </c>
      <c r="C707" t="b">
        <v>0</v>
      </c>
      <c r="D707" t="s">
        <v>592</v>
      </c>
      <c r="E707" t="s">
        <v>2648</v>
      </c>
      <c r="F707" t="s">
        <v>2706</v>
      </c>
      <c r="G707" t="s">
        <v>2712</v>
      </c>
      <c r="H707">
        <v>706</v>
      </c>
      <c r="I707" t="str">
        <f>IF(ISBLANK(Table1[[#This Row],[oid]]),"FALSE","TRUE")</f>
        <v>TRUE</v>
      </c>
      <c r="J707" t="str" cm="1">
        <f t="array" ref="J707">_xlfn.SWITCH(LEFT(Table1[[#This Row],[section]],1), "D", "Demographic", "S", "Social", "E", "Economic", "H", "Housing", "")</f>
        <v>Social</v>
      </c>
      <c r="K707" t="s">
        <v>2651</v>
      </c>
      <c r="L707" t="s">
        <v>2652</v>
      </c>
      <c r="M707" t="str">
        <f>IF(Table1[[#This Row],[used]], _xlfn.CONCAT("🆔 ", Table1[[#This Row],[variable]], ": ",Table1[[#This Row],[alias]]), "")</f>
        <v>🆔 B05005_009E: Entered 2000 to 2009: Foreign-born</v>
      </c>
      <c r="O707" t="s">
        <v>2713</v>
      </c>
      <c r="P707" t="s">
        <v>2677</v>
      </c>
      <c r="Q707" t="s">
        <v>41</v>
      </c>
      <c r="R707" t="s">
        <v>2709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1</v>
      </c>
      <c r="AG707" t="b">
        <v>1</v>
      </c>
    </row>
    <row r="708" spans="1:33" x14ac:dyDescent="0.25">
      <c r="A708" t="s">
        <v>838</v>
      </c>
      <c r="B708">
        <v>2</v>
      </c>
      <c r="C708" t="b">
        <v>0</v>
      </c>
      <c r="D708" t="s">
        <v>592</v>
      </c>
      <c r="E708" t="s">
        <v>2648</v>
      </c>
      <c r="F708" t="s">
        <v>2714</v>
      </c>
      <c r="G708" t="s">
        <v>2715</v>
      </c>
      <c r="H708">
        <v>707</v>
      </c>
      <c r="I708" t="str">
        <f>IF(ISBLANK(Table1[[#This Row],[oid]]),"FALSE","TRUE")</f>
        <v>TRUE</v>
      </c>
      <c r="J708" t="str" cm="1">
        <f t="array" ref="J708">_xlfn.SWITCH(LEFT(Table1[[#This Row],[section]],1), "D", "Demographic", "S", "Social", "E", "Economic", "H", "Housing", "")</f>
        <v>Social</v>
      </c>
      <c r="K708" t="s">
        <v>2651</v>
      </c>
      <c r="L708" t="s">
        <v>2652</v>
      </c>
      <c r="M708" t="str">
        <f>IF(Table1[[#This Row],[used]], _xlfn.CONCAT("🆔 ", Table1[[#This Row],[variable]], ": ",Table1[[#This Row],[alias]]), "")</f>
        <v>🆔 B05005_010E: Entered 1990 to 1999: Foreign born: Naturalized US citizen</v>
      </c>
      <c r="O708" t="s">
        <v>2716</v>
      </c>
      <c r="P708" t="s">
        <v>2653</v>
      </c>
      <c r="Q708" t="s">
        <v>41</v>
      </c>
      <c r="R708" t="s">
        <v>2717</v>
      </c>
      <c r="S708" t="b">
        <v>1</v>
      </c>
      <c r="T708" t="b">
        <v>1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</row>
    <row r="709" spans="1:33" x14ac:dyDescent="0.25">
      <c r="A709" t="s">
        <v>2672</v>
      </c>
      <c r="B709">
        <v>11</v>
      </c>
      <c r="C709" t="b">
        <v>0</v>
      </c>
      <c r="D709" t="s">
        <v>592</v>
      </c>
      <c r="E709" t="s">
        <v>2648</v>
      </c>
      <c r="F709" t="s">
        <v>2714</v>
      </c>
      <c r="G709" t="s">
        <v>2718</v>
      </c>
      <c r="H709">
        <v>708</v>
      </c>
      <c r="I709" t="str">
        <f>IF(ISBLANK(Table1[[#This Row],[oid]]),"FALSE","TRUE")</f>
        <v>TRUE</v>
      </c>
      <c r="J709" t="str" cm="1">
        <f t="array" ref="J709">_xlfn.SWITCH(LEFT(Table1[[#This Row],[section]],1), "D", "Demographic", "S", "Social", "E", "Economic", "H", "Housing", "")</f>
        <v>Social</v>
      </c>
      <c r="K709" t="s">
        <v>2651</v>
      </c>
      <c r="L709" t="s">
        <v>2652</v>
      </c>
      <c r="M709" t="str">
        <f>IF(Table1[[#This Row],[used]], _xlfn.CONCAT("🆔 ", Table1[[#This Row],[variable]], ": ",Table1[[#This Row],[alias]]), "")</f>
        <v>🆔 B05005_010E: Entered 2000 to 2009: Foreign born: Naturalized US citizen</v>
      </c>
      <c r="O709" t="s">
        <v>2719</v>
      </c>
      <c r="P709" t="s">
        <v>2661</v>
      </c>
      <c r="Q709" t="s">
        <v>41</v>
      </c>
      <c r="R709" t="s">
        <v>2717</v>
      </c>
      <c r="S709" t="b">
        <v>0</v>
      </c>
      <c r="T709" t="b">
        <v>0</v>
      </c>
      <c r="U709" t="b">
        <v>1</v>
      </c>
      <c r="V709" t="b">
        <v>1</v>
      </c>
      <c r="W709" t="b">
        <v>1</v>
      </c>
      <c r="X709" t="b">
        <v>1</v>
      </c>
      <c r="Y709" t="b">
        <v>1</v>
      </c>
      <c r="Z709" t="b">
        <v>1</v>
      </c>
      <c r="AA709" t="b">
        <v>1</v>
      </c>
      <c r="AB709" t="b">
        <v>1</v>
      </c>
      <c r="AC709" t="b">
        <v>1</v>
      </c>
      <c r="AD709" t="b">
        <v>1</v>
      </c>
      <c r="AE709" t="b">
        <v>1</v>
      </c>
      <c r="AF709" t="b">
        <v>0</v>
      </c>
      <c r="AG709" t="b">
        <v>0</v>
      </c>
    </row>
    <row r="710" spans="1:33" x14ac:dyDescent="0.25">
      <c r="A710" t="s">
        <v>610</v>
      </c>
      <c r="B710">
        <v>2</v>
      </c>
      <c r="C710" t="b">
        <v>0</v>
      </c>
      <c r="D710" t="s">
        <v>592</v>
      </c>
      <c r="E710" t="s">
        <v>2648</v>
      </c>
      <c r="F710" t="s">
        <v>2714</v>
      </c>
      <c r="G710" t="s">
        <v>2720</v>
      </c>
      <c r="H710">
        <v>709</v>
      </c>
      <c r="I710" t="str">
        <f>IF(ISBLANK(Table1[[#This Row],[oid]]),"FALSE","TRUE")</f>
        <v>TRUE</v>
      </c>
      <c r="J710" t="str" cm="1">
        <f t="array" ref="J710">_xlfn.SWITCH(LEFT(Table1[[#This Row],[section]],1), "D", "Demographic", "S", "Social", "E", "Economic", "H", "Housing", "")</f>
        <v>Social</v>
      </c>
      <c r="K710" t="s">
        <v>2651</v>
      </c>
      <c r="L710" t="s">
        <v>2652</v>
      </c>
      <c r="M710" t="str">
        <f>IF(Table1[[#This Row],[used]], _xlfn.CONCAT("🆔 ", Table1[[#This Row],[variable]], ": ",Table1[[#This Row],[alias]]), "")</f>
        <v>🆔 B05005_010E: Entered 2000 to 2009: Foreign-born: Naturalized US citizen</v>
      </c>
      <c r="O710" t="s">
        <v>2721</v>
      </c>
      <c r="P710" t="s">
        <v>2677</v>
      </c>
      <c r="Q710" t="s">
        <v>41</v>
      </c>
      <c r="R710" t="s">
        <v>2717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1</v>
      </c>
      <c r="AG710" t="b">
        <v>1</v>
      </c>
    </row>
    <row r="711" spans="1:33" x14ac:dyDescent="0.25">
      <c r="A711" t="s">
        <v>838</v>
      </c>
      <c r="B711">
        <v>2</v>
      </c>
      <c r="C711" t="b">
        <v>0</v>
      </c>
      <c r="D711" t="s">
        <v>592</v>
      </c>
      <c r="E711" t="s">
        <v>2648</v>
      </c>
      <c r="F711" t="s">
        <v>2722</v>
      </c>
      <c r="G711" t="s">
        <v>2723</v>
      </c>
      <c r="H711">
        <v>710</v>
      </c>
      <c r="I711" t="str">
        <f>IF(ISBLANK(Table1[[#This Row],[oid]]),"FALSE","TRUE")</f>
        <v>TRUE</v>
      </c>
      <c r="J711" t="str" cm="1">
        <f t="array" ref="J711">_xlfn.SWITCH(LEFT(Table1[[#This Row],[section]],1), "D", "Demographic", "S", "Social", "E", "Economic", "H", "Housing", "")</f>
        <v>Social</v>
      </c>
      <c r="K711" t="s">
        <v>2651</v>
      </c>
      <c r="L711" t="s">
        <v>2652</v>
      </c>
      <c r="M711" t="str">
        <f>IF(Table1[[#This Row],[used]], _xlfn.CONCAT("🆔 ", Table1[[#This Row],[variable]], ": ",Table1[[#This Row],[alias]]), "")</f>
        <v>🆔 B05005_011E: Entered 1990 to 1999: Foreign born: Not a US citizen</v>
      </c>
      <c r="O711" t="s">
        <v>2724</v>
      </c>
      <c r="P711" t="s">
        <v>2653</v>
      </c>
      <c r="Q711" t="s">
        <v>41</v>
      </c>
      <c r="R711" t="s">
        <v>2725</v>
      </c>
      <c r="S711" t="b">
        <v>1</v>
      </c>
      <c r="T711" t="b">
        <v>1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</row>
    <row r="712" spans="1:33" x14ac:dyDescent="0.25">
      <c r="A712" t="s">
        <v>2672</v>
      </c>
      <c r="B712">
        <v>11</v>
      </c>
      <c r="C712" t="b">
        <v>0</v>
      </c>
      <c r="D712" t="s">
        <v>592</v>
      </c>
      <c r="E712" t="s">
        <v>2648</v>
      </c>
      <c r="F712" t="s">
        <v>2722</v>
      </c>
      <c r="G712" t="s">
        <v>2726</v>
      </c>
      <c r="H712">
        <v>711</v>
      </c>
      <c r="I712" t="str">
        <f>IF(ISBLANK(Table1[[#This Row],[oid]]),"FALSE","TRUE")</f>
        <v>TRUE</v>
      </c>
      <c r="J712" t="str" cm="1">
        <f t="array" ref="J712">_xlfn.SWITCH(LEFT(Table1[[#This Row],[section]],1), "D", "Demographic", "S", "Social", "E", "Economic", "H", "Housing", "")</f>
        <v>Social</v>
      </c>
      <c r="K712" t="s">
        <v>2651</v>
      </c>
      <c r="L712" t="s">
        <v>2652</v>
      </c>
      <c r="M712" t="str">
        <f>IF(Table1[[#This Row],[used]], _xlfn.CONCAT("🆔 ", Table1[[#This Row],[variable]], ": ",Table1[[#This Row],[alias]]), "")</f>
        <v>🆔 B05005_011E: Entered 2000 to 2009: Foreign born: Not a US citizen</v>
      </c>
      <c r="O712" t="s">
        <v>2727</v>
      </c>
      <c r="P712" t="s">
        <v>2661</v>
      </c>
      <c r="Q712" t="s">
        <v>41</v>
      </c>
      <c r="R712" t="s">
        <v>2725</v>
      </c>
      <c r="S712" t="b">
        <v>0</v>
      </c>
      <c r="T712" t="b">
        <v>0</v>
      </c>
      <c r="U712" t="b">
        <v>1</v>
      </c>
      <c r="V712" t="b">
        <v>1</v>
      </c>
      <c r="W712" t="b">
        <v>1</v>
      </c>
      <c r="X712" t="b">
        <v>1</v>
      </c>
      <c r="Y712" t="b">
        <v>1</v>
      </c>
      <c r="Z712" t="b">
        <v>1</v>
      </c>
      <c r="AA712" t="b">
        <v>1</v>
      </c>
      <c r="AB712" t="b">
        <v>1</v>
      </c>
      <c r="AC712" t="b">
        <v>1</v>
      </c>
      <c r="AD712" t="b">
        <v>1</v>
      </c>
      <c r="AE712" t="b">
        <v>1</v>
      </c>
      <c r="AF712" t="b">
        <v>0</v>
      </c>
      <c r="AG712" t="b">
        <v>0</v>
      </c>
    </row>
    <row r="713" spans="1:33" x14ac:dyDescent="0.25">
      <c r="A713" t="s">
        <v>610</v>
      </c>
      <c r="B713">
        <v>2</v>
      </c>
      <c r="C713" t="b">
        <v>0</v>
      </c>
      <c r="D713" t="s">
        <v>592</v>
      </c>
      <c r="E713" t="s">
        <v>2648</v>
      </c>
      <c r="F713" t="s">
        <v>2722</v>
      </c>
      <c r="G713" t="s">
        <v>2728</v>
      </c>
      <c r="H713">
        <v>712</v>
      </c>
      <c r="I713" t="str">
        <f>IF(ISBLANK(Table1[[#This Row],[oid]]),"FALSE","TRUE")</f>
        <v>TRUE</v>
      </c>
      <c r="J713" t="str" cm="1">
        <f t="array" ref="J713">_xlfn.SWITCH(LEFT(Table1[[#This Row],[section]],1), "D", "Demographic", "S", "Social", "E", "Economic", "H", "Housing", "")</f>
        <v>Social</v>
      </c>
      <c r="K713" t="s">
        <v>2651</v>
      </c>
      <c r="L713" t="s">
        <v>2652</v>
      </c>
      <c r="M713" t="str">
        <f>IF(Table1[[#This Row],[used]], _xlfn.CONCAT("🆔 ", Table1[[#This Row],[variable]], ": ",Table1[[#This Row],[alias]]), "")</f>
        <v>🆔 B05005_011E: Entered 2000 to 2009: Foreign-born: Not a US citizen</v>
      </c>
      <c r="O713" t="s">
        <v>2729</v>
      </c>
      <c r="P713" t="s">
        <v>2677</v>
      </c>
      <c r="Q713" t="s">
        <v>41</v>
      </c>
      <c r="R713" t="s">
        <v>2725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1</v>
      </c>
      <c r="AG713" t="b">
        <v>1</v>
      </c>
    </row>
    <row r="714" spans="1:33" x14ac:dyDescent="0.25">
      <c r="A714" t="s">
        <v>838</v>
      </c>
      <c r="B714">
        <v>2</v>
      </c>
      <c r="C714" t="b">
        <v>0</v>
      </c>
      <c r="D714" t="s">
        <v>592</v>
      </c>
      <c r="E714" t="s">
        <v>2648</v>
      </c>
      <c r="F714" t="s">
        <v>2730</v>
      </c>
      <c r="G714" t="s">
        <v>2731</v>
      </c>
      <c r="H714">
        <v>713</v>
      </c>
      <c r="I714" t="str">
        <f>IF(ISBLANK(Table1[[#This Row],[oid]]),"FALSE","TRUE")</f>
        <v>TRUE</v>
      </c>
      <c r="J714" t="str" cm="1">
        <f t="array" ref="J714">_xlfn.SWITCH(LEFT(Table1[[#This Row],[section]],1), "D", "Demographic", "S", "Social", "E", "Economic", "H", "Housing", "")</f>
        <v>Social</v>
      </c>
      <c r="K714" t="s">
        <v>2651</v>
      </c>
      <c r="L714" t="s">
        <v>2652</v>
      </c>
      <c r="M714" t="str">
        <f>IF(Table1[[#This Row],[used]], _xlfn.CONCAT("🆔 ", Table1[[#This Row],[variable]], ": ",Table1[[#This Row],[alias]]), "")</f>
        <v>🆔 B05005_012E: Entered 1980 to 1989</v>
      </c>
      <c r="O714" t="s">
        <v>2732</v>
      </c>
      <c r="P714" t="s">
        <v>2653</v>
      </c>
      <c r="Q714" t="s">
        <v>41</v>
      </c>
      <c r="R714" t="s">
        <v>2733</v>
      </c>
      <c r="S714" t="b">
        <v>1</v>
      </c>
      <c r="T714" t="b">
        <v>1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</row>
    <row r="715" spans="1:33" x14ac:dyDescent="0.25">
      <c r="A715" t="s">
        <v>972</v>
      </c>
      <c r="B715">
        <v>13</v>
      </c>
      <c r="C715" t="b">
        <v>0</v>
      </c>
      <c r="D715" t="s">
        <v>592</v>
      </c>
      <c r="E715" t="s">
        <v>2648</v>
      </c>
      <c r="F715" t="s">
        <v>2730</v>
      </c>
      <c r="G715" t="s">
        <v>2695</v>
      </c>
      <c r="H715">
        <v>714</v>
      </c>
      <c r="I715" t="str">
        <f>IF(ISBLANK(Table1[[#This Row],[oid]]),"FALSE","TRUE")</f>
        <v>TRUE</v>
      </c>
      <c r="J715" t="str" cm="1">
        <f t="array" ref="J715">_xlfn.SWITCH(LEFT(Table1[[#This Row],[section]],1), "D", "Demographic", "S", "Social", "E", "Economic", "H", "Housing", "")</f>
        <v>Social</v>
      </c>
      <c r="K715" t="s">
        <v>2651</v>
      </c>
      <c r="L715" t="s">
        <v>2652</v>
      </c>
      <c r="M715" t="str">
        <f>IF(Table1[[#This Row],[used]], _xlfn.CONCAT("🆔 ", Table1[[#This Row],[variable]], ": ",Table1[[#This Row],[alias]]), "")</f>
        <v>🆔 B05005_012E: Entered 1990 to 1999</v>
      </c>
      <c r="O715" t="s">
        <v>2696</v>
      </c>
      <c r="P715" t="s">
        <v>2661</v>
      </c>
      <c r="Q715" t="s">
        <v>41</v>
      </c>
      <c r="R715" t="s">
        <v>2733</v>
      </c>
      <c r="S715" t="b">
        <v>0</v>
      </c>
      <c r="T715" t="b">
        <v>0</v>
      </c>
      <c r="U715" t="b">
        <v>1</v>
      </c>
      <c r="V715" t="b">
        <v>1</v>
      </c>
      <c r="W715" t="b">
        <v>1</v>
      </c>
      <c r="X715" t="b">
        <v>1</v>
      </c>
      <c r="Y715" t="b">
        <v>1</v>
      </c>
      <c r="Z715" t="b">
        <v>1</v>
      </c>
      <c r="AA715" t="b">
        <v>1</v>
      </c>
      <c r="AB715" t="b">
        <v>1</v>
      </c>
      <c r="AC715" t="b">
        <v>1</v>
      </c>
      <c r="AD715" t="b">
        <v>1</v>
      </c>
      <c r="AE715" t="b">
        <v>1</v>
      </c>
      <c r="AF715" t="b">
        <v>1</v>
      </c>
      <c r="AG715" t="b">
        <v>1</v>
      </c>
    </row>
    <row r="716" spans="1:33" x14ac:dyDescent="0.25">
      <c r="A716" t="s">
        <v>838</v>
      </c>
      <c r="B716">
        <v>2</v>
      </c>
      <c r="C716" t="b">
        <v>0</v>
      </c>
      <c r="D716" t="s">
        <v>592</v>
      </c>
      <c r="E716" t="s">
        <v>2648</v>
      </c>
      <c r="F716" t="s">
        <v>2734</v>
      </c>
      <c r="G716" t="s">
        <v>2735</v>
      </c>
      <c r="H716">
        <v>715</v>
      </c>
      <c r="I716" t="str">
        <f>IF(ISBLANK(Table1[[#This Row],[oid]]),"FALSE","TRUE")</f>
        <v>TRUE</v>
      </c>
      <c r="J716" t="str" cm="1">
        <f t="array" ref="J716">_xlfn.SWITCH(LEFT(Table1[[#This Row],[section]],1), "D", "Demographic", "S", "Social", "E", "Economic", "H", "Housing", "")</f>
        <v>Social</v>
      </c>
      <c r="K716" t="s">
        <v>2651</v>
      </c>
      <c r="L716" t="s">
        <v>2652</v>
      </c>
      <c r="M716" t="str">
        <f>IF(Table1[[#This Row],[used]], _xlfn.CONCAT("🆔 ", Table1[[#This Row],[variable]], ": ",Table1[[#This Row],[alias]]), "")</f>
        <v>🆔 B05005_013E: Entered 1980 to 1989: Native</v>
      </c>
      <c r="O716" t="s">
        <v>2736</v>
      </c>
      <c r="P716" t="s">
        <v>2653</v>
      </c>
      <c r="Q716" t="s">
        <v>41</v>
      </c>
      <c r="R716" t="s">
        <v>2737</v>
      </c>
      <c r="S716" t="b">
        <v>1</v>
      </c>
      <c r="T716" t="b">
        <v>1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</row>
    <row r="717" spans="1:33" x14ac:dyDescent="0.25">
      <c r="A717" t="s">
        <v>972</v>
      </c>
      <c r="B717">
        <v>13</v>
      </c>
      <c r="C717" t="b">
        <v>0</v>
      </c>
      <c r="D717" t="s">
        <v>592</v>
      </c>
      <c r="E717" t="s">
        <v>2648</v>
      </c>
      <c r="F717" t="s">
        <v>2734</v>
      </c>
      <c r="G717" t="s">
        <v>2701</v>
      </c>
      <c r="H717">
        <v>716</v>
      </c>
      <c r="I717" t="str">
        <f>IF(ISBLANK(Table1[[#This Row],[oid]]),"FALSE","TRUE")</f>
        <v>TRUE</v>
      </c>
      <c r="J717" t="str" cm="1">
        <f t="array" ref="J717">_xlfn.SWITCH(LEFT(Table1[[#This Row],[section]],1), "D", "Demographic", "S", "Social", "E", "Economic", "H", "Housing", "")</f>
        <v>Social</v>
      </c>
      <c r="K717" t="s">
        <v>2651</v>
      </c>
      <c r="L717" t="s">
        <v>2652</v>
      </c>
      <c r="M717" t="str">
        <f>IF(Table1[[#This Row],[used]], _xlfn.CONCAT("🆔 ", Table1[[#This Row],[variable]], ": ",Table1[[#This Row],[alias]]), "")</f>
        <v>🆔 B05005_013E: Entered 1990 to 1999: Native</v>
      </c>
      <c r="O717" t="s">
        <v>2702</v>
      </c>
      <c r="P717" t="s">
        <v>2661</v>
      </c>
      <c r="Q717" t="s">
        <v>41</v>
      </c>
      <c r="R717" t="s">
        <v>2737</v>
      </c>
      <c r="S717" t="b">
        <v>0</v>
      </c>
      <c r="T717" t="b">
        <v>0</v>
      </c>
      <c r="U717" t="b">
        <v>1</v>
      </c>
      <c r="V717" t="b">
        <v>1</v>
      </c>
      <c r="W717" t="b">
        <v>1</v>
      </c>
      <c r="X717" t="b">
        <v>1</v>
      </c>
      <c r="Y717" t="b">
        <v>1</v>
      </c>
      <c r="Z717" t="b">
        <v>1</v>
      </c>
      <c r="AA717" t="b">
        <v>1</v>
      </c>
      <c r="AB717" t="b">
        <v>1</v>
      </c>
      <c r="AC717" t="b">
        <v>1</v>
      </c>
      <c r="AD717" t="b">
        <v>1</v>
      </c>
      <c r="AE717" t="b">
        <v>1</v>
      </c>
      <c r="AF717" t="b">
        <v>1</v>
      </c>
      <c r="AG717" t="b">
        <v>1</v>
      </c>
    </row>
    <row r="718" spans="1:33" x14ac:dyDescent="0.25">
      <c r="A718" t="s">
        <v>838</v>
      </c>
      <c r="B718">
        <v>2</v>
      </c>
      <c r="C718" t="b">
        <v>0</v>
      </c>
      <c r="D718" t="s">
        <v>592</v>
      </c>
      <c r="E718" t="s">
        <v>2648</v>
      </c>
      <c r="F718" t="s">
        <v>2738</v>
      </c>
      <c r="G718" t="s">
        <v>2739</v>
      </c>
      <c r="H718">
        <v>717</v>
      </c>
      <c r="I718" t="str">
        <f>IF(ISBLANK(Table1[[#This Row],[oid]]),"FALSE","TRUE")</f>
        <v>TRUE</v>
      </c>
      <c r="J718" t="str" cm="1">
        <f t="array" ref="J718">_xlfn.SWITCH(LEFT(Table1[[#This Row],[section]],1), "D", "Demographic", "S", "Social", "E", "Economic", "H", "Housing", "")</f>
        <v>Social</v>
      </c>
      <c r="K718" t="s">
        <v>2651</v>
      </c>
      <c r="L718" t="s">
        <v>2652</v>
      </c>
      <c r="M718" t="str">
        <f>IF(Table1[[#This Row],[used]], _xlfn.CONCAT("🆔 ", Table1[[#This Row],[variable]], ": ",Table1[[#This Row],[alias]]), "")</f>
        <v>🆔 B05005_014E: Entered 1980 to 1989: Foreign born</v>
      </c>
      <c r="O718" t="s">
        <v>2740</v>
      </c>
      <c r="P718" t="s">
        <v>2653</v>
      </c>
      <c r="Q718" t="s">
        <v>41</v>
      </c>
      <c r="R718" t="s">
        <v>2741</v>
      </c>
      <c r="S718" t="b">
        <v>1</v>
      </c>
      <c r="T718" t="b">
        <v>1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</row>
    <row r="719" spans="1:33" x14ac:dyDescent="0.25">
      <c r="A719" t="s">
        <v>2672</v>
      </c>
      <c r="B719">
        <v>11</v>
      </c>
      <c r="C719" t="b">
        <v>0</v>
      </c>
      <c r="D719" t="s">
        <v>592</v>
      </c>
      <c r="E719" t="s">
        <v>2648</v>
      </c>
      <c r="F719" t="s">
        <v>2738</v>
      </c>
      <c r="G719" t="s">
        <v>2707</v>
      </c>
      <c r="H719">
        <v>718</v>
      </c>
      <c r="I719" t="str">
        <f>IF(ISBLANK(Table1[[#This Row],[oid]]),"FALSE","TRUE")</f>
        <v>TRUE</v>
      </c>
      <c r="J719" t="str" cm="1">
        <f t="array" ref="J719">_xlfn.SWITCH(LEFT(Table1[[#This Row],[section]],1), "D", "Demographic", "S", "Social", "E", "Economic", "H", "Housing", "")</f>
        <v>Social</v>
      </c>
      <c r="K719" t="s">
        <v>2651</v>
      </c>
      <c r="L719" t="s">
        <v>2652</v>
      </c>
      <c r="M719" t="str">
        <f>IF(Table1[[#This Row],[used]], _xlfn.CONCAT("🆔 ", Table1[[#This Row],[variable]], ": ",Table1[[#This Row],[alias]]), "")</f>
        <v>🆔 B05005_014E: Entered 1990 to 1999: Foreign born</v>
      </c>
      <c r="O719" t="s">
        <v>2708</v>
      </c>
      <c r="P719" t="s">
        <v>2661</v>
      </c>
      <c r="Q719" t="s">
        <v>41</v>
      </c>
      <c r="R719" t="s">
        <v>2741</v>
      </c>
      <c r="S719" t="b">
        <v>0</v>
      </c>
      <c r="T719" t="b">
        <v>0</v>
      </c>
      <c r="U719" t="b">
        <v>1</v>
      </c>
      <c r="V719" t="b">
        <v>1</v>
      </c>
      <c r="W719" t="b">
        <v>1</v>
      </c>
      <c r="X719" t="b">
        <v>1</v>
      </c>
      <c r="Y719" t="b">
        <v>1</v>
      </c>
      <c r="Z719" t="b">
        <v>1</v>
      </c>
      <c r="AA719" t="b">
        <v>1</v>
      </c>
      <c r="AB719" t="b">
        <v>1</v>
      </c>
      <c r="AC719" t="b">
        <v>1</v>
      </c>
      <c r="AD719" t="b">
        <v>1</v>
      </c>
      <c r="AE719" t="b">
        <v>1</v>
      </c>
      <c r="AF719" t="b">
        <v>0</v>
      </c>
      <c r="AG719" t="b">
        <v>0</v>
      </c>
    </row>
    <row r="720" spans="1:33" x14ac:dyDescent="0.25">
      <c r="A720" t="s">
        <v>610</v>
      </c>
      <c r="B720">
        <v>2</v>
      </c>
      <c r="C720" t="b">
        <v>0</v>
      </c>
      <c r="D720" t="s">
        <v>592</v>
      </c>
      <c r="E720" t="s">
        <v>2648</v>
      </c>
      <c r="F720" t="s">
        <v>2738</v>
      </c>
      <c r="G720" t="s">
        <v>2742</v>
      </c>
      <c r="H720">
        <v>719</v>
      </c>
      <c r="I720" t="str">
        <f>IF(ISBLANK(Table1[[#This Row],[oid]]),"FALSE","TRUE")</f>
        <v>TRUE</v>
      </c>
      <c r="J720" t="str" cm="1">
        <f t="array" ref="J720">_xlfn.SWITCH(LEFT(Table1[[#This Row],[section]],1), "D", "Demographic", "S", "Social", "E", "Economic", "H", "Housing", "")</f>
        <v>Social</v>
      </c>
      <c r="K720" t="s">
        <v>2651</v>
      </c>
      <c r="L720" t="s">
        <v>2652</v>
      </c>
      <c r="M720" t="str">
        <f>IF(Table1[[#This Row],[used]], _xlfn.CONCAT("🆔 ", Table1[[#This Row],[variable]], ": ",Table1[[#This Row],[alias]]), "")</f>
        <v>🆔 B05005_014E: Entered 1990 to 1999: Foreign-born</v>
      </c>
      <c r="O720" t="s">
        <v>2743</v>
      </c>
      <c r="P720" t="s">
        <v>2677</v>
      </c>
      <c r="Q720" t="s">
        <v>41</v>
      </c>
      <c r="R720" t="s">
        <v>2741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1</v>
      </c>
      <c r="AG720" t="b">
        <v>1</v>
      </c>
    </row>
    <row r="721" spans="1:33" x14ac:dyDescent="0.25">
      <c r="A721" t="s">
        <v>838</v>
      </c>
      <c r="B721">
        <v>2</v>
      </c>
      <c r="C721" t="b">
        <v>0</v>
      </c>
      <c r="D721" t="s">
        <v>592</v>
      </c>
      <c r="E721" t="s">
        <v>2648</v>
      </c>
      <c r="F721" t="s">
        <v>2744</v>
      </c>
      <c r="G721" t="s">
        <v>2745</v>
      </c>
      <c r="H721">
        <v>720</v>
      </c>
      <c r="I721" t="str">
        <f>IF(ISBLANK(Table1[[#This Row],[oid]]),"FALSE","TRUE")</f>
        <v>TRUE</v>
      </c>
      <c r="J721" t="str" cm="1">
        <f t="array" ref="J721">_xlfn.SWITCH(LEFT(Table1[[#This Row],[section]],1), "D", "Demographic", "S", "Social", "E", "Economic", "H", "Housing", "")</f>
        <v>Social</v>
      </c>
      <c r="K721" t="s">
        <v>2651</v>
      </c>
      <c r="L721" t="s">
        <v>2652</v>
      </c>
      <c r="M721" t="str">
        <f>IF(Table1[[#This Row],[used]], _xlfn.CONCAT("🆔 ", Table1[[#This Row],[variable]], ": ",Table1[[#This Row],[alias]]), "")</f>
        <v>🆔 B05005_015E: Entered 1980 to 1989: Foreign born: Naturalized US citizen</v>
      </c>
      <c r="O721" t="s">
        <v>2746</v>
      </c>
      <c r="P721" t="s">
        <v>2653</v>
      </c>
      <c r="Q721" t="s">
        <v>41</v>
      </c>
      <c r="R721" t="s">
        <v>2747</v>
      </c>
      <c r="S721" t="b">
        <v>1</v>
      </c>
      <c r="T721" t="b">
        <v>1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</row>
    <row r="722" spans="1:33" x14ac:dyDescent="0.25">
      <c r="A722" t="s">
        <v>2672</v>
      </c>
      <c r="B722">
        <v>11</v>
      </c>
      <c r="C722" t="b">
        <v>0</v>
      </c>
      <c r="D722" t="s">
        <v>592</v>
      </c>
      <c r="E722" t="s">
        <v>2648</v>
      </c>
      <c r="F722" t="s">
        <v>2744</v>
      </c>
      <c r="G722" t="s">
        <v>2715</v>
      </c>
      <c r="H722">
        <v>721</v>
      </c>
      <c r="I722" t="str">
        <f>IF(ISBLANK(Table1[[#This Row],[oid]]),"FALSE","TRUE")</f>
        <v>TRUE</v>
      </c>
      <c r="J722" t="str" cm="1">
        <f t="array" ref="J722">_xlfn.SWITCH(LEFT(Table1[[#This Row],[section]],1), "D", "Demographic", "S", "Social", "E", "Economic", "H", "Housing", "")</f>
        <v>Social</v>
      </c>
      <c r="K722" t="s">
        <v>2651</v>
      </c>
      <c r="L722" t="s">
        <v>2652</v>
      </c>
      <c r="M722" t="str">
        <f>IF(Table1[[#This Row],[used]], _xlfn.CONCAT("🆔 ", Table1[[#This Row],[variable]], ": ",Table1[[#This Row],[alias]]), "")</f>
        <v>🆔 B05005_015E: Entered 1990 to 1999: Foreign born: Naturalized US citizen</v>
      </c>
      <c r="O722" t="s">
        <v>2716</v>
      </c>
      <c r="P722" t="s">
        <v>2661</v>
      </c>
      <c r="Q722" t="s">
        <v>41</v>
      </c>
      <c r="R722" t="s">
        <v>2747</v>
      </c>
      <c r="S722" t="b">
        <v>0</v>
      </c>
      <c r="T722" t="b">
        <v>0</v>
      </c>
      <c r="U722" t="b">
        <v>1</v>
      </c>
      <c r="V722" t="b">
        <v>1</v>
      </c>
      <c r="W722" t="b">
        <v>1</v>
      </c>
      <c r="X722" t="b">
        <v>1</v>
      </c>
      <c r="Y722" t="b">
        <v>1</v>
      </c>
      <c r="Z722" t="b">
        <v>1</v>
      </c>
      <c r="AA722" t="b">
        <v>1</v>
      </c>
      <c r="AB722" t="b">
        <v>1</v>
      </c>
      <c r="AC722" t="b">
        <v>1</v>
      </c>
      <c r="AD722" t="b">
        <v>1</v>
      </c>
      <c r="AE722" t="b">
        <v>1</v>
      </c>
      <c r="AF722" t="b">
        <v>0</v>
      </c>
      <c r="AG722" t="b">
        <v>0</v>
      </c>
    </row>
    <row r="723" spans="1:33" x14ac:dyDescent="0.25">
      <c r="A723" t="s">
        <v>610</v>
      </c>
      <c r="B723">
        <v>2</v>
      </c>
      <c r="C723" t="b">
        <v>0</v>
      </c>
      <c r="D723" t="s">
        <v>592</v>
      </c>
      <c r="E723" t="s">
        <v>2648</v>
      </c>
      <c r="F723" t="s">
        <v>2744</v>
      </c>
      <c r="G723" t="s">
        <v>2748</v>
      </c>
      <c r="H723">
        <v>722</v>
      </c>
      <c r="I723" t="str">
        <f>IF(ISBLANK(Table1[[#This Row],[oid]]),"FALSE","TRUE")</f>
        <v>TRUE</v>
      </c>
      <c r="J723" t="str" cm="1">
        <f t="array" ref="J723">_xlfn.SWITCH(LEFT(Table1[[#This Row],[section]],1), "D", "Demographic", "S", "Social", "E", "Economic", "H", "Housing", "")</f>
        <v>Social</v>
      </c>
      <c r="K723" t="s">
        <v>2651</v>
      </c>
      <c r="L723" t="s">
        <v>2652</v>
      </c>
      <c r="M723" t="str">
        <f>IF(Table1[[#This Row],[used]], _xlfn.CONCAT("🆔 ", Table1[[#This Row],[variable]], ": ",Table1[[#This Row],[alias]]), "")</f>
        <v>🆔 B05005_015E: Entered 1990 to 1999: Foreign-born: Naturalized US citizen</v>
      </c>
      <c r="O723" t="s">
        <v>2749</v>
      </c>
      <c r="P723" t="s">
        <v>2677</v>
      </c>
      <c r="Q723" t="s">
        <v>41</v>
      </c>
      <c r="R723" t="s">
        <v>2747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1</v>
      </c>
      <c r="AG723" t="b">
        <v>1</v>
      </c>
    </row>
    <row r="724" spans="1:33" x14ac:dyDescent="0.25">
      <c r="A724" t="s">
        <v>838</v>
      </c>
      <c r="B724">
        <v>2</v>
      </c>
      <c r="C724" t="b">
        <v>0</v>
      </c>
      <c r="D724" t="s">
        <v>592</v>
      </c>
      <c r="E724" t="s">
        <v>2648</v>
      </c>
      <c r="F724" t="s">
        <v>2750</v>
      </c>
      <c r="G724" t="s">
        <v>2751</v>
      </c>
      <c r="H724">
        <v>723</v>
      </c>
      <c r="I724" t="str">
        <f>IF(ISBLANK(Table1[[#This Row],[oid]]),"FALSE","TRUE")</f>
        <v>TRUE</v>
      </c>
      <c r="J724" t="str" cm="1">
        <f t="array" ref="J724">_xlfn.SWITCH(LEFT(Table1[[#This Row],[section]],1), "D", "Demographic", "S", "Social", "E", "Economic", "H", "Housing", "")</f>
        <v>Social</v>
      </c>
      <c r="K724" t="s">
        <v>2651</v>
      </c>
      <c r="L724" t="s">
        <v>2652</v>
      </c>
      <c r="M724" t="str">
        <f>IF(Table1[[#This Row],[used]], _xlfn.CONCAT("🆔 ", Table1[[#This Row],[variable]], ": ",Table1[[#This Row],[alias]]), "")</f>
        <v>🆔 B05005_016E: Entered 1980 to 1989: Foreign born: Not a US citizen</v>
      </c>
      <c r="O724" t="s">
        <v>2752</v>
      </c>
      <c r="P724" t="s">
        <v>2653</v>
      </c>
      <c r="Q724" t="s">
        <v>41</v>
      </c>
      <c r="R724" t="s">
        <v>2753</v>
      </c>
      <c r="S724" t="b">
        <v>1</v>
      </c>
      <c r="T724" t="b">
        <v>1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</row>
    <row r="725" spans="1:33" x14ac:dyDescent="0.25">
      <c r="A725" t="s">
        <v>2672</v>
      </c>
      <c r="B725">
        <v>11</v>
      </c>
      <c r="C725" t="b">
        <v>0</v>
      </c>
      <c r="D725" t="s">
        <v>592</v>
      </c>
      <c r="E725" t="s">
        <v>2648</v>
      </c>
      <c r="F725" t="s">
        <v>2750</v>
      </c>
      <c r="G725" t="s">
        <v>2723</v>
      </c>
      <c r="H725">
        <v>724</v>
      </c>
      <c r="I725" t="str">
        <f>IF(ISBLANK(Table1[[#This Row],[oid]]),"FALSE","TRUE")</f>
        <v>TRUE</v>
      </c>
      <c r="J725" t="str" cm="1">
        <f t="array" ref="J725">_xlfn.SWITCH(LEFT(Table1[[#This Row],[section]],1), "D", "Demographic", "S", "Social", "E", "Economic", "H", "Housing", "")</f>
        <v>Social</v>
      </c>
      <c r="K725" t="s">
        <v>2651</v>
      </c>
      <c r="L725" t="s">
        <v>2652</v>
      </c>
      <c r="M725" t="str">
        <f>IF(Table1[[#This Row],[used]], _xlfn.CONCAT("🆔 ", Table1[[#This Row],[variable]], ": ",Table1[[#This Row],[alias]]), "")</f>
        <v>🆔 B05005_016E: Entered 1990 to 1999: Foreign born: Not a US citizen</v>
      </c>
      <c r="O725" t="s">
        <v>2724</v>
      </c>
      <c r="P725" t="s">
        <v>2661</v>
      </c>
      <c r="Q725" t="s">
        <v>41</v>
      </c>
      <c r="R725" t="s">
        <v>2753</v>
      </c>
      <c r="S725" t="b">
        <v>0</v>
      </c>
      <c r="T725" t="b">
        <v>0</v>
      </c>
      <c r="U725" t="b">
        <v>1</v>
      </c>
      <c r="V725" t="b">
        <v>1</v>
      </c>
      <c r="W725" t="b">
        <v>1</v>
      </c>
      <c r="X725" t="b">
        <v>1</v>
      </c>
      <c r="Y725" t="b">
        <v>1</v>
      </c>
      <c r="Z725" t="b">
        <v>1</v>
      </c>
      <c r="AA725" t="b">
        <v>1</v>
      </c>
      <c r="AB725" t="b">
        <v>1</v>
      </c>
      <c r="AC725" t="b">
        <v>1</v>
      </c>
      <c r="AD725" t="b">
        <v>1</v>
      </c>
      <c r="AE725" t="b">
        <v>1</v>
      </c>
      <c r="AF725" t="b">
        <v>0</v>
      </c>
      <c r="AG725" t="b">
        <v>0</v>
      </c>
    </row>
    <row r="726" spans="1:33" x14ac:dyDescent="0.25">
      <c r="A726" t="s">
        <v>610</v>
      </c>
      <c r="B726">
        <v>2</v>
      </c>
      <c r="C726" t="b">
        <v>0</v>
      </c>
      <c r="D726" t="s">
        <v>592</v>
      </c>
      <c r="E726" t="s">
        <v>2648</v>
      </c>
      <c r="F726" t="s">
        <v>2750</v>
      </c>
      <c r="G726" t="s">
        <v>2754</v>
      </c>
      <c r="H726">
        <v>725</v>
      </c>
      <c r="I726" t="str">
        <f>IF(ISBLANK(Table1[[#This Row],[oid]]),"FALSE","TRUE")</f>
        <v>TRUE</v>
      </c>
      <c r="J726" t="str" cm="1">
        <f t="array" ref="J726">_xlfn.SWITCH(LEFT(Table1[[#This Row],[section]],1), "D", "Demographic", "S", "Social", "E", "Economic", "H", "Housing", "")</f>
        <v>Social</v>
      </c>
      <c r="K726" t="s">
        <v>2651</v>
      </c>
      <c r="L726" t="s">
        <v>2652</v>
      </c>
      <c r="M726" t="str">
        <f>IF(Table1[[#This Row],[used]], _xlfn.CONCAT("🆔 ", Table1[[#This Row],[variable]], ": ",Table1[[#This Row],[alias]]), "")</f>
        <v>🆔 B05005_016E: Entered 1990 to 1999: Foreign-born: Not a US citizen</v>
      </c>
      <c r="O726" t="s">
        <v>2755</v>
      </c>
      <c r="P726" t="s">
        <v>2677</v>
      </c>
      <c r="Q726" t="s">
        <v>41</v>
      </c>
      <c r="R726" t="s">
        <v>2753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1</v>
      </c>
      <c r="AG726" t="b">
        <v>1</v>
      </c>
    </row>
    <row r="727" spans="1:33" x14ac:dyDescent="0.25">
      <c r="A727" t="s">
        <v>838</v>
      </c>
      <c r="B727">
        <v>2</v>
      </c>
      <c r="C727" t="b">
        <v>0</v>
      </c>
      <c r="D727" t="s">
        <v>592</v>
      </c>
      <c r="E727" t="s">
        <v>2648</v>
      </c>
      <c r="F727" t="s">
        <v>2756</v>
      </c>
      <c r="G727" t="s">
        <v>2757</v>
      </c>
      <c r="H727">
        <v>726</v>
      </c>
      <c r="I727" t="str">
        <f>IF(ISBLANK(Table1[[#This Row],[oid]]),"FALSE","TRUE")</f>
        <v>TRUE</v>
      </c>
      <c r="J727" t="str" cm="1">
        <f t="array" ref="J727">_xlfn.SWITCH(LEFT(Table1[[#This Row],[section]],1), "D", "Demographic", "S", "Social", "E", "Economic", "H", "Housing", "")</f>
        <v>Social</v>
      </c>
      <c r="K727" t="s">
        <v>2651</v>
      </c>
      <c r="L727" t="s">
        <v>2652</v>
      </c>
      <c r="M727" t="str">
        <f>IF(Table1[[#This Row],[used]], _xlfn.CONCAT("🆔 ", Table1[[#This Row],[variable]], ": ",Table1[[#This Row],[alias]]), "")</f>
        <v>🆔 B05005_017E: Entered before 1980</v>
      </c>
      <c r="O727" t="s">
        <v>2758</v>
      </c>
      <c r="P727" t="s">
        <v>2653</v>
      </c>
      <c r="Q727" t="s">
        <v>41</v>
      </c>
      <c r="R727" t="s">
        <v>2759</v>
      </c>
      <c r="S727" t="b">
        <v>1</v>
      </c>
      <c r="T727" t="b">
        <v>1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</row>
    <row r="728" spans="1:33" x14ac:dyDescent="0.25">
      <c r="A728" t="s">
        <v>972</v>
      </c>
      <c r="B728">
        <v>13</v>
      </c>
      <c r="C728" t="b">
        <v>0</v>
      </c>
      <c r="D728" t="s">
        <v>592</v>
      </c>
      <c r="E728" t="s">
        <v>2648</v>
      </c>
      <c r="F728" t="s">
        <v>2756</v>
      </c>
      <c r="G728" t="s">
        <v>2760</v>
      </c>
      <c r="H728">
        <v>727</v>
      </c>
      <c r="I728" t="str">
        <f>IF(ISBLANK(Table1[[#This Row],[oid]]),"FALSE","TRUE")</f>
        <v>TRUE</v>
      </c>
      <c r="J728" t="str" cm="1">
        <f t="array" ref="J728">_xlfn.SWITCH(LEFT(Table1[[#This Row],[section]],1), "D", "Demographic", "S", "Social", "E", "Economic", "H", "Housing", "")</f>
        <v>Social</v>
      </c>
      <c r="K728" t="s">
        <v>2651</v>
      </c>
      <c r="L728" t="s">
        <v>2652</v>
      </c>
      <c r="M728" t="str">
        <f>IF(Table1[[#This Row],[used]], _xlfn.CONCAT("🆔 ", Table1[[#This Row],[variable]], ": ",Table1[[#This Row],[alias]]), "")</f>
        <v>🆔 B05005_017E: Entered before 1990</v>
      </c>
      <c r="O728" t="s">
        <v>2761</v>
      </c>
      <c r="P728" t="s">
        <v>2661</v>
      </c>
      <c r="Q728" t="s">
        <v>41</v>
      </c>
      <c r="R728" t="s">
        <v>2759</v>
      </c>
      <c r="S728" t="b">
        <v>0</v>
      </c>
      <c r="T728" t="b">
        <v>0</v>
      </c>
      <c r="U728" t="b">
        <v>1</v>
      </c>
      <c r="V728" t="b">
        <v>1</v>
      </c>
      <c r="W728" t="b">
        <v>1</v>
      </c>
      <c r="X728" t="b">
        <v>1</v>
      </c>
      <c r="Y728" t="b">
        <v>1</v>
      </c>
      <c r="Z728" t="b">
        <v>1</v>
      </c>
      <c r="AA728" t="b">
        <v>1</v>
      </c>
      <c r="AB728" t="b">
        <v>1</v>
      </c>
      <c r="AC728" t="b">
        <v>1</v>
      </c>
      <c r="AD728" t="b">
        <v>1</v>
      </c>
      <c r="AE728" t="b">
        <v>1</v>
      </c>
      <c r="AF728" t="b">
        <v>1</v>
      </c>
      <c r="AG728" t="b">
        <v>1</v>
      </c>
    </row>
    <row r="729" spans="1:33" x14ac:dyDescent="0.25">
      <c r="A729" t="s">
        <v>838</v>
      </c>
      <c r="B729">
        <v>2</v>
      </c>
      <c r="C729" t="b">
        <v>0</v>
      </c>
      <c r="D729" t="s">
        <v>592</v>
      </c>
      <c r="E729" t="s">
        <v>2648</v>
      </c>
      <c r="F729" t="s">
        <v>2762</v>
      </c>
      <c r="G729" t="s">
        <v>2763</v>
      </c>
      <c r="H729">
        <v>728</v>
      </c>
      <c r="I729" t="str">
        <f>IF(ISBLANK(Table1[[#This Row],[oid]]),"FALSE","TRUE")</f>
        <v>TRUE</v>
      </c>
      <c r="J729" t="str" cm="1">
        <f t="array" ref="J729">_xlfn.SWITCH(LEFT(Table1[[#This Row],[section]],1), "D", "Demographic", "S", "Social", "E", "Economic", "H", "Housing", "")</f>
        <v>Social</v>
      </c>
      <c r="K729" t="s">
        <v>2651</v>
      </c>
      <c r="L729" t="s">
        <v>2652</v>
      </c>
      <c r="M729" t="str">
        <f>IF(Table1[[#This Row],[used]], _xlfn.CONCAT("🆔 ", Table1[[#This Row],[variable]], ": ",Table1[[#This Row],[alias]]), "")</f>
        <v>🆔 B05005_018E: Entered before 1980: Native</v>
      </c>
      <c r="O729" t="s">
        <v>2764</v>
      </c>
      <c r="P729" t="s">
        <v>2653</v>
      </c>
      <c r="Q729" t="s">
        <v>41</v>
      </c>
      <c r="R729" t="s">
        <v>2765</v>
      </c>
      <c r="S729" t="b">
        <v>1</v>
      </c>
      <c r="T729" t="b">
        <v>1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</row>
    <row r="730" spans="1:33" x14ac:dyDescent="0.25">
      <c r="A730" t="s">
        <v>972</v>
      </c>
      <c r="B730">
        <v>13</v>
      </c>
      <c r="C730" t="b">
        <v>0</v>
      </c>
      <c r="D730" t="s">
        <v>592</v>
      </c>
      <c r="E730" t="s">
        <v>2648</v>
      </c>
      <c r="F730" t="s">
        <v>2762</v>
      </c>
      <c r="G730" t="s">
        <v>2766</v>
      </c>
      <c r="H730">
        <v>729</v>
      </c>
      <c r="I730" t="str">
        <f>IF(ISBLANK(Table1[[#This Row],[oid]]),"FALSE","TRUE")</f>
        <v>TRUE</v>
      </c>
      <c r="J730" t="str" cm="1">
        <f t="array" ref="J730">_xlfn.SWITCH(LEFT(Table1[[#This Row],[section]],1), "D", "Demographic", "S", "Social", "E", "Economic", "H", "Housing", "")</f>
        <v>Social</v>
      </c>
      <c r="K730" t="s">
        <v>2651</v>
      </c>
      <c r="L730" t="s">
        <v>2652</v>
      </c>
      <c r="M730" t="str">
        <f>IF(Table1[[#This Row],[used]], _xlfn.CONCAT("🆔 ", Table1[[#This Row],[variable]], ": ",Table1[[#This Row],[alias]]), "")</f>
        <v>🆔 B05005_018E: Entered before 1990: Native</v>
      </c>
      <c r="O730" t="s">
        <v>2767</v>
      </c>
      <c r="P730" t="s">
        <v>2661</v>
      </c>
      <c r="Q730" t="s">
        <v>41</v>
      </c>
      <c r="R730" t="s">
        <v>2765</v>
      </c>
      <c r="S730" t="b">
        <v>0</v>
      </c>
      <c r="T730" t="b">
        <v>0</v>
      </c>
      <c r="U730" t="b">
        <v>1</v>
      </c>
      <c r="V730" t="b">
        <v>1</v>
      </c>
      <c r="W730" t="b">
        <v>1</v>
      </c>
      <c r="X730" t="b">
        <v>1</v>
      </c>
      <c r="Y730" t="b">
        <v>1</v>
      </c>
      <c r="Z730" t="b">
        <v>1</v>
      </c>
      <c r="AA730" t="b">
        <v>1</v>
      </c>
      <c r="AB730" t="b">
        <v>1</v>
      </c>
      <c r="AC730" t="b">
        <v>1</v>
      </c>
      <c r="AD730" t="b">
        <v>1</v>
      </c>
      <c r="AE730" t="b">
        <v>1</v>
      </c>
      <c r="AF730" t="b">
        <v>1</v>
      </c>
      <c r="AG730" t="b">
        <v>1</v>
      </c>
    </row>
    <row r="731" spans="1:33" x14ac:dyDescent="0.25">
      <c r="A731" t="s">
        <v>838</v>
      </c>
      <c r="B731">
        <v>2</v>
      </c>
      <c r="C731" t="b">
        <v>0</v>
      </c>
      <c r="D731" t="s">
        <v>592</v>
      </c>
      <c r="E731" t="s">
        <v>2648</v>
      </c>
      <c r="F731" t="s">
        <v>2768</v>
      </c>
      <c r="G731" t="s">
        <v>2769</v>
      </c>
      <c r="H731">
        <v>730</v>
      </c>
      <c r="I731" t="str">
        <f>IF(ISBLANK(Table1[[#This Row],[oid]]),"FALSE","TRUE")</f>
        <v>TRUE</v>
      </c>
      <c r="J731" t="str" cm="1">
        <f t="array" ref="J731">_xlfn.SWITCH(LEFT(Table1[[#This Row],[section]],1), "D", "Demographic", "S", "Social", "E", "Economic", "H", "Housing", "")</f>
        <v>Social</v>
      </c>
      <c r="K731" t="s">
        <v>2651</v>
      </c>
      <c r="L731" t="s">
        <v>2652</v>
      </c>
      <c r="M731" t="str">
        <f>IF(Table1[[#This Row],[used]], _xlfn.CONCAT("🆔 ", Table1[[#This Row],[variable]], ": ",Table1[[#This Row],[alias]]), "")</f>
        <v>🆔 B05005_019E: Entered before 1980: Foreign born</v>
      </c>
      <c r="O731" t="s">
        <v>2770</v>
      </c>
      <c r="P731" t="s">
        <v>2653</v>
      </c>
      <c r="Q731" t="s">
        <v>41</v>
      </c>
      <c r="R731" t="s">
        <v>2771</v>
      </c>
      <c r="S731" t="b">
        <v>1</v>
      </c>
      <c r="T731" t="b">
        <v>1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</row>
    <row r="732" spans="1:33" x14ac:dyDescent="0.25">
      <c r="A732" t="s">
        <v>2672</v>
      </c>
      <c r="B732">
        <v>11</v>
      </c>
      <c r="C732" t="b">
        <v>0</v>
      </c>
      <c r="D732" t="s">
        <v>592</v>
      </c>
      <c r="E732" t="s">
        <v>2648</v>
      </c>
      <c r="F732" t="s">
        <v>2768</v>
      </c>
      <c r="G732" t="s">
        <v>2772</v>
      </c>
      <c r="H732">
        <v>731</v>
      </c>
      <c r="I732" t="str">
        <f>IF(ISBLANK(Table1[[#This Row],[oid]]),"FALSE","TRUE")</f>
        <v>TRUE</v>
      </c>
      <c r="J732" t="str" cm="1">
        <f t="array" ref="J732">_xlfn.SWITCH(LEFT(Table1[[#This Row],[section]],1), "D", "Demographic", "S", "Social", "E", "Economic", "H", "Housing", "")</f>
        <v>Social</v>
      </c>
      <c r="K732" t="s">
        <v>2651</v>
      </c>
      <c r="L732" t="s">
        <v>2652</v>
      </c>
      <c r="M732" t="str">
        <f>IF(Table1[[#This Row],[used]], _xlfn.CONCAT("🆔 ", Table1[[#This Row],[variable]], ": ",Table1[[#This Row],[alias]]), "")</f>
        <v>🆔 B05005_019E: Entered before 1990: Foreign born</v>
      </c>
      <c r="O732" t="s">
        <v>2773</v>
      </c>
      <c r="P732" t="s">
        <v>2661</v>
      </c>
      <c r="Q732" t="s">
        <v>41</v>
      </c>
      <c r="R732" t="s">
        <v>2771</v>
      </c>
      <c r="S732" t="b">
        <v>0</v>
      </c>
      <c r="T732" t="b">
        <v>0</v>
      </c>
      <c r="U732" t="b">
        <v>1</v>
      </c>
      <c r="V732" t="b">
        <v>1</v>
      </c>
      <c r="W732" t="b">
        <v>1</v>
      </c>
      <c r="X732" t="b">
        <v>1</v>
      </c>
      <c r="Y732" t="b">
        <v>1</v>
      </c>
      <c r="Z732" t="b">
        <v>1</v>
      </c>
      <c r="AA732" t="b">
        <v>1</v>
      </c>
      <c r="AB732" t="b">
        <v>1</v>
      </c>
      <c r="AC732" t="b">
        <v>1</v>
      </c>
      <c r="AD732" t="b">
        <v>1</v>
      </c>
      <c r="AE732" t="b">
        <v>1</v>
      </c>
      <c r="AF732" t="b">
        <v>0</v>
      </c>
      <c r="AG732" t="b">
        <v>0</v>
      </c>
    </row>
    <row r="733" spans="1:33" x14ac:dyDescent="0.25">
      <c r="A733" t="s">
        <v>610</v>
      </c>
      <c r="B733">
        <v>2</v>
      </c>
      <c r="C733" t="b">
        <v>0</v>
      </c>
      <c r="D733" t="s">
        <v>592</v>
      </c>
      <c r="E733" t="s">
        <v>2648</v>
      </c>
      <c r="F733" t="s">
        <v>2768</v>
      </c>
      <c r="G733" t="s">
        <v>2774</v>
      </c>
      <c r="H733">
        <v>732</v>
      </c>
      <c r="I733" t="str">
        <f>IF(ISBLANK(Table1[[#This Row],[oid]]),"FALSE","TRUE")</f>
        <v>TRUE</v>
      </c>
      <c r="J733" t="str" cm="1">
        <f t="array" ref="J733">_xlfn.SWITCH(LEFT(Table1[[#This Row],[section]],1), "D", "Demographic", "S", "Social", "E", "Economic", "H", "Housing", "")</f>
        <v>Social</v>
      </c>
      <c r="K733" t="s">
        <v>2651</v>
      </c>
      <c r="L733" t="s">
        <v>2652</v>
      </c>
      <c r="M733" t="str">
        <f>IF(Table1[[#This Row],[used]], _xlfn.CONCAT("🆔 ", Table1[[#This Row],[variable]], ": ",Table1[[#This Row],[alias]]), "")</f>
        <v>🆔 B05005_019E: Entered before 1990: Foreign-born</v>
      </c>
      <c r="O733" t="s">
        <v>2775</v>
      </c>
      <c r="P733" t="s">
        <v>2677</v>
      </c>
      <c r="Q733" t="s">
        <v>41</v>
      </c>
      <c r="R733" t="s">
        <v>2771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1</v>
      </c>
      <c r="AG733" t="b">
        <v>1</v>
      </c>
    </row>
    <row r="734" spans="1:33" x14ac:dyDescent="0.25">
      <c r="A734" t="s">
        <v>838</v>
      </c>
      <c r="B734">
        <v>2</v>
      </c>
      <c r="C734" t="b">
        <v>0</v>
      </c>
      <c r="D734" t="s">
        <v>592</v>
      </c>
      <c r="E734" t="s">
        <v>2648</v>
      </c>
      <c r="F734" t="s">
        <v>2776</v>
      </c>
      <c r="G734" t="s">
        <v>2777</v>
      </c>
      <c r="H734">
        <v>733</v>
      </c>
      <c r="I734" t="str">
        <f>IF(ISBLANK(Table1[[#This Row],[oid]]),"FALSE","TRUE")</f>
        <v>TRUE</v>
      </c>
      <c r="J734" t="str" cm="1">
        <f t="array" ref="J734">_xlfn.SWITCH(LEFT(Table1[[#This Row],[section]],1), "D", "Demographic", "S", "Social", "E", "Economic", "H", "Housing", "")</f>
        <v>Social</v>
      </c>
      <c r="K734" t="s">
        <v>2651</v>
      </c>
      <c r="L734" t="s">
        <v>2652</v>
      </c>
      <c r="M734" t="str">
        <f>IF(Table1[[#This Row],[used]], _xlfn.CONCAT("🆔 ", Table1[[#This Row],[variable]], ": ",Table1[[#This Row],[alias]]), "")</f>
        <v>🆔 B05005_020E: Entered before 1980: Foreign born: Naturalized US citizen</v>
      </c>
      <c r="O734" t="s">
        <v>2778</v>
      </c>
      <c r="P734" t="s">
        <v>2653</v>
      </c>
      <c r="Q734" t="s">
        <v>41</v>
      </c>
      <c r="R734" t="s">
        <v>2779</v>
      </c>
      <c r="S734" t="b">
        <v>1</v>
      </c>
      <c r="T734" t="b">
        <v>1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</row>
    <row r="735" spans="1:33" x14ac:dyDescent="0.25">
      <c r="A735" t="s">
        <v>2672</v>
      </c>
      <c r="B735">
        <v>11</v>
      </c>
      <c r="C735" t="b">
        <v>0</v>
      </c>
      <c r="D735" t="s">
        <v>592</v>
      </c>
      <c r="E735" t="s">
        <v>2648</v>
      </c>
      <c r="F735" t="s">
        <v>2776</v>
      </c>
      <c r="G735" t="s">
        <v>2780</v>
      </c>
      <c r="H735">
        <v>734</v>
      </c>
      <c r="I735" t="str">
        <f>IF(ISBLANK(Table1[[#This Row],[oid]]),"FALSE","TRUE")</f>
        <v>TRUE</v>
      </c>
      <c r="J735" t="str" cm="1">
        <f t="array" ref="J735">_xlfn.SWITCH(LEFT(Table1[[#This Row],[section]],1), "D", "Demographic", "S", "Social", "E", "Economic", "H", "Housing", "")</f>
        <v>Social</v>
      </c>
      <c r="K735" t="s">
        <v>2651</v>
      </c>
      <c r="L735" t="s">
        <v>2652</v>
      </c>
      <c r="M735" t="str">
        <f>IF(Table1[[#This Row],[used]], _xlfn.CONCAT("🆔 ", Table1[[#This Row],[variable]], ": ",Table1[[#This Row],[alias]]), "")</f>
        <v>🆔 B05005_020E: Entered before 1990: Foreign born: Naturalized US citizen</v>
      </c>
      <c r="O735" t="s">
        <v>2781</v>
      </c>
      <c r="P735" t="s">
        <v>2661</v>
      </c>
      <c r="Q735" t="s">
        <v>41</v>
      </c>
      <c r="R735" t="s">
        <v>2779</v>
      </c>
      <c r="S735" t="b">
        <v>0</v>
      </c>
      <c r="T735" t="b">
        <v>0</v>
      </c>
      <c r="U735" t="b">
        <v>1</v>
      </c>
      <c r="V735" t="b">
        <v>1</v>
      </c>
      <c r="W735" t="b">
        <v>1</v>
      </c>
      <c r="X735" t="b">
        <v>1</v>
      </c>
      <c r="Y735" t="b">
        <v>1</v>
      </c>
      <c r="Z735" t="b">
        <v>1</v>
      </c>
      <c r="AA735" t="b">
        <v>1</v>
      </c>
      <c r="AB735" t="b">
        <v>1</v>
      </c>
      <c r="AC735" t="b">
        <v>1</v>
      </c>
      <c r="AD735" t="b">
        <v>1</v>
      </c>
      <c r="AE735" t="b">
        <v>1</v>
      </c>
      <c r="AF735" t="b">
        <v>0</v>
      </c>
      <c r="AG735" t="b">
        <v>0</v>
      </c>
    </row>
    <row r="736" spans="1:33" x14ac:dyDescent="0.25">
      <c r="A736" t="s">
        <v>610</v>
      </c>
      <c r="B736">
        <v>2</v>
      </c>
      <c r="C736" t="b">
        <v>0</v>
      </c>
      <c r="D736" t="s">
        <v>592</v>
      </c>
      <c r="E736" t="s">
        <v>2648</v>
      </c>
      <c r="F736" t="s">
        <v>2776</v>
      </c>
      <c r="G736" t="s">
        <v>2782</v>
      </c>
      <c r="H736">
        <v>735</v>
      </c>
      <c r="I736" t="str">
        <f>IF(ISBLANK(Table1[[#This Row],[oid]]),"FALSE","TRUE")</f>
        <v>TRUE</v>
      </c>
      <c r="J736" t="str" cm="1">
        <f t="array" ref="J736">_xlfn.SWITCH(LEFT(Table1[[#This Row],[section]],1), "D", "Demographic", "S", "Social", "E", "Economic", "H", "Housing", "")</f>
        <v>Social</v>
      </c>
      <c r="K736" t="s">
        <v>2651</v>
      </c>
      <c r="L736" t="s">
        <v>2652</v>
      </c>
      <c r="M736" t="str">
        <f>IF(Table1[[#This Row],[used]], _xlfn.CONCAT("🆔 ", Table1[[#This Row],[variable]], ": ",Table1[[#This Row],[alias]]), "")</f>
        <v>🆔 B05005_020E: Entered before 1990: Foreign-born: Naturalized US citizen</v>
      </c>
      <c r="O736" t="s">
        <v>2783</v>
      </c>
      <c r="P736" t="s">
        <v>2677</v>
      </c>
      <c r="Q736" t="s">
        <v>41</v>
      </c>
      <c r="R736" t="s">
        <v>2779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1</v>
      </c>
      <c r="AG736" t="b">
        <v>1</v>
      </c>
    </row>
    <row r="737" spans="1:33" x14ac:dyDescent="0.25">
      <c r="A737" t="s">
        <v>838</v>
      </c>
      <c r="B737">
        <v>2</v>
      </c>
      <c r="C737" t="b">
        <v>0</v>
      </c>
      <c r="D737" t="s">
        <v>592</v>
      </c>
      <c r="E737" t="s">
        <v>2648</v>
      </c>
      <c r="F737" t="s">
        <v>2784</v>
      </c>
      <c r="G737" t="s">
        <v>2785</v>
      </c>
      <c r="H737">
        <v>736</v>
      </c>
      <c r="I737" t="str">
        <f>IF(ISBLANK(Table1[[#This Row],[oid]]),"FALSE","TRUE")</f>
        <v>TRUE</v>
      </c>
      <c r="J737" t="str" cm="1">
        <f t="array" ref="J737">_xlfn.SWITCH(LEFT(Table1[[#This Row],[section]],1), "D", "Demographic", "S", "Social", "E", "Economic", "H", "Housing", "")</f>
        <v>Social</v>
      </c>
      <c r="K737" t="s">
        <v>2651</v>
      </c>
      <c r="L737" t="s">
        <v>2652</v>
      </c>
      <c r="M737" t="str">
        <f>IF(Table1[[#This Row],[used]], _xlfn.CONCAT("🆔 ", Table1[[#This Row],[variable]], ": ",Table1[[#This Row],[alias]]), "")</f>
        <v>🆔 B05005_021E: Entered before 1980: Foreign born: Not a US citizen</v>
      </c>
      <c r="O737" t="s">
        <v>2786</v>
      </c>
      <c r="P737" t="s">
        <v>2653</v>
      </c>
      <c r="Q737" t="s">
        <v>41</v>
      </c>
      <c r="R737" t="s">
        <v>2787</v>
      </c>
      <c r="S737" t="b">
        <v>1</v>
      </c>
      <c r="T737" t="b">
        <v>1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</row>
    <row r="738" spans="1:33" x14ac:dyDescent="0.25">
      <c r="A738" t="s">
        <v>2672</v>
      </c>
      <c r="B738">
        <v>11</v>
      </c>
      <c r="C738" t="b">
        <v>0</v>
      </c>
      <c r="D738" t="s">
        <v>592</v>
      </c>
      <c r="E738" t="s">
        <v>2648</v>
      </c>
      <c r="F738" t="s">
        <v>2784</v>
      </c>
      <c r="G738" t="s">
        <v>2788</v>
      </c>
      <c r="H738">
        <v>737</v>
      </c>
      <c r="I738" t="str">
        <f>IF(ISBLANK(Table1[[#This Row],[oid]]),"FALSE","TRUE")</f>
        <v>TRUE</v>
      </c>
      <c r="J738" t="str" cm="1">
        <f t="array" ref="J738">_xlfn.SWITCH(LEFT(Table1[[#This Row],[section]],1), "D", "Demographic", "S", "Social", "E", "Economic", "H", "Housing", "")</f>
        <v>Social</v>
      </c>
      <c r="K738" t="s">
        <v>2651</v>
      </c>
      <c r="L738" t="s">
        <v>2652</v>
      </c>
      <c r="M738" t="str">
        <f>IF(Table1[[#This Row],[used]], _xlfn.CONCAT("🆔 ", Table1[[#This Row],[variable]], ": ",Table1[[#This Row],[alias]]), "")</f>
        <v>🆔 B05005_021E: Entered before 1990: Foreign born: Not a US citizen</v>
      </c>
      <c r="O738" t="s">
        <v>2789</v>
      </c>
      <c r="P738" t="s">
        <v>2661</v>
      </c>
      <c r="Q738" t="s">
        <v>41</v>
      </c>
      <c r="R738" t="s">
        <v>2787</v>
      </c>
      <c r="S738" t="b">
        <v>0</v>
      </c>
      <c r="T738" t="b">
        <v>0</v>
      </c>
      <c r="U738" t="b">
        <v>1</v>
      </c>
      <c r="V738" t="b">
        <v>1</v>
      </c>
      <c r="W738" t="b">
        <v>1</v>
      </c>
      <c r="X738" t="b">
        <v>1</v>
      </c>
      <c r="Y738" t="b">
        <v>1</v>
      </c>
      <c r="Z738" t="b">
        <v>1</v>
      </c>
      <c r="AA738" t="b">
        <v>1</v>
      </c>
      <c r="AB738" t="b">
        <v>1</v>
      </c>
      <c r="AC738" t="b">
        <v>1</v>
      </c>
      <c r="AD738" t="b">
        <v>1</v>
      </c>
      <c r="AE738" t="b">
        <v>1</v>
      </c>
      <c r="AF738" t="b">
        <v>0</v>
      </c>
      <c r="AG738" t="b">
        <v>0</v>
      </c>
    </row>
    <row r="739" spans="1:33" x14ac:dyDescent="0.25">
      <c r="A739" t="s">
        <v>610</v>
      </c>
      <c r="B739">
        <v>2</v>
      </c>
      <c r="C739" t="b">
        <v>0</v>
      </c>
      <c r="D739" t="s">
        <v>592</v>
      </c>
      <c r="E739" t="s">
        <v>2648</v>
      </c>
      <c r="F739" t="s">
        <v>2784</v>
      </c>
      <c r="G739" t="s">
        <v>2790</v>
      </c>
      <c r="H739">
        <v>738</v>
      </c>
      <c r="I739" t="str">
        <f>IF(ISBLANK(Table1[[#This Row],[oid]]),"FALSE","TRUE")</f>
        <v>TRUE</v>
      </c>
      <c r="J739" t="str" cm="1">
        <f t="array" ref="J739">_xlfn.SWITCH(LEFT(Table1[[#This Row],[section]],1), "D", "Demographic", "S", "Social", "E", "Economic", "H", "Housing", "")</f>
        <v>Social</v>
      </c>
      <c r="K739" t="s">
        <v>2651</v>
      </c>
      <c r="L739" t="s">
        <v>2652</v>
      </c>
      <c r="M739" t="str">
        <f>IF(Table1[[#This Row],[used]], _xlfn.CONCAT("🆔 ", Table1[[#This Row],[variable]], ": ",Table1[[#This Row],[alias]]), "")</f>
        <v>🆔 B05005_021E: Entered before 1990: Foreign-born: Not a US citizen</v>
      </c>
      <c r="O739" t="s">
        <v>2791</v>
      </c>
      <c r="P739" t="s">
        <v>2677</v>
      </c>
      <c r="Q739" t="s">
        <v>41</v>
      </c>
      <c r="R739" t="s">
        <v>2787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1</v>
      </c>
      <c r="AG739" t="b">
        <v>1</v>
      </c>
    </row>
    <row r="740" spans="1:33" x14ac:dyDescent="0.25">
      <c r="A740" t="s">
        <v>33</v>
      </c>
      <c r="B740">
        <v>15</v>
      </c>
      <c r="C740" t="b">
        <v>1</v>
      </c>
      <c r="D740" t="s">
        <v>592</v>
      </c>
      <c r="E740" t="s">
        <v>2792</v>
      </c>
      <c r="F740" t="s">
        <v>2793</v>
      </c>
      <c r="G740" t="s">
        <v>2794</v>
      </c>
      <c r="H740">
        <v>739</v>
      </c>
      <c r="I740" t="str">
        <f>IF(ISBLANK(Table1[[#This Row],[oid]]),"FALSE","TRUE")</f>
        <v>TRUE</v>
      </c>
      <c r="J740" t="str" cm="1">
        <f t="array" ref="J740">_xlfn.SWITCH(LEFT(Table1[[#This Row],[section]],1), "D", "Demographic", "S", "Social", "E", "Economic", "H", "Housing", "")</f>
        <v>Social</v>
      </c>
      <c r="K740" t="s">
        <v>2795</v>
      </c>
      <c r="L740" s="1" t="s">
        <v>2796</v>
      </c>
      <c r="M740" t="str">
        <f>IF(Table1[[#This Row],[used]], _xlfn.CONCAT("🆔 ", Table1[[#This Row],[variable]], ": ",Table1[[#This Row],[alias]]), "")</f>
        <v>🆔 B05006_001E: Foreign-born population, excluding population born at sea</v>
      </c>
      <c r="O740" t="s">
        <v>39</v>
      </c>
      <c r="P740" t="s">
        <v>2797</v>
      </c>
      <c r="Q740" t="s">
        <v>41</v>
      </c>
      <c r="R740" t="s">
        <v>2798</v>
      </c>
      <c r="S740" t="b">
        <v>1</v>
      </c>
      <c r="T740" t="b">
        <v>1</v>
      </c>
      <c r="U740" t="b">
        <v>1</v>
      </c>
      <c r="V740" t="b">
        <v>1</v>
      </c>
      <c r="W740" t="b">
        <v>1</v>
      </c>
      <c r="X740" t="b">
        <v>1</v>
      </c>
      <c r="Y740" t="b">
        <v>1</v>
      </c>
      <c r="Z740" t="b">
        <v>1</v>
      </c>
      <c r="AA740" t="b">
        <v>1</v>
      </c>
      <c r="AB740" t="b">
        <v>1</v>
      </c>
      <c r="AC740" t="b">
        <v>1</v>
      </c>
      <c r="AD740" t="b">
        <v>1</v>
      </c>
      <c r="AE740" t="b">
        <v>1</v>
      </c>
      <c r="AF740" t="b">
        <v>1</v>
      </c>
      <c r="AG740" t="b">
        <v>1</v>
      </c>
    </row>
    <row r="741" spans="1:33" x14ac:dyDescent="0.25">
      <c r="A741" t="s">
        <v>33</v>
      </c>
      <c r="B741">
        <v>15</v>
      </c>
      <c r="C741" t="b">
        <v>1</v>
      </c>
      <c r="D741" t="s">
        <v>592</v>
      </c>
      <c r="E741" t="s">
        <v>2792</v>
      </c>
      <c r="F741" t="s">
        <v>2799</v>
      </c>
      <c r="G741" t="s">
        <v>2800</v>
      </c>
      <c r="H741">
        <v>740</v>
      </c>
      <c r="I741" t="str">
        <f>IF(ISBLANK(Table1[[#This Row],[oid]]),"FALSE","TRUE")</f>
        <v>TRUE</v>
      </c>
      <c r="J741" t="str" cm="1">
        <f t="array" ref="J741">_xlfn.SWITCH(LEFT(Table1[[#This Row],[section]],1), "D", "Demographic", "S", "Social", "E", "Economic", "H", "Housing", "")</f>
        <v>Social</v>
      </c>
      <c r="K741" t="s">
        <v>2795</v>
      </c>
      <c r="L741" s="1" t="s">
        <v>2796</v>
      </c>
      <c r="M741" t="str">
        <f>IF(Table1[[#This Row],[used]], _xlfn.CONCAT("🆔 ", Table1[[#This Row],[variable]], ": ",Table1[[#This Row],[alias]]), "")</f>
        <v>🆔 B05006_002E: Europe</v>
      </c>
      <c r="O741" t="s">
        <v>2801</v>
      </c>
      <c r="P741" t="s">
        <v>2797</v>
      </c>
      <c r="Q741" t="s">
        <v>41</v>
      </c>
      <c r="R741" t="s">
        <v>2802</v>
      </c>
      <c r="S741" t="b">
        <v>1</v>
      </c>
      <c r="T741" t="b">
        <v>1</v>
      </c>
      <c r="U741" t="b">
        <v>1</v>
      </c>
      <c r="V741" t="b">
        <v>1</v>
      </c>
      <c r="W741" t="b">
        <v>1</v>
      </c>
      <c r="X741" t="b">
        <v>1</v>
      </c>
      <c r="Y741" t="b">
        <v>1</v>
      </c>
      <c r="Z741" t="b">
        <v>1</v>
      </c>
      <c r="AA741" t="b">
        <v>1</v>
      </c>
      <c r="AB741" t="b">
        <v>1</v>
      </c>
      <c r="AC741" t="b">
        <v>1</v>
      </c>
      <c r="AD741" t="b">
        <v>1</v>
      </c>
      <c r="AE741" t="b">
        <v>1</v>
      </c>
      <c r="AF741" t="b">
        <v>1</v>
      </c>
      <c r="AG741" t="b">
        <v>1</v>
      </c>
    </row>
    <row r="742" spans="1:33" x14ac:dyDescent="0.25">
      <c r="A742" t="s">
        <v>33</v>
      </c>
      <c r="B742">
        <v>15</v>
      </c>
      <c r="C742" t="b">
        <v>1</v>
      </c>
      <c r="D742" t="s">
        <v>592</v>
      </c>
      <c r="E742" t="s">
        <v>2792</v>
      </c>
      <c r="F742" t="s">
        <v>2803</v>
      </c>
      <c r="G742" t="s">
        <v>2804</v>
      </c>
      <c r="H742">
        <v>741</v>
      </c>
      <c r="I742" t="str">
        <f>IF(ISBLANK(Table1[[#This Row],[oid]]),"FALSE","TRUE")</f>
        <v>TRUE</v>
      </c>
      <c r="J742" t="str" cm="1">
        <f t="array" ref="J742">_xlfn.SWITCH(LEFT(Table1[[#This Row],[section]],1), "D", "Demographic", "S", "Social", "E", "Economic", "H", "Housing", "")</f>
        <v>Social</v>
      </c>
      <c r="K742" t="s">
        <v>2795</v>
      </c>
      <c r="L742" s="1" t="s">
        <v>2796</v>
      </c>
      <c r="M742" t="str">
        <f>IF(Table1[[#This Row],[used]], _xlfn.CONCAT("🆔 ", Table1[[#This Row],[variable]], ": ",Table1[[#This Row],[alias]]), "")</f>
        <v>🆔 B05006_003E: Europe: Northern Europe</v>
      </c>
      <c r="O742" t="s">
        <v>2805</v>
      </c>
      <c r="P742" t="s">
        <v>2797</v>
      </c>
      <c r="Q742" t="s">
        <v>41</v>
      </c>
      <c r="R742" t="s">
        <v>2806</v>
      </c>
      <c r="S742" t="b">
        <v>1</v>
      </c>
      <c r="T742" t="b">
        <v>1</v>
      </c>
      <c r="U742" t="b">
        <v>1</v>
      </c>
      <c r="V742" t="b">
        <v>1</v>
      </c>
      <c r="W742" t="b">
        <v>1</v>
      </c>
      <c r="X742" t="b">
        <v>1</v>
      </c>
      <c r="Y742" t="b">
        <v>1</v>
      </c>
      <c r="Z742" t="b">
        <v>1</v>
      </c>
      <c r="AA742" t="b">
        <v>1</v>
      </c>
      <c r="AB742" t="b">
        <v>1</v>
      </c>
      <c r="AC742" t="b">
        <v>1</v>
      </c>
      <c r="AD742" t="b">
        <v>1</v>
      </c>
      <c r="AE742" t="b">
        <v>1</v>
      </c>
      <c r="AF742" t="b">
        <v>1</v>
      </c>
      <c r="AG742" t="b">
        <v>1</v>
      </c>
    </row>
    <row r="743" spans="1:33" x14ac:dyDescent="0.25">
      <c r="A743" t="s">
        <v>33</v>
      </c>
      <c r="B743">
        <v>15</v>
      </c>
      <c r="C743" t="b">
        <v>1</v>
      </c>
      <c r="D743" t="s">
        <v>592</v>
      </c>
      <c r="E743" t="s">
        <v>2792</v>
      </c>
      <c r="F743" t="s">
        <v>2807</v>
      </c>
      <c r="G743" t="s">
        <v>2808</v>
      </c>
      <c r="H743">
        <v>742</v>
      </c>
      <c r="I743" t="str">
        <f>IF(ISBLANK(Table1[[#This Row],[oid]]),"FALSE","TRUE")</f>
        <v>TRUE</v>
      </c>
      <c r="J743" t="str" cm="1">
        <f t="array" ref="J743">_xlfn.SWITCH(LEFT(Table1[[#This Row],[section]],1), "D", "Demographic", "S", "Social", "E", "Economic", "H", "Housing", "")</f>
        <v>Social</v>
      </c>
      <c r="K743" t="s">
        <v>2795</v>
      </c>
      <c r="L743" s="1" t="s">
        <v>2796</v>
      </c>
      <c r="M743" t="str">
        <f>IF(Table1[[#This Row],[used]], _xlfn.CONCAT("🆔 ", Table1[[#This Row],[variable]], ": ",Table1[[#This Row],[alias]]), "")</f>
        <v>🆔 B05006_013E: Europe: Western Europe</v>
      </c>
      <c r="O743" t="s">
        <v>2809</v>
      </c>
      <c r="P743" t="s">
        <v>2797</v>
      </c>
      <c r="Q743" t="s">
        <v>41</v>
      </c>
      <c r="R743" t="s">
        <v>2810</v>
      </c>
      <c r="S743" t="b">
        <v>1</v>
      </c>
      <c r="T743" t="b">
        <v>1</v>
      </c>
      <c r="U743" t="b">
        <v>1</v>
      </c>
      <c r="V743" t="b">
        <v>1</v>
      </c>
      <c r="W743" t="b">
        <v>1</v>
      </c>
      <c r="X743" t="b">
        <v>1</v>
      </c>
      <c r="Y743" t="b">
        <v>1</v>
      </c>
      <c r="Z743" t="b">
        <v>1</v>
      </c>
      <c r="AA743" t="b">
        <v>1</v>
      </c>
      <c r="AB743" t="b">
        <v>1</v>
      </c>
      <c r="AC743" t="b">
        <v>1</v>
      </c>
      <c r="AD743" t="b">
        <v>1</v>
      </c>
      <c r="AE743" t="b">
        <v>1</v>
      </c>
      <c r="AF743" t="b">
        <v>1</v>
      </c>
      <c r="AG743" t="b">
        <v>1</v>
      </c>
    </row>
    <row r="744" spans="1:33" x14ac:dyDescent="0.25">
      <c r="A744" t="s">
        <v>33</v>
      </c>
      <c r="B744">
        <v>15</v>
      </c>
      <c r="C744" t="b">
        <v>1</v>
      </c>
      <c r="D744" t="s">
        <v>592</v>
      </c>
      <c r="E744" t="s">
        <v>2792</v>
      </c>
      <c r="F744" t="s">
        <v>2811</v>
      </c>
      <c r="G744" t="s">
        <v>2812</v>
      </c>
      <c r="H744">
        <v>743</v>
      </c>
      <c r="I744" t="str">
        <f>IF(ISBLANK(Table1[[#This Row],[oid]]),"FALSE","TRUE")</f>
        <v>TRUE</v>
      </c>
      <c r="J744" t="str" cm="1">
        <f t="array" ref="J744">_xlfn.SWITCH(LEFT(Table1[[#This Row],[section]],1), "D", "Demographic", "S", "Social", "E", "Economic", "H", "Housing", "")</f>
        <v>Social</v>
      </c>
      <c r="K744" t="s">
        <v>2795</v>
      </c>
      <c r="L744" s="1" t="s">
        <v>2796</v>
      </c>
      <c r="M744" t="str">
        <f>IF(Table1[[#This Row],[used]], _xlfn.CONCAT("🆔 ", Table1[[#This Row],[variable]], ": ",Table1[[#This Row],[alias]]), "")</f>
        <v>🆔 B05006_021E: Europe: Southern Europe</v>
      </c>
      <c r="O744" t="s">
        <v>2813</v>
      </c>
      <c r="P744" t="s">
        <v>2797</v>
      </c>
      <c r="Q744" t="s">
        <v>41</v>
      </c>
      <c r="R744" t="s">
        <v>2814</v>
      </c>
      <c r="S744" t="b">
        <v>1</v>
      </c>
      <c r="T744" t="b">
        <v>1</v>
      </c>
      <c r="U744" t="b">
        <v>1</v>
      </c>
      <c r="V744" t="b">
        <v>1</v>
      </c>
      <c r="W744" t="b">
        <v>1</v>
      </c>
      <c r="X744" t="b">
        <v>1</v>
      </c>
      <c r="Y744" t="b">
        <v>1</v>
      </c>
      <c r="Z744" t="b">
        <v>1</v>
      </c>
      <c r="AA744" t="b">
        <v>1</v>
      </c>
      <c r="AB744" t="b">
        <v>1</v>
      </c>
      <c r="AC744" t="b">
        <v>1</v>
      </c>
      <c r="AD744" t="b">
        <v>1</v>
      </c>
      <c r="AE744" t="b">
        <v>1</v>
      </c>
      <c r="AF744" t="b">
        <v>1</v>
      </c>
      <c r="AG744" t="b">
        <v>1</v>
      </c>
    </row>
    <row r="745" spans="1:33" x14ac:dyDescent="0.25">
      <c r="A745" t="s">
        <v>1637</v>
      </c>
      <c r="B745">
        <v>3</v>
      </c>
      <c r="C745" t="b">
        <v>0</v>
      </c>
      <c r="D745" t="s">
        <v>592</v>
      </c>
      <c r="E745" t="s">
        <v>2792</v>
      </c>
      <c r="F745" t="s">
        <v>2815</v>
      </c>
      <c r="G745" t="s">
        <v>2816</v>
      </c>
      <c r="H745">
        <v>744</v>
      </c>
      <c r="I745" t="str">
        <f>IF(ISBLANK(Table1[[#This Row],[oid]]),"FALSE","TRUE")</f>
        <v>TRUE</v>
      </c>
      <c r="J745" t="str" cm="1">
        <f t="array" ref="J745">_xlfn.SWITCH(LEFT(Table1[[#This Row],[section]],1), "D", "Demographic", "S", "Social", "E", "Economic", "H", "Housing", "")</f>
        <v>Social</v>
      </c>
      <c r="K745" t="s">
        <v>2795</v>
      </c>
      <c r="L745" s="1" t="s">
        <v>2796</v>
      </c>
      <c r="M745" t="str">
        <f>IF(Table1[[#This Row],[used]], _xlfn.CONCAT("🆔 ", Table1[[#This Row],[variable]], ": ",Table1[[#This Row],[alias]]), "")</f>
        <v>🆔 B05006_027E: Europe: Eastern Europe</v>
      </c>
      <c r="O745" t="s">
        <v>2817</v>
      </c>
      <c r="P745" t="s">
        <v>2797</v>
      </c>
      <c r="Q745" t="s">
        <v>41</v>
      </c>
      <c r="R745" t="s">
        <v>2818</v>
      </c>
      <c r="S745" t="b">
        <v>1</v>
      </c>
      <c r="T745" t="b">
        <v>1</v>
      </c>
      <c r="U745" t="b">
        <v>1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</row>
    <row r="746" spans="1:33" x14ac:dyDescent="0.25">
      <c r="A746" t="s">
        <v>1642</v>
      </c>
      <c r="B746">
        <v>12</v>
      </c>
      <c r="C746" t="b">
        <v>0</v>
      </c>
      <c r="D746" t="s">
        <v>592</v>
      </c>
      <c r="E746" t="s">
        <v>2792</v>
      </c>
      <c r="F746" t="s">
        <v>2819</v>
      </c>
      <c r="G746" t="s">
        <v>2816</v>
      </c>
      <c r="H746">
        <v>745</v>
      </c>
      <c r="I746" t="str">
        <f>IF(ISBLANK(Table1[[#This Row],[oid]]),"FALSE","TRUE")</f>
        <v>TRUE</v>
      </c>
      <c r="J746" t="str" cm="1">
        <f t="array" ref="J746">_xlfn.SWITCH(LEFT(Table1[[#This Row],[section]],1), "D", "Demographic", "S", "Social", "E", "Economic", "H", "Housing", "")</f>
        <v>Social</v>
      </c>
      <c r="K746" t="s">
        <v>2795</v>
      </c>
      <c r="L746" s="1" t="s">
        <v>2796</v>
      </c>
      <c r="M746" t="str">
        <f>IF(Table1[[#This Row],[used]], _xlfn.CONCAT("🆔 ", Table1[[#This Row],[variable]], ": ",Table1[[#This Row],[alias]]), "")</f>
        <v>🆔 B05006_028E: Europe: Eastern Europe</v>
      </c>
      <c r="O746" t="s">
        <v>2817</v>
      </c>
      <c r="P746" t="s">
        <v>2797</v>
      </c>
      <c r="Q746" t="s">
        <v>41</v>
      </c>
      <c r="R746" t="s">
        <v>2820</v>
      </c>
      <c r="S746" t="b">
        <v>0</v>
      </c>
      <c r="T746" t="b">
        <v>0</v>
      </c>
      <c r="U746" t="b">
        <v>0</v>
      </c>
      <c r="V746" t="b">
        <v>1</v>
      </c>
      <c r="W746" t="b">
        <v>1</v>
      </c>
      <c r="X746" t="b">
        <v>1</v>
      </c>
      <c r="Y746" t="b">
        <v>1</v>
      </c>
      <c r="Z746" t="b">
        <v>1</v>
      </c>
      <c r="AA746" t="b">
        <v>1</v>
      </c>
      <c r="AB746" t="b">
        <v>1</v>
      </c>
      <c r="AC746" t="b">
        <v>1</v>
      </c>
      <c r="AD746" t="b">
        <v>1</v>
      </c>
      <c r="AE746" t="b">
        <v>1</v>
      </c>
      <c r="AF746" t="b">
        <v>1</v>
      </c>
      <c r="AG746" t="b">
        <v>1</v>
      </c>
    </row>
    <row r="747" spans="1:33" x14ac:dyDescent="0.25">
      <c r="A747" t="s">
        <v>20</v>
      </c>
      <c r="B747">
        <v>1</v>
      </c>
      <c r="C747" t="b">
        <v>0</v>
      </c>
      <c r="D747" t="s">
        <v>592</v>
      </c>
      <c r="E747" t="s">
        <v>2792</v>
      </c>
      <c r="F747" t="s">
        <v>2821</v>
      </c>
      <c r="G747" t="s">
        <v>2822</v>
      </c>
      <c r="H747">
        <v>746</v>
      </c>
      <c r="I747" t="str">
        <f>IF(ISBLANK(Table1[[#This Row],[oid]]),"FALSE","TRUE")</f>
        <v>TRUE</v>
      </c>
      <c r="J747" t="str" cm="1">
        <f t="array" ref="J747">_xlfn.SWITCH(LEFT(Table1[[#This Row],[section]],1), "D", "Demographic", "S", "Social", "E", "Economic", "H", "Housing", "")</f>
        <v>Social</v>
      </c>
      <c r="K747" t="s">
        <v>2795</v>
      </c>
      <c r="L747" s="1" t="s">
        <v>2796</v>
      </c>
      <c r="M747" t="str">
        <f>IF(Table1[[#This Row],[used]], _xlfn.CONCAT("🆔 ", Table1[[#This Row],[variable]], ": ",Table1[[#This Row],[alias]]), "")</f>
        <v>🆔 B05006_046E: Asia</v>
      </c>
      <c r="O747" t="s">
        <v>2823</v>
      </c>
      <c r="P747" t="s">
        <v>2797</v>
      </c>
      <c r="Q747" t="s">
        <v>41</v>
      </c>
      <c r="R747" t="s">
        <v>2824</v>
      </c>
      <c r="S747" t="b">
        <v>0</v>
      </c>
      <c r="T747" t="b">
        <v>0</v>
      </c>
      <c r="U747" t="b">
        <v>1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</row>
    <row r="748" spans="1:33" x14ac:dyDescent="0.25">
      <c r="A748" t="s">
        <v>2825</v>
      </c>
      <c r="B748">
        <v>14</v>
      </c>
      <c r="C748" t="b">
        <v>0</v>
      </c>
      <c r="D748" t="s">
        <v>592</v>
      </c>
      <c r="E748" t="s">
        <v>2792</v>
      </c>
      <c r="F748" t="s">
        <v>2826</v>
      </c>
      <c r="G748" t="s">
        <v>2822</v>
      </c>
      <c r="H748">
        <v>747</v>
      </c>
      <c r="I748" t="str">
        <f>IF(ISBLANK(Table1[[#This Row],[oid]]),"FALSE","TRUE")</f>
        <v>TRUE</v>
      </c>
      <c r="J748" t="str" cm="1">
        <f t="array" ref="J748">_xlfn.SWITCH(LEFT(Table1[[#This Row],[section]],1), "D", "Demographic", "S", "Social", "E", "Economic", "H", "Housing", "")</f>
        <v>Social</v>
      </c>
      <c r="K748" t="s">
        <v>2795</v>
      </c>
      <c r="L748" s="1" t="s">
        <v>2796</v>
      </c>
      <c r="M748" t="str">
        <f>IF(Table1[[#This Row],[used]], _xlfn.CONCAT("🆔 ", Table1[[#This Row],[variable]], ": ",Table1[[#This Row],[alias]]), "")</f>
        <v>🆔 B05006_047E: Asia</v>
      </c>
      <c r="O748" t="s">
        <v>2823</v>
      </c>
      <c r="P748" t="s">
        <v>2797</v>
      </c>
      <c r="Q748" t="s">
        <v>41</v>
      </c>
      <c r="R748" t="s">
        <v>2827</v>
      </c>
      <c r="S748" t="b">
        <v>1</v>
      </c>
      <c r="T748" t="b">
        <v>1</v>
      </c>
      <c r="U748" t="b">
        <v>0</v>
      </c>
      <c r="V748" t="b">
        <v>1</v>
      </c>
      <c r="W748" t="b">
        <v>1</v>
      </c>
      <c r="X748" t="b">
        <v>1</v>
      </c>
      <c r="Y748" t="b">
        <v>1</v>
      </c>
      <c r="Z748" t="b">
        <v>1</v>
      </c>
      <c r="AA748" t="b">
        <v>1</v>
      </c>
      <c r="AB748" t="b">
        <v>1</v>
      </c>
      <c r="AC748" t="b">
        <v>1</v>
      </c>
      <c r="AD748" t="b">
        <v>1</v>
      </c>
      <c r="AE748" t="b">
        <v>1</v>
      </c>
      <c r="AF748" t="b">
        <v>1</v>
      </c>
      <c r="AG748" t="b">
        <v>1</v>
      </c>
    </row>
    <row r="749" spans="1:33" x14ac:dyDescent="0.25">
      <c r="A749" t="s">
        <v>20</v>
      </c>
      <c r="B749">
        <v>1</v>
      </c>
      <c r="C749" t="b">
        <v>0</v>
      </c>
      <c r="D749" t="s">
        <v>592</v>
      </c>
      <c r="E749" t="s">
        <v>2792</v>
      </c>
      <c r="F749" t="s">
        <v>2826</v>
      </c>
      <c r="G749" t="s">
        <v>2828</v>
      </c>
      <c r="H749">
        <v>748</v>
      </c>
      <c r="I749" t="str">
        <f>IF(ISBLANK(Table1[[#This Row],[oid]]),"FALSE","TRUE")</f>
        <v>TRUE</v>
      </c>
      <c r="J749" t="str" cm="1">
        <f t="array" ref="J749">_xlfn.SWITCH(LEFT(Table1[[#This Row],[section]],1), "D", "Demographic", "S", "Social", "E", "Economic", "H", "Housing", "")</f>
        <v>Social</v>
      </c>
      <c r="K749" t="s">
        <v>2795</v>
      </c>
      <c r="L749" s="1" t="s">
        <v>2796</v>
      </c>
      <c r="M749" t="str">
        <f>IF(Table1[[#This Row],[used]], _xlfn.CONCAT("🆔 ", Table1[[#This Row],[variable]], ": ",Table1[[#This Row],[alias]]), "")</f>
        <v>🆔 B05006_047E: Asia: Eastern Asia</v>
      </c>
      <c r="O749" t="s">
        <v>2829</v>
      </c>
      <c r="P749" t="s">
        <v>2797</v>
      </c>
      <c r="Q749" t="s">
        <v>41</v>
      </c>
      <c r="R749" t="s">
        <v>2827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</row>
    <row r="750" spans="1:33" x14ac:dyDescent="0.25">
      <c r="A750" t="s">
        <v>2825</v>
      </c>
      <c r="B750">
        <v>14</v>
      </c>
      <c r="C750" t="b">
        <v>0</v>
      </c>
      <c r="D750" t="s">
        <v>592</v>
      </c>
      <c r="E750" t="s">
        <v>2792</v>
      </c>
      <c r="F750" t="s">
        <v>2830</v>
      </c>
      <c r="G750" t="s">
        <v>2828</v>
      </c>
      <c r="H750">
        <v>749</v>
      </c>
      <c r="I750" t="str">
        <f>IF(ISBLANK(Table1[[#This Row],[oid]]),"FALSE","TRUE")</f>
        <v>TRUE</v>
      </c>
      <c r="J750" t="str" cm="1">
        <f t="array" ref="J750">_xlfn.SWITCH(LEFT(Table1[[#This Row],[section]],1), "D", "Demographic", "S", "Social", "E", "Economic", "H", "Housing", "")</f>
        <v>Social</v>
      </c>
      <c r="K750" t="s">
        <v>2795</v>
      </c>
      <c r="L750" s="1" t="s">
        <v>2796</v>
      </c>
      <c r="M750" t="str">
        <f>IF(Table1[[#This Row],[used]], _xlfn.CONCAT("🆔 ", Table1[[#This Row],[variable]], ": ",Table1[[#This Row],[alias]]), "")</f>
        <v>🆔 B05006_048E: Asia: Eastern Asia</v>
      </c>
      <c r="O750" t="s">
        <v>2829</v>
      </c>
      <c r="P750" t="s">
        <v>2797</v>
      </c>
      <c r="Q750" t="s">
        <v>41</v>
      </c>
      <c r="R750" t="s">
        <v>2831</v>
      </c>
      <c r="S750" t="b">
        <v>1</v>
      </c>
      <c r="T750" t="b">
        <v>1</v>
      </c>
      <c r="U750" t="b">
        <v>0</v>
      </c>
      <c r="V750" t="b">
        <v>1</v>
      </c>
      <c r="W750" t="b">
        <v>1</v>
      </c>
      <c r="X750" t="b">
        <v>1</v>
      </c>
      <c r="Y750" t="b">
        <v>1</v>
      </c>
      <c r="Z750" t="b">
        <v>1</v>
      </c>
      <c r="AA750" t="b">
        <v>1</v>
      </c>
      <c r="AB750" t="b">
        <v>1</v>
      </c>
      <c r="AC750" t="b">
        <v>1</v>
      </c>
      <c r="AD750" t="b">
        <v>1</v>
      </c>
      <c r="AE750" t="b">
        <v>1</v>
      </c>
      <c r="AF750" t="b">
        <v>1</v>
      </c>
      <c r="AG750" t="b">
        <v>1</v>
      </c>
    </row>
    <row r="751" spans="1:33" x14ac:dyDescent="0.25">
      <c r="A751" t="s">
        <v>20</v>
      </c>
      <c r="B751">
        <v>1</v>
      </c>
      <c r="C751" t="b">
        <v>0</v>
      </c>
      <c r="D751" t="s">
        <v>592</v>
      </c>
      <c r="E751" t="s">
        <v>2792</v>
      </c>
      <c r="F751" t="s">
        <v>2832</v>
      </c>
      <c r="G751" t="s">
        <v>2833</v>
      </c>
      <c r="H751">
        <v>750</v>
      </c>
      <c r="I751" t="str">
        <f>IF(ISBLANK(Table1[[#This Row],[oid]]),"FALSE","TRUE")</f>
        <v>TRUE</v>
      </c>
      <c r="J751" t="str" cm="1">
        <f t="array" ref="J751">_xlfn.SWITCH(LEFT(Table1[[#This Row],[section]],1), "D", "Demographic", "S", "Social", "E", "Economic", "H", "Housing", "")</f>
        <v>Social</v>
      </c>
      <c r="K751" t="s">
        <v>2795</v>
      </c>
      <c r="L751" s="1" t="s">
        <v>2796</v>
      </c>
      <c r="M751" t="str">
        <f>IF(Table1[[#This Row],[used]], _xlfn.CONCAT("🆔 ", Table1[[#This Row],[variable]], ": ",Table1[[#This Row],[alias]]), "")</f>
        <v>🆔 B05006_055E: Asia: South Central Asia</v>
      </c>
      <c r="O751" t="s">
        <v>2834</v>
      </c>
      <c r="P751" t="s">
        <v>2797</v>
      </c>
      <c r="Q751" t="s">
        <v>41</v>
      </c>
      <c r="R751" t="s">
        <v>2835</v>
      </c>
      <c r="S751" t="b">
        <v>0</v>
      </c>
      <c r="T751" t="b">
        <v>0</v>
      </c>
      <c r="U751" t="b">
        <v>1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</row>
    <row r="752" spans="1:33" x14ac:dyDescent="0.25">
      <c r="A752" t="s">
        <v>2825</v>
      </c>
      <c r="B752">
        <v>14</v>
      </c>
      <c r="C752" t="b">
        <v>0</v>
      </c>
      <c r="D752" t="s">
        <v>592</v>
      </c>
      <c r="E752" t="s">
        <v>2792</v>
      </c>
      <c r="F752" t="s">
        <v>2836</v>
      </c>
      <c r="G752" t="s">
        <v>2833</v>
      </c>
      <c r="H752">
        <v>751</v>
      </c>
      <c r="I752" t="str">
        <f>IF(ISBLANK(Table1[[#This Row],[oid]]),"FALSE","TRUE")</f>
        <v>TRUE</v>
      </c>
      <c r="J752" t="str" cm="1">
        <f t="array" ref="J752">_xlfn.SWITCH(LEFT(Table1[[#This Row],[section]],1), "D", "Demographic", "S", "Social", "E", "Economic", "H", "Housing", "")</f>
        <v>Social</v>
      </c>
      <c r="K752" t="s">
        <v>2795</v>
      </c>
      <c r="L752" s="1" t="s">
        <v>2796</v>
      </c>
      <c r="M752" t="str">
        <f>IF(Table1[[#This Row],[used]], _xlfn.CONCAT("🆔 ", Table1[[#This Row],[variable]], ": ",Table1[[#This Row],[alias]]), "")</f>
        <v>🆔 B05006_056E: Asia: South Central Asia</v>
      </c>
      <c r="O752" t="s">
        <v>2834</v>
      </c>
      <c r="P752" t="s">
        <v>2797</v>
      </c>
      <c r="Q752" t="s">
        <v>41</v>
      </c>
      <c r="R752" t="s">
        <v>2837</v>
      </c>
      <c r="S752" t="b">
        <v>1</v>
      </c>
      <c r="T752" t="b">
        <v>1</v>
      </c>
      <c r="U752" t="b">
        <v>0</v>
      </c>
      <c r="V752" t="b">
        <v>1</v>
      </c>
      <c r="W752" t="b">
        <v>1</v>
      </c>
      <c r="X752" t="b">
        <v>1</v>
      </c>
      <c r="Y752" t="b">
        <v>1</v>
      </c>
      <c r="Z752" t="b">
        <v>1</v>
      </c>
      <c r="AA752" t="b">
        <v>1</v>
      </c>
      <c r="AB752" t="b">
        <v>1</v>
      </c>
      <c r="AC752" t="b">
        <v>1</v>
      </c>
      <c r="AD752" t="b">
        <v>1</v>
      </c>
      <c r="AE752" t="b">
        <v>1</v>
      </c>
      <c r="AF752" t="b">
        <v>1</v>
      </c>
      <c r="AG752" t="b">
        <v>1</v>
      </c>
    </row>
    <row r="753" spans="1:33" x14ac:dyDescent="0.25">
      <c r="A753" t="s">
        <v>20</v>
      </c>
      <c r="B753">
        <v>1</v>
      </c>
      <c r="C753" t="b">
        <v>0</v>
      </c>
      <c r="D753" t="s">
        <v>592</v>
      </c>
      <c r="E753" t="s">
        <v>2792</v>
      </c>
      <c r="F753" t="s">
        <v>2838</v>
      </c>
      <c r="G753" t="s">
        <v>2839</v>
      </c>
      <c r="H753">
        <v>752</v>
      </c>
      <c r="I753" t="str">
        <f>IF(ISBLANK(Table1[[#This Row],[oid]]),"FALSE","TRUE")</f>
        <v>TRUE</v>
      </c>
      <c r="J753" t="str" cm="1">
        <f t="array" ref="J753">_xlfn.SWITCH(LEFT(Table1[[#This Row],[section]],1), "D", "Demographic", "S", "Social", "E", "Economic", "H", "Housing", "")</f>
        <v>Social</v>
      </c>
      <c r="K753" t="s">
        <v>2795</v>
      </c>
      <c r="L753" s="1" t="s">
        <v>2796</v>
      </c>
      <c r="M753" t="str">
        <f>IF(Table1[[#This Row],[used]], _xlfn.CONCAT("🆔 ", Table1[[#This Row],[variable]], ": ",Table1[[#This Row],[alias]]), "")</f>
        <v>🆔 B05006_066E: Asia: South Eastern Asia</v>
      </c>
      <c r="O753" t="s">
        <v>2840</v>
      </c>
      <c r="P753" t="s">
        <v>2797</v>
      </c>
      <c r="Q753" t="s">
        <v>41</v>
      </c>
      <c r="R753" t="s">
        <v>2841</v>
      </c>
      <c r="S753" t="b">
        <v>0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</row>
    <row r="754" spans="1:33" x14ac:dyDescent="0.25">
      <c r="A754" t="s">
        <v>2842</v>
      </c>
      <c r="B754">
        <v>11</v>
      </c>
      <c r="C754" t="b">
        <v>0</v>
      </c>
      <c r="D754" t="s">
        <v>592</v>
      </c>
      <c r="E754" t="s">
        <v>2792</v>
      </c>
      <c r="F754" t="s">
        <v>2843</v>
      </c>
      <c r="G754" t="s">
        <v>2839</v>
      </c>
      <c r="H754">
        <v>753</v>
      </c>
      <c r="I754" t="str">
        <f>IF(ISBLANK(Table1[[#This Row],[oid]]),"FALSE","TRUE")</f>
        <v>TRUE</v>
      </c>
      <c r="J754" t="str" cm="1">
        <f t="array" ref="J754">_xlfn.SWITCH(LEFT(Table1[[#This Row],[section]],1), "D", "Demographic", "S", "Social", "E", "Economic", "H", "Housing", "")</f>
        <v>Social</v>
      </c>
      <c r="K754" t="s">
        <v>2795</v>
      </c>
      <c r="L754" s="1" t="s">
        <v>2796</v>
      </c>
      <c r="M754" t="str">
        <f>IF(Table1[[#This Row],[used]], _xlfn.CONCAT("🆔 ", Table1[[#This Row],[variable]], ": ",Table1[[#This Row],[alias]]), "")</f>
        <v>🆔 B05006_067E: Asia: South Eastern Asia</v>
      </c>
      <c r="O754" t="s">
        <v>2840</v>
      </c>
      <c r="P754" t="s">
        <v>2797</v>
      </c>
      <c r="Q754" t="s">
        <v>41</v>
      </c>
      <c r="R754" t="s">
        <v>2844</v>
      </c>
      <c r="S754" t="b">
        <v>1</v>
      </c>
      <c r="T754" t="b">
        <v>1</v>
      </c>
      <c r="U754" t="b">
        <v>0</v>
      </c>
      <c r="V754" t="b">
        <v>1</v>
      </c>
      <c r="W754" t="b">
        <v>1</v>
      </c>
      <c r="X754" t="b">
        <v>1</v>
      </c>
      <c r="Y754" t="b">
        <v>1</v>
      </c>
      <c r="Z754" t="b">
        <v>1</v>
      </c>
      <c r="AA754" t="b">
        <v>1</v>
      </c>
      <c r="AB754" t="b">
        <v>1</v>
      </c>
      <c r="AC754" t="b">
        <v>1</v>
      </c>
      <c r="AD754" t="b">
        <v>1</v>
      </c>
      <c r="AE754" t="b">
        <v>0</v>
      </c>
      <c r="AF754" t="b">
        <v>0</v>
      </c>
      <c r="AG754" t="b">
        <v>0</v>
      </c>
    </row>
    <row r="755" spans="1:33" x14ac:dyDescent="0.25">
      <c r="A755" t="s">
        <v>2845</v>
      </c>
      <c r="B755">
        <v>3</v>
      </c>
      <c r="C755" t="b">
        <v>0</v>
      </c>
      <c r="D755" t="s">
        <v>592</v>
      </c>
      <c r="E755" t="s">
        <v>2792</v>
      </c>
      <c r="F755" t="s">
        <v>2846</v>
      </c>
      <c r="G755" t="s">
        <v>2839</v>
      </c>
      <c r="H755">
        <v>754</v>
      </c>
      <c r="I755" t="str">
        <f>IF(ISBLANK(Table1[[#This Row],[oid]]),"FALSE","TRUE")</f>
        <v>TRUE</v>
      </c>
      <c r="J755" t="str" cm="1">
        <f t="array" ref="J755">_xlfn.SWITCH(LEFT(Table1[[#This Row],[section]],1), "D", "Demographic", "S", "Social", "E", "Economic", "H", "Housing", "")</f>
        <v>Social</v>
      </c>
      <c r="K755" t="s">
        <v>2795</v>
      </c>
      <c r="L755" s="1" t="s">
        <v>2796</v>
      </c>
      <c r="M755" t="str">
        <f>IF(Table1[[#This Row],[used]], _xlfn.CONCAT("🆔 ", Table1[[#This Row],[variable]], ": ",Table1[[#This Row],[alias]]), "")</f>
        <v>🆔 B05006_068E: Asia: South Eastern Asia</v>
      </c>
      <c r="O755" t="s">
        <v>2840</v>
      </c>
      <c r="P755" t="s">
        <v>2847</v>
      </c>
      <c r="Q755" t="s">
        <v>41</v>
      </c>
      <c r="R755" t="s">
        <v>2848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1</v>
      </c>
      <c r="AF755" t="b">
        <v>1</v>
      </c>
      <c r="AG755" t="b">
        <v>1</v>
      </c>
    </row>
    <row r="756" spans="1:33" x14ac:dyDescent="0.25">
      <c r="A756" t="s">
        <v>20</v>
      </c>
      <c r="B756">
        <v>1</v>
      </c>
      <c r="C756" t="b">
        <v>0</v>
      </c>
      <c r="D756" t="s">
        <v>592</v>
      </c>
      <c r="E756" t="s">
        <v>2792</v>
      </c>
      <c r="F756" t="s">
        <v>2849</v>
      </c>
      <c r="G756" t="s">
        <v>2850</v>
      </c>
      <c r="H756">
        <v>755</v>
      </c>
      <c r="I756" t="str">
        <f>IF(ISBLANK(Table1[[#This Row],[oid]]),"FALSE","TRUE")</f>
        <v>TRUE</v>
      </c>
      <c r="J756" t="str" cm="1">
        <f t="array" ref="J756">_xlfn.SWITCH(LEFT(Table1[[#This Row],[section]],1), "D", "Demographic", "S", "Social", "E", "Economic", "H", "Housing", "")</f>
        <v>Social</v>
      </c>
      <c r="K756" t="s">
        <v>2795</v>
      </c>
      <c r="L756" s="1" t="s">
        <v>2796</v>
      </c>
      <c r="M756" t="str">
        <f>IF(Table1[[#This Row],[used]], _xlfn.CONCAT("🆔 ", Table1[[#This Row],[variable]], ": ",Table1[[#This Row],[alias]]), "")</f>
        <v>🆔 B05006_077E: Asia: Western Asia</v>
      </c>
      <c r="O756" t="s">
        <v>2851</v>
      </c>
      <c r="P756" t="s">
        <v>2797</v>
      </c>
      <c r="Q756" t="s">
        <v>41</v>
      </c>
      <c r="R756" t="s">
        <v>2852</v>
      </c>
      <c r="S756" t="b">
        <v>0</v>
      </c>
      <c r="T756" t="b">
        <v>0</v>
      </c>
      <c r="U756" t="b">
        <v>1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</row>
    <row r="757" spans="1:33" x14ac:dyDescent="0.25">
      <c r="A757" t="s">
        <v>2842</v>
      </c>
      <c r="B757">
        <v>11</v>
      </c>
      <c r="C757" t="b">
        <v>0</v>
      </c>
      <c r="D757" t="s">
        <v>592</v>
      </c>
      <c r="E757" t="s">
        <v>2792</v>
      </c>
      <c r="F757" t="s">
        <v>2853</v>
      </c>
      <c r="G757" t="s">
        <v>2850</v>
      </c>
      <c r="H757">
        <v>756</v>
      </c>
      <c r="I757" t="str">
        <f>IF(ISBLANK(Table1[[#This Row],[oid]]),"FALSE","TRUE")</f>
        <v>TRUE</v>
      </c>
      <c r="J757" t="str" cm="1">
        <f t="array" ref="J757">_xlfn.SWITCH(LEFT(Table1[[#This Row],[section]],1), "D", "Demographic", "S", "Social", "E", "Economic", "H", "Housing", "")</f>
        <v>Social</v>
      </c>
      <c r="K757" t="s">
        <v>2795</v>
      </c>
      <c r="L757" s="1" t="s">
        <v>2796</v>
      </c>
      <c r="M757" t="str">
        <f>IF(Table1[[#This Row],[used]], _xlfn.CONCAT("🆔 ", Table1[[#This Row],[variable]], ": ",Table1[[#This Row],[alias]]), "")</f>
        <v>🆔 B05006_078E: Asia: Western Asia</v>
      </c>
      <c r="O757" t="s">
        <v>2851</v>
      </c>
      <c r="P757" t="s">
        <v>2797</v>
      </c>
      <c r="Q757" t="s">
        <v>41</v>
      </c>
      <c r="R757" t="s">
        <v>2854</v>
      </c>
      <c r="S757" t="b">
        <v>1</v>
      </c>
      <c r="T757" t="b">
        <v>1</v>
      </c>
      <c r="U757" t="b">
        <v>0</v>
      </c>
      <c r="V757" t="b">
        <v>1</v>
      </c>
      <c r="W757" t="b">
        <v>1</v>
      </c>
      <c r="X757" t="b">
        <v>1</v>
      </c>
      <c r="Y757" t="b">
        <v>1</v>
      </c>
      <c r="Z757" t="b">
        <v>1</v>
      </c>
      <c r="AA757" t="b">
        <v>1</v>
      </c>
      <c r="AB757" t="b">
        <v>1</v>
      </c>
      <c r="AC757" t="b">
        <v>1</v>
      </c>
      <c r="AD757" t="b">
        <v>1</v>
      </c>
      <c r="AE757" t="b">
        <v>0</v>
      </c>
      <c r="AF757" t="b">
        <v>0</v>
      </c>
      <c r="AG757" t="b">
        <v>0</v>
      </c>
    </row>
    <row r="758" spans="1:33" x14ac:dyDescent="0.25">
      <c r="A758" t="s">
        <v>2845</v>
      </c>
      <c r="B758">
        <v>3</v>
      </c>
      <c r="C758" t="b">
        <v>0</v>
      </c>
      <c r="D758" t="s">
        <v>592</v>
      </c>
      <c r="E758" t="s">
        <v>2792</v>
      </c>
      <c r="F758" t="s">
        <v>2855</v>
      </c>
      <c r="G758" t="s">
        <v>2850</v>
      </c>
      <c r="H758">
        <v>757</v>
      </c>
      <c r="I758" t="str">
        <f>IF(ISBLANK(Table1[[#This Row],[oid]]),"FALSE","TRUE")</f>
        <v>TRUE</v>
      </c>
      <c r="J758" t="str" cm="1">
        <f t="array" ref="J758">_xlfn.SWITCH(LEFT(Table1[[#This Row],[section]],1), "D", "Demographic", "S", "Social", "E", "Economic", "H", "Housing", "")</f>
        <v>Social</v>
      </c>
      <c r="K758" t="s">
        <v>2795</v>
      </c>
      <c r="L758" s="1" t="s">
        <v>2796</v>
      </c>
      <c r="M758" t="str">
        <f>IF(Table1[[#This Row],[used]], _xlfn.CONCAT("🆔 ", Table1[[#This Row],[variable]], ": ",Table1[[#This Row],[alias]]), "")</f>
        <v>🆔 B05006_079E: Asia: Western Asia</v>
      </c>
      <c r="O758" t="s">
        <v>2851</v>
      </c>
      <c r="P758" t="s">
        <v>2847</v>
      </c>
      <c r="Q758" t="s">
        <v>41</v>
      </c>
      <c r="R758" t="s">
        <v>2856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1</v>
      </c>
      <c r="AF758" t="b">
        <v>1</v>
      </c>
      <c r="AG758" t="b">
        <v>1</v>
      </c>
    </row>
    <row r="759" spans="1:33" x14ac:dyDescent="0.25">
      <c r="A759" t="s">
        <v>20</v>
      </c>
      <c r="B759">
        <v>1</v>
      </c>
      <c r="C759" t="b">
        <v>0</v>
      </c>
      <c r="D759" t="s">
        <v>592</v>
      </c>
      <c r="E759" t="s">
        <v>2792</v>
      </c>
      <c r="F759" t="s">
        <v>2857</v>
      </c>
      <c r="G759" t="s">
        <v>2858</v>
      </c>
      <c r="H759">
        <v>758</v>
      </c>
      <c r="I759" t="str">
        <f>IF(ISBLANK(Table1[[#This Row],[oid]]),"FALSE","TRUE")</f>
        <v>TRUE</v>
      </c>
      <c r="J759" t="str" cm="1">
        <f t="array" ref="J759">_xlfn.SWITCH(LEFT(Table1[[#This Row],[section]],1), "D", "Demographic", "S", "Social", "E", "Economic", "H", "Housing", "")</f>
        <v>Social</v>
      </c>
      <c r="K759" t="s">
        <v>2795</v>
      </c>
      <c r="L759" s="1" t="s">
        <v>2796</v>
      </c>
      <c r="M759" t="str">
        <f>IF(Table1[[#This Row],[used]], _xlfn.CONCAT("🆔 ", Table1[[#This Row],[variable]], ": ",Table1[[#This Row],[alias]]), "")</f>
        <v>🆔 B05006_090E: Africa</v>
      </c>
      <c r="O759" t="s">
        <v>2859</v>
      </c>
      <c r="P759" t="s">
        <v>2797</v>
      </c>
      <c r="Q759" t="s">
        <v>41</v>
      </c>
      <c r="R759" t="s">
        <v>2860</v>
      </c>
      <c r="S759" t="b">
        <v>0</v>
      </c>
      <c r="T759" t="b">
        <v>0</v>
      </c>
      <c r="U759" t="b">
        <v>1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</row>
    <row r="760" spans="1:33" x14ac:dyDescent="0.25">
      <c r="A760" t="s">
        <v>2842</v>
      </c>
      <c r="B760">
        <v>11</v>
      </c>
      <c r="C760" t="b">
        <v>0</v>
      </c>
      <c r="D760" t="s">
        <v>592</v>
      </c>
      <c r="E760" t="s">
        <v>2792</v>
      </c>
      <c r="F760" t="s">
        <v>2861</v>
      </c>
      <c r="G760" t="s">
        <v>2858</v>
      </c>
      <c r="H760">
        <v>759</v>
      </c>
      <c r="I760" t="str">
        <f>IF(ISBLANK(Table1[[#This Row],[oid]]),"FALSE","TRUE")</f>
        <v>TRUE</v>
      </c>
      <c r="J760" t="str" cm="1">
        <f t="array" ref="J760">_xlfn.SWITCH(LEFT(Table1[[#This Row],[section]],1), "D", "Demographic", "S", "Social", "E", "Economic", "H", "Housing", "")</f>
        <v>Social</v>
      </c>
      <c r="K760" t="s">
        <v>2795</v>
      </c>
      <c r="L760" s="1" t="s">
        <v>2796</v>
      </c>
      <c r="M760" t="str">
        <f>IF(Table1[[#This Row],[used]], _xlfn.CONCAT("🆔 ", Table1[[#This Row],[variable]], ": ",Table1[[#This Row],[alias]]), "")</f>
        <v>🆔 B05006_091E: Africa</v>
      </c>
      <c r="O760" t="s">
        <v>2859</v>
      </c>
      <c r="P760" t="s">
        <v>2797</v>
      </c>
      <c r="Q760" t="s">
        <v>41</v>
      </c>
      <c r="R760" t="s">
        <v>2862</v>
      </c>
      <c r="S760" t="b">
        <v>1</v>
      </c>
      <c r="T760" t="b">
        <v>1</v>
      </c>
      <c r="U760" t="b">
        <v>0</v>
      </c>
      <c r="V760" t="b">
        <v>1</v>
      </c>
      <c r="W760" t="b">
        <v>1</v>
      </c>
      <c r="X760" t="b">
        <v>1</v>
      </c>
      <c r="Y760" t="b">
        <v>1</v>
      </c>
      <c r="Z760" t="b">
        <v>1</v>
      </c>
      <c r="AA760" t="b">
        <v>1</v>
      </c>
      <c r="AB760" t="b">
        <v>1</v>
      </c>
      <c r="AC760" t="b">
        <v>1</v>
      </c>
      <c r="AD760" t="b">
        <v>1</v>
      </c>
      <c r="AE760" t="b">
        <v>0</v>
      </c>
      <c r="AF760" t="b">
        <v>0</v>
      </c>
      <c r="AG760" t="b">
        <v>0</v>
      </c>
    </row>
    <row r="761" spans="1:33" x14ac:dyDescent="0.25">
      <c r="A761" t="s">
        <v>2845</v>
      </c>
      <c r="B761">
        <v>3</v>
      </c>
      <c r="C761" t="b">
        <v>0</v>
      </c>
      <c r="D761" t="s">
        <v>592</v>
      </c>
      <c r="E761" t="s">
        <v>2792</v>
      </c>
      <c r="F761" t="s">
        <v>2863</v>
      </c>
      <c r="G761" t="s">
        <v>2858</v>
      </c>
      <c r="H761">
        <v>760</v>
      </c>
      <c r="I761" t="str">
        <f>IF(ISBLANK(Table1[[#This Row],[oid]]),"FALSE","TRUE")</f>
        <v>TRUE</v>
      </c>
      <c r="J761" t="str" cm="1">
        <f t="array" ref="J761">_xlfn.SWITCH(LEFT(Table1[[#This Row],[section]],1), "D", "Demographic", "S", "Social", "E", "Economic", "H", "Housing", "")</f>
        <v>Social</v>
      </c>
      <c r="K761" t="s">
        <v>2795</v>
      </c>
      <c r="L761" s="1" t="s">
        <v>2796</v>
      </c>
      <c r="M761" t="str">
        <f>IF(Table1[[#This Row],[used]], _xlfn.CONCAT("🆔 ", Table1[[#This Row],[variable]], ": ",Table1[[#This Row],[alias]]), "")</f>
        <v>🆔 B05006_095E: Africa</v>
      </c>
      <c r="O761" t="s">
        <v>2859</v>
      </c>
      <c r="P761" t="s">
        <v>2847</v>
      </c>
      <c r="Q761" t="s">
        <v>41</v>
      </c>
      <c r="R761" t="s">
        <v>2864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1</v>
      </c>
      <c r="AF761" t="b">
        <v>1</v>
      </c>
      <c r="AG761" t="b">
        <v>1</v>
      </c>
    </row>
    <row r="762" spans="1:33" x14ac:dyDescent="0.25">
      <c r="A762" t="s">
        <v>20</v>
      </c>
      <c r="B762">
        <v>1</v>
      </c>
      <c r="C762" t="b">
        <v>0</v>
      </c>
      <c r="D762" t="s">
        <v>592</v>
      </c>
      <c r="E762" t="s">
        <v>2792</v>
      </c>
      <c r="F762" t="s">
        <v>2861</v>
      </c>
      <c r="G762" t="s">
        <v>2865</v>
      </c>
      <c r="H762">
        <v>761</v>
      </c>
      <c r="I762" t="str">
        <f>IF(ISBLANK(Table1[[#This Row],[oid]]),"FALSE","TRUE")</f>
        <v>TRUE</v>
      </c>
      <c r="J762" t="str" cm="1">
        <f t="array" ref="J762">_xlfn.SWITCH(LEFT(Table1[[#This Row],[section]],1), "D", "Demographic", "S", "Social", "E", "Economic", "H", "Housing", "")</f>
        <v>Social</v>
      </c>
      <c r="K762" t="s">
        <v>2795</v>
      </c>
      <c r="L762" s="1" t="s">
        <v>2796</v>
      </c>
      <c r="M762" t="str">
        <f>IF(Table1[[#This Row],[used]], _xlfn.CONCAT("🆔 ", Table1[[#This Row],[variable]], ": ",Table1[[#This Row],[alias]]), "")</f>
        <v>🆔 B05006_091E: Africa: Eastern Africa</v>
      </c>
      <c r="O762" t="s">
        <v>2866</v>
      </c>
      <c r="P762" t="s">
        <v>2797</v>
      </c>
      <c r="Q762" t="s">
        <v>41</v>
      </c>
      <c r="R762" t="s">
        <v>2862</v>
      </c>
      <c r="S762" t="b">
        <v>0</v>
      </c>
      <c r="T762" t="b">
        <v>0</v>
      </c>
      <c r="U762" t="b">
        <v>1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</row>
    <row r="763" spans="1:33" x14ac:dyDescent="0.25">
      <c r="A763" t="s">
        <v>2842</v>
      </c>
      <c r="B763">
        <v>11</v>
      </c>
      <c r="C763" t="b">
        <v>0</v>
      </c>
      <c r="D763" t="s">
        <v>592</v>
      </c>
      <c r="E763" t="s">
        <v>2792</v>
      </c>
      <c r="F763" t="s">
        <v>2867</v>
      </c>
      <c r="G763" t="s">
        <v>2865</v>
      </c>
      <c r="H763">
        <v>762</v>
      </c>
      <c r="I763" t="str">
        <f>IF(ISBLANK(Table1[[#This Row],[oid]]),"FALSE","TRUE")</f>
        <v>TRUE</v>
      </c>
      <c r="J763" t="str" cm="1">
        <f t="array" ref="J763">_xlfn.SWITCH(LEFT(Table1[[#This Row],[section]],1), "D", "Demographic", "S", "Social", "E", "Economic", "H", "Housing", "")</f>
        <v>Social</v>
      </c>
      <c r="K763" t="s">
        <v>2795</v>
      </c>
      <c r="L763" s="1" t="s">
        <v>2796</v>
      </c>
      <c r="M763" t="str">
        <f>IF(Table1[[#This Row],[used]], _xlfn.CONCAT("🆔 ", Table1[[#This Row],[variable]], ": ",Table1[[#This Row],[alias]]), "")</f>
        <v>🆔 B05006_092E: Africa: Eastern Africa</v>
      </c>
      <c r="O763" t="s">
        <v>2866</v>
      </c>
      <c r="P763" t="s">
        <v>2797</v>
      </c>
      <c r="Q763" t="s">
        <v>41</v>
      </c>
      <c r="R763" t="s">
        <v>2868</v>
      </c>
      <c r="S763" t="b">
        <v>1</v>
      </c>
      <c r="T763" t="b">
        <v>1</v>
      </c>
      <c r="U763" t="b">
        <v>0</v>
      </c>
      <c r="V763" t="b">
        <v>1</v>
      </c>
      <c r="W763" t="b">
        <v>1</v>
      </c>
      <c r="X763" t="b">
        <v>1</v>
      </c>
      <c r="Y763" t="b">
        <v>1</v>
      </c>
      <c r="Z763" t="b">
        <v>1</v>
      </c>
      <c r="AA763" t="b">
        <v>1</v>
      </c>
      <c r="AB763" t="b">
        <v>1</v>
      </c>
      <c r="AC763" t="b">
        <v>1</v>
      </c>
      <c r="AD763" t="b">
        <v>1</v>
      </c>
      <c r="AE763" t="b">
        <v>0</v>
      </c>
      <c r="AF763" t="b">
        <v>0</v>
      </c>
      <c r="AG763" t="b">
        <v>0</v>
      </c>
    </row>
    <row r="764" spans="1:33" x14ac:dyDescent="0.25">
      <c r="A764" t="s">
        <v>2845</v>
      </c>
      <c r="B764">
        <v>3</v>
      </c>
      <c r="C764" t="b">
        <v>0</v>
      </c>
      <c r="D764" t="s">
        <v>592</v>
      </c>
      <c r="E764" t="s">
        <v>2792</v>
      </c>
      <c r="F764" t="s">
        <v>2869</v>
      </c>
      <c r="G764" t="s">
        <v>2865</v>
      </c>
      <c r="H764">
        <v>763</v>
      </c>
      <c r="I764" t="str">
        <f>IF(ISBLANK(Table1[[#This Row],[oid]]),"FALSE","TRUE")</f>
        <v>TRUE</v>
      </c>
      <c r="J764" t="str" cm="1">
        <f t="array" ref="J764">_xlfn.SWITCH(LEFT(Table1[[#This Row],[section]],1), "D", "Demographic", "S", "Social", "E", "Economic", "H", "Housing", "")</f>
        <v>Social</v>
      </c>
      <c r="K764" t="s">
        <v>2795</v>
      </c>
      <c r="L764" s="1" t="s">
        <v>2796</v>
      </c>
      <c r="M764" t="str">
        <f>IF(Table1[[#This Row],[used]], _xlfn.CONCAT("🆔 ", Table1[[#This Row],[variable]], ": ",Table1[[#This Row],[alias]]), "")</f>
        <v>🆔 B05006_096E: Africa: Eastern Africa</v>
      </c>
      <c r="O764" t="s">
        <v>2866</v>
      </c>
      <c r="P764" t="s">
        <v>2847</v>
      </c>
      <c r="Q764" t="s">
        <v>41</v>
      </c>
      <c r="R764" t="s">
        <v>2870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1</v>
      </c>
      <c r="AF764" t="b">
        <v>1</v>
      </c>
      <c r="AG764" t="b">
        <v>1</v>
      </c>
    </row>
    <row r="765" spans="1:33" x14ac:dyDescent="0.25">
      <c r="A765" t="s">
        <v>2871</v>
      </c>
      <c r="B765">
        <v>4</v>
      </c>
      <c r="C765" t="b">
        <v>0</v>
      </c>
      <c r="D765" t="s">
        <v>592</v>
      </c>
      <c r="E765" t="s">
        <v>2792</v>
      </c>
      <c r="F765" t="s">
        <v>2872</v>
      </c>
      <c r="G765" t="s">
        <v>2873</v>
      </c>
      <c r="H765">
        <v>764</v>
      </c>
      <c r="I765" t="str">
        <f>IF(ISBLANK(Table1[[#This Row],[oid]]),"FALSE","TRUE")</f>
        <v>TRUE</v>
      </c>
      <c r="J765" t="str" cm="1">
        <f t="array" ref="J765">_xlfn.SWITCH(LEFT(Table1[[#This Row],[section]],1), "D", "Demographic", "S", "Social", "E", "Economic", "H", "Housing", "")</f>
        <v>Social</v>
      </c>
      <c r="K765" t="s">
        <v>2795</v>
      </c>
      <c r="L765" s="1" t="s">
        <v>2796</v>
      </c>
      <c r="M765" t="str">
        <f>IF(Table1[[#This Row],[used]], _xlfn.CONCAT("🆔 ", Table1[[#This Row],[variable]], ": ",Table1[[#This Row],[alias]]), "")</f>
        <v>🆔 B05006_097E: Africa: Middle Africa</v>
      </c>
      <c r="O765" t="s">
        <v>2874</v>
      </c>
      <c r="P765" t="s">
        <v>2797</v>
      </c>
      <c r="Q765" t="s">
        <v>41</v>
      </c>
      <c r="R765" t="s">
        <v>2875</v>
      </c>
      <c r="S765" t="b">
        <v>1</v>
      </c>
      <c r="T765" t="b">
        <v>1</v>
      </c>
      <c r="U765" t="b">
        <v>0</v>
      </c>
      <c r="V765" t="b">
        <v>1</v>
      </c>
      <c r="W765" t="b">
        <v>1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</row>
    <row r="766" spans="1:33" x14ac:dyDescent="0.25">
      <c r="A766" t="s">
        <v>20</v>
      </c>
      <c r="B766">
        <v>1</v>
      </c>
      <c r="C766" t="b">
        <v>0</v>
      </c>
      <c r="D766" t="s">
        <v>592</v>
      </c>
      <c r="E766" t="s">
        <v>2792</v>
      </c>
      <c r="F766" t="s">
        <v>2869</v>
      </c>
      <c r="G766" t="s">
        <v>2873</v>
      </c>
      <c r="H766">
        <v>765</v>
      </c>
      <c r="I766" t="str">
        <f>IF(ISBLANK(Table1[[#This Row],[oid]]),"FALSE","TRUE")</f>
        <v>TRUE</v>
      </c>
      <c r="J766" t="str" cm="1">
        <f t="array" ref="J766">_xlfn.SWITCH(LEFT(Table1[[#This Row],[section]],1), "D", "Demographic", "S", "Social", "E", "Economic", "H", "Housing", "")</f>
        <v>Social</v>
      </c>
      <c r="K766" t="s">
        <v>2795</v>
      </c>
      <c r="L766" s="1" t="s">
        <v>2796</v>
      </c>
      <c r="M766" t="str">
        <f>IF(Table1[[#This Row],[used]], _xlfn.CONCAT("🆔 ", Table1[[#This Row],[variable]], ": ",Table1[[#This Row],[alias]]), "")</f>
        <v>🆔 B05006_096E: Africa: Middle Africa</v>
      </c>
      <c r="O766" t="s">
        <v>2874</v>
      </c>
      <c r="P766" t="s">
        <v>2797</v>
      </c>
      <c r="Q766" t="s">
        <v>41</v>
      </c>
      <c r="R766" t="s">
        <v>2870</v>
      </c>
      <c r="S766" t="b">
        <v>0</v>
      </c>
      <c r="T766" t="b">
        <v>0</v>
      </c>
      <c r="U766" t="b">
        <v>1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</row>
    <row r="767" spans="1:33" x14ac:dyDescent="0.25">
      <c r="A767" t="s">
        <v>755</v>
      </c>
      <c r="B767">
        <v>4</v>
      </c>
      <c r="C767" t="b">
        <v>0</v>
      </c>
      <c r="D767" t="s">
        <v>592</v>
      </c>
      <c r="E767" t="s">
        <v>2792</v>
      </c>
      <c r="F767" t="s">
        <v>2876</v>
      </c>
      <c r="G767" t="s">
        <v>2873</v>
      </c>
      <c r="H767">
        <v>766</v>
      </c>
      <c r="I767" t="str">
        <f>IF(ISBLANK(Table1[[#This Row],[oid]]),"FALSE","TRUE")</f>
        <v>TRUE</v>
      </c>
      <c r="J767" t="str" cm="1">
        <f t="array" ref="J767">_xlfn.SWITCH(LEFT(Table1[[#This Row],[section]],1), "D", "Demographic", "S", "Social", "E", "Economic", "H", "Housing", "")</f>
        <v>Social</v>
      </c>
      <c r="K767" t="s">
        <v>2795</v>
      </c>
      <c r="L767" s="1" t="s">
        <v>2796</v>
      </c>
      <c r="M767" t="str">
        <f>IF(Table1[[#This Row],[used]], _xlfn.CONCAT("🆔 ", Table1[[#This Row],[variable]], ": ",Table1[[#This Row],[alias]]), "")</f>
        <v>🆔 B05006_098E: Africa: Middle Africa</v>
      </c>
      <c r="O767" t="s">
        <v>2874</v>
      </c>
      <c r="P767" t="s">
        <v>2797</v>
      </c>
      <c r="Q767" t="s">
        <v>41</v>
      </c>
      <c r="R767" t="s">
        <v>2877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1</v>
      </c>
      <c r="Y767" t="b">
        <v>1</v>
      </c>
      <c r="Z767" t="b">
        <v>1</v>
      </c>
      <c r="AA767" t="b">
        <v>1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</row>
    <row r="768" spans="1:33" x14ac:dyDescent="0.25">
      <c r="A768" t="s">
        <v>2878</v>
      </c>
      <c r="B768">
        <v>3</v>
      </c>
      <c r="C768" t="b">
        <v>0</v>
      </c>
      <c r="D768" t="s">
        <v>592</v>
      </c>
      <c r="E768" t="s">
        <v>2792</v>
      </c>
      <c r="F768" t="s">
        <v>2879</v>
      </c>
      <c r="G768" t="s">
        <v>2873</v>
      </c>
      <c r="H768">
        <v>767</v>
      </c>
      <c r="I768" t="str">
        <f>IF(ISBLANK(Table1[[#This Row],[oid]]),"FALSE","TRUE")</f>
        <v>TRUE</v>
      </c>
      <c r="J768" t="str" cm="1">
        <f t="array" ref="J768">_xlfn.SWITCH(LEFT(Table1[[#This Row],[section]],1), "D", "Demographic", "S", "Social", "E", "Economic", "H", "Housing", "")</f>
        <v>Social</v>
      </c>
      <c r="K768" t="s">
        <v>2795</v>
      </c>
      <c r="L768" s="1" t="s">
        <v>2796</v>
      </c>
      <c r="M768" t="str">
        <f>IF(Table1[[#This Row],[used]], _xlfn.CONCAT("🆔 ", Table1[[#This Row],[variable]], ": ",Table1[[#This Row],[alias]]), "")</f>
        <v>🆔 B05006_100E: Africa: Middle Africa</v>
      </c>
      <c r="O768" t="s">
        <v>2874</v>
      </c>
      <c r="P768" t="s">
        <v>2797</v>
      </c>
      <c r="Q768" t="s">
        <v>41</v>
      </c>
      <c r="R768" t="s">
        <v>2880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1</v>
      </c>
      <c r="AC768" t="b">
        <v>1</v>
      </c>
      <c r="AD768" t="b">
        <v>1</v>
      </c>
      <c r="AE768" t="b">
        <v>0</v>
      </c>
      <c r="AF768" t="b">
        <v>0</v>
      </c>
      <c r="AG768" t="b">
        <v>0</v>
      </c>
    </row>
    <row r="769" spans="1:33" x14ac:dyDescent="0.25">
      <c r="A769" t="s">
        <v>2845</v>
      </c>
      <c r="B769">
        <v>3</v>
      </c>
      <c r="C769" t="b">
        <v>0</v>
      </c>
      <c r="D769" t="s">
        <v>592</v>
      </c>
      <c r="E769" t="s">
        <v>2792</v>
      </c>
      <c r="F769" t="s">
        <v>2881</v>
      </c>
      <c r="G769" t="s">
        <v>2873</v>
      </c>
      <c r="H769">
        <v>768</v>
      </c>
      <c r="I769" t="str">
        <f>IF(ISBLANK(Table1[[#This Row],[oid]]),"FALSE","TRUE")</f>
        <v>TRUE</v>
      </c>
      <c r="J769" t="str" cm="1">
        <f t="array" ref="J769">_xlfn.SWITCH(LEFT(Table1[[#This Row],[section]],1), "D", "Demographic", "S", "Social", "E", "Economic", "H", "Housing", "")</f>
        <v>Social</v>
      </c>
      <c r="K769" t="s">
        <v>2795</v>
      </c>
      <c r="L769" s="1" t="s">
        <v>2796</v>
      </c>
      <c r="M769" t="str">
        <f>IF(Table1[[#This Row],[used]], _xlfn.CONCAT("🆔 ", Table1[[#This Row],[variable]], ": ",Table1[[#This Row],[alias]]), "")</f>
        <v>🆔 B05006_105E: Africa: Middle Africa</v>
      </c>
      <c r="O769" t="s">
        <v>2874</v>
      </c>
      <c r="P769" t="s">
        <v>2847</v>
      </c>
      <c r="Q769" t="s">
        <v>41</v>
      </c>
      <c r="R769" t="s">
        <v>2882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1</v>
      </c>
      <c r="AF769" t="b">
        <v>1</v>
      </c>
      <c r="AG769" t="b">
        <v>1</v>
      </c>
    </row>
    <row r="770" spans="1:33" x14ac:dyDescent="0.25">
      <c r="A770" t="s">
        <v>2871</v>
      </c>
      <c r="B770">
        <v>4</v>
      </c>
      <c r="C770" t="b">
        <v>0</v>
      </c>
      <c r="D770" t="s">
        <v>592</v>
      </c>
      <c r="E770" t="s">
        <v>2792</v>
      </c>
      <c r="F770" t="s">
        <v>2879</v>
      </c>
      <c r="G770" t="s">
        <v>2883</v>
      </c>
      <c r="H770">
        <v>769</v>
      </c>
      <c r="I770" t="str">
        <f>IF(ISBLANK(Table1[[#This Row],[oid]]),"FALSE","TRUE")</f>
        <v>TRUE</v>
      </c>
      <c r="J770" t="str" cm="1">
        <f t="array" ref="J770">_xlfn.SWITCH(LEFT(Table1[[#This Row],[section]],1), "D", "Demographic", "S", "Social", "E", "Economic", "H", "Housing", "")</f>
        <v>Social</v>
      </c>
      <c r="K770" t="s">
        <v>2795</v>
      </c>
      <c r="L770" s="1" t="s">
        <v>2796</v>
      </c>
      <c r="M770" t="str">
        <f>IF(Table1[[#This Row],[used]], _xlfn.CONCAT("🆔 ", Table1[[#This Row],[variable]], ": ",Table1[[#This Row],[alias]]), "")</f>
        <v>🆔 B05006_100E: Africa: Northern Africa</v>
      </c>
      <c r="O770" t="s">
        <v>2884</v>
      </c>
      <c r="P770" t="s">
        <v>2797</v>
      </c>
      <c r="Q770" t="s">
        <v>41</v>
      </c>
      <c r="R770" t="s">
        <v>2880</v>
      </c>
      <c r="S770" t="b">
        <v>1</v>
      </c>
      <c r="T770" t="b">
        <v>1</v>
      </c>
      <c r="U770" t="b">
        <v>0</v>
      </c>
      <c r="V770" t="b">
        <v>1</v>
      </c>
      <c r="W770" t="b">
        <v>1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</row>
    <row r="771" spans="1:33" x14ac:dyDescent="0.25">
      <c r="A771" t="s">
        <v>20</v>
      </c>
      <c r="B771">
        <v>1</v>
      </c>
      <c r="C771" t="b">
        <v>0</v>
      </c>
      <c r="D771" t="s">
        <v>592</v>
      </c>
      <c r="E771" t="s">
        <v>2792</v>
      </c>
      <c r="F771" t="s">
        <v>2885</v>
      </c>
      <c r="G771" t="s">
        <v>2883</v>
      </c>
      <c r="H771">
        <v>770</v>
      </c>
      <c r="I771" t="str">
        <f>IF(ISBLANK(Table1[[#This Row],[oid]]),"FALSE","TRUE")</f>
        <v>TRUE</v>
      </c>
      <c r="J771" t="str" cm="1">
        <f t="array" ref="J771">_xlfn.SWITCH(LEFT(Table1[[#This Row],[section]],1), "D", "Demographic", "S", "Social", "E", "Economic", "H", "Housing", "")</f>
        <v>Social</v>
      </c>
      <c r="K771" t="s">
        <v>2795</v>
      </c>
      <c r="L771" s="1" t="s">
        <v>2796</v>
      </c>
      <c r="M771" t="str">
        <f>IF(Table1[[#This Row],[used]], _xlfn.CONCAT("🆔 ", Table1[[#This Row],[variable]], ": ",Table1[[#This Row],[alias]]), "")</f>
        <v>🆔 B05006_099E: Africa: Northern Africa</v>
      </c>
      <c r="O771" t="s">
        <v>2884</v>
      </c>
      <c r="P771" t="s">
        <v>2797</v>
      </c>
      <c r="Q771" t="s">
        <v>41</v>
      </c>
      <c r="R771" t="s">
        <v>2886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</row>
    <row r="772" spans="1:33" x14ac:dyDescent="0.25">
      <c r="A772" t="s">
        <v>755</v>
      </c>
      <c r="B772">
        <v>4</v>
      </c>
      <c r="C772" t="b">
        <v>0</v>
      </c>
      <c r="D772" t="s">
        <v>592</v>
      </c>
      <c r="E772" t="s">
        <v>2792</v>
      </c>
      <c r="F772" t="s">
        <v>2887</v>
      </c>
      <c r="G772" t="s">
        <v>2883</v>
      </c>
      <c r="H772">
        <v>771</v>
      </c>
      <c r="I772" t="str">
        <f>IF(ISBLANK(Table1[[#This Row],[oid]]),"FALSE","TRUE")</f>
        <v>TRUE</v>
      </c>
      <c r="J772" t="str" cm="1">
        <f t="array" ref="J772">_xlfn.SWITCH(LEFT(Table1[[#This Row],[section]],1), "D", "Demographic", "S", "Social", "E", "Economic", "H", "Housing", "")</f>
        <v>Social</v>
      </c>
      <c r="K772" t="s">
        <v>2795</v>
      </c>
      <c r="L772" s="1" t="s">
        <v>2796</v>
      </c>
      <c r="M772" t="str">
        <f>IF(Table1[[#This Row],[used]], _xlfn.CONCAT("🆔 ", Table1[[#This Row],[variable]], ": ",Table1[[#This Row],[alias]]), "")</f>
        <v>🆔 B05006_101E: Africa: Northern Africa</v>
      </c>
      <c r="O772" t="s">
        <v>2884</v>
      </c>
      <c r="P772" t="s">
        <v>2797</v>
      </c>
      <c r="Q772" t="s">
        <v>41</v>
      </c>
      <c r="R772" t="s">
        <v>2888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1</v>
      </c>
      <c r="Y772" t="b">
        <v>1</v>
      </c>
      <c r="Z772" t="b">
        <v>1</v>
      </c>
      <c r="AA772" t="b">
        <v>1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</row>
    <row r="773" spans="1:33" x14ac:dyDescent="0.25">
      <c r="A773" t="s">
        <v>2878</v>
      </c>
      <c r="B773">
        <v>3</v>
      </c>
      <c r="C773" t="b">
        <v>0</v>
      </c>
      <c r="D773" t="s">
        <v>592</v>
      </c>
      <c r="E773" t="s">
        <v>2792</v>
      </c>
      <c r="F773" t="s">
        <v>2881</v>
      </c>
      <c r="G773" t="s">
        <v>2883</v>
      </c>
      <c r="H773">
        <v>772</v>
      </c>
      <c r="I773" t="str">
        <f>IF(ISBLANK(Table1[[#This Row],[oid]]),"FALSE","TRUE")</f>
        <v>TRUE</v>
      </c>
      <c r="J773" t="str" cm="1">
        <f t="array" ref="J773">_xlfn.SWITCH(LEFT(Table1[[#This Row],[section]],1), "D", "Demographic", "S", "Social", "E", "Economic", "H", "Housing", "")</f>
        <v>Social</v>
      </c>
      <c r="K773" t="s">
        <v>2795</v>
      </c>
      <c r="L773" s="1" t="s">
        <v>2796</v>
      </c>
      <c r="M773" t="str">
        <f>IF(Table1[[#This Row],[used]], _xlfn.CONCAT("🆔 ", Table1[[#This Row],[variable]], ": ",Table1[[#This Row],[alias]]), "")</f>
        <v>🆔 B05006_105E: Africa: Northern Africa</v>
      </c>
      <c r="O773" t="s">
        <v>2884</v>
      </c>
      <c r="P773" t="s">
        <v>2797</v>
      </c>
      <c r="Q773" t="s">
        <v>41</v>
      </c>
      <c r="R773" t="s">
        <v>2882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1</v>
      </c>
      <c r="AC773" t="b">
        <v>1</v>
      </c>
      <c r="AD773" t="b">
        <v>1</v>
      </c>
      <c r="AE773" t="b">
        <v>0</v>
      </c>
      <c r="AF773" t="b">
        <v>0</v>
      </c>
      <c r="AG773" t="b">
        <v>0</v>
      </c>
    </row>
    <row r="774" spans="1:33" x14ac:dyDescent="0.25">
      <c r="A774" t="s">
        <v>2845</v>
      </c>
      <c r="B774">
        <v>3</v>
      </c>
      <c r="C774" t="b">
        <v>0</v>
      </c>
      <c r="D774" t="s">
        <v>592</v>
      </c>
      <c r="E774" t="s">
        <v>2792</v>
      </c>
      <c r="F774" t="s">
        <v>2889</v>
      </c>
      <c r="G774" t="s">
        <v>2883</v>
      </c>
      <c r="H774">
        <v>773</v>
      </c>
      <c r="I774" t="str">
        <f>IF(ISBLANK(Table1[[#This Row],[oid]]),"FALSE","TRUE")</f>
        <v>TRUE</v>
      </c>
      <c r="J774" t="str" cm="1">
        <f t="array" ref="J774">_xlfn.SWITCH(LEFT(Table1[[#This Row],[section]],1), "D", "Demographic", "S", "Social", "E", "Economic", "H", "Housing", "")</f>
        <v>Social</v>
      </c>
      <c r="K774" t="s">
        <v>2795</v>
      </c>
      <c r="L774" s="1" t="s">
        <v>2796</v>
      </c>
      <c r="M774" t="str">
        <f>IF(Table1[[#This Row],[used]], _xlfn.CONCAT("🆔 ", Table1[[#This Row],[variable]], ": ",Table1[[#This Row],[alias]]), "")</f>
        <v>🆔 B05006_110E: Africa: Northern Africa</v>
      </c>
      <c r="O774" t="s">
        <v>2884</v>
      </c>
      <c r="P774" t="s">
        <v>2847</v>
      </c>
      <c r="Q774" t="s">
        <v>41</v>
      </c>
      <c r="R774" t="s">
        <v>2890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1</v>
      </c>
      <c r="AF774" t="b">
        <v>1</v>
      </c>
      <c r="AG774" t="b">
        <v>1</v>
      </c>
    </row>
    <row r="775" spans="1:33" x14ac:dyDescent="0.25">
      <c r="A775" t="s">
        <v>20</v>
      </c>
      <c r="B775">
        <v>1</v>
      </c>
      <c r="C775" t="b">
        <v>0</v>
      </c>
      <c r="D775" t="s">
        <v>592</v>
      </c>
      <c r="E775" t="s">
        <v>2792</v>
      </c>
      <c r="F775" t="s">
        <v>2891</v>
      </c>
      <c r="G775" t="s">
        <v>2892</v>
      </c>
      <c r="H775">
        <v>774</v>
      </c>
      <c r="I775" t="str">
        <f>IF(ISBLANK(Table1[[#This Row],[oid]]),"FALSE","TRUE")</f>
        <v>TRUE</v>
      </c>
      <c r="J775" t="str" cm="1">
        <f t="array" ref="J775">_xlfn.SWITCH(LEFT(Table1[[#This Row],[section]],1), "D", "Demographic", "S", "Social", "E", "Economic", "H", "Housing", "")</f>
        <v>Social</v>
      </c>
      <c r="K775" t="s">
        <v>2795</v>
      </c>
      <c r="L775" s="1" t="s">
        <v>2796</v>
      </c>
      <c r="M775" t="str">
        <f>IF(Table1[[#This Row],[used]], _xlfn.CONCAT("🆔 ", Table1[[#This Row],[variable]], ": ",Table1[[#This Row],[alias]]), "")</f>
        <v>🆔 B05006_104E: Africa: Southern Africa</v>
      </c>
      <c r="O775" t="s">
        <v>2893</v>
      </c>
      <c r="P775" t="s">
        <v>2797</v>
      </c>
      <c r="Q775" t="s">
        <v>41</v>
      </c>
      <c r="R775" t="s">
        <v>2894</v>
      </c>
      <c r="S775" t="b">
        <v>0</v>
      </c>
      <c r="T775" t="b">
        <v>0</v>
      </c>
      <c r="U775" t="b">
        <v>1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</row>
    <row r="776" spans="1:33" x14ac:dyDescent="0.25">
      <c r="A776" t="s">
        <v>2871</v>
      </c>
      <c r="B776">
        <v>4</v>
      </c>
      <c r="C776" t="b">
        <v>0</v>
      </c>
      <c r="D776" t="s">
        <v>592</v>
      </c>
      <c r="E776" t="s">
        <v>2792</v>
      </c>
      <c r="F776" t="s">
        <v>2881</v>
      </c>
      <c r="G776" t="s">
        <v>2892</v>
      </c>
      <c r="H776">
        <v>775</v>
      </c>
      <c r="I776" t="str">
        <f>IF(ISBLANK(Table1[[#This Row],[oid]]),"FALSE","TRUE")</f>
        <v>TRUE</v>
      </c>
      <c r="J776" t="str" cm="1">
        <f t="array" ref="J776">_xlfn.SWITCH(LEFT(Table1[[#This Row],[section]],1), "D", "Demographic", "S", "Social", "E", "Economic", "H", "Housing", "")</f>
        <v>Social</v>
      </c>
      <c r="K776" t="s">
        <v>2795</v>
      </c>
      <c r="L776" s="1" t="s">
        <v>2796</v>
      </c>
      <c r="M776" t="str">
        <f>IF(Table1[[#This Row],[used]], _xlfn.CONCAT("🆔 ", Table1[[#This Row],[variable]], ": ",Table1[[#This Row],[alias]]), "")</f>
        <v>🆔 B05006_105E: Africa: Southern Africa</v>
      </c>
      <c r="O776" t="s">
        <v>2893</v>
      </c>
      <c r="P776" t="s">
        <v>2797</v>
      </c>
      <c r="Q776" t="s">
        <v>41</v>
      </c>
      <c r="R776" t="s">
        <v>2882</v>
      </c>
      <c r="S776" t="b">
        <v>1</v>
      </c>
      <c r="T776" t="b">
        <v>1</v>
      </c>
      <c r="U776" t="b">
        <v>0</v>
      </c>
      <c r="V776" t="b">
        <v>1</v>
      </c>
      <c r="W776" t="b">
        <v>1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</row>
    <row r="777" spans="1:33" x14ac:dyDescent="0.25">
      <c r="A777" t="s">
        <v>755</v>
      </c>
      <c r="B777">
        <v>4</v>
      </c>
      <c r="C777" t="b">
        <v>0</v>
      </c>
      <c r="D777" t="s">
        <v>592</v>
      </c>
      <c r="E777" t="s">
        <v>2792</v>
      </c>
      <c r="F777" t="s">
        <v>2895</v>
      </c>
      <c r="G777" t="s">
        <v>2892</v>
      </c>
      <c r="H777">
        <v>776</v>
      </c>
      <c r="I777" t="str">
        <f>IF(ISBLANK(Table1[[#This Row],[oid]]),"FALSE","TRUE")</f>
        <v>TRUE</v>
      </c>
      <c r="J777" t="str" cm="1">
        <f t="array" ref="J777">_xlfn.SWITCH(LEFT(Table1[[#This Row],[section]],1), "D", "Demographic", "S", "Social", "E", "Economic", "H", "Housing", "")</f>
        <v>Social</v>
      </c>
      <c r="K777" t="s">
        <v>2795</v>
      </c>
      <c r="L777" s="1" t="s">
        <v>2796</v>
      </c>
      <c r="M777" t="str">
        <f>IF(Table1[[#This Row],[used]], _xlfn.CONCAT("🆔 ", Table1[[#This Row],[variable]], ": ",Table1[[#This Row],[alias]]), "")</f>
        <v>🆔 B05006_106E: Africa: Southern Africa</v>
      </c>
      <c r="O777" t="s">
        <v>2893</v>
      </c>
      <c r="P777" t="s">
        <v>2797</v>
      </c>
      <c r="Q777" t="s">
        <v>41</v>
      </c>
      <c r="R777" t="s">
        <v>2896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1</v>
      </c>
      <c r="Y777" t="b">
        <v>1</v>
      </c>
      <c r="Z777" t="b">
        <v>1</v>
      </c>
      <c r="AA777" t="b">
        <v>1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</row>
    <row r="778" spans="1:33" x14ac:dyDescent="0.25">
      <c r="A778" t="s">
        <v>2878</v>
      </c>
      <c r="B778">
        <v>3</v>
      </c>
      <c r="C778" t="b">
        <v>0</v>
      </c>
      <c r="D778" t="s">
        <v>592</v>
      </c>
      <c r="E778" t="s">
        <v>2792</v>
      </c>
      <c r="F778" t="s">
        <v>2889</v>
      </c>
      <c r="G778" t="s">
        <v>2892</v>
      </c>
      <c r="H778">
        <v>777</v>
      </c>
      <c r="I778" t="str">
        <f>IF(ISBLANK(Table1[[#This Row],[oid]]),"FALSE","TRUE")</f>
        <v>TRUE</v>
      </c>
      <c r="J778" t="str" cm="1">
        <f t="array" ref="J778">_xlfn.SWITCH(LEFT(Table1[[#This Row],[section]],1), "D", "Demographic", "S", "Social", "E", "Economic", "H", "Housing", "")</f>
        <v>Social</v>
      </c>
      <c r="K778" t="s">
        <v>2795</v>
      </c>
      <c r="L778" s="1" t="s">
        <v>2796</v>
      </c>
      <c r="M778" t="str">
        <f>IF(Table1[[#This Row],[used]], _xlfn.CONCAT("🆔 ", Table1[[#This Row],[variable]], ": ",Table1[[#This Row],[alias]]), "")</f>
        <v>🆔 B05006_110E: Africa: Southern Africa</v>
      </c>
      <c r="O778" t="s">
        <v>2893</v>
      </c>
      <c r="P778" t="s">
        <v>2797</v>
      </c>
      <c r="Q778" t="s">
        <v>41</v>
      </c>
      <c r="R778" t="s">
        <v>2890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1</v>
      </c>
      <c r="AC778" t="b">
        <v>1</v>
      </c>
      <c r="AD778" t="b">
        <v>1</v>
      </c>
      <c r="AE778" t="b">
        <v>0</v>
      </c>
      <c r="AF778" t="b">
        <v>0</v>
      </c>
      <c r="AG778" t="b">
        <v>0</v>
      </c>
    </row>
    <row r="779" spans="1:33" x14ac:dyDescent="0.25">
      <c r="A779" t="s">
        <v>2845</v>
      </c>
      <c r="B779">
        <v>3</v>
      </c>
      <c r="C779" t="b">
        <v>0</v>
      </c>
      <c r="D779" t="s">
        <v>592</v>
      </c>
      <c r="E779" t="s">
        <v>2792</v>
      </c>
      <c r="F779" t="s">
        <v>2897</v>
      </c>
      <c r="G779" t="s">
        <v>2892</v>
      </c>
      <c r="H779">
        <v>778</v>
      </c>
      <c r="I779" t="str">
        <f>IF(ISBLANK(Table1[[#This Row],[oid]]),"FALSE","TRUE")</f>
        <v>TRUE</v>
      </c>
      <c r="J779" t="str" cm="1">
        <f t="array" ref="J779">_xlfn.SWITCH(LEFT(Table1[[#This Row],[section]],1), "D", "Demographic", "S", "Social", "E", "Economic", "H", "Housing", "")</f>
        <v>Social</v>
      </c>
      <c r="K779" t="s">
        <v>2795</v>
      </c>
      <c r="L779" s="1" t="s">
        <v>2796</v>
      </c>
      <c r="M779" t="str">
        <f>IF(Table1[[#This Row],[used]], _xlfn.CONCAT("🆔 ", Table1[[#This Row],[variable]], ": ",Table1[[#This Row],[alias]]), "")</f>
        <v>🆔 B05006_116E: Africa: Southern Africa</v>
      </c>
      <c r="O779" t="s">
        <v>2893</v>
      </c>
      <c r="P779" t="s">
        <v>2847</v>
      </c>
      <c r="Q779" t="s">
        <v>41</v>
      </c>
      <c r="R779" t="s">
        <v>2898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1</v>
      </c>
      <c r="AF779" t="b">
        <v>1</v>
      </c>
      <c r="AG779" t="b">
        <v>1</v>
      </c>
    </row>
    <row r="780" spans="1:33" x14ac:dyDescent="0.25">
      <c r="A780" t="s">
        <v>20</v>
      </c>
      <c r="B780">
        <v>1</v>
      </c>
      <c r="C780" t="b">
        <v>0</v>
      </c>
      <c r="D780" t="s">
        <v>592</v>
      </c>
      <c r="E780" t="s">
        <v>2792</v>
      </c>
      <c r="F780" t="s">
        <v>2899</v>
      </c>
      <c r="G780" t="s">
        <v>2900</v>
      </c>
      <c r="H780">
        <v>779</v>
      </c>
      <c r="I780" t="str">
        <f>IF(ISBLANK(Table1[[#This Row],[oid]]),"FALSE","TRUE")</f>
        <v>TRUE</v>
      </c>
      <c r="J780" t="str" cm="1">
        <f t="array" ref="J780">_xlfn.SWITCH(LEFT(Table1[[#This Row],[section]],1), "D", "Demographic", "S", "Social", "E", "Economic", "H", "Housing", "")</f>
        <v>Social</v>
      </c>
      <c r="K780" t="s">
        <v>2795</v>
      </c>
      <c r="L780" s="1" t="s">
        <v>2796</v>
      </c>
      <c r="M780" t="str">
        <f>IF(Table1[[#This Row],[used]], _xlfn.CONCAT("🆔 ", Table1[[#This Row],[variable]], ": ",Table1[[#This Row],[alias]]), "")</f>
        <v>🆔 B05006_107E: Africa: Western Africa</v>
      </c>
      <c r="O780" t="s">
        <v>2901</v>
      </c>
      <c r="P780" t="s">
        <v>2797</v>
      </c>
      <c r="Q780" t="s">
        <v>41</v>
      </c>
      <c r="R780" t="s">
        <v>2902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</row>
    <row r="781" spans="1:33" x14ac:dyDescent="0.25">
      <c r="A781" t="s">
        <v>2871</v>
      </c>
      <c r="B781">
        <v>4</v>
      </c>
      <c r="C781" t="b">
        <v>0</v>
      </c>
      <c r="D781" t="s">
        <v>592</v>
      </c>
      <c r="E781" t="s">
        <v>2792</v>
      </c>
      <c r="F781" t="s">
        <v>2903</v>
      </c>
      <c r="G781" t="s">
        <v>2900</v>
      </c>
      <c r="H781">
        <v>780</v>
      </c>
      <c r="I781" t="str">
        <f>IF(ISBLANK(Table1[[#This Row],[oid]]),"FALSE","TRUE")</f>
        <v>TRUE</v>
      </c>
      <c r="J781" t="str" cm="1">
        <f t="array" ref="J781">_xlfn.SWITCH(LEFT(Table1[[#This Row],[section]],1), "D", "Demographic", "S", "Social", "E", "Economic", "H", "Housing", "")</f>
        <v>Social</v>
      </c>
      <c r="K781" t="s">
        <v>2795</v>
      </c>
      <c r="L781" s="1" t="s">
        <v>2796</v>
      </c>
      <c r="M781" t="str">
        <f>IF(Table1[[#This Row],[used]], _xlfn.CONCAT("🆔 ", Table1[[#This Row],[variable]], ": ",Table1[[#This Row],[alias]]), "")</f>
        <v>🆔 B05006_108E: Africa: Western Africa</v>
      </c>
      <c r="O781" t="s">
        <v>2901</v>
      </c>
      <c r="P781" t="s">
        <v>2797</v>
      </c>
      <c r="Q781" t="s">
        <v>41</v>
      </c>
      <c r="R781" t="s">
        <v>2904</v>
      </c>
      <c r="S781" t="b">
        <v>1</v>
      </c>
      <c r="T781" t="b">
        <v>1</v>
      </c>
      <c r="U781" t="b">
        <v>0</v>
      </c>
      <c r="V781" t="b">
        <v>1</v>
      </c>
      <c r="W781" t="b">
        <v>1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</row>
    <row r="782" spans="1:33" x14ac:dyDescent="0.25">
      <c r="A782" t="s">
        <v>755</v>
      </c>
      <c r="B782">
        <v>4</v>
      </c>
      <c r="C782" t="b">
        <v>0</v>
      </c>
      <c r="D782" t="s">
        <v>592</v>
      </c>
      <c r="E782" t="s">
        <v>2792</v>
      </c>
      <c r="F782" t="s">
        <v>2905</v>
      </c>
      <c r="G782" t="s">
        <v>2900</v>
      </c>
      <c r="H782">
        <v>781</v>
      </c>
      <c r="I782" t="str">
        <f>IF(ISBLANK(Table1[[#This Row],[oid]]),"FALSE","TRUE")</f>
        <v>TRUE</v>
      </c>
      <c r="J782" t="str" cm="1">
        <f t="array" ref="J782">_xlfn.SWITCH(LEFT(Table1[[#This Row],[section]],1), "D", "Demographic", "S", "Social", "E", "Economic", "H", "Housing", "")</f>
        <v>Social</v>
      </c>
      <c r="K782" t="s">
        <v>2795</v>
      </c>
      <c r="L782" s="1" t="s">
        <v>2796</v>
      </c>
      <c r="M782" t="str">
        <f>IF(Table1[[#This Row],[used]], _xlfn.CONCAT("🆔 ", Table1[[#This Row],[variable]], ": ",Table1[[#This Row],[alias]]), "")</f>
        <v>🆔 B05006_109E: Africa: Western Africa</v>
      </c>
      <c r="O782" t="s">
        <v>2901</v>
      </c>
      <c r="P782" t="s">
        <v>2797</v>
      </c>
      <c r="Q782" t="s">
        <v>41</v>
      </c>
      <c r="R782" t="s">
        <v>2906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1</v>
      </c>
      <c r="Y782" t="b">
        <v>1</v>
      </c>
      <c r="Z782" t="b">
        <v>1</v>
      </c>
      <c r="AA782" t="b">
        <v>1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</row>
    <row r="783" spans="1:33" x14ac:dyDescent="0.25">
      <c r="A783" t="s">
        <v>2878</v>
      </c>
      <c r="B783">
        <v>3</v>
      </c>
      <c r="C783" t="b">
        <v>0</v>
      </c>
      <c r="D783" t="s">
        <v>592</v>
      </c>
      <c r="E783" t="s">
        <v>2792</v>
      </c>
      <c r="F783" t="s">
        <v>2907</v>
      </c>
      <c r="G783" t="s">
        <v>2900</v>
      </c>
      <c r="H783">
        <v>782</v>
      </c>
      <c r="I783" t="str">
        <f>IF(ISBLANK(Table1[[#This Row],[oid]]),"FALSE","TRUE")</f>
        <v>TRUE</v>
      </c>
      <c r="J783" t="str" cm="1">
        <f t="array" ref="J783">_xlfn.SWITCH(LEFT(Table1[[#This Row],[section]],1), "D", "Demographic", "S", "Social", "E", "Economic", "H", "Housing", "")</f>
        <v>Social</v>
      </c>
      <c r="K783" t="s">
        <v>2795</v>
      </c>
      <c r="L783" s="1" t="s">
        <v>2796</v>
      </c>
      <c r="M783" t="str">
        <f>IF(Table1[[#This Row],[used]], _xlfn.CONCAT("🆔 ", Table1[[#This Row],[variable]], ": ",Table1[[#This Row],[alias]]), "")</f>
        <v>🆔 B05006_113E: Africa: Western Africa</v>
      </c>
      <c r="O783" t="s">
        <v>2901</v>
      </c>
      <c r="P783" t="s">
        <v>2797</v>
      </c>
      <c r="Q783" t="s">
        <v>41</v>
      </c>
      <c r="R783" t="s">
        <v>2908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1</v>
      </c>
      <c r="AC783" t="b">
        <v>1</v>
      </c>
      <c r="AD783" t="b">
        <v>1</v>
      </c>
      <c r="AE783" t="b">
        <v>0</v>
      </c>
      <c r="AF783" t="b">
        <v>0</v>
      </c>
      <c r="AG783" t="b">
        <v>0</v>
      </c>
    </row>
    <row r="784" spans="1:33" x14ac:dyDescent="0.25">
      <c r="A784" t="s">
        <v>2845</v>
      </c>
      <c r="B784">
        <v>3</v>
      </c>
      <c r="C784" t="b">
        <v>0</v>
      </c>
      <c r="D784" t="s">
        <v>592</v>
      </c>
      <c r="E784" t="s">
        <v>2792</v>
      </c>
      <c r="F784" t="s">
        <v>2909</v>
      </c>
      <c r="G784" t="s">
        <v>2900</v>
      </c>
      <c r="H784">
        <v>783</v>
      </c>
      <c r="I784" t="str">
        <f>IF(ISBLANK(Table1[[#This Row],[oid]]),"FALSE","TRUE")</f>
        <v>TRUE</v>
      </c>
      <c r="J784" t="str" cm="1">
        <f t="array" ref="J784">_xlfn.SWITCH(LEFT(Table1[[#This Row],[section]],1), "D", "Demographic", "S", "Social", "E", "Economic", "H", "Housing", "")</f>
        <v>Social</v>
      </c>
      <c r="K784" t="s">
        <v>2795</v>
      </c>
      <c r="L784" s="1" t="s">
        <v>2796</v>
      </c>
      <c r="M784" t="str">
        <f>IF(Table1[[#This Row],[used]], _xlfn.CONCAT("🆔 ", Table1[[#This Row],[variable]], ": ",Table1[[#This Row],[alias]]), "")</f>
        <v>🆔 B05006_119E: Africa: Western Africa</v>
      </c>
      <c r="O784" t="s">
        <v>2901</v>
      </c>
      <c r="P784" t="s">
        <v>2847</v>
      </c>
      <c r="Q784" t="s">
        <v>41</v>
      </c>
      <c r="R784" t="s">
        <v>2910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1</v>
      </c>
      <c r="AF784" t="b">
        <v>1</v>
      </c>
      <c r="AG784" t="b">
        <v>1</v>
      </c>
    </row>
    <row r="785" spans="1:33" x14ac:dyDescent="0.25">
      <c r="A785" t="s">
        <v>20</v>
      </c>
      <c r="B785">
        <v>1</v>
      </c>
      <c r="C785" t="b">
        <v>0</v>
      </c>
      <c r="D785" t="s">
        <v>592</v>
      </c>
      <c r="E785" t="s">
        <v>2792</v>
      </c>
      <c r="F785" t="s">
        <v>2911</v>
      </c>
      <c r="G785" t="s">
        <v>2912</v>
      </c>
      <c r="H785">
        <v>784</v>
      </c>
      <c r="I785" t="str">
        <f>IF(ISBLANK(Table1[[#This Row],[oid]]),"FALSE","TRUE")</f>
        <v>TRUE</v>
      </c>
      <c r="J785" t="str" cm="1">
        <f t="array" ref="J785">_xlfn.SWITCH(LEFT(Table1[[#This Row],[section]],1), "D", "Demographic", "S", "Social", "E", "Economic", "H", "Housing", "")</f>
        <v>Social</v>
      </c>
      <c r="K785" t="s">
        <v>2795</v>
      </c>
      <c r="L785" s="1" t="s">
        <v>2796</v>
      </c>
      <c r="M785" t="str">
        <f>IF(Table1[[#This Row],[used]], _xlfn.CONCAT("🆔 ", Table1[[#This Row],[variable]], ": ",Table1[[#This Row],[alias]]), "")</f>
        <v>🆔 B05006_115E: Oceania</v>
      </c>
      <c r="O785" t="s">
        <v>2913</v>
      </c>
      <c r="P785" t="s">
        <v>2797</v>
      </c>
      <c r="Q785" t="s">
        <v>41</v>
      </c>
      <c r="R785" t="s">
        <v>2914</v>
      </c>
      <c r="S785" t="b">
        <v>0</v>
      </c>
      <c r="T785" t="b">
        <v>0</v>
      </c>
      <c r="U785" t="b">
        <v>1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</row>
    <row r="786" spans="1:33" x14ac:dyDescent="0.25">
      <c r="A786" t="s">
        <v>2871</v>
      </c>
      <c r="B786">
        <v>4</v>
      </c>
      <c r="C786" t="b">
        <v>0</v>
      </c>
      <c r="D786" t="s">
        <v>592</v>
      </c>
      <c r="E786" t="s">
        <v>2792</v>
      </c>
      <c r="F786" t="s">
        <v>2897</v>
      </c>
      <c r="G786" t="s">
        <v>2912</v>
      </c>
      <c r="H786">
        <v>785</v>
      </c>
      <c r="I786" t="str">
        <f>IF(ISBLANK(Table1[[#This Row],[oid]]),"FALSE","TRUE")</f>
        <v>TRUE</v>
      </c>
      <c r="J786" t="str" cm="1">
        <f t="array" ref="J786">_xlfn.SWITCH(LEFT(Table1[[#This Row],[section]],1), "D", "Demographic", "S", "Social", "E", "Economic", "H", "Housing", "")</f>
        <v>Social</v>
      </c>
      <c r="K786" t="s">
        <v>2795</v>
      </c>
      <c r="L786" s="1" t="s">
        <v>2796</v>
      </c>
      <c r="M786" t="str">
        <f>IF(Table1[[#This Row],[used]], _xlfn.CONCAT("🆔 ", Table1[[#This Row],[variable]], ": ",Table1[[#This Row],[alias]]), "")</f>
        <v>🆔 B05006_116E: Oceania</v>
      </c>
      <c r="O786" t="s">
        <v>2913</v>
      </c>
      <c r="P786" t="s">
        <v>2797</v>
      </c>
      <c r="Q786" t="s">
        <v>41</v>
      </c>
      <c r="R786" t="s">
        <v>2898</v>
      </c>
      <c r="S786" t="b">
        <v>1</v>
      </c>
      <c r="T786" t="b">
        <v>1</v>
      </c>
      <c r="U786" t="b">
        <v>0</v>
      </c>
      <c r="V786" t="b">
        <v>1</v>
      </c>
      <c r="W786" t="b">
        <v>1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</row>
    <row r="787" spans="1:33" x14ac:dyDescent="0.25">
      <c r="A787" t="s">
        <v>755</v>
      </c>
      <c r="B787">
        <v>4</v>
      </c>
      <c r="C787" t="b">
        <v>0</v>
      </c>
      <c r="D787" t="s">
        <v>592</v>
      </c>
      <c r="E787" t="s">
        <v>2792</v>
      </c>
      <c r="F787" t="s">
        <v>2915</v>
      </c>
      <c r="G787" t="s">
        <v>2912</v>
      </c>
      <c r="H787">
        <v>786</v>
      </c>
      <c r="I787" t="str">
        <f>IF(ISBLANK(Table1[[#This Row],[oid]]),"FALSE","TRUE")</f>
        <v>TRUE</v>
      </c>
      <c r="J787" t="str" cm="1">
        <f t="array" ref="J787">_xlfn.SWITCH(LEFT(Table1[[#This Row],[section]],1), "D", "Demographic", "S", "Social", "E", "Economic", "H", "Housing", "")</f>
        <v>Social</v>
      </c>
      <c r="K787" t="s">
        <v>2795</v>
      </c>
      <c r="L787" s="1" t="s">
        <v>2796</v>
      </c>
      <c r="M787" t="str">
        <f>IF(Table1[[#This Row],[used]], _xlfn.CONCAT("🆔 ", Table1[[#This Row],[variable]], ": ",Table1[[#This Row],[alias]]), "")</f>
        <v>🆔 B05006_117E: Oceania</v>
      </c>
      <c r="O787" t="s">
        <v>2913</v>
      </c>
      <c r="P787" t="s">
        <v>2797</v>
      </c>
      <c r="Q787" t="s">
        <v>41</v>
      </c>
      <c r="R787" t="s">
        <v>2916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1</v>
      </c>
      <c r="Y787" t="b">
        <v>1</v>
      </c>
      <c r="Z787" t="b">
        <v>1</v>
      </c>
      <c r="AA787" t="b">
        <v>1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</row>
    <row r="788" spans="1:33" x14ac:dyDescent="0.25">
      <c r="A788" t="s">
        <v>2878</v>
      </c>
      <c r="B788">
        <v>3</v>
      </c>
      <c r="C788" t="b">
        <v>0</v>
      </c>
      <c r="D788" t="s">
        <v>592</v>
      </c>
      <c r="E788" t="s">
        <v>2792</v>
      </c>
      <c r="F788" t="s">
        <v>2917</v>
      </c>
      <c r="G788" t="s">
        <v>2912</v>
      </c>
      <c r="H788">
        <v>787</v>
      </c>
      <c r="I788" t="str">
        <f>IF(ISBLANK(Table1[[#This Row],[oid]]),"FALSE","TRUE")</f>
        <v>TRUE</v>
      </c>
      <c r="J788" t="str" cm="1">
        <f t="array" ref="J788">_xlfn.SWITCH(LEFT(Table1[[#This Row],[section]],1), "D", "Demographic", "S", "Social", "E", "Economic", "H", "Housing", "")</f>
        <v>Social</v>
      </c>
      <c r="K788" t="s">
        <v>2795</v>
      </c>
      <c r="L788" s="1" t="s">
        <v>2796</v>
      </c>
      <c r="M788" t="str">
        <f>IF(Table1[[#This Row],[used]], _xlfn.CONCAT("🆔 ", Table1[[#This Row],[variable]], ": ",Table1[[#This Row],[alias]]), "")</f>
        <v>🆔 B05006_122E: Oceania</v>
      </c>
      <c r="O788" t="s">
        <v>2913</v>
      </c>
      <c r="P788" t="s">
        <v>2797</v>
      </c>
      <c r="Q788" t="s">
        <v>41</v>
      </c>
      <c r="R788" t="s">
        <v>2918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1</v>
      </c>
      <c r="AC788" t="b">
        <v>1</v>
      </c>
      <c r="AD788" t="b">
        <v>1</v>
      </c>
      <c r="AE788" t="b">
        <v>0</v>
      </c>
      <c r="AF788" t="b">
        <v>0</v>
      </c>
      <c r="AG788" t="b">
        <v>0</v>
      </c>
    </row>
    <row r="789" spans="1:33" x14ac:dyDescent="0.25">
      <c r="A789" t="s">
        <v>2845</v>
      </c>
      <c r="B789">
        <v>3</v>
      </c>
      <c r="C789" t="b">
        <v>0</v>
      </c>
      <c r="D789" t="s">
        <v>592</v>
      </c>
      <c r="E789" t="s">
        <v>2792</v>
      </c>
      <c r="F789" t="s">
        <v>2919</v>
      </c>
      <c r="G789" t="s">
        <v>2912</v>
      </c>
      <c r="H789">
        <v>788</v>
      </c>
      <c r="I789" t="str">
        <f>IF(ISBLANK(Table1[[#This Row],[oid]]),"FALSE","TRUE")</f>
        <v>TRUE</v>
      </c>
      <c r="J789" t="str" cm="1">
        <f t="array" ref="J789">_xlfn.SWITCH(LEFT(Table1[[#This Row],[section]],1), "D", "Demographic", "S", "Social", "E", "Economic", "H", "Housing", "")</f>
        <v>Social</v>
      </c>
      <c r="K789" t="s">
        <v>2795</v>
      </c>
      <c r="L789" s="1" t="s">
        <v>2796</v>
      </c>
      <c r="M789" t="str">
        <f>IF(Table1[[#This Row],[used]], _xlfn.CONCAT("🆔 ", Table1[[#This Row],[variable]], ": ",Table1[[#This Row],[alias]]), "")</f>
        <v>🆔 B05006_130E: Oceania</v>
      </c>
      <c r="O789" t="s">
        <v>2913</v>
      </c>
      <c r="P789" t="s">
        <v>2847</v>
      </c>
      <c r="Q789" t="s">
        <v>41</v>
      </c>
      <c r="R789" t="s">
        <v>2920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1</v>
      </c>
      <c r="AF789" t="b">
        <v>1</v>
      </c>
      <c r="AG789" t="b">
        <v>1</v>
      </c>
    </row>
    <row r="790" spans="1:33" x14ac:dyDescent="0.25">
      <c r="A790" t="s">
        <v>20</v>
      </c>
      <c r="B790">
        <v>1</v>
      </c>
      <c r="C790" t="b">
        <v>0</v>
      </c>
      <c r="D790" t="s">
        <v>592</v>
      </c>
      <c r="E790" t="s">
        <v>2792</v>
      </c>
      <c r="F790" t="s">
        <v>2897</v>
      </c>
      <c r="G790" t="s">
        <v>2921</v>
      </c>
      <c r="H790">
        <v>789</v>
      </c>
      <c r="I790" t="str">
        <f>IF(ISBLANK(Table1[[#This Row],[oid]]),"FALSE","TRUE")</f>
        <v>TRUE</v>
      </c>
      <c r="J790" t="str" cm="1">
        <f t="array" ref="J790">_xlfn.SWITCH(LEFT(Table1[[#This Row],[section]],1), "D", "Demographic", "S", "Social", "E", "Economic", "H", "Housing", "")</f>
        <v>Social</v>
      </c>
      <c r="K790" t="s">
        <v>2795</v>
      </c>
      <c r="L790" s="1" t="s">
        <v>2796</v>
      </c>
      <c r="M790" t="str">
        <f>IF(Table1[[#This Row],[used]], _xlfn.CONCAT("🆔 ", Table1[[#This Row],[variable]], ": ",Table1[[#This Row],[alias]]), "")</f>
        <v>🆔 B05006_116E: Oceania: Australia and New Zealand Subregion</v>
      </c>
      <c r="O790" t="s">
        <v>2922</v>
      </c>
      <c r="P790" t="s">
        <v>2797</v>
      </c>
      <c r="Q790" t="s">
        <v>41</v>
      </c>
      <c r="R790" t="s">
        <v>2898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</row>
    <row r="791" spans="1:33" x14ac:dyDescent="0.25">
      <c r="A791" t="s">
        <v>2871</v>
      </c>
      <c r="B791">
        <v>4</v>
      </c>
      <c r="C791" t="b">
        <v>0</v>
      </c>
      <c r="D791" t="s">
        <v>592</v>
      </c>
      <c r="E791" t="s">
        <v>2792</v>
      </c>
      <c r="F791" t="s">
        <v>2915</v>
      </c>
      <c r="G791" t="s">
        <v>2921</v>
      </c>
      <c r="H791">
        <v>790</v>
      </c>
      <c r="I791" t="str">
        <f>IF(ISBLANK(Table1[[#This Row],[oid]]),"FALSE","TRUE")</f>
        <v>TRUE</v>
      </c>
      <c r="J791" t="str" cm="1">
        <f t="array" ref="J791">_xlfn.SWITCH(LEFT(Table1[[#This Row],[section]],1), "D", "Demographic", "S", "Social", "E", "Economic", "H", "Housing", "")</f>
        <v>Social</v>
      </c>
      <c r="K791" t="s">
        <v>2795</v>
      </c>
      <c r="L791" s="1" t="s">
        <v>2796</v>
      </c>
      <c r="M791" t="str">
        <f>IF(Table1[[#This Row],[used]], _xlfn.CONCAT("🆔 ", Table1[[#This Row],[variable]], ": ",Table1[[#This Row],[alias]]), "")</f>
        <v>🆔 B05006_117E: Oceania: Australia and New Zealand Subregion</v>
      </c>
      <c r="O791" t="s">
        <v>2922</v>
      </c>
      <c r="P791" t="s">
        <v>2797</v>
      </c>
      <c r="Q791" t="s">
        <v>41</v>
      </c>
      <c r="R791" t="s">
        <v>2916</v>
      </c>
      <c r="S791" t="b">
        <v>1</v>
      </c>
      <c r="T791" t="b">
        <v>1</v>
      </c>
      <c r="U791" t="b">
        <v>0</v>
      </c>
      <c r="V791" t="b">
        <v>1</v>
      </c>
      <c r="W791" t="b">
        <v>1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</row>
    <row r="792" spans="1:33" x14ac:dyDescent="0.25">
      <c r="A792" t="s">
        <v>755</v>
      </c>
      <c r="B792">
        <v>4</v>
      </c>
      <c r="C792" t="b">
        <v>0</v>
      </c>
      <c r="D792" t="s">
        <v>592</v>
      </c>
      <c r="E792" t="s">
        <v>2792</v>
      </c>
      <c r="F792" t="s">
        <v>2923</v>
      </c>
      <c r="G792" t="s">
        <v>2921</v>
      </c>
      <c r="H792">
        <v>791</v>
      </c>
      <c r="I792" t="str">
        <f>IF(ISBLANK(Table1[[#This Row],[oid]]),"FALSE","TRUE")</f>
        <v>TRUE</v>
      </c>
      <c r="J792" t="str" cm="1">
        <f t="array" ref="J792">_xlfn.SWITCH(LEFT(Table1[[#This Row],[section]],1), "D", "Demographic", "S", "Social", "E", "Economic", "H", "Housing", "")</f>
        <v>Social</v>
      </c>
      <c r="K792" t="s">
        <v>2795</v>
      </c>
      <c r="L792" s="1" t="s">
        <v>2796</v>
      </c>
      <c r="M792" t="str">
        <f>IF(Table1[[#This Row],[used]], _xlfn.CONCAT("🆔 ", Table1[[#This Row],[variable]], ": ",Table1[[#This Row],[alias]]), "")</f>
        <v>🆔 B05006_118E: Oceania: Australia and New Zealand Subregion</v>
      </c>
      <c r="O792" t="s">
        <v>2922</v>
      </c>
      <c r="P792" t="s">
        <v>2797</v>
      </c>
      <c r="Q792" t="s">
        <v>41</v>
      </c>
      <c r="R792" t="s">
        <v>2924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1</v>
      </c>
      <c r="Y792" t="b">
        <v>1</v>
      </c>
      <c r="Z792" t="b">
        <v>1</v>
      </c>
      <c r="AA792" t="b">
        <v>1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</row>
    <row r="793" spans="1:33" x14ac:dyDescent="0.25">
      <c r="A793" t="s">
        <v>2878</v>
      </c>
      <c r="B793">
        <v>3</v>
      </c>
      <c r="C793" t="b">
        <v>0</v>
      </c>
      <c r="D793" t="s">
        <v>592</v>
      </c>
      <c r="E793" t="s">
        <v>2792</v>
      </c>
      <c r="F793" t="s">
        <v>2925</v>
      </c>
      <c r="G793" t="s">
        <v>2921</v>
      </c>
      <c r="H793">
        <v>792</v>
      </c>
      <c r="I793" t="str">
        <f>IF(ISBLANK(Table1[[#This Row],[oid]]),"FALSE","TRUE")</f>
        <v>TRUE</v>
      </c>
      <c r="J793" t="str" cm="1">
        <f t="array" ref="J793">_xlfn.SWITCH(LEFT(Table1[[#This Row],[section]],1), "D", "Demographic", "S", "Social", "E", "Economic", "H", "Housing", "")</f>
        <v>Social</v>
      </c>
      <c r="K793" t="s">
        <v>2795</v>
      </c>
      <c r="L793" s="1" t="s">
        <v>2796</v>
      </c>
      <c r="M793" t="str">
        <f>IF(Table1[[#This Row],[used]], _xlfn.CONCAT("🆔 ", Table1[[#This Row],[variable]], ": ",Table1[[#This Row],[alias]]), "")</f>
        <v>🆔 B05006_123E: Oceania: Australia and New Zealand Subregion</v>
      </c>
      <c r="O793" t="s">
        <v>2922</v>
      </c>
      <c r="P793" t="s">
        <v>2797</v>
      </c>
      <c r="Q793" t="s">
        <v>41</v>
      </c>
      <c r="R793" t="s">
        <v>2926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1</v>
      </c>
      <c r="AC793" t="b">
        <v>1</v>
      </c>
      <c r="AD793" t="b">
        <v>1</v>
      </c>
      <c r="AE793" t="b">
        <v>0</v>
      </c>
      <c r="AF793" t="b">
        <v>0</v>
      </c>
      <c r="AG793" t="b">
        <v>0</v>
      </c>
    </row>
    <row r="794" spans="1:33" x14ac:dyDescent="0.25">
      <c r="A794" t="s">
        <v>2845</v>
      </c>
      <c r="B794">
        <v>3</v>
      </c>
      <c r="C794" t="b">
        <v>0</v>
      </c>
      <c r="D794" t="s">
        <v>592</v>
      </c>
      <c r="E794" t="s">
        <v>2792</v>
      </c>
      <c r="F794" t="s">
        <v>2927</v>
      </c>
      <c r="G794" t="s">
        <v>2921</v>
      </c>
      <c r="H794">
        <v>793</v>
      </c>
      <c r="I794" t="str">
        <f>IF(ISBLANK(Table1[[#This Row],[oid]]),"FALSE","TRUE")</f>
        <v>TRUE</v>
      </c>
      <c r="J794" t="str" cm="1">
        <f t="array" ref="J794">_xlfn.SWITCH(LEFT(Table1[[#This Row],[section]],1), "D", "Demographic", "S", "Social", "E", "Economic", "H", "Housing", "")</f>
        <v>Social</v>
      </c>
      <c r="K794" t="s">
        <v>2795</v>
      </c>
      <c r="L794" s="1" t="s">
        <v>2796</v>
      </c>
      <c r="M794" t="str">
        <f>IF(Table1[[#This Row],[used]], _xlfn.CONCAT("🆔 ", Table1[[#This Row],[variable]], ": ",Table1[[#This Row],[alias]]), "")</f>
        <v>🆔 B05006_131E: Oceania: Australia and New Zealand Subregion</v>
      </c>
      <c r="O794" t="s">
        <v>2922</v>
      </c>
      <c r="P794" t="s">
        <v>2847</v>
      </c>
      <c r="Q794" t="s">
        <v>41</v>
      </c>
      <c r="R794" t="s">
        <v>2928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1</v>
      </c>
      <c r="AF794" t="b">
        <v>1</v>
      </c>
      <c r="AG794" t="b">
        <v>1</v>
      </c>
    </row>
    <row r="795" spans="1:33" x14ac:dyDescent="0.25">
      <c r="A795" t="s">
        <v>20</v>
      </c>
      <c r="B795">
        <v>1</v>
      </c>
      <c r="C795" t="b">
        <v>0</v>
      </c>
      <c r="D795" t="s">
        <v>592</v>
      </c>
      <c r="E795" t="s">
        <v>2792</v>
      </c>
      <c r="F795" t="s">
        <v>2929</v>
      </c>
      <c r="G795" t="s">
        <v>2930</v>
      </c>
      <c r="H795">
        <v>794</v>
      </c>
      <c r="I795" t="str">
        <f>IF(ISBLANK(Table1[[#This Row],[oid]]),"FALSE","TRUE")</f>
        <v>TRUE</v>
      </c>
      <c r="J795" t="str" cm="1">
        <f t="array" ref="J795">_xlfn.SWITCH(LEFT(Table1[[#This Row],[section]],1), "D", "Demographic", "S", "Social", "E", "Economic", "H", "Housing", "")</f>
        <v>Social</v>
      </c>
      <c r="K795" t="s">
        <v>2795</v>
      </c>
      <c r="L795" s="1" t="s">
        <v>2796</v>
      </c>
      <c r="M795" t="str">
        <f>IF(Table1[[#This Row],[used]], _xlfn.CONCAT("🆔 ", Table1[[#This Row],[variable]], ": ",Table1[[#This Row],[alias]]), "")</f>
        <v>🆔 B05006_121E: Americas</v>
      </c>
      <c r="O795" t="s">
        <v>2931</v>
      </c>
      <c r="P795" t="s">
        <v>2797</v>
      </c>
      <c r="Q795" t="s">
        <v>41</v>
      </c>
      <c r="R795" t="s">
        <v>2932</v>
      </c>
      <c r="S795" t="b">
        <v>0</v>
      </c>
      <c r="T795" t="b">
        <v>0</v>
      </c>
      <c r="U795" t="b">
        <v>1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</row>
    <row r="796" spans="1:33" x14ac:dyDescent="0.25">
      <c r="A796" t="s">
        <v>2871</v>
      </c>
      <c r="B796">
        <v>4</v>
      </c>
      <c r="C796" t="b">
        <v>0</v>
      </c>
      <c r="D796" t="s">
        <v>592</v>
      </c>
      <c r="E796" t="s">
        <v>2792</v>
      </c>
      <c r="F796" t="s">
        <v>2917</v>
      </c>
      <c r="G796" t="s">
        <v>2930</v>
      </c>
      <c r="H796">
        <v>795</v>
      </c>
      <c r="I796" t="str">
        <f>IF(ISBLANK(Table1[[#This Row],[oid]]),"FALSE","TRUE")</f>
        <v>TRUE</v>
      </c>
      <c r="J796" t="str" cm="1">
        <f t="array" ref="J796">_xlfn.SWITCH(LEFT(Table1[[#This Row],[section]],1), "D", "Demographic", "S", "Social", "E", "Economic", "H", "Housing", "")</f>
        <v>Social</v>
      </c>
      <c r="K796" t="s">
        <v>2795</v>
      </c>
      <c r="L796" s="1" t="s">
        <v>2796</v>
      </c>
      <c r="M796" t="str">
        <f>IF(Table1[[#This Row],[used]], _xlfn.CONCAT("🆔 ", Table1[[#This Row],[variable]], ": ",Table1[[#This Row],[alias]]), "")</f>
        <v>🆔 B05006_122E: Americas</v>
      </c>
      <c r="O796" t="s">
        <v>2931</v>
      </c>
      <c r="P796" t="s">
        <v>2797</v>
      </c>
      <c r="Q796" t="s">
        <v>41</v>
      </c>
      <c r="R796" t="s">
        <v>2918</v>
      </c>
      <c r="S796" t="b">
        <v>1</v>
      </c>
      <c r="T796" t="b">
        <v>1</v>
      </c>
      <c r="U796" t="b">
        <v>0</v>
      </c>
      <c r="V796" t="b">
        <v>1</v>
      </c>
      <c r="W796" t="b">
        <v>1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</row>
    <row r="797" spans="1:33" x14ac:dyDescent="0.25">
      <c r="A797" t="s">
        <v>755</v>
      </c>
      <c r="B797">
        <v>4</v>
      </c>
      <c r="C797" t="b">
        <v>0</v>
      </c>
      <c r="D797" t="s">
        <v>592</v>
      </c>
      <c r="E797" t="s">
        <v>2792</v>
      </c>
      <c r="F797" t="s">
        <v>2925</v>
      </c>
      <c r="G797" t="s">
        <v>2930</v>
      </c>
      <c r="H797">
        <v>796</v>
      </c>
      <c r="I797" t="str">
        <f>IF(ISBLANK(Table1[[#This Row],[oid]]),"FALSE","TRUE")</f>
        <v>TRUE</v>
      </c>
      <c r="J797" t="str" cm="1">
        <f t="array" ref="J797">_xlfn.SWITCH(LEFT(Table1[[#This Row],[section]],1), "D", "Demographic", "S", "Social", "E", "Economic", "H", "Housing", "")</f>
        <v>Social</v>
      </c>
      <c r="K797" t="s">
        <v>2795</v>
      </c>
      <c r="L797" s="1" t="s">
        <v>2796</v>
      </c>
      <c r="M797" t="str">
        <f>IF(Table1[[#This Row],[used]], _xlfn.CONCAT("🆔 ", Table1[[#This Row],[variable]], ": ",Table1[[#This Row],[alias]]), "")</f>
        <v>🆔 B05006_123E: Americas</v>
      </c>
      <c r="O797" t="s">
        <v>2931</v>
      </c>
      <c r="P797" t="s">
        <v>2797</v>
      </c>
      <c r="Q797" t="s">
        <v>41</v>
      </c>
      <c r="R797" t="s">
        <v>2926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1</v>
      </c>
      <c r="Y797" t="b">
        <v>1</v>
      </c>
      <c r="Z797" t="b">
        <v>1</v>
      </c>
      <c r="AA797" t="b">
        <v>1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</row>
    <row r="798" spans="1:33" x14ac:dyDescent="0.25">
      <c r="A798" t="s">
        <v>2878</v>
      </c>
      <c r="B798">
        <v>3</v>
      </c>
      <c r="C798" t="b">
        <v>0</v>
      </c>
      <c r="D798" t="s">
        <v>592</v>
      </c>
      <c r="E798" t="s">
        <v>2792</v>
      </c>
      <c r="F798" t="s">
        <v>2933</v>
      </c>
      <c r="G798" t="s">
        <v>2930</v>
      </c>
      <c r="H798">
        <v>797</v>
      </c>
      <c r="I798" t="str">
        <f>IF(ISBLANK(Table1[[#This Row],[oid]]),"FALSE","TRUE")</f>
        <v>TRUE</v>
      </c>
      <c r="J798" t="str" cm="1">
        <f t="array" ref="J798">_xlfn.SWITCH(LEFT(Table1[[#This Row],[section]],1), "D", "Demographic", "S", "Social", "E", "Economic", "H", "Housing", "")</f>
        <v>Social</v>
      </c>
      <c r="K798" t="s">
        <v>2795</v>
      </c>
      <c r="L798" s="1" t="s">
        <v>2796</v>
      </c>
      <c r="M798" t="str">
        <f>IF(Table1[[#This Row],[used]], _xlfn.CONCAT("🆔 ", Table1[[#This Row],[variable]], ": ",Table1[[#This Row],[alias]]), "")</f>
        <v>🆔 B05006_129E: Americas</v>
      </c>
      <c r="O798" t="s">
        <v>2931</v>
      </c>
      <c r="P798" t="s">
        <v>2797</v>
      </c>
      <c r="Q798" t="s">
        <v>41</v>
      </c>
      <c r="R798" t="s">
        <v>2934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1</v>
      </c>
      <c r="AC798" t="b">
        <v>1</v>
      </c>
      <c r="AD798" t="b">
        <v>1</v>
      </c>
      <c r="AE798" t="b">
        <v>0</v>
      </c>
      <c r="AF798" t="b">
        <v>0</v>
      </c>
      <c r="AG798" t="b">
        <v>0</v>
      </c>
    </row>
    <row r="799" spans="1:33" x14ac:dyDescent="0.25">
      <c r="A799" t="s">
        <v>2845</v>
      </c>
      <c r="B799">
        <v>3</v>
      </c>
      <c r="C799" t="b">
        <v>0</v>
      </c>
      <c r="D799" t="s">
        <v>592</v>
      </c>
      <c r="E799" t="s">
        <v>2792</v>
      </c>
      <c r="F799" t="s">
        <v>2935</v>
      </c>
      <c r="G799" t="s">
        <v>2930</v>
      </c>
      <c r="H799">
        <v>798</v>
      </c>
      <c r="I799" t="str">
        <f>IF(ISBLANK(Table1[[#This Row],[oid]]),"FALSE","TRUE")</f>
        <v>TRUE</v>
      </c>
      <c r="J799" t="str" cm="1">
        <f t="array" ref="J799">_xlfn.SWITCH(LEFT(Table1[[#This Row],[section]],1), "D", "Demographic", "S", "Social", "E", "Economic", "H", "Housing", "")</f>
        <v>Social</v>
      </c>
      <c r="K799" t="s">
        <v>2795</v>
      </c>
      <c r="L799" s="1" t="s">
        <v>2796</v>
      </c>
      <c r="M799" t="str">
        <f>IF(Table1[[#This Row],[used]], _xlfn.CONCAT("🆔 ", Table1[[#This Row],[variable]], ": ",Table1[[#This Row],[alias]]), "")</f>
        <v>🆔 B05006_138E: Americas</v>
      </c>
      <c r="O799" t="s">
        <v>2931</v>
      </c>
      <c r="P799" t="s">
        <v>2847</v>
      </c>
      <c r="Q799" t="s">
        <v>41</v>
      </c>
      <c r="R799" t="s">
        <v>2936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1</v>
      </c>
      <c r="AF799" t="b">
        <v>1</v>
      </c>
      <c r="AG799" t="b">
        <v>1</v>
      </c>
    </row>
    <row r="800" spans="1:33" x14ac:dyDescent="0.25">
      <c r="A800" t="s">
        <v>20</v>
      </c>
      <c r="B800">
        <v>1</v>
      </c>
      <c r="C800" t="b">
        <v>0</v>
      </c>
      <c r="D800" t="s">
        <v>592</v>
      </c>
      <c r="E800" t="s">
        <v>2792</v>
      </c>
      <c r="F800" t="s">
        <v>2917</v>
      </c>
      <c r="G800" t="s">
        <v>2937</v>
      </c>
      <c r="H800">
        <v>799</v>
      </c>
      <c r="I800" t="str">
        <f>IF(ISBLANK(Table1[[#This Row],[oid]]),"FALSE","TRUE")</f>
        <v>TRUE</v>
      </c>
      <c r="J800" t="str" cm="1">
        <f t="array" ref="J800">_xlfn.SWITCH(LEFT(Table1[[#This Row],[section]],1), "D", "Demographic", "S", "Social", "E", "Economic", "H", "Housing", "")</f>
        <v>Social</v>
      </c>
      <c r="K800" t="s">
        <v>2795</v>
      </c>
      <c r="L800" s="1" t="s">
        <v>2796</v>
      </c>
      <c r="M800" t="str">
        <f>IF(Table1[[#This Row],[used]], _xlfn.CONCAT("🆔 ", Table1[[#This Row],[variable]], ": ",Table1[[#This Row],[alias]]), "")</f>
        <v>🆔 B05006_122E: Americas: Latin America</v>
      </c>
      <c r="O800" t="s">
        <v>2938</v>
      </c>
      <c r="P800" t="s">
        <v>2797</v>
      </c>
      <c r="Q800" t="s">
        <v>41</v>
      </c>
      <c r="R800" t="s">
        <v>2918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</row>
    <row r="801" spans="1:33" x14ac:dyDescent="0.25">
      <c r="A801" t="s">
        <v>2871</v>
      </c>
      <c r="B801">
        <v>4</v>
      </c>
      <c r="C801" t="b">
        <v>0</v>
      </c>
      <c r="D801" t="s">
        <v>592</v>
      </c>
      <c r="E801" t="s">
        <v>2792</v>
      </c>
      <c r="F801" t="s">
        <v>2925</v>
      </c>
      <c r="G801" t="s">
        <v>2937</v>
      </c>
      <c r="H801">
        <v>800</v>
      </c>
      <c r="I801" t="str">
        <f>IF(ISBLANK(Table1[[#This Row],[oid]]),"FALSE","TRUE")</f>
        <v>TRUE</v>
      </c>
      <c r="J801" t="str" cm="1">
        <f t="array" ref="J801">_xlfn.SWITCH(LEFT(Table1[[#This Row],[section]],1), "D", "Demographic", "S", "Social", "E", "Economic", "H", "Housing", "")</f>
        <v>Social</v>
      </c>
      <c r="K801" t="s">
        <v>2795</v>
      </c>
      <c r="L801" s="1" t="s">
        <v>2796</v>
      </c>
      <c r="M801" t="str">
        <f>IF(Table1[[#This Row],[used]], _xlfn.CONCAT("🆔 ", Table1[[#This Row],[variable]], ": ",Table1[[#This Row],[alias]]), "")</f>
        <v>🆔 B05006_123E: Americas: Latin America</v>
      </c>
      <c r="O801" t="s">
        <v>2938</v>
      </c>
      <c r="P801" t="s">
        <v>2797</v>
      </c>
      <c r="Q801" t="s">
        <v>41</v>
      </c>
      <c r="R801" t="s">
        <v>2926</v>
      </c>
      <c r="S801" t="b">
        <v>1</v>
      </c>
      <c r="T801" t="b">
        <v>1</v>
      </c>
      <c r="U801" t="b">
        <v>0</v>
      </c>
      <c r="V801" t="b">
        <v>1</v>
      </c>
      <c r="W801" t="b">
        <v>1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</row>
    <row r="802" spans="1:33" x14ac:dyDescent="0.25">
      <c r="A802" t="s">
        <v>755</v>
      </c>
      <c r="B802">
        <v>4</v>
      </c>
      <c r="C802" t="b">
        <v>0</v>
      </c>
      <c r="D802" t="s">
        <v>592</v>
      </c>
      <c r="E802" t="s">
        <v>2792</v>
      </c>
      <c r="F802" t="s">
        <v>2939</v>
      </c>
      <c r="G802" t="s">
        <v>2937</v>
      </c>
      <c r="H802">
        <v>801</v>
      </c>
      <c r="I802" t="str">
        <f>IF(ISBLANK(Table1[[#This Row],[oid]]),"FALSE","TRUE")</f>
        <v>TRUE</v>
      </c>
      <c r="J802" t="str" cm="1">
        <f t="array" ref="J802">_xlfn.SWITCH(LEFT(Table1[[#This Row],[section]],1), "D", "Demographic", "S", "Social", "E", "Economic", "H", "Housing", "")</f>
        <v>Social</v>
      </c>
      <c r="K802" t="s">
        <v>2795</v>
      </c>
      <c r="L802" s="1" t="s">
        <v>2796</v>
      </c>
      <c r="M802" t="str">
        <f>IF(Table1[[#This Row],[used]], _xlfn.CONCAT("🆔 ", Table1[[#This Row],[variable]], ": ",Table1[[#This Row],[alias]]), "")</f>
        <v>🆔 B05006_124E: Americas: Latin America</v>
      </c>
      <c r="O802" t="s">
        <v>2938</v>
      </c>
      <c r="P802" t="s">
        <v>2797</v>
      </c>
      <c r="Q802" t="s">
        <v>41</v>
      </c>
      <c r="R802" t="s">
        <v>2940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1</v>
      </c>
      <c r="Y802" t="b">
        <v>1</v>
      </c>
      <c r="Z802" t="b">
        <v>1</v>
      </c>
      <c r="AA802" t="b">
        <v>1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</row>
    <row r="803" spans="1:33" x14ac:dyDescent="0.25">
      <c r="A803" t="s">
        <v>2878</v>
      </c>
      <c r="B803">
        <v>3</v>
      </c>
      <c r="C803" t="b">
        <v>0</v>
      </c>
      <c r="D803" t="s">
        <v>592</v>
      </c>
      <c r="E803" t="s">
        <v>2792</v>
      </c>
      <c r="F803" t="s">
        <v>2919</v>
      </c>
      <c r="G803" t="s">
        <v>2937</v>
      </c>
      <c r="H803">
        <v>802</v>
      </c>
      <c r="I803" t="str">
        <f>IF(ISBLANK(Table1[[#This Row],[oid]]),"FALSE","TRUE")</f>
        <v>TRUE</v>
      </c>
      <c r="J803" t="str" cm="1">
        <f t="array" ref="J803">_xlfn.SWITCH(LEFT(Table1[[#This Row],[section]],1), "D", "Demographic", "S", "Social", "E", "Economic", "H", "Housing", "")</f>
        <v>Social</v>
      </c>
      <c r="K803" t="s">
        <v>2795</v>
      </c>
      <c r="L803" s="1" t="s">
        <v>2796</v>
      </c>
      <c r="M803" t="str">
        <f>IF(Table1[[#This Row],[used]], _xlfn.CONCAT("🆔 ", Table1[[#This Row],[variable]], ": ",Table1[[#This Row],[alias]]), "")</f>
        <v>🆔 B05006_130E: Americas: Latin America</v>
      </c>
      <c r="O803" t="s">
        <v>2938</v>
      </c>
      <c r="P803" t="s">
        <v>2797</v>
      </c>
      <c r="Q803" t="s">
        <v>41</v>
      </c>
      <c r="R803" t="s">
        <v>2920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1</v>
      </c>
      <c r="AC803" t="b">
        <v>1</v>
      </c>
      <c r="AD803" t="b">
        <v>1</v>
      </c>
      <c r="AE803" t="b">
        <v>0</v>
      </c>
      <c r="AF803" t="b">
        <v>0</v>
      </c>
      <c r="AG803" t="b">
        <v>0</v>
      </c>
    </row>
    <row r="804" spans="1:33" x14ac:dyDescent="0.25">
      <c r="A804" t="s">
        <v>2845</v>
      </c>
      <c r="B804">
        <v>3</v>
      </c>
      <c r="C804" t="b">
        <v>0</v>
      </c>
      <c r="D804" t="s">
        <v>592</v>
      </c>
      <c r="E804" t="s">
        <v>2792</v>
      </c>
      <c r="F804" t="s">
        <v>2941</v>
      </c>
      <c r="G804" t="s">
        <v>2937</v>
      </c>
      <c r="H804">
        <v>803</v>
      </c>
      <c r="I804" t="str">
        <f>IF(ISBLANK(Table1[[#This Row],[oid]]),"FALSE","TRUE")</f>
        <v>TRUE</v>
      </c>
      <c r="J804" t="str" cm="1">
        <f t="array" ref="J804">_xlfn.SWITCH(LEFT(Table1[[#This Row],[section]],1), "D", "Demographic", "S", "Social", "E", "Economic", "H", "Housing", "")</f>
        <v>Social</v>
      </c>
      <c r="K804" t="s">
        <v>2795</v>
      </c>
      <c r="L804" s="1" t="s">
        <v>2796</v>
      </c>
      <c r="M804" t="str">
        <f>IF(Table1[[#This Row],[used]], _xlfn.CONCAT("🆔 ", Table1[[#This Row],[variable]], ": ",Table1[[#This Row],[alias]]), "")</f>
        <v>🆔 B05006_139E: Americas: Latin America</v>
      </c>
      <c r="O804" t="s">
        <v>2938</v>
      </c>
      <c r="P804" t="s">
        <v>2847</v>
      </c>
      <c r="Q804" t="s">
        <v>41</v>
      </c>
      <c r="R804" t="s">
        <v>2942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1</v>
      </c>
      <c r="AF804" t="b">
        <v>1</v>
      </c>
      <c r="AG804" t="b">
        <v>1</v>
      </c>
    </row>
    <row r="805" spans="1:33" x14ac:dyDescent="0.25">
      <c r="A805" t="s">
        <v>20</v>
      </c>
      <c r="B805">
        <v>1</v>
      </c>
      <c r="C805" t="b">
        <v>0</v>
      </c>
      <c r="D805" t="s">
        <v>592</v>
      </c>
      <c r="E805" t="s">
        <v>2792</v>
      </c>
      <c r="F805" t="s">
        <v>2925</v>
      </c>
      <c r="G805" t="s">
        <v>2943</v>
      </c>
      <c r="H805">
        <v>804</v>
      </c>
      <c r="I805" t="str">
        <f>IF(ISBLANK(Table1[[#This Row],[oid]]),"FALSE","TRUE")</f>
        <v>TRUE</v>
      </c>
      <c r="J805" t="str" cm="1">
        <f t="array" ref="J805">_xlfn.SWITCH(LEFT(Table1[[#This Row],[section]],1), "D", "Demographic", "S", "Social", "E", "Economic", "H", "Housing", "")</f>
        <v>Social</v>
      </c>
      <c r="K805" t="s">
        <v>2795</v>
      </c>
      <c r="L805" s="1" t="s">
        <v>2796</v>
      </c>
      <c r="M805" t="str">
        <f>IF(Table1[[#This Row],[used]], _xlfn.CONCAT("🆔 ", Table1[[#This Row],[variable]], ": ",Table1[[#This Row],[alias]]), "")</f>
        <v>🆔 B05006_123E: Americas: Latin America: Caribbean</v>
      </c>
      <c r="O805" t="s">
        <v>2944</v>
      </c>
      <c r="P805" t="s">
        <v>2797</v>
      </c>
      <c r="Q805" t="s">
        <v>41</v>
      </c>
      <c r="R805" t="s">
        <v>2926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</row>
    <row r="806" spans="1:33" x14ac:dyDescent="0.25">
      <c r="A806" t="s">
        <v>2871</v>
      </c>
      <c r="B806">
        <v>4</v>
      </c>
      <c r="C806" t="b">
        <v>0</v>
      </c>
      <c r="D806" t="s">
        <v>592</v>
      </c>
      <c r="E806" t="s">
        <v>2792</v>
      </c>
      <c r="F806" t="s">
        <v>2939</v>
      </c>
      <c r="G806" t="s">
        <v>2943</v>
      </c>
      <c r="H806">
        <v>805</v>
      </c>
      <c r="I806" t="str">
        <f>IF(ISBLANK(Table1[[#This Row],[oid]]),"FALSE","TRUE")</f>
        <v>TRUE</v>
      </c>
      <c r="J806" t="str" cm="1">
        <f t="array" ref="J806">_xlfn.SWITCH(LEFT(Table1[[#This Row],[section]],1), "D", "Demographic", "S", "Social", "E", "Economic", "H", "Housing", "")</f>
        <v>Social</v>
      </c>
      <c r="K806" t="s">
        <v>2795</v>
      </c>
      <c r="L806" s="1" t="s">
        <v>2796</v>
      </c>
      <c r="M806" t="str">
        <f>IF(Table1[[#This Row],[used]], _xlfn.CONCAT("🆔 ", Table1[[#This Row],[variable]], ": ",Table1[[#This Row],[alias]]), "")</f>
        <v>🆔 B05006_124E: Americas: Latin America: Caribbean</v>
      </c>
      <c r="O806" t="s">
        <v>2944</v>
      </c>
      <c r="P806" t="s">
        <v>2797</v>
      </c>
      <c r="Q806" t="s">
        <v>41</v>
      </c>
      <c r="R806" t="s">
        <v>2940</v>
      </c>
      <c r="S806" t="b">
        <v>1</v>
      </c>
      <c r="T806" t="b">
        <v>1</v>
      </c>
      <c r="U806" t="b">
        <v>0</v>
      </c>
      <c r="V806" t="b">
        <v>1</v>
      </c>
      <c r="W806" t="b">
        <v>1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</row>
    <row r="807" spans="1:33" x14ac:dyDescent="0.25">
      <c r="A807" t="s">
        <v>755</v>
      </c>
      <c r="B807">
        <v>4</v>
      </c>
      <c r="C807" t="b">
        <v>0</v>
      </c>
      <c r="D807" t="s">
        <v>592</v>
      </c>
      <c r="E807" t="s">
        <v>2792</v>
      </c>
      <c r="F807" t="s">
        <v>2945</v>
      </c>
      <c r="G807" t="s">
        <v>2943</v>
      </c>
      <c r="H807">
        <v>806</v>
      </c>
      <c r="I807" t="str">
        <f>IF(ISBLANK(Table1[[#This Row],[oid]]),"FALSE","TRUE")</f>
        <v>TRUE</v>
      </c>
      <c r="J807" t="str" cm="1">
        <f t="array" ref="J807">_xlfn.SWITCH(LEFT(Table1[[#This Row],[section]],1), "D", "Demographic", "S", "Social", "E", "Economic", "H", "Housing", "")</f>
        <v>Social</v>
      </c>
      <c r="K807" t="s">
        <v>2795</v>
      </c>
      <c r="L807" s="1" t="s">
        <v>2796</v>
      </c>
      <c r="M807" t="str">
        <f>IF(Table1[[#This Row],[used]], _xlfn.CONCAT("🆔 ", Table1[[#This Row],[variable]], ": ",Table1[[#This Row],[alias]]), "")</f>
        <v>🆔 B05006_125E: Americas: Latin America: Caribbean</v>
      </c>
      <c r="O807" t="s">
        <v>2944</v>
      </c>
      <c r="P807" t="s">
        <v>2797</v>
      </c>
      <c r="Q807" t="s">
        <v>41</v>
      </c>
      <c r="R807" t="s">
        <v>2946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1</v>
      </c>
      <c r="Y807" t="b">
        <v>1</v>
      </c>
      <c r="Z807" t="b">
        <v>1</v>
      </c>
      <c r="AA807" t="b">
        <v>1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</row>
    <row r="808" spans="1:33" x14ac:dyDescent="0.25">
      <c r="A808" t="s">
        <v>2878</v>
      </c>
      <c r="B808">
        <v>3</v>
      </c>
      <c r="C808" t="b">
        <v>0</v>
      </c>
      <c r="D808" t="s">
        <v>592</v>
      </c>
      <c r="E808" t="s">
        <v>2792</v>
      </c>
      <c r="F808" t="s">
        <v>2927</v>
      </c>
      <c r="G808" t="s">
        <v>2943</v>
      </c>
      <c r="H808">
        <v>807</v>
      </c>
      <c r="I808" t="str">
        <f>IF(ISBLANK(Table1[[#This Row],[oid]]),"FALSE","TRUE")</f>
        <v>TRUE</v>
      </c>
      <c r="J808" t="str" cm="1">
        <f t="array" ref="J808">_xlfn.SWITCH(LEFT(Table1[[#This Row],[section]],1), "D", "Demographic", "S", "Social", "E", "Economic", "H", "Housing", "")</f>
        <v>Social</v>
      </c>
      <c r="K808" t="s">
        <v>2795</v>
      </c>
      <c r="L808" s="1" t="s">
        <v>2796</v>
      </c>
      <c r="M808" t="str">
        <f>IF(Table1[[#This Row],[used]], _xlfn.CONCAT("🆔 ", Table1[[#This Row],[variable]], ": ",Table1[[#This Row],[alias]]), "")</f>
        <v>🆔 B05006_131E: Americas: Latin America: Caribbean</v>
      </c>
      <c r="O808" t="s">
        <v>2944</v>
      </c>
      <c r="P808" t="s">
        <v>2797</v>
      </c>
      <c r="Q808" t="s">
        <v>41</v>
      </c>
      <c r="R808" t="s">
        <v>2928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1</v>
      </c>
      <c r="AC808" t="b">
        <v>1</v>
      </c>
      <c r="AD808" t="b">
        <v>1</v>
      </c>
      <c r="AE808" t="b">
        <v>0</v>
      </c>
      <c r="AF808" t="b">
        <v>0</v>
      </c>
      <c r="AG808" t="b">
        <v>0</v>
      </c>
    </row>
    <row r="809" spans="1:33" x14ac:dyDescent="0.25">
      <c r="A809" t="s">
        <v>2845</v>
      </c>
      <c r="B809">
        <v>3</v>
      </c>
      <c r="C809" t="b">
        <v>0</v>
      </c>
      <c r="D809" t="s">
        <v>592</v>
      </c>
      <c r="E809" t="s">
        <v>2792</v>
      </c>
      <c r="F809" t="s">
        <v>2947</v>
      </c>
      <c r="G809" t="s">
        <v>2943</v>
      </c>
      <c r="H809">
        <v>808</v>
      </c>
      <c r="I809" t="str">
        <f>IF(ISBLANK(Table1[[#This Row],[oid]]),"FALSE","TRUE")</f>
        <v>TRUE</v>
      </c>
      <c r="J809" t="str" cm="1">
        <f t="array" ref="J809">_xlfn.SWITCH(LEFT(Table1[[#This Row],[section]],1), "D", "Demographic", "S", "Social", "E", "Economic", "H", "Housing", "")</f>
        <v>Social</v>
      </c>
      <c r="K809" t="s">
        <v>2795</v>
      </c>
      <c r="L809" s="1" t="s">
        <v>2796</v>
      </c>
      <c r="M809" t="str">
        <f>IF(Table1[[#This Row],[used]], _xlfn.CONCAT("🆔 ", Table1[[#This Row],[variable]], ": ",Table1[[#This Row],[alias]]), "")</f>
        <v>🆔 B05006_140E: Americas: Latin America: Caribbean</v>
      </c>
      <c r="O809" t="s">
        <v>2944</v>
      </c>
      <c r="P809" t="s">
        <v>2847</v>
      </c>
      <c r="Q809" t="s">
        <v>41</v>
      </c>
      <c r="R809" t="s">
        <v>2948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1</v>
      </c>
      <c r="AF809" t="b">
        <v>1</v>
      </c>
      <c r="AG809" t="b">
        <v>1</v>
      </c>
    </row>
    <row r="810" spans="1:33" x14ac:dyDescent="0.25">
      <c r="A810" t="s">
        <v>20</v>
      </c>
      <c r="B810">
        <v>1</v>
      </c>
      <c r="C810" t="b">
        <v>0</v>
      </c>
      <c r="D810" t="s">
        <v>592</v>
      </c>
      <c r="E810" t="s">
        <v>2792</v>
      </c>
      <c r="F810" t="s">
        <v>2949</v>
      </c>
      <c r="G810" t="s">
        <v>2950</v>
      </c>
      <c r="H810">
        <v>809</v>
      </c>
      <c r="I810" t="str">
        <f>IF(ISBLANK(Table1[[#This Row],[oid]]),"FALSE","TRUE")</f>
        <v>TRUE</v>
      </c>
      <c r="J810" t="str" cm="1">
        <f t="array" ref="J810">_xlfn.SWITCH(LEFT(Table1[[#This Row],[section]],1), "D", "Demographic", "S", "Social", "E", "Economic", "H", "Housing", "")</f>
        <v>Social</v>
      </c>
      <c r="K810" t="s">
        <v>2795</v>
      </c>
      <c r="L810" s="1" t="s">
        <v>2796</v>
      </c>
      <c r="M810" t="str">
        <f>IF(Table1[[#This Row],[used]], _xlfn.CONCAT("🆔 ", Table1[[#This Row],[variable]], ": ",Table1[[#This Row],[alias]]), "")</f>
        <v>🆔 B05006_136E: Americas: Latin America: Central America</v>
      </c>
      <c r="O810" t="s">
        <v>2951</v>
      </c>
      <c r="P810" t="s">
        <v>2797</v>
      </c>
      <c r="Q810" t="s">
        <v>41</v>
      </c>
      <c r="R810" t="s">
        <v>2952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</row>
    <row r="811" spans="1:33" x14ac:dyDescent="0.25">
      <c r="A811" t="s">
        <v>2871</v>
      </c>
      <c r="B811">
        <v>4</v>
      </c>
      <c r="C811" t="b">
        <v>0</v>
      </c>
      <c r="D811" t="s">
        <v>592</v>
      </c>
      <c r="E811" t="s">
        <v>2792</v>
      </c>
      <c r="F811" t="s">
        <v>2953</v>
      </c>
      <c r="G811" t="s">
        <v>2950</v>
      </c>
      <c r="H811">
        <v>810</v>
      </c>
      <c r="I811" t="str">
        <f>IF(ISBLANK(Table1[[#This Row],[oid]]),"FALSE","TRUE")</f>
        <v>TRUE</v>
      </c>
      <c r="J811" t="str" cm="1">
        <f t="array" ref="J811">_xlfn.SWITCH(LEFT(Table1[[#This Row],[section]],1), "D", "Demographic", "S", "Social", "E", "Economic", "H", "Housing", "")</f>
        <v>Social</v>
      </c>
      <c r="K811" t="s">
        <v>2795</v>
      </c>
      <c r="L811" s="1" t="s">
        <v>2796</v>
      </c>
      <c r="M811" t="str">
        <f>IF(Table1[[#This Row],[used]], _xlfn.CONCAT("🆔 ", Table1[[#This Row],[variable]], ": ",Table1[[#This Row],[alias]]), "")</f>
        <v>🆔 B05006_137E: Americas: Latin America: Central America</v>
      </c>
      <c r="O811" t="s">
        <v>2951</v>
      </c>
      <c r="P811" t="s">
        <v>2797</v>
      </c>
      <c r="Q811" t="s">
        <v>41</v>
      </c>
      <c r="R811" t="s">
        <v>2954</v>
      </c>
      <c r="S811" t="b">
        <v>1</v>
      </c>
      <c r="T811" t="b">
        <v>1</v>
      </c>
      <c r="U811" t="b">
        <v>0</v>
      </c>
      <c r="V811" t="b">
        <v>1</v>
      </c>
      <c r="W811" t="b">
        <v>1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</row>
    <row r="812" spans="1:33" x14ac:dyDescent="0.25">
      <c r="A812" t="s">
        <v>755</v>
      </c>
      <c r="B812">
        <v>4</v>
      </c>
      <c r="C812" t="b">
        <v>0</v>
      </c>
      <c r="D812" t="s">
        <v>592</v>
      </c>
      <c r="E812" t="s">
        <v>2792</v>
      </c>
      <c r="F812" t="s">
        <v>2935</v>
      </c>
      <c r="G812" t="s">
        <v>2950</v>
      </c>
      <c r="H812">
        <v>811</v>
      </c>
      <c r="I812" t="str">
        <f>IF(ISBLANK(Table1[[#This Row],[oid]]),"FALSE","TRUE")</f>
        <v>TRUE</v>
      </c>
      <c r="J812" t="str" cm="1">
        <f t="array" ref="J812">_xlfn.SWITCH(LEFT(Table1[[#This Row],[section]],1), "D", "Demographic", "S", "Social", "E", "Economic", "H", "Housing", "")</f>
        <v>Social</v>
      </c>
      <c r="K812" t="s">
        <v>2795</v>
      </c>
      <c r="L812" s="1" t="s">
        <v>2796</v>
      </c>
      <c r="M812" t="str">
        <f>IF(Table1[[#This Row],[used]], _xlfn.CONCAT("🆔 ", Table1[[#This Row],[variable]], ": ",Table1[[#This Row],[alias]]), "")</f>
        <v>🆔 B05006_138E: Americas: Latin America: Central America</v>
      </c>
      <c r="O812" t="s">
        <v>2951</v>
      </c>
      <c r="P812" t="s">
        <v>2797</v>
      </c>
      <c r="Q812" t="s">
        <v>41</v>
      </c>
      <c r="R812" t="s">
        <v>2936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1</v>
      </c>
      <c r="Y812" t="b">
        <v>1</v>
      </c>
      <c r="Z812" t="b">
        <v>1</v>
      </c>
      <c r="AA812" t="b">
        <v>1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</row>
    <row r="813" spans="1:33" x14ac:dyDescent="0.25">
      <c r="A813" t="s">
        <v>2878</v>
      </c>
      <c r="B813">
        <v>3</v>
      </c>
      <c r="C813" t="b">
        <v>0</v>
      </c>
      <c r="D813" t="s">
        <v>592</v>
      </c>
      <c r="E813" t="s">
        <v>2792</v>
      </c>
      <c r="F813" t="s">
        <v>2955</v>
      </c>
      <c r="G813" t="s">
        <v>2950</v>
      </c>
      <c r="H813">
        <v>812</v>
      </c>
      <c r="I813" t="str">
        <f>IF(ISBLANK(Table1[[#This Row],[oid]]),"FALSE","TRUE")</f>
        <v>TRUE</v>
      </c>
      <c r="J813" t="str" cm="1">
        <f t="array" ref="J813">_xlfn.SWITCH(LEFT(Table1[[#This Row],[section]],1), "D", "Demographic", "S", "Social", "E", "Economic", "H", "Housing", "")</f>
        <v>Social</v>
      </c>
      <c r="K813" t="s">
        <v>2795</v>
      </c>
      <c r="L813" s="1" t="s">
        <v>2796</v>
      </c>
      <c r="M813" t="str">
        <f>IF(Table1[[#This Row],[used]], _xlfn.CONCAT("🆔 ", Table1[[#This Row],[variable]], ": ",Table1[[#This Row],[alias]]), "")</f>
        <v>🆔 B05006_144E: Americas: Latin America: Central America</v>
      </c>
      <c r="O813" t="s">
        <v>2951</v>
      </c>
      <c r="P813" t="s">
        <v>2797</v>
      </c>
      <c r="Q813" t="s">
        <v>41</v>
      </c>
      <c r="R813" t="s">
        <v>2956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1</v>
      </c>
      <c r="AC813" t="b">
        <v>1</v>
      </c>
      <c r="AD813" t="b">
        <v>1</v>
      </c>
      <c r="AE813" t="b">
        <v>0</v>
      </c>
      <c r="AF813" t="b">
        <v>0</v>
      </c>
      <c r="AG813" t="b">
        <v>0</v>
      </c>
    </row>
    <row r="814" spans="1:33" x14ac:dyDescent="0.25">
      <c r="A814" t="s">
        <v>2845</v>
      </c>
      <c r="B814">
        <v>3</v>
      </c>
      <c r="C814" t="b">
        <v>0</v>
      </c>
      <c r="D814" t="s">
        <v>592</v>
      </c>
      <c r="E814" t="s">
        <v>2792</v>
      </c>
      <c r="F814" t="s">
        <v>2957</v>
      </c>
      <c r="G814" t="s">
        <v>2950</v>
      </c>
      <c r="H814">
        <v>813</v>
      </c>
      <c r="I814" t="str">
        <f>IF(ISBLANK(Table1[[#This Row],[oid]]),"FALSE","TRUE")</f>
        <v>TRUE</v>
      </c>
      <c r="J814" t="str" cm="1">
        <f t="array" ref="J814">_xlfn.SWITCH(LEFT(Table1[[#This Row],[section]],1), "D", "Demographic", "S", "Social", "E", "Economic", "H", "Housing", "")</f>
        <v>Social</v>
      </c>
      <c r="K814" t="s">
        <v>2795</v>
      </c>
      <c r="L814" s="1" t="s">
        <v>2796</v>
      </c>
      <c r="M814" t="str">
        <f>IF(Table1[[#This Row],[used]], _xlfn.CONCAT("🆔 ", Table1[[#This Row],[variable]], ": ",Table1[[#This Row],[alias]]), "")</f>
        <v>🆔 B05006_154E: Americas: Latin America: Central America</v>
      </c>
      <c r="O814" t="s">
        <v>2951</v>
      </c>
      <c r="P814" t="s">
        <v>2847</v>
      </c>
      <c r="Q814" t="s">
        <v>41</v>
      </c>
      <c r="R814" t="s">
        <v>2958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1</v>
      </c>
      <c r="AF814" t="b">
        <v>1</v>
      </c>
      <c r="AG814" t="b">
        <v>1</v>
      </c>
    </row>
    <row r="815" spans="1:33" x14ac:dyDescent="0.25">
      <c r="A815" t="s">
        <v>20</v>
      </c>
      <c r="B815">
        <v>1</v>
      </c>
      <c r="C815" t="b">
        <v>0</v>
      </c>
      <c r="D815" t="s">
        <v>592</v>
      </c>
      <c r="E815" t="s">
        <v>2792</v>
      </c>
      <c r="F815" t="s">
        <v>2959</v>
      </c>
      <c r="G815" t="s">
        <v>2960</v>
      </c>
      <c r="H815">
        <v>814</v>
      </c>
      <c r="I815" t="str">
        <f>IF(ISBLANK(Table1[[#This Row],[oid]]),"FALSE","TRUE")</f>
        <v>TRUE</v>
      </c>
      <c r="J815" t="str" cm="1">
        <f t="array" ref="J815">_xlfn.SWITCH(LEFT(Table1[[#This Row],[section]],1), "D", "Demographic", "S", "Social", "E", "Economic", "H", "Housing", "")</f>
        <v>Social</v>
      </c>
      <c r="K815" t="s">
        <v>2795</v>
      </c>
      <c r="L815" s="1" t="s">
        <v>2796</v>
      </c>
      <c r="M815" t="str">
        <f>IF(Table1[[#This Row],[used]], _xlfn.CONCAT("🆔 ", Table1[[#This Row],[variable]], ": ",Table1[[#This Row],[alias]]), "")</f>
        <v>🆔 B05006_146E: Americas: Latin America: South America</v>
      </c>
      <c r="O815" t="s">
        <v>2961</v>
      </c>
      <c r="P815" t="s">
        <v>2797</v>
      </c>
      <c r="Q815" t="s">
        <v>41</v>
      </c>
      <c r="R815" t="s">
        <v>2962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</row>
    <row r="816" spans="1:33" x14ac:dyDescent="0.25">
      <c r="A816" t="s">
        <v>2871</v>
      </c>
      <c r="B816">
        <v>4</v>
      </c>
      <c r="C816" t="b">
        <v>0</v>
      </c>
      <c r="D816" t="s">
        <v>592</v>
      </c>
      <c r="E816" t="s">
        <v>2792</v>
      </c>
      <c r="F816" t="s">
        <v>2963</v>
      </c>
      <c r="G816" t="s">
        <v>2960</v>
      </c>
      <c r="H816">
        <v>815</v>
      </c>
      <c r="I816" t="str">
        <f>IF(ISBLANK(Table1[[#This Row],[oid]]),"FALSE","TRUE")</f>
        <v>TRUE</v>
      </c>
      <c r="J816" t="str" cm="1">
        <f t="array" ref="J816">_xlfn.SWITCH(LEFT(Table1[[#This Row],[section]],1), "D", "Demographic", "S", "Social", "E", "Economic", "H", "Housing", "")</f>
        <v>Social</v>
      </c>
      <c r="K816" t="s">
        <v>2795</v>
      </c>
      <c r="L816" s="1" t="s">
        <v>2796</v>
      </c>
      <c r="M816" t="str">
        <f>IF(Table1[[#This Row],[used]], _xlfn.CONCAT("🆔 ", Table1[[#This Row],[variable]], ": ",Table1[[#This Row],[alias]]), "")</f>
        <v>🆔 B05006_147E: Americas: Latin America: South America</v>
      </c>
      <c r="O816" t="s">
        <v>2961</v>
      </c>
      <c r="P816" t="s">
        <v>2797</v>
      </c>
      <c r="Q816" t="s">
        <v>41</v>
      </c>
      <c r="R816" t="s">
        <v>2964</v>
      </c>
      <c r="S816" t="b">
        <v>1</v>
      </c>
      <c r="T816" t="b">
        <v>1</v>
      </c>
      <c r="U816" t="b">
        <v>0</v>
      </c>
      <c r="V816" t="b">
        <v>1</v>
      </c>
      <c r="W816" t="b">
        <v>1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</row>
    <row r="817" spans="1:33" x14ac:dyDescent="0.25">
      <c r="A817" t="s">
        <v>755</v>
      </c>
      <c r="B817">
        <v>4</v>
      </c>
      <c r="C817" t="b">
        <v>0</v>
      </c>
      <c r="D817" t="s">
        <v>592</v>
      </c>
      <c r="E817" t="s">
        <v>2792</v>
      </c>
      <c r="F817" t="s">
        <v>2965</v>
      </c>
      <c r="G817" t="s">
        <v>2960</v>
      </c>
      <c r="H817">
        <v>816</v>
      </c>
      <c r="I817" t="str">
        <f>IF(ISBLANK(Table1[[#This Row],[oid]]),"FALSE","TRUE")</f>
        <v>TRUE</v>
      </c>
      <c r="J817" t="str" cm="1">
        <f t="array" ref="J817">_xlfn.SWITCH(LEFT(Table1[[#This Row],[section]],1), "D", "Demographic", "S", "Social", "E", "Economic", "H", "Housing", "")</f>
        <v>Social</v>
      </c>
      <c r="K817" t="s">
        <v>2795</v>
      </c>
      <c r="L817" s="1" t="s">
        <v>2796</v>
      </c>
      <c r="M817" t="str">
        <f>IF(Table1[[#This Row],[used]], _xlfn.CONCAT("🆔 ", Table1[[#This Row],[variable]], ": ",Table1[[#This Row],[alias]]), "")</f>
        <v>🆔 B05006_148E: Americas: Latin America: South America</v>
      </c>
      <c r="O817" t="s">
        <v>2961</v>
      </c>
      <c r="P817" t="s">
        <v>2797</v>
      </c>
      <c r="Q817" t="s">
        <v>41</v>
      </c>
      <c r="R817" t="s">
        <v>2966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1</v>
      </c>
      <c r="Y817" t="b">
        <v>1</v>
      </c>
      <c r="Z817" t="b">
        <v>1</v>
      </c>
      <c r="AA817" t="b">
        <v>1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</row>
    <row r="818" spans="1:33" x14ac:dyDescent="0.25">
      <c r="A818" t="s">
        <v>2878</v>
      </c>
      <c r="B818">
        <v>3</v>
      </c>
      <c r="C818" t="b">
        <v>0</v>
      </c>
      <c r="D818" t="s">
        <v>592</v>
      </c>
      <c r="E818" t="s">
        <v>2792</v>
      </c>
      <c r="F818" t="s">
        <v>2957</v>
      </c>
      <c r="G818" t="s">
        <v>2960</v>
      </c>
      <c r="H818">
        <v>817</v>
      </c>
      <c r="I818" t="str">
        <f>IF(ISBLANK(Table1[[#This Row],[oid]]),"FALSE","TRUE")</f>
        <v>TRUE</v>
      </c>
      <c r="J818" t="str" cm="1">
        <f t="array" ref="J818">_xlfn.SWITCH(LEFT(Table1[[#This Row],[section]],1), "D", "Demographic", "S", "Social", "E", "Economic", "H", "Housing", "")</f>
        <v>Social</v>
      </c>
      <c r="K818" t="s">
        <v>2795</v>
      </c>
      <c r="L818" s="1" t="s">
        <v>2796</v>
      </c>
      <c r="M818" t="str">
        <f>IF(Table1[[#This Row],[used]], _xlfn.CONCAT("🆔 ", Table1[[#This Row],[variable]], ": ",Table1[[#This Row],[alias]]), "")</f>
        <v>🆔 B05006_154E: Americas: Latin America: South America</v>
      </c>
      <c r="O818" t="s">
        <v>2961</v>
      </c>
      <c r="P818" t="s">
        <v>2797</v>
      </c>
      <c r="Q818" t="s">
        <v>41</v>
      </c>
      <c r="R818" t="s">
        <v>2958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1</v>
      </c>
      <c r="AC818" t="b">
        <v>1</v>
      </c>
      <c r="AD818" t="b">
        <v>1</v>
      </c>
      <c r="AE818" t="b">
        <v>0</v>
      </c>
      <c r="AF818" t="b">
        <v>0</v>
      </c>
      <c r="AG818" t="b">
        <v>0</v>
      </c>
    </row>
    <row r="819" spans="1:33" x14ac:dyDescent="0.25">
      <c r="A819" t="s">
        <v>2845</v>
      </c>
      <c r="B819">
        <v>3</v>
      </c>
      <c r="C819" t="b">
        <v>0</v>
      </c>
      <c r="D819" t="s">
        <v>592</v>
      </c>
      <c r="E819" t="s">
        <v>2792</v>
      </c>
      <c r="F819" t="s">
        <v>2967</v>
      </c>
      <c r="G819" t="s">
        <v>2960</v>
      </c>
      <c r="H819">
        <v>818</v>
      </c>
      <c r="I819" t="str">
        <f>IF(ISBLANK(Table1[[#This Row],[oid]]),"FALSE","TRUE")</f>
        <v>TRUE</v>
      </c>
      <c r="J819" t="str" cm="1">
        <f t="array" ref="J819">_xlfn.SWITCH(LEFT(Table1[[#This Row],[section]],1), "D", "Demographic", "S", "Social", "E", "Economic", "H", "Housing", "")</f>
        <v>Social</v>
      </c>
      <c r="K819" t="s">
        <v>2795</v>
      </c>
      <c r="L819" s="1" t="s">
        <v>2796</v>
      </c>
      <c r="M819" t="str">
        <f>IF(Table1[[#This Row],[used]], _xlfn.CONCAT("🆔 ", Table1[[#This Row],[variable]], ": ",Table1[[#This Row],[alias]]), "")</f>
        <v>🆔 B05006_164E: Americas: Latin America: South America</v>
      </c>
      <c r="O819" t="s">
        <v>2961</v>
      </c>
      <c r="P819" t="s">
        <v>2847</v>
      </c>
      <c r="Q819" t="s">
        <v>41</v>
      </c>
      <c r="R819" t="s">
        <v>2968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1</v>
      </c>
      <c r="AF819" t="b">
        <v>1</v>
      </c>
      <c r="AG819" t="b">
        <v>1</v>
      </c>
    </row>
    <row r="820" spans="1:33" x14ac:dyDescent="0.25">
      <c r="A820" t="s">
        <v>20</v>
      </c>
      <c r="B820">
        <v>1</v>
      </c>
      <c r="C820" t="b">
        <v>0</v>
      </c>
      <c r="D820" t="s">
        <v>592</v>
      </c>
      <c r="E820" t="s">
        <v>2792</v>
      </c>
      <c r="F820" t="s">
        <v>2969</v>
      </c>
      <c r="G820" t="s">
        <v>2970</v>
      </c>
      <c r="H820">
        <v>819</v>
      </c>
      <c r="I820" t="str">
        <f>IF(ISBLANK(Table1[[#This Row],[oid]]),"FALSE","TRUE")</f>
        <v>TRUE</v>
      </c>
      <c r="J820" t="str" cm="1">
        <f t="array" ref="J820">_xlfn.SWITCH(LEFT(Table1[[#This Row],[section]],1), "D", "Demographic", "S", "Social", "E", "Economic", "H", "Housing", "")</f>
        <v>Social</v>
      </c>
      <c r="K820" t="s">
        <v>2795</v>
      </c>
      <c r="L820" s="1" t="s">
        <v>2796</v>
      </c>
      <c r="M820" t="str">
        <f>IF(Table1[[#This Row],[used]], _xlfn.CONCAT("🆔 ", Table1[[#This Row],[variable]], ": ",Table1[[#This Row],[alias]]), "")</f>
        <v>🆔 B05006_158E: Americas: Northern America</v>
      </c>
      <c r="O820" t="s">
        <v>2971</v>
      </c>
      <c r="P820" t="s">
        <v>2797</v>
      </c>
      <c r="Q820" t="s">
        <v>41</v>
      </c>
      <c r="R820" t="s">
        <v>2972</v>
      </c>
      <c r="S820" t="b">
        <v>0</v>
      </c>
      <c r="T820" t="b">
        <v>0</v>
      </c>
      <c r="U820" t="b">
        <v>1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</row>
    <row r="821" spans="1:33" x14ac:dyDescent="0.25">
      <c r="A821" t="s">
        <v>2871</v>
      </c>
      <c r="B821">
        <v>4</v>
      </c>
      <c r="C821" t="b">
        <v>0</v>
      </c>
      <c r="D821" t="s">
        <v>592</v>
      </c>
      <c r="E821" t="s">
        <v>2792</v>
      </c>
      <c r="F821" t="s">
        <v>2973</v>
      </c>
      <c r="G821" t="s">
        <v>2970</v>
      </c>
      <c r="H821">
        <v>820</v>
      </c>
      <c r="I821" t="str">
        <f>IF(ISBLANK(Table1[[#This Row],[oid]]),"FALSE","TRUE")</f>
        <v>TRUE</v>
      </c>
      <c r="J821" t="str" cm="1">
        <f t="array" ref="J821">_xlfn.SWITCH(LEFT(Table1[[#This Row],[section]],1), "D", "Demographic", "S", "Social", "E", "Economic", "H", "Housing", "")</f>
        <v>Social</v>
      </c>
      <c r="K821" t="s">
        <v>2795</v>
      </c>
      <c r="L821" s="1" t="s">
        <v>2796</v>
      </c>
      <c r="M821" t="str">
        <f>IF(Table1[[#This Row],[used]], _xlfn.CONCAT("🆔 ", Table1[[#This Row],[variable]], ": ",Table1[[#This Row],[alias]]), "")</f>
        <v>🆔 B05006_159E: Americas: Northern America</v>
      </c>
      <c r="O821" t="s">
        <v>2971</v>
      </c>
      <c r="P821" t="s">
        <v>2797</v>
      </c>
      <c r="Q821" t="s">
        <v>41</v>
      </c>
      <c r="R821" t="s">
        <v>2974</v>
      </c>
      <c r="S821" t="b">
        <v>1</v>
      </c>
      <c r="T821" t="b">
        <v>1</v>
      </c>
      <c r="U821" t="b">
        <v>0</v>
      </c>
      <c r="V821" t="b">
        <v>1</v>
      </c>
      <c r="W821" t="b">
        <v>1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</row>
    <row r="822" spans="1:33" x14ac:dyDescent="0.25">
      <c r="A822" t="s">
        <v>755</v>
      </c>
      <c r="B822">
        <v>4</v>
      </c>
      <c r="C822" t="b">
        <v>0</v>
      </c>
      <c r="D822" t="s">
        <v>592</v>
      </c>
      <c r="E822" t="s">
        <v>2792</v>
      </c>
      <c r="F822" t="s">
        <v>2975</v>
      </c>
      <c r="G822" t="s">
        <v>2970</v>
      </c>
      <c r="H822">
        <v>821</v>
      </c>
      <c r="I822" t="str">
        <f>IF(ISBLANK(Table1[[#This Row],[oid]]),"FALSE","TRUE")</f>
        <v>TRUE</v>
      </c>
      <c r="J822" t="str" cm="1">
        <f t="array" ref="J822">_xlfn.SWITCH(LEFT(Table1[[#This Row],[section]],1), "D", "Demographic", "S", "Social", "E", "Economic", "H", "Housing", "")</f>
        <v>Social</v>
      </c>
      <c r="K822" t="s">
        <v>2795</v>
      </c>
      <c r="L822" s="1" t="s">
        <v>2796</v>
      </c>
      <c r="M822" t="str">
        <f>IF(Table1[[#This Row],[used]], _xlfn.CONCAT("🆔 ", Table1[[#This Row],[variable]], ": ",Table1[[#This Row],[alias]]), "")</f>
        <v>🆔 B05006_160E: Americas: Northern America</v>
      </c>
      <c r="O822" t="s">
        <v>2971</v>
      </c>
      <c r="P822" t="s">
        <v>2797</v>
      </c>
      <c r="Q822" t="s">
        <v>41</v>
      </c>
      <c r="R822" t="s">
        <v>2976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1</v>
      </c>
      <c r="Y822" t="b">
        <v>1</v>
      </c>
      <c r="Z822" t="b">
        <v>1</v>
      </c>
      <c r="AA822" t="b">
        <v>1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</row>
    <row r="823" spans="1:33" x14ac:dyDescent="0.25">
      <c r="A823" t="s">
        <v>2878</v>
      </c>
      <c r="B823">
        <v>3</v>
      </c>
      <c r="C823" t="b">
        <v>0</v>
      </c>
      <c r="D823" t="s">
        <v>592</v>
      </c>
      <c r="E823" t="s">
        <v>2792</v>
      </c>
      <c r="F823" t="s">
        <v>2977</v>
      </c>
      <c r="G823" t="s">
        <v>2970</v>
      </c>
      <c r="H823">
        <v>822</v>
      </c>
      <c r="I823" t="str">
        <f>IF(ISBLANK(Table1[[#This Row],[oid]]),"FALSE","TRUE")</f>
        <v>TRUE</v>
      </c>
      <c r="J823" t="str" cm="1">
        <f t="array" ref="J823">_xlfn.SWITCH(LEFT(Table1[[#This Row],[section]],1), "D", "Demographic", "S", "Social", "E", "Economic", "H", "Housing", "")</f>
        <v>Social</v>
      </c>
      <c r="K823" t="s">
        <v>2795</v>
      </c>
      <c r="L823" s="1" t="s">
        <v>2796</v>
      </c>
      <c r="M823" t="str">
        <f>IF(Table1[[#This Row],[used]], _xlfn.CONCAT("🆔 ", Table1[[#This Row],[variable]], ": ",Table1[[#This Row],[alias]]), "")</f>
        <v>🆔 B05006_166E: Americas: Northern America</v>
      </c>
      <c r="O823" t="s">
        <v>2971</v>
      </c>
      <c r="P823" t="s">
        <v>2797</v>
      </c>
      <c r="Q823" t="s">
        <v>41</v>
      </c>
      <c r="R823" t="s">
        <v>2978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1</v>
      </c>
      <c r="AC823" t="b">
        <v>1</v>
      </c>
      <c r="AD823" t="b">
        <v>1</v>
      </c>
      <c r="AE823" t="b">
        <v>0</v>
      </c>
      <c r="AF823" t="b">
        <v>0</v>
      </c>
      <c r="AG823" t="b">
        <v>0</v>
      </c>
    </row>
    <row r="824" spans="1:33" x14ac:dyDescent="0.25">
      <c r="A824" t="s">
        <v>2845</v>
      </c>
      <c r="B824">
        <v>3</v>
      </c>
      <c r="C824" t="b">
        <v>0</v>
      </c>
      <c r="D824" t="s">
        <v>592</v>
      </c>
      <c r="E824" t="s">
        <v>2792</v>
      </c>
      <c r="F824" t="s">
        <v>2979</v>
      </c>
      <c r="G824" t="s">
        <v>2970</v>
      </c>
      <c r="H824">
        <v>823</v>
      </c>
      <c r="I824" t="str">
        <f>IF(ISBLANK(Table1[[#This Row],[oid]]),"FALSE","TRUE")</f>
        <v>TRUE</v>
      </c>
      <c r="J824" t="str" cm="1">
        <f t="array" ref="J824">_xlfn.SWITCH(LEFT(Table1[[#This Row],[section]],1), "D", "Demographic", "S", "Social", "E", "Economic", "H", "Housing", "")</f>
        <v>Social</v>
      </c>
      <c r="K824" t="s">
        <v>2795</v>
      </c>
      <c r="L824" s="1" t="s">
        <v>2796</v>
      </c>
      <c r="M824" t="str">
        <f>IF(Table1[[#This Row],[used]], _xlfn.CONCAT("🆔 ", Table1[[#This Row],[variable]], ": ",Table1[[#This Row],[alias]]), "")</f>
        <v>🆔 B05006_176E: Americas: Northern America</v>
      </c>
      <c r="O824" t="s">
        <v>2971</v>
      </c>
      <c r="P824" t="s">
        <v>2847</v>
      </c>
      <c r="Q824" t="s">
        <v>41</v>
      </c>
      <c r="R824" t="s">
        <v>2980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1</v>
      </c>
      <c r="AF824" t="b">
        <v>1</v>
      </c>
      <c r="AG824" t="b">
        <v>1</v>
      </c>
    </row>
    <row r="825" spans="1:33" x14ac:dyDescent="0.25">
      <c r="A825" t="s">
        <v>2981</v>
      </c>
      <c r="B825">
        <v>9</v>
      </c>
      <c r="C825" t="b">
        <v>0</v>
      </c>
      <c r="D825" t="s">
        <v>2982</v>
      </c>
      <c r="E825" t="s">
        <v>2983</v>
      </c>
      <c r="F825" t="s">
        <v>2984</v>
      </c>
      <c r="G825" t="s">
        <v>2985</v>
      </c>
      <c r="H825">
        <v>824</v>
      </c>
      <c r="I825" t="str">
        <f>IF(ISBLANK(Table1[[#This Row],[oid]]),"FALSE","TRUE")</f>
        <v>TRUE</v>
      </c>
      <c r="J825" t="str" cm="1">
        <f t="array" ref="J825">_xlfn.SWITCH(LEFT(Table1[[#This Row],[section]],1), "D", "Demographic", "S", "Social", "E", "Economic", "H", "Housing", "")</f>
        <v>Social</v>
      </c>
      <c r="K825" t="s">
        <v>2986</v>
      </c>
      <c r="L825" s="1" t="s">
        <v>2987</v>
      </c>
      <c r="M825" t="str">
        <f>IF(Table1[[#This Row],[used]], _xlfn.CONCAT("🆔 ", Table1[[#This Row],[variable]], ": ",Table1[[#This Row],[alias]]), "")</f>
        <v>🆔 C16002_002E: English only households</v>
      </c>
      <c r="O825" t="s">
        <v>2988</v>
      </c>
      <c r="P825" t="s">
        <v>2989</v>
      </c>
      <c r="Q825" t="s">
        <v>41</v>
      </c>
      <c r="R825" t="s">
        <v>2990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1</v>
      </c>
      <c r="Z825" t="b">
        <v>1</v>
      </c>
      <c r="AA825" t="b">
        <v>1</v>
      </c>
      <c r="AB825" t="b">
        <v>1</v>
      </c>
      <c r="AC825" t="b">
        <v>1</v>
      </c>
      <c r="AD825" t="b">
        <v>1</v>
      </c>
      <c r="AE825" t="b">
        <v>1</v>
      </c>
      <c r="AF825" t="b">
        <v>1</v>
      </c>
      <c r="AG825" t="b">
        <v>1</v>
      </c>
    </row>
    <row r="826" spans="1:33" x14ac:dyDescent="0.25">
      <c r="A826" t="s">
        <v>2981</v>
      </c>
      <c r="B826">
        <v>9</v>
      </c>
      <c r="C826" t="b">
        <v>0</v>
      </c>
      <c r="D826" t="s">
        <v>2982</v>
      </c>
      <c r="E826" t="s">
        <v>2983</v>
      </c>
      <c r="F826" t="s">
        <v>2991</v>
      </c>
      <c r="G826" t="s">
        <v>2992</v>
      </c>
      <c r="H826">
        <v>825</v>
      </c>
      <c r="I826" t="str">
        <f>IF(ISBLANK(Table1[[#This Row],[oid]]),"FALSE","TRUE")</f>
        <v>TRUE</v>
      </c>
      <c r="J826" t="str" cm="1">
        <f t="array" ref="J826">_xlfn.SWITCH(LEFT(Table1[[#This Row],[section]],1), "D", "Demographic", "S", "Social", "E", "Economic", "H", "Housing", "")</f>
        <v>Social</v>
      </c>
      <c r="K826" t="s">
        <v>2986</v>
      </c>
      <c r="L826" s="1" t="s">
        <v>2987</v>
      </c>
      <c r="M826" t="str">
        <f>IF(Table1[[#This Row],[used]], _xlfn.CONCAT("🆔 ", Table1[[#This Row],[variable]], ": ",Table1[[#This Row],[alias]]), "")</f>
        <v>🆔 C16002_003E: Spanish households</v>
      </c>
      <c r="O826" t="s">
        <v>2993</v>
      </c>
      <c r="P826" t="s">
        <v>2989</v>
      </c>
      <c r="Q826" t="s">
        <v>41</v>
      </c>
      <c r="R826" t="s">
        <v>2994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1</v>
      </c>
      <c r="Z826" t="b">
        <v>1</v>
      </c>
      <c r="AA826" t="b">
        <v>1</v>
      </c>
      <c r="AB826" t="b">
        <v>1</v>
      </c>
      <c r="AC826" t="b">
        <v>1</v>
      </c>
      <c r="AD826" t="b">
        <v>1</v>
      </c>
      <c r="AE826" t="b">
        <v>1</v>
      </c>
      <c r="AF826" t="b">
        <v>1</v>
      </c>
      <c r="AG826" t="b">
        <v>1</v>
      </c>
    </row>
    <row r="827" spans="1:33" x14ac:dyDescent="0.25">
      <c r="A827" t="s">
        <v>2981</v>
      </c>
      <c r="B827">
        <v>9</v>
      </c>
      <c r="C827" t="b">
        <v>0</v>
      </c>
      <c r="D827" t="s">
        <v>2982</v>
      </c>
      <c r="E827" t="s">
        <v>2983</v>
      </c>
      <c r="F827" t="s">
        <v>2995</v>
      </c>
      <c r="G827" t="s">
        <v>2996</v>
      </c>
      <c r="H827">
        <v>826</v>
      </c>
      <c r="I827" t="str">
        <f>IF(ISBLANK(Table1[[#This Row],[oid]]),"FALSE","TRUE")</f>
        <v>TRUE</v>
      </c>
      <c r="J827" t="str" cm="1">
        <f t="array" ref="J827">_xlfn.SWITCH(LEFT(Table1[[#This Row],[section]],1), "D", "Demographic", "S", "Social", "E", "Economic", "H", "Housing", "")</f>
        <v>Social</v>
      </c>
      <c r="K827" t="s">
        <v>2986</v>
      </c>
      <c r="L827" s="1" t="s">
        <v>2987</v>
      </c>
      <c r="M827" t="str">
        <f>IF(Table1[[#This Row],[used]], _xlfn.CONCAT("🆔 ", Table1[[#This Row],[variable]], ": ",Table1[[#This Row],[alias]]), "")</f>
        <v>🆔 C16002_004E: Spanish: Limited English speaking household</v>
      </c>
      <c r="O827" t="s">
        <v>2997</v>
      </c>
      <c r="P827" t="s">
        <v>2989</v>
      </c>
      <c r="Q827" t="s">
        <v>41</v>
      </c>
      <c r="R827" t="s">
        <v>2998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1</v>
      </c>
      <c r="Z827" t="b">
        <v>1</v>
      </c>
      <c r="AA827" t="b">
        <v>1</v>
      </c>
      <c r="AB827" t="b">
        <v>1</v>
      </c>
      <c r="AC827" t="b">
        <v>1</v>
      </c>
      <c r="AD827" t="b">
        <v>1</v>
      </c>
      <c r="AE827" t="b">
        <v>1</v>
      </c>
      <c r="AF827" t="b">
        <v>1</v>
      </c>
      <c r="AG827" t="b">
        <v>1</v>
      </c>
    </row>
    <row r="828" spans="1:33" x14ac:dyDescent="0.25">
      <c r="A828" t="s">
        <v>2981</v>
      </c>
      <c r="B828">
        <v>9</v>
      </c>
      <c r="C828" t="b">
        <v>0</v>
      </c>
      <c r="D828" t="s">
        <v>2982</v>
      </c>
      <c r="E828" t="s">
        <v>2983</v>
      </c>
      <c r="F828" t="s">
        <v>2999</v>
      </c>
      <c r="G828" t="s">
        <v>3000</v>
      </c>
      <c r="H828">
        <v>827</v>
      </c>
      <c r="I828" t="str">
        <f>IF(ISBLANK(Table1[[#This Row],[oid]]),"FALSE","TRUE")</f>
        <v>TRUE</v>
      </c>
      <c r="J828" t="str" cm="1">
        <f t="array" ref="J828">_xlfn.SWITCH(LEFT(Table1[[#This Row],[section]],1), "D", "Demographic", "S", "Social", "E", "Economic", "H", "Housing", "")</f>
        <v>Social</v>
      </c>
      <c r="K828" t="s">
        <v>2986</v>
      </c>
      <c r="L828" s="1" t="s">
        <v>2987</v>
      </c>
      <c r="M828" t="str">
        <f>IF(Table1[[#This Row],[used]], _xlfn.CONCAT("🆔 ", Table1[[#This Row],[variable]], ": ",Table1[[#This Row],[alias]]), "")</f>
        <v>🆔 C16002_005E: Spanish: Not a limited English speaking household</v>
      </c>
      <c r="O828" t="s">
        <v>3001</v>
      </c>
      <c r="P828" t="s">
        <v>2989</v>
      </c>
      <c r="Q828" t="s">
        <v>41</v>
      </c>
      <c r="R828" t="s">
        <v>3002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1</v>
      </c>
      <c r="Z828" t="b">
        <v>1</v>
      </c>
      <c r="AA828" t="b">
        <v>1</v>
      </c>
      <c r="AB828" t="b">
        <v>1</v>
      </c>
      <c r="AC828" t="b">
        <v>1</v>
      </c>
      <c r="AD828" t="b">
        <v>1</v>
      </c>
      <c r="AE828" t="b">
        <v>1</v>
      </c>
      <c r="AF828" t="b">
        <v>1</v>
      </c>
      <c r="AG828" t="b">
        <v>1</v>
      </c>
    </row>
    <row r="829" spans="1:33" x14ac:dyDescent="0.25">
      <c r="A829" t="s">
        <v>2981</v>
      </c>
      <c r="B829">
        <v>9</v>
      </c>
      <c r="C829" t="b">
        <v>0</v>
      </c>
      <c r="D829" t="s">
        <v>2982</v>
      </c>
      <c r="E829" t="s">
        <v>2983</v>
      </c>
      <c r="F829" t="s">
        <v>3003</v>
      </c>
      <c r="G829" t="s">
        <v>3004</v>
      </c>
      <c r="H829">
        <v>828</v>
      </c>
      <c r="I829" t="str">
        <f>IF(ISBLANK(Table1[[#This Row],[oid]]),"FALSE","TRUE")</f>
        <v>TRUE</v>
      </c>
      <c r="J829" t="str" cm="1">
        <f t="array" ref="J829">_xlfn.SWITCH(LEFT(Table1[[#This Row],[section]],1), "D", "Demographic", "S", "Social", "E", "Economic", "H", "Housing", "")</f>
        <v>Social</v>
      </c>
      <c r="K829" t="s">
        <v>2986</v>
      </c>
      <c r="L829" s="1" t="s">
        <v>2987</v>
      </c>
      <c r="M829" t="str">
        <f>IF(Table1[[#This Row],[used]], _xlfn.CONCAT("🆔 ", Table1[[#This Row],[variable]], ": ",Table1[[#This Row],[alias]]), "")</f>
        <v>🆔 C16002_006E: Other Indo-European languages</v>
      </c>
      <c r="O829" t="s">
        <v>3005</v>
      </c>
      <c r="P829" t="s">
        <v>2989</v>
      </c>
      <c r="Q829" t="s">
        <v>41</v>
      </c>
      <c r="R829" t="s">
        <v>3006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1</v>
      </c>
      <c r="Z829" t="b">
        <v>1</v>
      </c>
      <c r="AA829" t="b">
        <v>1</v>
      </c>
      <c r="AB829" t="b">
        <v>1</v>
      </c>
      <c r="AC829" t="b">
        <v>1</v>
      </c>
      <c r="AD829" t="b">
        <v>1</v>
      </c>
      <c r="AE829" t="b">
        <v>1</v>
      </c>
      <c r="AF829" t="b">
        <v>1</v>
      </c>
      <c r="AG829" t="b">
        <v>1</v>
      </c>
    </row>
    <row r="830" spans="1:33" x14ac:dyDescent="0.25">
      <c r="A830" t="s">
        <v>2981</v>
      </c>
      <c r="B830">
        <v>9</v>
      </c>
      <c r="C830" t="b">
        <v>0</v>
      </c>
      <c r="D830" t="s">
        <v>2982</v>
      </c>
      <c r="E830" t="s">
        <v>2983</v>
      </c>
      <c r="F830" t="s">
        <v>3007</v>
      </c>
      <c r="G830" t="s">
        <v>3008</v>
      </c>
      <c r="H830">
        <v>829</v>
      </c>
      <c r="I830" t="str">
        <f>IF(ISBLANK(Table1[[#This Row],[oid]]),"FALSE","TRUE")</f>
        <v>TRUE</v>
      </c>
      <c r="J830" t="str" cm="1">
        <f t="array" ref="J830">_xlfn.SWITCH(LEFT(Table1[[#This Row],[section]],1), "D", "Demographic", "S", "Social", "E", "Economic", "H", "Housing", "")</f>
        <v>Social</v>
      </c>
      <c r="K830" t="s">
        <v>2986</v>
      </c>
      <c r="L830" s="1" t="s">
        <v>2987</v>
      </c>
      <c r="M830" t="str">
        <f>IF(Table1[[#This Row],[used]], _xlfn.CONCAT("🆔 ", Table1[[#This Row],[variable]], ": ",Table1[[#This Row],[alias]]), "")</f>
        <v>🆔 C16002_007E: Other Indo-European languages: Limited English speaking household</v>
      </c>
      <c r="O830" t="s">
        <v>3009</v>
      </c>
      <c r="P830" t="s">
        <v>2989</v>
      </c>
      <c r="Q830" t="s">
        <v>41</v>
      </c>
      <c r="R830" t="s">
        <v>3010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1</v>
      </c>
      <c r="Z830" t="b">
        <v>1</v>
      </c>
      <c r="AA830" t="b">
        <v>1</v>
      </c>
      <c r="AB830" t="b">
        <v>1</v>
      </c>
      <c r="AC830" t="b">
        <v>1</v>
      </c>
      <c r="AD830" t="b">
        <v>1</v>
      </c>
      <c r="AE830" t="b">
        <v>1</v>
      </c>
      <c r="AF830" t="b">
        <v>1</v>
      </c>
      <c r="AG830" t="b">
        <v>1</v>
      </c>
    </row>
    <row r="831" spans="1:33" x14ac:dyDescent="0.25">
      <c r="A831" t="s">
        <v>2981</v>
      </c>
      <c r="B831">
        <v>9</v>
      </c>
      <c r="C831" t="b">
        <v>0</v>
      </c>
      <c r="D831" t="s">
        <v>2982</v>
      </c>
      <c r="E831" t="s">
        <v>2983</v>
      </c>
      <c r="F831" t="s">
        <v>3011</v>
      </c>
      <c r="G831" t="s">
        <v>3012</v>
      </c>
      <c r="H831">
        <v>830</v>
      </c>
      <c r="I831" t="str">
        <f>IF(ISBLANK(Table1[[#This Row],[oid]]),"FALSE","TRUE")</f>
        <v>TRUE</v>
      </c>
      <c r="J831" t="str" cm="1">
        <f t="array" ref="J831">_xlfn.SWITCH(LEFT(Table1[[#This Row],[section]],1), "D", "Demographic", "S", "Social", "E", "Economic", "H", "Housing", "")</f>
        <v>Social</v>
      </c>
      <c r="K831" t="s">
        <v>2986</v>
      </c>
      <c r="L831" s="1" t="s">
        <v>2987</v>
      </c>
      <c r="M831" t="str">
        <f>IF(Table1[[#This Row],[used]], _xlfn.CONCAT("🆔 ", Table1[[#This Row],[variable]], ": ",Table1[[#This Row],[alias]]), "")</f>
        <v>🆔 C16002_008E: Other Indo-European languages: Not a limited English speaking household</v>
      </c>
      <c r="O831" t="s">
        <v>3013</v>
      </c>
      <c r="P831" t="s">
        <v>2989</v>
      </c>
      <c r="Q831" t="s">
        <v>41</v>
      </c>
      <c r="R831" t="s">
        <v>3014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1</v>
      </c>
      <c r="Z831" t="b">
        <v>1</v>
      </c>
      <c r="AA831" t="b">
        <v>1</v>
      </c>
      <c r="AB831" t="b">
        <v>1</v>
      </c>
      <c r="AC831" t="b">
        <v>1</v>
      </c>
      <c r="AD831" t="b">
        <v>1</v>
      </c>
      <c r="AE831" t="b">
        <v>1</v>
      </c>
      <c r="AF831" t="b">
        <v>1</v>
      </c>
      <c r="AG831" t="b">
        <v>1</v>
      </c>
    </row>
    <row r="832" spans="1:33" x14ac:dyDescent="0.25">
      <c r="A832" t="s">
        <v>2981</v>
      </c>
      <c r="B832">
        <v>9</v>
      </c>
      <c r="C832" t="b">
        <v>0</v>
      </c>
      <c r="D832" t="s">
        <v>2982</v>
      </c>
      <c r="E832" t="s">
        <v>2983</v>
      </c>
      <c r="F832" t="s">
        <v>3015</v>
      </c>
      <c r="G832" t="s">
        <v>3016</v>
      </c>
      <c r="H832">
        <v>831</v>
      </c>
      <c r="I832" t="str">
        <f>IF(ISBLANK(Table1[[#This Row],[oid]]),"FALSE","TRUE")</f>
        <v>TRUE</v>
      </c>
      <c r="J832" t="str" cm="1">
        <f t="array" ref="J832">_xlfn.SWITCH(LEFT(Table1[[#This Row],[section]],1), "D", "Demographic", "S", "Social", "E", "Economic", "H", "Housing", "")</f>
        <v>Social</v>
      </c>
      <c r="K832" t="s">
        <v>2986</v>
      </c>
      <c r="L832" s="1" t="s">
        <v>2987</v>
      </c>
      <c r="M832" t="str">
        <f>IF(Table1[[#This Row],[used]], _xlfn.CONCAT("🆔 ", Table1[[#This Row],[variable]], ": ",Table1[[#This Row],[alias]]), "")</f>
        <v>🆔 C16002_009E: Asian and Pacific Island languages</v>
      </c>
      <c r="O832" t="s">
        <v>3017</v>
      </c>
      <c r="P832" t="s">
        <v>2989</v>
      </c>
      <c r="Q832" t="s">
        <v>41</v>
      </c>
      <c r="R832" t="s">
        <v>3018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1</v>
      </c>
      <c r="Z832" t="b">
        <v>1</v>
      </c>
      <c r="AA832" t="b">
        <v>1</v>
      </c>
      <c r="AB832" t="b">
        <v>1</v>
      </c>
      <c r="AC832" t="b">
        <v>1</v>
      </c>
      <c r="AD832" t="b">
        <v>1</v>
      </c>
      <c r="AE832" t="b">
        <v>1</v>
      </c>
      <c r="AF832" t="b">
        <v>1</v>
      </c>
      <c r="AG832" t="b">
        <v>1</v>
      </c>
    </row>
    <row r="833" spans="1:33" x14ac:dyDescent="0.25">
      <c r="A833" t="s">
        <v>2981</v>
      </c>
      <c r="B833">
        <v>9</v>
      </c>
      <c r="C833" t="b">
        <v>0</v>
      </c>
      <c r="D833" t="s">
        <v>2982</v>
      </c>
      <c r="E833" t="s">
        <v>2983</v>
      </c>
      <c r="F833" t="s">
        <v>3019</v>
      </c>
      <c r="G833" t="s">
        <v>3020</v>
      </c>
      <c r="H833">
        <v>832</v>
      </c>
      <c r="I833" t="str">
        <f>IF(ISBLANK(Table1[[#This Row],[oid]]),"FALSE","TRUE")</f>
        <v>TRUE</v>
      </c>
      <c r="J833" t="str" cm="1">
        <f t="array" ref="J833">_xlfn.SWITCH(LEFT(Table1[[#This Row],[section]],1), "D", "Demographic", "S", "Social", "E", "Economic", "H", "Housing", "")</f>
        <v>Social</v>
      </c>
      <c r="K833" t="s">
        <v>2986</v>
      </c>
      <c r="L833" s="1" t="s">
        <v>2987</v>
      </c>
      <c r="M833" t="str">
        <f>IF(Table1[[#This Row],[used]], _xlfn.CONCAT("🆔 ", Table1[[#This Row],[variable]], ": ",Table1[[#This Row],[alias]]), "")</f>
        <v>🆔 C16002_010E: Asian and Pacific Island languages: Limited English speaking household</v>
      </c>
      <c r="O833" t="s">
        <v>3021</v>
      </c>
      <c r="P833" t="s">
        <v>2989</v>
      </c>
      <c r="Q833" t="s">
        <v>41</v>
      </c>
      <c r="R833" t="s">
        <v>3022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1</v>
      </c>
      <c r="Z833" t="b">
        <v>1</v>
      </c>
      <c r="AA833" t="b">
        <v>1</v>
      </c>
      <c r="AB833" t="b">
        <v>1</v>
      </c>
      <c r="AC833" t="b">
        <v>1</v>
      </c>
      <c r="AD833" t="b">
        <v>1</v>
      </c>
      <c r="AE833" t="b">
        <v>1</v>
      </c>
      <c r="AF833" t="b">
        <v>1</v>
      </c>
      <c r="AG833" t="b">
        <v>1</v>
      </c>
    </row>
    <row r="834" spans="1:33" x14ac:dyDescent="0.25">
      <c r="A834" t="s">
        <v>2981</v>
      </c>
      <c r="B834">
        <v>9</v>
      </c>
      <c r="C834" t="b">
        <v>0</v>
      </c>
      <c r="D834" t="s">
        <v>2982</v>
      </c>
      <c r="E834" t="s">
        <v>2983</v>
      </c>
      <c r="F834" t="s">
        <v>3023</v>
      </c>
      <c r="G834" t="s">
        <v>3024</v>
      </c>
      <c r="H834">
        <v>833</v>
      </c>
      <c r="I834" t="str">
        <f>IF(ISBLANK(Table1[[#This Row],[oid]]),"FALSE","TRUE")</f>
        <v>TRUE</v>
      </c>
      <c r="J834" t="str" cm="1">
        <f t="array" ref="J834">_xlfn.SWITCH(LEFT(Table1[[#This Row],[section]],1), "D", "Demographic", "S", "Social", "E", "Economic", "H", "Housing", "")</f>
        <v>Social</v>
      </c>
      <c r="K834" t="s">
        <v>2986</v>
      </c>
      <c r="L834" s="1" t="s">
        <v>2987</v>
      </c>
      <c r="M834" t="str">
        <f>IF(Table1[[#This Row],[used]], _xlfn.CONCAT("🆔 ", Table1[[#This Row],[variable]], ": ",Table1[[#This Row],[alias]]), "")</f>
        <v>🆔 C16002_011E: Asian and Pacific Island languages: Not a limited English speaking household</v>
      </c>
      <c r="O834" t="s">
        <v>3025</v>
      </c>
      <c r="P834" t="s">
        <v>2989</v>
      </c>
      <c r="Q834" t="s">
        <v>41</v>
      </c>
      <c r="R834" t="s">
        <v>3026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1</v>
      </c>
      <c r="Z834" t="b">
        <v>1</v>
      </c>
      <c r="AA834" t="b">
        <v>1</v>
      </c>
      <c r="AB834" t="b">
        <v>1</v>
      </c>
      <c r="AC834" t="b">
        <v>1</v>
      </c>
      <c r="AD834" t="b">
        <v>1</v>
      </c>
      <c r="AE834" t="b">
        <v>1</v>
      </c>
      <c r="AF834" t="b">
        <v>1</v>
      </c>
      <c r="AG834" t="b">
        <v>1</v>
      </c>
    </row>
    <row r="835" spans="1:33" x14ac:dyDescent="0.25">
      <c r="A835" t="s">
        <v>2981</v>
      </c>
      <c r="B835">
        <v>9</v>
      </c>
      <c r="C835" t="b">
        <v>0</v>
      </c>
      <c r="D835" t="s">
        <v>2982</v>
      </c>
      <c r="E835" t="s">
        <v>2983</v>
      </c>
      <c r="F835" t="s">
        <v>3027</v>
      </c>
      <c r="G835" t="s">
        <v>3028</v>
      </c>
      <c r="H835">
        <v>834</v>
      </c>
      <c r="I835" t="str">
        <f>IF(ISBLANK(Table1[[#This Row],[oid]]),"FALSE","TRUE")</f>
        <v>TRUE</v>
      </c>
      <c r="J835" t="str" cm="1">
        <f t="array" ref="J835">_xlfn.SWITCH(LEFT(Table1[[#This Row],[section]],1), "D", "Demographic", "S", "Social", "E", "Economic", "H", "Housing", "")</f>
        <v>Social</v>
      </c>
      <c r="K835" t="s">
        <v>2986</v>
      </c>
      <c r="L835" s="1" t="s">
        <v>2987</v>
      </c>
      <c r="M835" t="str">
        <f>IF(Table1[[#This Row],[used]], _xlfn.CONCAT("🆔 ", Table1[[#This Row],[variable]], ": ",Table1[[#This Row],[alias]]), "")</f>
        <v>🆔 C16002_012E: Other languages</v>
      </c>
      <c r="O835" t="s">
        <v>3029</v>
      </c>
      <c r="P835" t="s">
        <v>2989</v>
      </c>
      <c r="Q835" t="s">
        <v>41</v>
      </c>
      <c r="R835" t="s">
        <v>3030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1</v>
      </c>
      <c r="Z835" t="b">
        <v>1</v>
      </c>
      <c r="AA835" t="b">
        <v>1</v>
      </c>
      <c r="AB835" t="b">
        <v>1</v>
      </c>
      <c r="AC835" t="b">
        <v>1</v>
      </c>
      <c r="AD835" t="b">
        <v>1</v>
      </c>
      <c r="AE835" t="b">
        <v>1</v>
      </c>
      <c r="AF835" t="b">
        <v>1</v>
      </c>
      <c r="AG835" t="b">
        <v>1</v>
      </c>
    </row>
    <row r="836" spans="1:33" x14ac:dyDescent="0.25">
      <c r="A836" t="s">
        <v>2981</v>
      </c>
      <c r="B836">
        <v>9</v>
      </c>
      <c r="C836" t="b">
        <v>0</v>
      </c>
      <c r="D836" t="s">
        <v>2982</v>
      </c>
      <c r="E836" t="s">
        <v>2983</v>
      </c>
      <c r="F836" t="s">
        <v>3031</v>
      </c>
      <c r="G836" t="s">
        <v>3032</v>
      </c>
      <c r="H836">
        <v>835</v>
      </c>
      <c r="I836" t="str">
        <f>IF(ISBLANK(Table1[[#This Row],[oid]]),"FALSE","TRUE")</f>
        <v>TRUE</v>
      </c>
      <c r="J836" t="str" cm="1">
        <f t="array" ref="J836">_xlfn.SWITCH(LEFT(Table1[[#This Row],[section]],1), "D", "Demographic", "S", "Social", "E", "Economic", "H", "Housing", "")</f>
        <v>Social</v>
      </c>
      <c r="K836" t="s">
        <v>2986</v>
      </c>
      <c r="L836" s="1" t="s">
        <v>2987</v>
      </c>
      <c r="M836" t="str">
        <f>IF(Table1[[#This Row],[used]], _xlfn.CONCAT("🆔 ", Table1[[#This Row],[variable]], ": ",Table1[[#This Row],[alias]]), "")</f>
        <v>🆔 C16002_013E: Other languages: Limited English speaking household</v>
      </c>
      <c r="O836" t="s">
        <v>3033</v>
      </c>
      <c r="P836" t="s">
        <v>2989</v>
      </c>
      <c r="Q836" t="s">
        <v>41</v>
      </c>
      <c r="R836" t="s">
        <v>3034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1</v>
      </c>
      <c r="Z836" t="b">
        <v>1</v>
      </c>
      <c r="AA836" t="b">
        <v>1</v>
      </c>
      <c r="AB836" t="b">
        <v>1</v>
      </c>
      <c r="AC836" t="b">
        <v>1</v>
      </c>
      <c r="AD836" t="b">
        <v>1</v>
      </c>
      <c r="AE836" t="b">
        <v>1</v>
      </c>
      <c r="AF836" t="b">
        <v>1</v>
      </c>
      <c r="AG836" t="b">
        <v>1</v>
      </c>
    </row>
    <row r="837" spans="1:33" x14ac:dyDescent="0.25">
      <c r="A837" t="s">
        <v>2981</v>
      </c>
      <c r="B837">
        <v>9</v>
      </c>
      <c r="C837" t="b">
        <v>0</v>
      </c>
      <c r="D837" t="s">
        <v>2982</v>
      </c>
      <c r="E837" t="s">
        <v>2983</v>
      </c>
      <c r="F837" t="s">
        <v>3035</v>
      </c>
      <c r="G837" t="s">
        <v>3036</v>
      </c>
      <c r="H837">
        <v>836</v>
      </c>
      <c r="I837" t="str">
        <f>IF(ISBLANK(Table1[[#This Row],[oid]]),"FALSE","TRUE")</f>
        <v>TRUE</v>
      </c>
      <c r="J837" t="str" cm="1">
        <f t="array" ref="J837">_xlfn.SWITCH(LEFT(Table1[[#This Row],[section]],1), "D", "Demographic", "S", "Social", "E", "Economic", "H", "Housing", "")</f>
        <v>Social</v>
      </c>
      <c r="K837" t="s">
        <v>2986</v>
      </c>
      <c r="L837" s="1" t="s">
        <v>2987</v>
      </c>
      <c r="M837" t="str">
        <f>IF(Table1[[#This Row],[used]], _xlfn.CONCAT("🆔 ", Table1[[#This Row],[variable]], ": ",Table1[[#This Row],[alias]]), "")</f>
        <v>🆔 C16002_014E: Other languages: Not a limited English speaking household</v>
      </c>
      <c r="O837" t="s">
        <v>3037</v>
      </c>
      <c r="P837" t="s">
        <v>2989</v>
      </c>
      <c r="Q837" t="s">
        <v>41</v>
      </c>
      <c r="R837" t="s">
        <v>3038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1</v>
      </c>
      <c r="Z837" t="b">
        <v>1</v>
      </c>
      <c r="AA837" t="b">
        <v>1</v>
      </c>
      <c r="AB837" t="b">
        <v>1</v>
      </c>
      <c r="AC837" t="b">
        <v>1</v>
      </c>
      <c r="AD837" t="b">
        <v>1</v>
      </c>
      <c r="AE837" t="b">
        <v>1</v>
      </c>
      <c r="AF837" t="b">
        <v>1</v>
      </c>
      <c r="AG837" t="b">
        <v>1</v>
      </c>
    </row>
    <row r="838" spans="1:33" x14ac:dyDescent="0.25">
      <c r="A838" t="s">
        <v>33</v>
      </c>
      <c r="B838">
        <v>15</v>
      </c>
      <c r="C838" t="b">
        <v>1</v>
      </c>
      <c r="D838" t="s">
        <v>3039</v>
      </c>
      <c r="E838" t="s">
        <v>3040</v>
      </c>
      <c r="F838" t="s">
        <v>3041</v>
      </c>
      <c r="G838" s="1" t="s">
        <v>3042</v>
      </c>
      <c r="H838">
        <v>837</v>
      </c>
      <c r="I838" t="str">
        <f>IF(ISBLANK(Table1[[#This Row],[oid]]),"FALSE","TRUE")</f>
        <v>TRUE</v>
      </c>
      <c r="J838" t="str" cm="1">
        <f t="array" ref="J838">_xlfn.SWITCH(LEFT(Table1[[#This Row],[section]],1), "D", "Demographic", "S", "Social", "E", "Economic", "H", "Housing", "")</f>
        <v>Social</v>
      </c>
      <c r="K838" t="s">
        <v>3043</v>
      </c>
      <c r="L838" s="1" t="s">
        <v>3044</v>
      </c>
      <c r="M838" t="str">
        <f>IF(Table1[[#This Row],[used]], _xlfn.CONCAT("🆔 ", Table1[[#This Row],[variable]], ": ",Table1[[#This Row],[alias]]), "")</f>
        <v>🆔 B16004_001E: Population 5 years and over</v>
      </c>
      <c r="O838" t="s">
        <v>39</v>
      </c>
      <c r="P838" t="s">
        <v>3045</v>
      </c>
      <c r="Q838" t="s">
        <v>41</v>
      </c>
      <c r="R838" t="s">
        <v>3046</v>
      </c>
      <c r="S838" t="b">
        <v>1</v>
      </c>
      <c r="T838" t="b">
        <v>1</v>
      </c>
      <c r="U838" t="b">
        <v>1</v>
      </c>
      <c r="V838" t="b">
        <v>1</v>
      </c>
      <c r="W838" t="b">
        <v>1</v>
      </c>
      <c r="X838" t="b">
        <v>1</v>
      </c>
      <c r="Y838" t="b">
        <v>1</v>
      </c>
      <c r="Z838" t="b">
        <v>1</v>
      </c>
      <c r="AA838" t="b">
        <v>1</v>
      </c>
      <c r="AB838" t="b">
        <v>1</v>
      </c>
      <c r="AC838" t="b">
        <v>1</v>
      </c>
      <c r="AD838" t="b">
        <v>1</v>
      </c>
      <c r="AE838" t="b">
        <v>1</v>
      </c>
      <c r="AF838" t="b">
        <v>1</v>
      </c>
      <c r="AG838" t="b">
        <v>1</v>
      </c>
    </row>
    <row r="839" spans="1:33" x14ac:dyDescent="0.25">
      <c r="A839" t="s">
        <v>33</v>
      </c>
      <c r="B839">
        <v>15</v>
      </c>
      <c r="C839" t="b">
        <v>1</v>
      </c>
      <c r="D839" t="s">
        <v>3039</v>
      </c>
      <c r="E839" t="s">
        <v>3040</v>
      </c>
      <c r="F839" t="s">
        <v>3047</v>
      </c>
      <c r="G839" t="s">
        <v>3048</v>
      </c>
      <c r="H839">
        <v>838</v>
      </c>
      <c r="I839" t="str">
        <f>IF(ISBLANK(Table1[[#This Row],[oid]]),"FALSE","TRUE")</f>
        <v>TRUE</v>
      </c>
      <c r="J839" t="str" cm="1">
        <f t="array" ref="J839">_xlfn.SWITCH(LEFT(Table1[[#This Row],[section]],1), "D", "Demographic", "S", "Social", "E", "Economic", "H", "Housing", "")</f>
        <v>Social</v>
      </c>
      <c r="K839" t="s">
        <v>3043</v>
      </c>
      <c r="L839" s="1" t="s">
        <v>3044</v>
      </c>
      <c r="M839" t="str">
        <f>IF(Table1[[#This Row],[used]], _xlfn.CONCAT("🆔 ", Table1[[#This Row],[variable]], ": ",Table1[[#This Row],[alias]]), "")</f>
        <v>🆔 B16004_041E: 18 to 64 years: Speak other languages</v>
      </c>
      <c r="O839" t="s">
        <v>3049</v>
      </c>
      <c r="P839" t="s">
        <v>3045</v>
      </c>
      <c r="Q839" t="s">
        <v>41</v>
      </c>
      <c r="R839" t="s">
        <v>3050</v>
      </c>
      <c r="S839" t="b">
        <v>1</v>
      </c>
      <c r="T839" t="b">
        <v>1</v>
      </c>
      <c r="U839" t="b">
        <v>1</v>
      </c>
      <c r="V839" t="b">
        <v>1</v>
      </c>
      <c r="W839" t="b">
        <v>1</v>
      </c>
      <c r="X839" t="b">
        <v>1</v>
      </c>
      <c r="Y839" t="b">
        <v>1</v>
      </c>
      <c r="Z839" t="b">
        <v>1</v>
      </c>
      <c r="AA839" t="b">
        <v>1</v>
      </c>
      <c r="AB839" t="b">
        <v>1</v>
      </c>
      <c r="AC839" t="b">
        <v>1</v>
      </c>
      <c r="AD839" t="b">
        <v>1</v>
      </c>
      <c r="AE839" t="b">
        <v>1</v>
      </c>
      <c r="AF839" t="b">
        <v>1</v>
      </c>
      <c r="AG839" t="b">
        <v>1</v>
      </c>
    </row>
    <row r="840" spans="1:33" x14ac:dyDescent="0.25">
      <c r="A840" t="s">
        <v>33</v>
      </c>
      <c r="B840">
        <v>15</v>
      </c>
      <c r="C840" t="b">
        <v>1</v>
      </c>
      <c r="D840" t="s">
        <v>3039</v>
      </c>
      <c r="E840" t="s">
        <v>3040</v>
      </c>
      <c r="F840" t="s">
        <v>3051</v>
      </c>
      <c r="G840" t="s">
        <v>3052</v>
      </c>
      <c r="H840">
        <v>839</v>
      </c>
      <c r="I840" t="str">
        <f>IF(ISBLANK(Table1[[#This Row],[oid]]),"FALSE","TRUE")</f>
        <v>TRUE</v>
      </c>
      <c r="J840" t="str" cm="1">
        <f t="array" ref="J840">_xlfn.SWITCH(LEFT(Table1[[#This Row],[section]],1), "D", "Demographic", "S", "Social", "E", "Economic", "H", "Housing", "")</f>
        <v>Social</v>
      </c>
      <c r="K840" t="s">
        <v>3043</v>
      </c>
      <c r="L840" s="1" t="s">
        <v>3044</v>
      </c>
      <c r="M840" t="str">
        <f>IF(Table1[[#This Row],[used]], _xlfn.CONCAT("🆔 ", Table1[[#This Row],[variable]], ": ",Table1[[#This Row],[alias]]), "")</f>
        <v>🆔 B16004_002E: 5 to 17 years</v>
      </c>
      <c r="O840" t="s">
        <v>3053</v>
      </c>
      <c r="P840" t="s">
        <v>3045</v>
      </c>
      <c r="Q840" t="s">
        <v>41</v>
      </c>
      <c r="R840" t="s">
        <v>3054</v>
      </c>
      <c r="S840" t="b">
        <v>1</v>
      </c>
      <c r="T840" t="b">
        <v>1</v>
      </c>
      <c r="U840" t="b">
        <v>1</v>
      </c>
      <c r="V840" t="b">
        <v>1</v>
      </c>
      <c r="W840" t="b">
        <v>1</v>
      </c>
      <c r="X840" t="b">
        <v>1</v>
      </c>
      <c r="Y840" t="b">
        <v>1</v>
      </c>
      <c r="Z840" t="b">
        <v>1</v>
      </c>
      <c r="AA840" t="b">
        <v>1</v>
      </c>
      <c r="AB840" t="b">
        <v>1</v>
      </c>
      <c r="AC840" t="b">
        <v>1</v>
      </c>
      <c r="AD840" t="b">
        <v>1</v>
      </c>
      <c r="AE840" t="b">
        <v>1</v>
      </c>
      <c r="AF840" t="b">
        <v>1</v>
      </c>
      <c r="AG840" t="b">
        <v>1</v>
      </c>
    </row>
    <row r="841" spans="1:33" x14ac:dyDescent="0.25">
      <c r="A841" t="s">
        <v>33</v>
      </c>
      <c r="B841">
        <v>15</v>
      </c>
      <c r="C841" t="b">
        <v>1</v>
      </c>
      <c r="D841" t="s">
        <v>3039</v>
      </c>
      <c r="E841" t="s">
        <v>3040</v>
      </c>
      <c r="F841" t="s">
        <v>3055</v>
      </c>
      <c r="G841" t="s">
        <v>3056</v>
      </c>
      <c r="H841">
        <v>840</v>
      </c>
      <c r="I841" t="str">
        <f>IF(ISBLANK(Table1[[#This Row],[oid]]),"FALSE","TRUE")</f>
        <v>TRUE</v>
      </c>
      <c r="J841" t="str" cm="1">
        <f t="array" ref="J841">_xlfn.SWITCH(LEFT(Table1[[#This Row],[section]],1), "D", "Demographic", "S", "Social", "E", "Economic", "H", "Housing", "")</f>
        <v>Social</v>
      </c>
      <c r="K841" t="s">
        <v>3043</v>
      </c>
      <c r="L841" s="1" t="s">
        <v>3044</v>
      </c>
      <c r="M841" t="str">
        <f>IF(Table1[[#This Row],[used]], _xlfn.CONCAT("🆔 ", Table1[[#This Row],[variable]], ": ",Table1[[#This Row],[alias]]), "")</f>
        <v>🆔 B16004_042E: 18 to 64 years: Speak other languages: Speak English very well</v>
      </c>
      <c r="O841" t="s">
        <v>3057</v>
      </c>
      <c r="P841" t="s">
        <v>3045</v>
      </c>
      <c r="Q841" t="s">
        <v>41</v>
      </c>
      <c r="R841" t="s">
        <v>3058</v>
      </c>
      <c r="S841" t="b">
        <v>1</v>
      </c>
      <c r="T841" t="b">
        <v>1</v>
      </c>
      <c r="U841" t="b">
        <v>1</v>
      </c>
      <c r="V841" t="b">
        <v>1</v>
      </c>
      <c r="W841" t="b">
        <v>1</v>
      </c>
      <c r="X841" t="b">
        <v>1</v>
      </c>
      <c r="Y841" t="b">
        <v>1</v>
      </c>
      <c r="Z841" t="b">
        <v>1</v>
      </c>
      <c r="AA841" t="b">
        <v>1</v>
      </c>
      <c r="AB841" t="b">
        <v>1</v>
      </c>
      <c r="AC841" t="b">
        <v>1</v>
      </c>
      <c r="AD841" t="b">
        <v>1</v>
      </c>
      <c r="AE841" t="b">
        <v>1</v>
      </c>
      <c r="AF841" t="b">
        <v>1</v>
      </c>
      <c r="AG841" t="b">
        <v>1</v>
      </c>
    </row>
    <row r="842" spans="1:33" x14ac:dyDescent="0.25">
      <c r="A842" t="s">
        <v>33</v>
      </c>
      <c r="B842">
        <v>15</v>
      </c>
      <c r="C842" t="b">
        <v>1</v>
      </c>
      <c r="D842" t="s">
        <v>3039</v>
      </c>
      <c r="E842" t="s">
        <v>3040</v>
      </c>
      <c r="F842" t="s">
        <v>3059</v>
      </c>
      <c r="G842" t="s">
        <v>3060</v>
      </c>
      <c r="H842">
        <v>841</v>
      </c>
      <c r="I842" t="str">
        <f>IF(ISBLANK(Table1[[#This Row],[oid]]),"FALSE","TRUE")</f>
        <v>TRUE</v>
      </c>
      <c r="J842" t="str" cm="1">
        <f t="array" ref="J842">_xlfn.SWITCH(LEFT(Table1[[#This Row],[section]],1), "D", "Demographic", "S", "Social", "E", "Economic", "H", "Housing", "")</f>
        <v>Social</v>
      </c>
      <c r="K842" t="s">
        <v>3043</v>
      </c>
      <c r="L842" s="1" t="s">
        <v>3044</v>
      </c>
      <c r="M842" t="str">
        <f>IF(Table1[[#This Row],[used]], _xlfn.CONCAT("🆔 ", Table1[[#This Row],[variable]], ": ",Table1[[#This Row],[alias]]), "")</f>
        <v>🆔 B16004_003E: 5 to 17 years: Speak only English</v>
      </c>
      <c r="O842" t="s">
        <v>3061</v>
      </c>
      <c r="P842" t="s">
        <v>3045</v>
      </c>
      <c r="Q842" t="s">
        <v>41</v>
      </c>
      <c r="R842" t="s">
        <v>3062</v>
      </c>
      <c r="S842" t="b">
        <v>1</v>
      </c>
      <c r="T842" t="b">
        <v>1</v>
      </c>
      <c r="U842" t="b">
        <v>1</v>
      </c>
      <c r="V842" t="b">
        <v>1</v>
      </c>
      <c r="W842" t="b">
        <v>1</v>
      </c>
      <c r="X842" t="b">
        <v>1</v>
      </c>
      <c r="Y842" t="b">
        <v>1</v>
      </c>
      <c r="Z842" t="b">
        <v>1</v>
      </c>
      <c r="AA842" t="b">
        <v>1</v>
      </c>
      <c r="AB842" t="b">
        <v>1</v>
      </c>
      <c r="AC842" t="b">
        <v>1</v>
      </c>
      <c r="AD842" t="b">
        <v>1</v>
      </c>
      <c r="AE842" t="b">
        <v>1</v>
      </c>
      <c r="AF842" t="b">
        <v>1</v>
      </c>
      <c r="AG842" t="b">
        <v>1</v>
      </c>
    </row>
    <row r="843" spans="1:33" x14ac:dyDescent="0.25">
      <c r="A843" t="s">
        <v>33</v>
      </c>
      <c r="B843">
        <v>15</v>
      </c>
      <c r="C843" t="b">
        <v>1</v>
      </c>
      <c r="D843" t="s">
        <v>3039</v>
      </c>
      <c r="E843" t="s">
        <v>3040</v>
      </c>
      <c r="F843" t="s">
        <v>3063</v>
      </c>
      <c r="G843" t="s">
        <v>3064</v>
      </c>
      <c r="H843">
        <v>842</v>
      </c>
      <c r="I843" t="str">
        <f>IF(ISBLANK(Table1[[#This Row],[oid]]),"FALSE","TRUE")</f>
        <v>TRUE</v>
      </c>
      <c r="J843" t="str" cm="1">
        <f t="array" ref="J843">_xlfn.SWITCH(LEFT(Table1[[#This Row],[section]],1), "D", "Demographic", "S", "Social", "E", "Economic", "H", "Housing", "")</f>
        <v>Social</v>
      </c>
      <c r="K843" t="s">
        <v>3043</v>
      </c>
      <c r="L843" s="1" t="s">
        <v>3044</v>
      </c>
      <c r="M843" t="str">
        <f>IF(Table1[[#This Row],[used]], _xlfn.CONCAT("🆔 ", Table1[[#This Row],[variable]], ": ",Table1[[#This Row],[alias]]), "")</f>
        <v>🆔 B16004_043E: 18 to 64 years: Speak other languages: Speak English well</v>
      </c>
      <c r="O843" t="s">
        <v>3065</v>
      </c>
      <c r="P843" t="s">
        <v>3045</v>
      </c>
      <c r="Q843" t="s">
        <v>41</v>
      </c>
      <c r="R843" t="s">
        <v>3066</v>
      </c>
      <c r="S843" t="b">
        <v>1</v>
      </c>
      <c r="T843" t="b">
        <v>1</v>
      </c>
      <c r="U843" t="b">
        <v>1</v>
      </c>
      <c r="V843" t="b">
        <v>1</v>
      </c>
      <c r="W843" t="b">
        <v>1</v>
      </c>
      <c r="X843" t="b">
        <v>1</v>
      </c>
      <c r="Y843" t="b">
        <v>1</v>
      </c>
      <c r="Z843" t="b">
        <v>1</v>
      </c>
      <c r="AA843" t="b">
        <v>1</v>
      </c>
      <c r="AB843" t="b">
        <v>1</v>
      </c>
      <c r="AC843" t="b">
        <v>1</v>
      </c>
      <c r="AD843" t="b">
        <v>1</v>
      </c>
      <c r="AE843" t="b">
        <v>1</v>
      </c>
      <c r="AF843" t="b">
        <v>1</v>
      </c>
      <c r="AG843" t="b">
        <v>1</v>
      </c>
    </row>
    <row r="844" spans="1:33" x14ac:dyDescent="0.25">
      <c r="A844" t="s">
        <v>33</v>
      </c>
      <c r="B844">
        <v>15</v>
      </c>
      <c r="C844" t="b">
        <v>1</v>
      </c>
      <c r="D844" t="s">
        <v>3039</v>
      </c>
      <c r="E844" t="s">
        <v>3040</v>
      </c>
      <c r="F844" t="s">
        <v>3067</v>
      </c>
      <c r="G844" t="s">
        <v>3068</v>
      </c>
      <c r="H844">
        <v>843</v>
      </c>
      <c r="I844" t="str">
        <f>IF(ISBLANK(Table1[[#This Row],[oid]]),"FALSE","TRUE")</f>
        <v>TRUE</v>
      </c>
      <c r="J844" t="str" cm="1">
        <f t="array" ref="J844">_xlfn.SWITCH(LEFT(Table1[[#This Row],[section]],1), "D", "Demographic", "S", "Social", "E", "Economic", "H", "Housing", "")</f>
        <v>Social</v>
      </c>
      <c r="K844" t="s">
        <v>3043</v>
      </c>
      <c r="L844" s="1" t="s">
        <v>3044</v>
      </c>
      <c r="M844" t="str">
        <f>IF(Table1[[#This Row],[used]], _xlfn.CONCAT("🆔 ", Table1[[#This Row],[variable]], ": ",Table1[[#This Row],[alias]]), "")</f>
        <v>🆔 B16004_004E: 5 to 17 years: Speak Spanish</v>
      </c>
      <c r="O844" t="s">
        <v>3069</v>
      </c>
      <c r="P844" t="s">
        <v>3045</v>
      </c>
      <c r="Q844" t="s">
        <v>41</v>
      </c>
      <c r="R844" t="s">
        <v>3070</v>
      </c>
      <c r="S844" t="b">
        <v>1</v>
      </c>
      <c r="T844" t="b">
        <v>1</v>
      </c>
      <c r="U844" t="b">
        <v>1</v>
      </c>
      <c r="V844" t="b">
        <v>1</v>
      </c>
      <c r="W844" t="b">
        <v>1</v>
      </c>
      <c r="X844" t="b">
        <v>1</v>
      </c>
      <c r="Y844" t="b">
        <v>1</v>
      </c>
      <c r="Z844" t="b">
        <v>1</v>
      </c>
      <c r="AA844" t="b">
        <v>1</v>
      </c>
      <c r="AB844" t="b">
        <v>1</v>
      </c>
      <c r="AC844" t="b">
        <v>1</v>
      </c>
      <c r="AD844" t="b">
        <v>1</v>
      </c>
      <c r="AE844" t="b">
        <v>1</v>
      </c>
      <c r="AF844" t="b">
        <v>1</v>
      </c>
      <c r="AG844" t="b">
        <v>1</v>
      </c>
    </row>
    <row r="845" spans="1:33" x14ac:dyDescent="0.25">
      <c r="A845" t="s">
        <v>33</v>
      </c>
      <c r="B845">
        <v>15</v>
      </c>
      <c r="C845" t="b">
        <v>1</v>
      </c>
      <c r="D845" t="s">
        <v>3039</v>
      </c>
      <c r="E845" t="s">
        <v>3040</v>
      </c>
      <c r="F845" t="s">
        <v>3071</v>
      </c>
      <c r="G845" t="s">
        <v>3072</v>
      </c>
      <c r="H845">
        <v>844</v>
      </c>
      <c r="I845" t="str">
        <f>IF(ISBLANK(Table1[[#This Row],[oid]]),"FALSE","TRUE")</f>
        <v>TRUE</v>
      </c>
      <c r="J845" t="str" cm="1">
        <f t="array" ref="J845">_xlfn.SWITCH(LEFT(Table1[[#This Row],[section]],1), "D", "Demographic", "S", "Social", "E", "Economic", "H", "Housing", "")</f>
        <v>Social</v>
      </c>
      <c r="K845" t="s">
        <v>3043</v>
      </c>
      <c r="L845" s="1" t="s">
        <v>3044</v>
      </c>
      <c r="M845" t="str">
        <f>IF(Table1[[#This Row],[used]], _xlfn.CONCAT("🆔 ", Table1[[#This Row],[variable]], ": ",Table1[[#This Row],[alias]]), "")</f>
        <v>🆔 B16004_044E: 18 to 64 years: Speak other languages: Speak English not well</v>
      </c>
      <c r="O845" t="s">
        <v>3073</v>
      </c>
      <c r="P845" t="s">
        <v>3045</v>
      </c>
      <c r="Q845" t="s">
        <v>41</v>
      </c>
      <c r="R845" t="s">
        <v>3074</v>
      </c>
      <c r="S845" t="b">
        <v>1</v>
      </c>
      <c r="T845" t="b">
        <v>1</v>
      </c>
      <c r="U845" t="b">
        <v>1</v>
      </c>
      <c r="V845" t="b">
        <v>1</v>
      </c>
      <c r="W845" t="b">
        <v>1</v>
      </c>
      <c r="X845" t="b">
        <v>1</v>
      </c>
      <c r="Y845" t="b">
        <v>1</v>
      </c>
      <c r="Z845" t="b">
        <v>1</v>
      </c>
      <c r="AA845" t="b">
        <v>1</v>
      </c>
      <c r="AB845" t="b">
        <v>1</v>
      </c>
      <c r="AC845" t="b">
        <v>1</v>
      </c>
      <c r="AD845" t="b">
        <v>1</v>
      </c>
      <c r="AE845" t="b">
        <v>1</v>
      </c>
      <c r="AF845" t="b">
        <v>1</v>
      </c>
      <c r="AG845" t="b">
        <v>1</v>
      </c>
    </row>
    <row r="846" spans="1:33" x14ac:dyDescent="0.25">
      <c r="A846" t="s">
        <v>33</v>
      </c>
      <c r="B846">
        <v>15</v>
      </c>
      <c r="C846" t="b">
        <v>1</v>
      </c>
      <c r="D846" t="s">
        <v>3039</v>
      </c>
      <c r="E846" t="s">
        <v>3040</v>
      </c>
      <c r="F846" t="s">
        <v>3075</v>
      </c>
      <c r="G846" t="s">
        <v>3076</v>
      </c>
      <c r="H846">
        <v>845</v>
      </c>
      <c r="I846" t="str">
        <f>IF(ISBLANK(Table1[[#This Row],[oid]]),"FALSE","TRUE")</f>
        <v>TRUE</v>
      </c>
      <c r="J846" t="str" cm="1">
        <f t="array" ref="J846">_xlfn.SWITCH(LEFT(Table1[[#This Row],[section]],1), "D", "Demographic", "S", "Social", "E", "Economic", "H", "Housing", "")</f>
        <v>Social</v>
      </c>
      <c r="K846" t="s">
        <v>3043</v>
      </c>
      <c r="L846" s="1" t="s">
        <v>3044</v>
      </c>
      <c r="M846" t="str">
        <f>IF(Table1[[#This Row],[used]], _xlfn.CONCAT("🆔 ", Table1[[#This Row],[variable]], ": ",Table1[[#This Row],[alias]]), "")</f>
        <v>🆔 B16004_005E: 5 to 17 years: Speak Spanish: Speak English very well</v>
      </c>
      <c r="O846" t="s">
        <v>3077</v>
      </c>
      <c r="P846" t="s">
        <v>3045</v>
      </c>
      <c r="Q846" t="s">
        <v>41</v>
      </c>
      <c r="R846" t="s">
        <v>3078</v>
      </c>
      <c r="S846" t="b">
        <v>1</v>
      </c>
      <c r="T846" t="b">
        <v>1</v>
      </c>
      <c r="U846" t="b">
        <v>1</v>
      </c>
      <c r="V846" t="b">
        <v>1</v>
      </c>
      <c r="W846" t="b">
        <v>1</v>
      </c>
      <c r="X846" t="b">
        <v>1</v>
      </c>
      <c r="Y846" t="b">
        <v>1</v>
      </c>
      <c r="Z846" t="b">
        <v>1</v>
      </c>
      <c r="AA846" t="b">
        <v>1</v>
      </c>
      <c r="AB846" t="b">
        <v>1</v>
      </c>
      <c r="AC846" t="b">
        <v>1</v>
      </c>
      <c r="AD846" t="b">
        <v>1</v>
      </c>
      <c r="AE846" t="b">
        <v>1</v>
      </c>
      <c r="AF846" t="b">
        <v>1</v>
      </c>
      <c r="AG846" t="b">
        <v>1</v>
      </c>
    </row>
    <row r="847" spans="1:33" x14ac:dyDescent="0.25">
      <c r="A847" t="s">
        <v>33</v>
      </c>
      <c r="B847">
        <v>15</v>
      </c>
      <c r="C847" t="b">
        <v>1</v>
      </c>
      <c r="D847" t="s">
        <v>3039</v>
      </c>
      <c r="E847" t="s">
        <v>3040</v>
      </c>
      <c r="F847" t="s">
        <v>3079</v>
      </c>
      <c r="G847" t="s">
        <v>3080</v>
      </c>
      <c r="H847">
        <v>846</v>
      </c>
      <c r="I847" t="str">
        <f>IF(ISBLANK(Table1[[#This Row],[oid]]),"FALSE","TRUE")</f>
        <v>TRUE</v>
      </c>
      <c r="J847" t="str" cm="1">
        <f t="array" ref="J847">_xlfn.SWITCH(LEFT(Table1[[#This Row],[section]],1), "D", "Demographic", "S", "Social", "E", "Economic", "H", "Housing", "")</f>
        <v>Social</v>
      </c>
      <c r="K847" t="s">
        <v>3043</v>
      </c>
      <c r="L847" s="1" t="s">
        <v>3044</v>
      </c>
      <c r="M847" t="str">
        <f>IF(Table1[[#This Row],[used]], _xlfn.CONCAT("🆔 ", Table1[[#This Row],[variable]], ": ",Table1[[#This Row],[alias]]), "")</f>
        <v>🆔 B16004_045E: 18 to 64 years: Speak other languages: Speak English not at all</v>
      </c>
      <c r="O847" t="s">
        <v>3081</v>
      </c>
      <c r="P847" t="s">
        <v>3045</v>
      </c>
      <c r="Q847" t="s">
        <v>41</v>
      </c>
      <c r="R847" t="s">
        <v>3082</v>
      </c>
      <c r="S847" t="b">
        <v>1</v>
      </c>
      <c r="T847" t="b">
        <v>1</v>
      </c>
      <c r="U847" t="b">
        <v>1</v>
      </c>
      <c r="V847" t="b">
        <v>1</v>
      </c>
      <c r="W847" t="b">
        <v>1</v>
      </c>
      <c r="X847" t="b">
        <v>1</v>
      </c>
      <c r="Y847" t="b">
        <v>1</v>
      </c>
      <c r="Z847" t="b">
        <v>1</v>
      </c>
      <c r="AA847" t="b">
        <v>1</v>
      </c>
      <c r="AB847" t="b">
        <v>1</v>
      </c>
      <c r="AC847" t="b">
        <v>1</v>
      </c>
      <c r="AD847" t="b">
        <v>1</v>
      </c>
      <c r="AE847" t="b">
        <v>1</v>
      </c>
      <c r="AF847" t="b">
        <v>1</v>
      </c>
      <c r="AG847" t="b">
        <v>1</v>
      </c>
    </row>
    <row r="848" spans="1:33" x14ac:dyDescent="0.25">
      <c r="A848" t="s">
        <v>33</v>
      </c>
      <c r="B848">
        <v>15</v>
      </c>
      <c r="C848" t="b">
        <v>1</v>
      </c>
      <c r="D848" t="s">
        <v>3039</v>
      </c>
      <c r="E848" t="s">
        <v>3040</v>
      </c>
      <c r="F848" t="s">
        <v>3083</v>
      </c>
      <c r="G848" t="s">
        <v>3084</v>
      </c>
      <c r="H848">
        <v>847</v>
      </c>
      <c r="I848" t="str">
        <f>IF(ISBLANK(Table1[[#This Row],[oid]]),"FALSE","TRUE")</f>
        <v>TRUE</v>
      </c>
      <c r="J848" t="str" cm="1">
        <f t="array" ref="J848">_xlfn.SWITCH(LEFT(Table1[[#This Row],[section]],1), "D", "Demographic", "S", "Social", "E", "Economic", "H", "Housing", "")</f>
        <v>Social</v>
      </c>
      <c r="K848" t="s">
        <v>3043</v>
      </c>
      <c r="L848" s="1" t="s">
        <v>3044</v>
      </c>
      <c r="M848" t="str">
        <f>IF(Table1[[#This Row],[used]], _xlfn.CONCAT("🆔 ", Table1[[#This Row],[variable]], ": ",Table1[[#This Row],[alias]]), "")</f>
        <v>🆔 B16004_006E: 5 to 17 years: Speak Spanish: Speak English well</v>
      </c>
      <c r="O848" t="s">
        <v>3085</v>
      </c>
      <c r="P848" t="s">
        <v>3045</v>
      </c>
      <c r="Q848" t="s">
        <v>41</v>
      </c>
      <c r="R848" t="s">
        <v>3086</v>
      </c>
      <c r="S848" t="b">
        <v>1</v>
      </c>
      <c r="T848" t="b">
        <v>1</v>
      </c>
      <c r="U848" t="b">
        <v>1</v>
      </c>
      <c r="V848" t="b">
        <v>1</v>
      </c>
      <c r="W848" t="b">
        <v>1</v>
      </c>
      <c r="X848" t="b">
        <v>1</v>
      </c>
      <c r="Y848" t="b">
        <v>1</v>
      </c>
      <c r="Z848" t="b">
        <v>1</v>
      </c>
      <c r="AA848" t="b">
        <v>1</v>
      </c>
      <c r="AB848" t="b">
        <v>1</v>
      </c>
      <c r="AC848" t="b">
        <v>1</v>
      </c>
      <c r="AD848" t="b">
        <v>1</v>
      </c>
      <c r="AE848" t="b">
        <v>1</v>
      </c>
      <c r="AF848" t="b">
        <v>1</v>
      </c>
      <c r="AG848" t="b">
        <v>1</v>
      </c>
    </row>
    <row r="849" spans="1:33" x14ac:dyDescent="0.25">
      <c r="A849" t="s">
        <v>33</v>
      </c>
      <c r="B849">
        <v>15</v>
      </c>
      <c r="C849" t="b">
        <v>1</v>
      </c>
      <c r="D849" t="s">
        <v>3039</v>
      </c>
      <c r="E849" t="s">
        <v>3040</v>
      </c>
      <c r="F849" t="s">
        <v>3087</v>
      </c>
      <c r="G849" t="s">
        <v>3088</v>
      </c>
      <c r="H849">
        <v>848</v>
      </c>
      <c r="I849" t="str">
        <f>IF(ISBLANK(Table1[[#This Row],[oid]]),"FALSE","TRUE")</f>
        <v>TRUE</v>
      </c>
      <c r="J849" t="str" cm="1">
        <f t="array" ref="J849">_xlfn.SWITCH(LEFT(Table1[[#This Row],[section]],1), "D", "Demographic", "S", "Social", "E", "Economic", "H", "Housing", "")</f>
        <v>Social</v>
      </c>
      <c r="K849" t="s">
        <v>3043</v>
      </c>
      <c r="L849" s="1" t="s">
        <v>3044</v>
      </c>
      <c r="M849" t="str">
        <f>IF(Table1[[#This Row],[used]], _xlfn.CONCAT("🆔 ", Table1[[#This Row],[variable]], ": ",Table1[[#This Row],[alias]]), "")</f>
        <v>🆔 B16004_046E: 65 years and over</v>
      </c>
      <c r="O849" t="s">
        <v>3089</v>
      </c>
      <c r="P849" t="s">
        <v>3045</v>
      </c>
      <c r="Q849" t="s">
        <v>41</v>
      </c>
      <c r="R849" t="s">
        <v>3090</v>
      </c>
      <c r="S849" t="b">
        <v>1</v>
      </c>
      <c r="T849" t="b">
        <v>1</v>
      </c>
      <c r="U849" t="b">
        <v>1</v>
      </c>
      <c r="V849" t="b">
        <v>1</v>
      </c>
      <c r="W849" t="b">
        <v>1</v>
      </c>
      <c r="X849" t="b">
        <v>1</v>
      </c>
      <c r="Y849" t="b">
        <v>1</v>
      </c>
      <c r="Z849" t="b">
        <v>1</v>
      </c>
      <c r="AA849" t="b">
        <v>1</v>
      </c>
      <c r="AB849" t="b">
        <v>1</v>
      </c>
      <c r="AC849" t="b">
        <v>1</v>
      </c>
      <c r="AD849" t="b">
        <v>1</v>
      </c>
      <c r="AE849" t="b">
        <v>1</v>
      </c>
      <c r="AF849" t="b">
        <v>1</v>
      </c>
      <c r="AG849" t="b">
        <v>1</v>
      </c>
    </row>
    <row r="850" spans="1:33" x14ac:dyDescent="0.25">
      <c r="A850" t="s">
        <v>33</v>
      </c>
      <c r="B850">
        <v>15</v>
      </c>
      <c r="C850" t="b">
        <v>1</v>
      </c>
      <c r="D850" t="s">
        <v>3039</v>
      </c>
      <c r="E850" t="s">
        <v>3040</v>
      </c>
      <c r="F850" t="s">
        <v>3091</v>
      </c>
      <c r="G850" t="s">
        <v>3092</v>
      </c>
      <c r="H850">
        <v>849</v>
      </c>
      <c r="I850" t="str">
        <f>IF(ISBLANK(Table1[[#This Row],[oid]]),"FALSE","TRUE")</f>
        <v>TRUE</v>
      </c>
      <c r="J850" t="str" cm="1">
        <f t="array" ref="J850">_xlfn.SWITCH(LEFT(Table1[[#This Row],[section]],1), "D", "Demographic", "S", "Social", "E", "Economic", "H", "Housing", "")</f>
        <v>Social</v>
      </c>
      <c r="K850" t="s">
        <v>3043</v>
      </c>
      <c r="L850" s="1" t="s">
        <v>3044</v>
      </c>
      <c r="M850" t="str">
        <f>IF(Table1[[#This Row],[used]], _xlfn.CONCAT("🆔 ", Table1[[#This Row],[variable]], ": ",Table1[[#This Row],[alias]]), "")</f>
        <v>🆔 B16004_007E: 5 to 17 years: Speak Spanish: Speak English not well</v>
      </c>
      <c r="O850" t="s">
        <v>3093</v>
      </c>
      <c r="P850" t="s">
        <v>3045</v>
      </c>
      <c r="Q850" t="s">
        <v>41</v>
      </c>
      <c r="R850" t="s">
        <v>3094</v>
      </c>
      <c r="S850" t="b">
        <v>1</v>
      </c>
      <c r="T850" t="b">
        <v>1</v>
      </c>
      <c r="U850" t="b">
        <v>1</v>
      </c>
      <c r="V850" t="b">
        <v>1</v>
      </c>
      <c r="W850" t="b">
        <v>1</v>
      </c>
      <c r="X850" t="b">
        <v>1</v>
      </c>
      <c r="Y850" t="b">
        <v>1</v>
      </c>
      <c r="Z850" t="b">
        <v>1</v>
      </c>
      <c r="AA850" t="b">
        <v>1</v>
      </c>
      <c r="AB850" t="b">
        <v>1</v>
      </c>
      <c r="AC850" t="b">
        <v>1</v>
      </c>
      <c r="AD850" t="b">
        <v>1</v>
      </c>
      <c r="AE850" t="b">
        <v>1</v>
      </c>
      <c r="AF850" t="b">
        <v>1</v>
      </c>
      <c r="AG850" t="b">
        <v>1</v>
      </c>
    </row>
    <row r="851" spans="1:33" x14ac:dyDescent="0.25">
      <c r="A851" t="s">
        <v>33</v>
      </c>
      <c r="B851">
        <v>15</v>
      </c>
      <c r="C851" t="b">
        <v>1</v>
      </c>
      <c r="D851" t="s">
        <v>3039</v>
      </c>
      <c r="E851" t="s">
        <v>3040</v>
      </c>
      <c r="F851" t="s">
        <v>3095</v>
      </c>
      <c r="G851" t="s">
        <v>3096</v>
      </c>
      <c r="H851">
        <v>850</v>
      </c>
      <c r="I851" t="str">
        <f>IF(ISBLANK(Table1[[#This Row],[oid]]),"FALSE","TRUE")</f>
        <v>TRUE</v>
      </c>
      <c r="J851" t="str" cm="1">
        <f t="array" ref="J851">_xlfn.SWITCH(LEFT(Table1[[#This Row],[section]],1), "D", "Demographic", "S", "Social", "E", "Economic", "H", "Housing", "")</f>
        <v>Social</v>
      </c>
      <c r="K851" t="s">
        <v>3043</v>
      </c>
      <c r="L851" s="1" t="s">
        <v>3044</v>
      </c>
      <c r="M851" t="str">
        <f>IF(Table1[[#This Row],[used]], _xlfn.CONCAT("🆔 ", Table1[[#This Row],[variable]], ": ",Table1[[#This Row],[alias]]), "")</f>
        <v>🆔 B16004_047E: 65 years and over: Speak only English</v>
      </c>
      <c r="O851" t="s">
        <v>3097</v>
      </c>
      <c r="P851" t="s">
        <v>3045</v>
      </c>
      <c r="Q851" t="s">
        <v>41</v>
      </c>
      <c r="R851" t="s">
        <v>3098</v>
      </c>
      <c r="S851" t="b">
        <v>1</v>
      </c>
      <c r="T851" t="b">
        <v>1</v>
      </c>
      <c r="U851" t="b">
        <v>1</v>
      </c>
      <c r="V851" t="b">
        <v>1</v>
      </c>
      <c r="W851" t="b">
        <v>1</v>
      </c>
      <c r="X851" t="b">
        <v>1</v>
      </c>
      <c r="Y851" t="b">
        <v>1</v>
      </c>
      <c r="Z851" t="b">
        <v>1</v>
      </c>
      <c r="AA851" t="b">
        <v>1</v>
      </c>
      <c r="AB851" t="b">
        <v>1</v>
      </c>
      <c r="AC851" t="b">
        <v>1</v>
      </c>
      <c r="AD851" t="b">
        <v>1</v>
      </c>
      <c r="AE851" t="b">
        <v>1</v>
      </c>
      <c r="AF851" t="b">
        <v>1</v>
      </c>
      <c r="AG851" t="b">
        <v>1</v>
      </c>
    </row>
    <row r="852" spans="1:33" x14ac:dyDescent="0.25">
      <c r="A852" t="s">
        <v>33</v>
      </c>
      <c r="B852">
        <v>15</v>
      </c>
      <c r="C852" t="b">
        <v>1</v>
      </c>
      <c r="D852" t="s">
        <v>3039</v>
      </c>
      <c r="E852" t="s">
        <v>3040</v>
      </c>
      <c r="F852" t="s">
        <v>3099</v>
      </c>
      <c r="G852" t="s">
        <v>3100</v>
      </c>
      <c r="H852">
        <v>851</v>
      </c>
      <c r="I852" t="str">
        <f>IF(ISBLANK(Table1[[#This Row],[oid]]),"FALSE","TRUE")</f>
        <v>TRUE</v>
      </c>
      <c r="J852" t="str" cm="1">
        <f t="array" ref="J852">_xlfn.SWITCH(LEFT(Table1[[#This Row],[section]],1), "D", "Demographic", "S", "Social", "E", "Economic", "H", "Housing", "")</f>
        <v>Social</v>
      </c>
      <c r="K852" t="s">
        <v>3043</v>
      </c>
      <c r="L852" s="1" t="s">
        <v>3044</v>
      </c>
      <c r="M852" t="str">
        <f>IF(Table1[[#This Row],[used]], _xlfn.CONCAT("🆔 ", Table1[[#This Row],[variable]], ": ",Table1[[#This Row],[alias]]), "")</f>
        <v>🆔 B16004_008E: 5 to 17 years: Speak Spanish: Speak English not at all</v>
      </c>
      <c r="O852" t="s">
        <v>3101</v>
      </c>
      <c r="P852" t="s">
        <v>3045</v>
      </c>
      <c r="Q852" t="s">
        <v>41</v>
      </c>
      <c r="R852" t="s">
        <v>3102</v>
      </c>
      <c r="S852" t="b">
        <v>1</v>
      </c>
      <c r="T852" t="b">
        <v>1</v>
      </c>
      <c r="U852" t="b">
        <v>1</v>
      </c>
      <c r="V852" t="b">
        <v>1</v>
      </c>
      <c r="W852" t="b">
        <v>1</v>
      </c>
      <c r="X852" t="b">
        <v>1</v>
      </c>
      <c r="Y852" t="b">
        <v>1</v>
      </c>
      <c r="Z852" t="b">
        <v>1</v>
      </c>
      <c r="AA852" t="b">
        <v>1</v>
      </c>
      <c r="AB852" t="b">
        <v>1</v>
      </c>
      <c r="AC852" t="b">
        <v>1</v>
      </c>
      <c r="AD852" t="b">
        <v>1</v>
      </c>
      <c r="AE852" t="b">
        <v>1</v>
      </c>
      <c r="AF852" t="b">
        <v>1</v>
      </c>
      <c r="AG852" t="b">
        <v>1</v>
      </c>
    </row>
    <row r="853" spans="1:33" x14ac:dyDescent="0.25">
      <c r="A853" t="s">
        <v>33</v>
      </c>
      <c r="B853">
        <v>15</v>
      </c>
      <c r="C853" t="b">
        <v>1</v>
      </c>
      <c r="D853" t="s">
        <v>3039</v>
      </c>
      <c r="E853" t="s">
        <v>3040</v>
      </c>
      <c r="F853" t="s">
        <v>3103</v>
      </c>
      <c r="G853" t="s">
        <v>3104</v>
      </c>
      <c r="H853">
        <v>852</v>
      </c>
      <c r="I853" t="str">
        <f>IF(ISBLANK(Table1[[#This Row],[oid]]),"FALSE","TRUE")</f>
        <v>TRUE</v>
      </c>
      <c r="J853" t="str" cm="1">
        <f t="array" ref="J853">_xlfn.SWITCH(LEFT(Table1[[#This Row],[section]],1), "D", "Demographic", "S", "Social", "E", "Economic", "H", "Housing", "")</f>
        <v>Social</v>
      </c>
      <c r="K853" t="s">
        <v>3043</v>
      </c>
      <c r="L853" s="1" t="s">
        <v>3044</v>
      </c>
      <c r="M853" t="str">
        <f>IF(Table1[[#This Row],[used]], _xlfn.CONCAT("🆔 ", Table1[[#This Row],[variable]], ": ",Table1[[#This Row],[alias]]), "")</f>
        <v>🆔 B16004_048E: 65 years and over: Speak Spanish</v>
      </c>
      <c r="O853" t="s">
        <v>3105</v>
      </c>
      <c r="P853" t="s">
        <v>3045</v>
      </c>
      <c r="Q853" t="s">
        <v>41</v>
      </c>
      <c r="R853" t="s">
        <v>3106</v>
      </c>
      <c r="S853" t="b">
        <v>1</v>
      </c>
      <c r="T853" t="b">
        <v>1</v>
      </c>
      <c r="U853" t="b">
        <v>1</v>
      </c>
      <c r="V853" t="b">
        <v>1</v>
      </c>
      <c r="W853" t="b">
        <v>1</v>
      </c>
      <c r="X853" t="b">
        <v>1</v>
      </c>
      <c r="Y853" t="b">
        <v>1</v>
      </c>
      <c r="Z853" t="b">
        <v>1</v>
      </c>
      <c r="AA853" t="b">
        <v>1</v>
      </c>
      <c r="AB853" t="b">
        <v>1</v>
      </c>
      <c r="AC853" t="b">
        <v>1</v>
      </c>
      <c r="AD853" t="b">
        <v>1</v>
      </c>
      <c r="AE853" t="b">
        <v>1</v>
      </c>
      <c r="AF853" t="b">
        <v>1</v>
      </c>
      <c r="AG853" t="b">
        <v>1</v>
      </c>
    </row>
    <row r="854" spans="1:33" x14ac:dyDescent="0.25">
      <c r="A854" t="s">
        <v>33</v>
      </c>
      <c r="B854">
        <v>15</v>
      </c>
      <c r="C854" t="b">
        <v>1</v>
      </c>
      <c r="D854" t="s">
        <v>3039</v>
      </c>
      <c r="E854" t="s">
        <v>3040</v>
      </c>
      <c r="F854" t="s">
        <v>3107</v>
      </c>
      <c r="G854" t="s">
        <v>3108</v>
      </c>
      <c r="H854">
        <v>853</v>
      </c>
      <c r="I854" t="str">
        <f>IF(ISBLANK(Table1[[#This Row],[oid]]),"FALSE","TRUE")</f>
        <v>TRUE</v>
      </c>
      <c r="J854" t="str" cm="1">
        <f t="array" ref="J854">_xlfn.SWITCH(LEFT(Table1[[#This Row],[section]],1), "D", "Demographic", "S", "Social", "E", "Economic", "H", "Housing", "")</f>
        <v>Social</v>
      </c>
      <c r="K854" t="s">
        <v>3043</v>
      </c>
      <c r="L854" s="1" t="s">
        <v>3044</v>
      </c>
      <c r="M854" t="str">
        <f>IF(Table1[[#This Row],[used]], _xlfn.CONCAT("🆔 ", Table1[[#This Row],[variable]], ": ",Table1[[#This Row],[alias]]), "")</f>
        <v>🆔 B16004_009E: 5 to 17 years: Speak other Indo-European languages</v>
      </c>
      <c r="O854" t="s">
        <v>3109</v>
      </c>
      <c r="P854" t="s">
        <v>3045</v>
      </c>
      <c r="Q854" t="s">
        <v>41</v>
      </c>
      <c r="R854" t="s">
        <v>3110</v>
      </c>
      <c r="S854" t="b">
        <v>1</v>
      </c>
      <c r="T854" t="b">
        <v>1</v>
      </c>
      <c r="U854" t="b">
        <v>1</v>
      </c>
      <c r="V854" t="b">
        <v>1</v>
      </c>
      <c r="W854" t="b">
        <v>1</v>
      </c>
      <c r="X854" t="b">
        <v>1</v>
      </c>
      <c r="Y854" t="b">
        <v>1</v>
      </c>
      <c r="Z854" t="b">
        <v>1</v>
      </c>
      <c r="AA854" t="b">
        <v>1</v>
      </c>
      <c r="AB854" t="b">
        <v>1</v>
      </c>
      <c r="AC854" t="b">
        <v>1</v>
      </c>
      <c r="AD854" t="b">
        <v>1</v>
      </c>
      <c r="AE854" t="b">
        <v>1</v>
      </c>
      <c r="AF854" t="b">
        <v>1</v>
      </c>
      <c r="AG854" t="b">
        <v>1</v>
      </c>
    </row>
    <row r="855" spans="1:33" x14ac:dyDescent="0.25">
      <c r="A855" t="s">
        <v>33</v>
      </c>
      <c r="B855">
        <v>15</v>
      </c>
      <c r="C855" t="b">
        <v>1</v>
      </c>
      <c r="D855" t="s">
        <v>3039</v>
      </c>
      <c r="E855" t="s">
        <v>3040</v>
      </c>
      <c r="F855" t="s">
        <v>3111</v>
      </c>
      <c r="G855" t="s">
        <v>3112</v>
      </c>
      <c r="H855">
        <v>854</v>
      </c>
      <c r="I855" t="str">
        <f>IF(ISBLANK(Table1[[#This Row],[oid]]),"FALSE","TRUE")</f>
        <v>TRUE</v>
      </c>
      <c r="J855" t="str" cm="1">
        <f t="array" ref="J855">_xlfn.SWITCH(LEFT(Table1[[#This Row],[section]],1), "D", "Demographic", "S", "Social", "E", "Economic", "H", "Housing", "")</f>
        <v>Social</v>
      </c>
      <c r="K855" t="s">
        <v>3043</v>
      </c>
      <c r="L855" s="1" t="s">
        <v>3044</v>
      </c>
      <c r="M855" t="str">
        <f>IF(Table1[[#This Row],[used]], _xlfn.CONCAT("🆔 ", Table1[[#This Row],[variable]], ": ",Table1[[#This Row],[alias]]), "")</f>
        <v>🆔 B16004_049E: 65 years and over: Speak Spanish: Speak English very well</v>
      </c>
      <c r="O855" t="s">
        <v>3113</v>
      </c>
      <c r="P855" t="s">
        <v>3045</v>
      </c>
      <c r="Q855" t="s">
        <v>41</v>
      </c>
      <c r="R855" t="s">
        <v>3114</v>
      </c>
      <c r="S855" t="b">
        <v>1</v>
      </c>
      <c r="T855" t="b">
        <v>1</v>
      </c>
      <c r="U855" t="b">
        <v>1</v>
      </c>
      <c r="V855" t="b">
        <v>1</v>
      </c>
      <c r="W855" t="b">
        <v>1</v>
      </c>
      <c r="X855" t="b">
        <v>1</v>
      </c>
      <c r="Y855" t="b">
        <v>1</v>
      </c>
      <c r="Z855" t="b">
        <v>1</v>
      </c>
      <c r="AA855" t="b">
        <v>1</v>
      </c>
      <c r="AB855" t="b">
        <v>1</v>
      </c>
      <c r="AC855" t="b">
        <v>1</v>
      </c>
      <c r="AD855" t="b">
        <v>1</v>
      </c>
      <c r="AE855" t="b">
        <v>1</v>
      </c>
      <c r="AF855" t="b">
        <v>1</v>
      </c>
      <c r="AG855" t="b">
        <v>1</v>
      </c>
    </row>
    <row r="856" spans="1:33" x14ac:dyDescent="0.25">
      <c r="A856" t="s">
        <v>33</v>
      </c>
      <c r="B856">
        <v>15</v>
      </c>
      <c r="C856" t="b">
        <v>1</v>
      </c>
      <c r="D856" t="s">
        <v>3039</v>
      </c>
      <c r="E856" t="s">
        <v>3040</v>
      </c>
      <c r="F856" t="s">
        <v>3115</v>
      </c>
      <c r="G856" t="s">
        <v>3116</v>
      </c>
      <c r="H856">
        <v>855</v>
      </c>
      <c r="I856" t="str">
        <f>IF(ISBLANK(Table1[[#This Row],[oid]]),"FALSE","TRUE")</f>
        <v>TRUE</v>
      </c>
      <c r="J856" t="str" cm="1">
        <f t="array" ref="J856">_xlfn.SWITCH(LEFT(Table1[[#This Row],[section]],1), "D", "Demographic", "S", "Social", "E", "Economic", "H", "Housing", "")</f>
        <v>Social</v>
      </c>
      <c r="K856" t="s">
        <v>3043</v>
      </c>
      <c r="L856" s="1" t="s">
        <v>3044</v>
      </c>
      <c r="M856" t="str">
        <f>IF(Table1[[#This Row],[used]], _xlfn.CONCAT("🆔 ", Table1[[#This Row],[variable]], ": ",Table1[[#This Row],[alias]]), "")</f>
        <v>🆔 B16004_010E: 5 to 17 years: Speak other Indo-European languages: Speak English very well</v>
      </c>
      <c r="O856" t="s">
        <v>3117</v>
      </c>
      <c r="P856" t="s">
        <v>3045</v>
      </c>
      <c r="Q856" t="s">
        <v>41</v>
      </c>
      <c r="R856" t="s">
        <v>3118</v>
      </c>
      <c r="S856" t="b">
        <v>1</v>
      </c>
      <c r="T856" t="b">
        <v>1</v>
      </c>
      <c r="U856" t="b">
        <v>1</v>
      </c>
      <c r="V856" t="b">
        <v>1</v>
      </c>
      <c r="W856" t="b">
        <v>1</v>
      </c>
      <c r="X856" t="b">
        <v>1</v>
      </c>
      <c r="Y856" t="b">
        <v>1</v>
      </c>
      <c r="Z856" t="b">
        <v>1</v>
      </c>
      <c r="AA856" t="b">
        <v>1</v>
      </c>
      <c r="AB856" t="b">
        <v>1</v>
      </c>
      <c r="AC856" t="b">
        <v>1</v>
      </c>
      <c r="AD856" t="b">
        <v>1</v>
      </c>
      <c r="AE856" t="b">
        <v>1</v>
      </c>
      <c r="AF856" t="b">
        <v>1</v>
      </c>
      <c r="AG856" t="b">
        <v>1</v>
      </c>
    </row>
    <row r="857" spans="1:33" x14ac:dyDescent="0.25">
      <c r="A857" t="s">
        <v>33</v>
      </c>
      <c r="B857">
        <v>15</v>
      </c>
      <c r="C857" t="b">
        <v>1</v>
      </c>
      <c r="D857" t="s">
        <v>3039</v>
      </c>
      <c r="E857" t="s">
        <v>3040</v>
      </c>
      <c r="F857" t="s">
        <v>3119</v>
      </c>
      <c r="G857" t="s">
        <v>3120</v>
      </c>
      <c r="H857">
        <v>856</v>
      </c>
      <c r="I857" t="str">
        <f>IF(ISBLANK(Table1[[#This Row],[oid]]),"FALSE","TRUE")</f>
        <v>TRUE</v>
      </c>
      <c r="J857" t="str" cm="1">
        <f t="array" ref="J857">_xlfn.SWITCH(LEFT(Table1[[#This Row],[section]],1), "D", "Demographic", "S", "Social", "E", "Economic", "H", "Housing", "")</f>
        <v>Social</v>
      </c>
      <c r="K857" t="s">
        <v>3043</v>
      </c>
      <c r="L857" s="1" t="s">
        <v>3044</v>
      </c>
      <c r="M857" t="str">
        <f>IF(Table1[[#This Row],[used]], _xlfn.CONCAT("🆔 ", Table1[[#This Row],[variable]], ": ",Table1[[#This Row],[alias]]), "")</f>
        <v>🆔 B16004_050E: 65 years and over: Speak Spanish: Speak English well</v>
      </c>
      <c r="O857" t="s">
        <v>3121</v>
      </c>
      <c r="P857" t="s">
        <v>3045</v>
      </c>
      <c r="Q857" t="s">
        <v>41</v>
      </c>
      <c r="R857" t="s">
        <v>3122</v>
      </c>
      <c r="S857" t="b">
        <v>1</v>
      </c>
      <c r="T857" t="b">
        <v>1</v>
      </c>
      <c r="U857" t="b">
        <v>1</v>
      </c>
      <c r="V857" t="b">
        <v>1</v>
      </c>
      <c r="W857" t="b">
        <v>1</v>
      </c>
      <c r="X857" t="b">
        <v>1</v>
      </c>
      <c r="Y857" t="b">
        <v>1</v>
      </c>
      <c r="Z857" t="b">
        <v>1</v>
      </c>
      <c r="AA857" t="b">
        <v>1</v>
      </c>
      <c r="AB857" t="b">
        <v>1</v>
      </c>
      <c r="AC857" t="b">
        <v>1</v>
      </c>
      <c r="AD857" t="b">
        <v>1</v>
      </c>
      <c r="AE857" t="b">
        <v>1</v>
      </c>
      <c r="AF857" t="b">
        <v>1</v>
      </c>
      <c r="AG857" t="b">
        <v>1</v>
      </c>
    </row>
    <row r="858" spans="1:33" x14ac:dyDescent="0.25">
      <c r="A858" t="s">
        <v>33</v>
      </c>
      <c r="B858">
        <v>15</v>
      </c>
      <c r="C858" t="b">
        <v>1</v>
      </c>
      <c r="D858" t="s">
        <v>3039</v>
      </c>
      <c r="E858" t="s">
        <v>3040</v>
      </c>
      <c r="F858" t="s">
        <v>3123</v>
      </c>
      <c r="G858" t="s">
        <v>3124</v>
      </c>
      <c r="H858">
        <v>857</v>
      </c>
      <c r="I858" t="str">
        <f>IF(ISBLANK(Table1[[#This Row],[oid]]),"FALSE","TRUE")</f>
        <v>TRUE</v>
      </c>
      <c r="J858" t="str" cm="1">
        <f t="array" ref="J858">_xlfn.SWITCH(LEFT(Table1[[#This Row],[section]],1), "D", "Demographic", "S", "Social", "E", "Economic", "H", "Housing", "")</f>
        <v>Social</v>
      </c>
      <c r="K858" t="s">
        <v>3043</v>
      </c>
      <c r="L858" s="1" t="s">
        <v>3044</v>
      </c>
      <c r="M858" t="str">
        <f>IF(Table1[[#This Row],[used]], _xlfn.CONCAT("🆔 ", Table1[[#This Row],[variable]], ": ",Table1[[#This Row],[alias]]), "")</f>
        <v>🆔 B16004_011E: 5 to 17 years: Speak other Indo-European languages: Speak English well</v>
      </c>
      <c r="O858" t="s">
        <v>3125</v>
      </c>
      <c r="P858" t="s">
        <v>3045</v>
      </c>
      <c r="Q858" t="s">
        <v>41</v>
      </c>
      <c r="R858" t="s">
        <v>3126</v>
      </c>
      <c r="S858" t="b">
        <v>1</v>
      </c>
      <c r="T858" t="b">
        <v>1</v>
      </c>
      <c r="U858" t="b">
        <v>1</v>
      </c>
      <c r="V858" t="b">
        <v>1</v>
      </c>
      <c r="W858" t="b">
        <v>1</v>
      </c>
      <c r="X858" t="b">
        <v>1</v>
      </c>
      <c r="Y858" t="b">
        <v>1</v>
      </c>
      <c r="Z858" t="b">
        <v>1</v>
      </c>
      <c r="AA858" t="b">
        <v>1</v>
      </c>
      <c r="AB858" t="b">
        <v>1</v>
      </c>
      <c r="AC858" t="b">
        <v>1</v>
      </c>
      <c r="AD858" t="b">
        <v>1</v>
      </c>
      <c r="AE858" t="b">
        <v>1</v>
      </c>
      <c r="AF858" t="b">
        <v>1</v>
      </c>
      <c r="AG858" t="b">
        <v>1</v>
      </c>
    </row>
    <row r="859" spans="1:33" x14ac:dyDescent="0.25">
      <c r="A859" t="s">
        <v>33</v>
      </c>
      <c r="B859">
        <v>15</v>
      </c>
      <c r="C859" t="b">
        <v>1</v>
      </c>
      <c r="D859" t="s">
        <v>3039</v>
      </c>
      <c r="E859" t="s">
        <v>3040</v>
      </c>
      <c r="F859" t="s">
        <v>3127</v>
      </c>
      <c r="G859" t="s">
        <v>3128</v>
      </c>
      <c r="H859">
        <v>858</v>
      </c>
      <c r="I859" t="str">
        <f>IF(ISBLANK(Table1[[#This Row],[oid]]),"FALSE","TRUE")</f>
        <v>TRUE</v>
      </c>
      <c r="J859" t="str" cm="1">
        <f t="array" ref="J859">_xlfn.SWITCH(LEFT(Table1[[#This Row],[section]],1), "D", "Demographic", "S", "Social", "E", "Economic", "H", "Housing", "")</f>
        <v>Social</v>
      </c>
      <c r="K859" t="s">
        <v>3043</v>
      </c>
      <c r="L859" s="1" t="s">
        <v>3044</v>
      </c>
      <c r="M859" t="str">
        <f>IF(Table1[[#This Row],[used]], _xlfn.CONCAT("🆔 ", Table1[[#This Row],[variable]], ": ",Table1[[#This Row],[alias]]), "")</f>
        <v>🆔 B16004_051E: 65 years and over: Speak Spanish: Speak English not well</v>
      </c>
      <c r="O859" t="s">
        <v>3129</v>
      </c>
      <c r="P859" t="s">
        <v>3045</v>
      </c>
      <c r="Q859" t="s">
        <v>41</v>
      </c>
      <c r="R859" t="s">
        <v>3130</v>
      </c>
      <c r="S859" t="b">
        <v>1</v>
      </c>
      <c r="T859" t="b">
        <v>1</v>
      </c>
      <c r="U859" t="b">
        <v>1</v>
      </c>
      <c r="V859" t="b">
        <v>1</v>
      </c>
      <c r="W859" t="b">
        <v>1</v>
      </c>
      <c r="X859" t="b">
        <v>1</v>
      </c>
      <c r="Y859" t="b">
        <v>1</v>
      </c>
      <c r="Z859" t="b">
        <v>1</v>
      </c>
      <c r="AA859" t="b">
        <v>1</v>
      </c>
      <c r="AB859" t="b">
        <v>1</v>
      </c>
      <c r="AC859" t="b">
        <v>1</v>
      </c>
      <c r="AD859" t="b">
        <v>1</v>
      </c>
      <c r="AE859" t="b">
        <v>1</v>
      </c>
      <c r="AF859" t="b">
        <v>1</v>
      </c>
      <c r="AG859" t="b">
        <v>1</v>
      </c>
    </row>
    <row r="860" spans="1:33" x14ac:dyDescent="0.25">
      <c r="A860" t="s">
        <v>33</v>
      </c>
      <c r="B860">
        <v>15</v>
      </c>
      <c r="C860" t="b">
        <v>1</v>
      </c>
      <c r="D860" t="s">
        <v>3039</v>
      </c>
      <c r="E860" t="s">
        <v>3040</v>
      </c>
      <c r="F860" t="s">
        <v>3131</v>
      </c>
      <c r="G860" t="s">
        <v>3132</v>
      </c>
      <c r="H860">
        <v>859</v>
      </c>
      <c r="I860" t="str">
        <f>IF(ISBLANK(Table1[[#This Row],[oid]]),"FALSE","TRUE")</f>
        <v>TRUE</v>
      </c>
      <c r="J860" t="str" cm="1">
        <f t="array" ref="J860">_xlfn.SWITCH(LEFT(Table1[[#This Row],[section]],1), "D", "Demographic", "S", "Social", "E", "Economic", "H", "Housing", "")</f>
        <v>Social</v>
      </c>
      <c r="K860" t="s">
        <v>3043</v>
      </c>
      <c r="L860" s="1" t="s">
        <v>3044</v>
      </c>
      <c r="M860" t="str">
        <f>IF(Table1[[#This Row],[used]], _xlfn.CONCAT("🆔 ", Table1[[#This Row],[variable]], ": ",Table1[[#This Row],[alias]]), "")</f>
        <v>🆔 B16004_012E: 5 to 17 years: Speak other Indo-European languages: Speak English not well</v>
      </c>
      <c r="O860" t="s">
        <v>3133</v>
      </c>
      <c r="P860" t="s">
        <v>3045</v>
      </c>
      <c r="Q860" t="s">
        <v>41</v>
      </c>
      <c r="R860" t="s">
        <v>3134</v>
      </c>
      <c r="S860" t="b">
        <v>1</v>
      </c>
      <c r="T860" t="b">
        <v>1</v>
      </c>
      <c r="U860" t="b">
        <v>1</v>
      </c>
      <c r="V860" t="b">
        <v>1</v>
      </c>
      <c r="W860" t="b">
        <v>1</v>
      </c>
      <c r="X860" t="b">
        <v>1</v>
      </c>
      <c r="Y860" t="b">
        <v>1</v>
      </c>
      <c r="Z860" t="b">
        <v>1</v>
      </c>
      <c r="AA860" t="b">
        <v>1</v>
      </c>
      <c r="AB860" t="b">
        <v>1</v>
      </c>
      <c r="AC860" t="b">
        <v>1</v>
      </c>
      <c r="AD860" t="b">
        <v>1</v>
      </c>
      <c r="AE860" t="b">
        <v>1</v>
      </c>
      <c r="AF860" t="b">
        <v>1</v>
      </c>
      <c r="AG860" t="b">
        <v>1</v>
      </c>
    </row>
    <row r="861" spans="1:33" x14ac:dyDescent="0.25">
      <c r="A861" t="s">
        <v>33</v>
      </c>
      <c r="B861">
        <v>15</v>
      </c>
      <c r="C861" t="b">
        <v>1</v>
      </c>
      <c r="D861" t="s">
        <v>3039</v>
      </c>
      <c r="E861" t="s">
        <v>3040</v>
      </c>
      <c r="F861" t="s">
        <v>3135</v>
      </c>
      <c r="G861" t="s">
        <v>3136</v>
      </c>
      <c r="H861">
        <v>860</v>
      </c>
      <c r="I861" t="str">
        <f>IF(ISBLANK(Table1[[#This Row],[oid]]),"FALSE","TRUE")</f>
        <v>TRUE</v>
      </c>
      <c r="J861" t="str" cm="1">
        <f t="array" ref="J861">_xlfn.SWITCH(LEFT(Table1[[#This Row],[section]],1), "D", "Demographic", "S", "Social", "E", "Economic", "H", "Housing", "")</f>
        <v>Social</v>
      </c>
      <c r="K861" t="s">
        <v>3043</v>
      </c>
      <c r="L861" s="1" t="s">
        <v>3044</v>
      </c>
      <c r="M861" t="str">
        <f>IF(Table1[[#This Row],[used]], _xlfn.CONCAT("🆔 ", Table1[[#This Row],[variable]], ": ",Table1[[#This Row],[alias]]), "")</f>
        <v>🆔 B16004_052E: 65 years and over: Speak Spanish: Speak English not at all</v>
      </c>
      <c r="O861" t="s">
        <v>3137</v>
      </c>
      <c r="P861" t="s">
        <v>3045</v>
      </c>
      <c r="Q861" t="s">
        <v>41</v>
      </c>
      <c r="R861" t="s">
        <v>3138</v>
      </c>
      <c r="S861" t="b">
        <v>1</v>
      </c>
      <c r="T861" t="b">
        <v>1</v>
      </c>
      <c r="U861" t="b">
        <v>1</v>
      </c>
      <c r="V861" t="b">
        <v>1</v>
      </c>
      <c r="W861" t="b">
        <v>1</v>
      </c>
      <c r="X861" t="b">
        <v>1</v>
      </c>
      <c r="Y861" t="b">
        <v>1</v>
      </c>
      <c r="Z861" t="b">
        <v>1</v>
      </c>
      <c r="AA861" t="b">
        <v>1</v>
      </c>
      <c r="AB861" t="b">
        <v>1</v>
      </c>
      <c r="AC861" t="b">
        <v>1</v>
      </c>
      <c r="AD861" t="b">
        <v>1</v>
      </c>
      <c r="AE861" t="b">
        <v>1</v>
      </c>
      <c r="AF861" t="b">
        <v>1</v>
      </c>
      <c r="AG861" t="b">
        <v>1</v>
      </c>
    </row>
    <row r="862" spans="1:33" x14ac:dyDescent="0.25">
      <c r="A862" t="s">
        <v>33</v>
      </c>
      <c r="B862">
        <v>15</v>
      </c>
      <c r="C862" t="b">
        <v>1</v>
      </c>
      <c r="D862" t="s">
        <v>3039</v>
      </c>
      <c r="E862" t="s">
        <v>3040</v>
      </c>
      <c r="F862" t="s">
        <v>3139</v>
      </c>
      <c r="G862" t="s">
        <v>3140</v>
      </c>
      <c r="H862">
        <v>861</v>
      </c>
      <c r="I862" t="str">
        <f>IF(ISBLANK(Table1[[#This Row],[oid]]),"FALSE","TRUE")</f>
        <v>TRUE</v>
      </c>
      <c r="J862" t="str" cm="1">
        <f t="array" ref="J862">_xlfn.SWITCH(LEFT(Table1[[#This Row],[section]],1), "D", "Demographic", "S", "Social", "E", "Economic", "H", "Housing", "")</f>
        <v>Social</v>
      </c>
      <c r="K862" t="s">
        <v>3043</v>
      </c>
      <c r="L862" s="1" t="s">
        <v>3044</v>
      </c>
      <c r="M862" t="str">
        <f>IF(Table1[[#This Row],[used]], _xlfn.CONCAT("🆔 ", Table1[[#This Row],[variable]], ": ",Table1[[#This Row],[alias]]), "")</f>
        <v>🆔 B16004_013E: 5 to 17 years: Speak other Indo-European languages: Speak English not at all</v>
      </c>
      <c r="O862" t="s">
        <v>3141</v>
      </c>
      <c r="P862" t="s">
        <v>3045</v>
      </c>
      <c r="Q862" t="s">
        <v>41</v>
      </c>
      <c r="R862" t="s">
        <v>3142</v>
      </c>
      <c r="S862" t="b">
        <v>1</v>
      </c>
      <c r="T862" t="b">
        <v>1</v>
      </c>
      <c r="U862" t="b">
        <v>1</v>
      </c>
      <c r="V862" t="b">
        <v>1</v>
      </c>
      <c r="W862" t="b">
        <v>1</v>
      </c>
      <c r="X862" t="b">
        <v>1</v>
      </c>
      <c r="Y862" t="b">
        <v>1</v>
      </c>
      <c r="Z862" t="b">
        <v>1</v>
      </c>
      <c r="AA862" t="b">
        <v>1</v>
      </c>
      <c r="AB862" t="b">
        <v>1</v>
      </c>
      <c r="AC862" t="b">
        <v>1</v>
      </c>
      <c r="AD862" t="b">
        <v>1</v>
      </c>
      <c r="AE862" t="b">
        <v>1</v>
      </c>
      <c r="AF862" t="b">
        <v>1</v>
      </c>
      <c r="AG862" t="b">
        <v>1</v>
      </c>
    </row>
    <row r="863" spans="1:33" x14ac:dyDescent="0.25">
      <c r="A863" t="s">
        <v>33</v>
      </c>
      <c r="B863">
        <v>15</v>
      </c>
      <c r="C863" t="b">
        <v>1</v>
      </c>
      <c r="D863" t="s">
        <v>3039</v>
      </c>
      <c r="E863" t="s">
        <v>3040</v>
      </c>
      <c r="F863" t="s">
        <v>3143</v>
      </c>
      <c r="G863" t="s">
        <v>3144</v>
      </c>
      <c r="H863">
        <v>862</v>
      </c>
      <c r="I863" t="str">
        <f>IF(ISBLANK(Table1[[#This Row],[oid]]),"FALSE","TRUE")</f>
        <v>TRUE</v>
      </c>
      <c r="J863" t="str" cm="1">
        <f t="array" ref="J863">_xlfn.SWITCH(LEFT(Table1[[#This Row],[section]],1), "D", "Demographic", "S", "Social", "E", "Economic", "H", "Housing", "")</f>
        <v>Social</v>
      </c>
      <c r="K863" t="s">
        <v>3043</v>
      </c>
      <c r="L863" s="1" t="s">
        <v>3044</v>
      </c>
      <c r="M863" t="str">
        <f>IF(Table1[[#This Row],[used]], _xlfn.CONCAT("🆔 ", Table1[[#This Row],[variable]], ": ",Table1[[#This Row],[alias]]), "")</f>
        <v>🆔 B16004_053E: 65 years and over: Speak other Indo-European languages</v>
      </c>
      <c r="O863" t="s">
        <v>3145</v>
      </c>
      <c r="P863" t="s">
        <v>3045</v>
      </c>
      <c r="Q863" t="s">
        <v>41</v>
      </c>
      <c r="R863" t="s">
        <v>3146</v>
      </c>
      <c r="S863" t="b">
        <v>1</v>
      </c>
      <c r="T863" t="b">
        <v>1</v>
      </c>
      <c r="U863" t="b">
        <v>1</v>
      </c>
      <c r="V863" t="b">
        <v>1</v>
      </c>
      <c r="W863" t="b">
        <v>1</v>
      </c>
      <c r="X863" t="b">
        <v>1</v>
      </c>
      <c r="Y863" t="b">
        <v>1</v>
      </c>
      <c r="Z863" t="b">
        <v>1</v>
      </c>
      <c r="AA863" t="b">
        <v>1</v>
      </c>
      <c r="AB863" t="b">
        <v>1</v>
      </c>
      <c r="AC863" t="b">
        <v>1</v>
      </c>
      <c r="AD863" t="b">
        <v>1</v>
      </c>
      <c r="AE863" t="b">
        <v>1</v>
      </c>
      <c r="AF863" t="b">
        <v>1</v>
      </c>
      <c r="AG863" t="b">
        <v>1</v>
      </c>
    </row>
    <row r="864" spans="1:33" x14ac:dyDescent="0.25">
      <c r="A864" t="s">
        <v>33</v>
      </c>
      <c r="B864">
        <v>15</v>
      </c>
      <c r="C864" t="b">
        <v>1</v>
      </c>
      <c r="D864" t="s">
        <v>3039</v>
      </c>
      <c r="E864" t="s">
        <v>3040</v>
      </c>
      <c r="F864" t="s">
        <v>3147</v>
      </c>
      <c r="G864" t="s">
        <v>3148</v>
      </c>
      <c r="H864">
        <v>863</v>
      </c>
      <c r="I864" t="str">
        <f>IF(ISBLANK(Table1[[#This Row],[oid]]),"FALSE","TRUE")</f>
        <v>TRUE</v>
      </c>
      <c r="J864" t="str" cm="1">
        <f t="array" ref="J864">_xlfn.SWITCH(LEFT(Table1[[#This Row],[section]],1), "D", "Demographic", "S", "Social", "E", "Economic", "H", "Housing", "")</f>
        <v>Social</v>
      </c>
      <c r="K864" t="s">
        <v>3043</v>
      </c>
      <c r="L864" s="1" t="s">
        <v>3044</v>
      </c>
      <c r="M864" t="str">
        <f>IF(Table1[[#This Row],[used]], _xlfn.CONCAT("🆔 ", Table1[[#This Row],[variable]], ": ",Table1[[#This Row],[alias]]), "")</f>
        <v>🆔 B16004_014E: 5 to 17 years: Speak Asian and Pacific Island languages</v>
      </c>
      <c r="O864" t="s">
        <v>3149</v>
      </c>
      <c r="P864" t="s">
        <v>3045</v>
      </c>
      <c r="Q864" t="s">
        <v>41</v>
      </c>
      <c r="R864" t="s">
        <v>3150</v>
      </c>
      <c r="S864" t="b">
        <v>1</v>
      </c>
      <c r="T864" t="b">
        <v>1</v>
      </c>
      <c r="U864" t="b">
        <v>1</v>
      </c>
      <c r="V864" t="b">
        <v>1</v>
      </c>
      <c r="W864" t="b">
        <v>1</v>
      </c>
      <c r="X864" t="b">
        <v>1</v>
      </c>
      <c r="Y864" t="b">
        <v>1</v>
      </c>
      <c r="Z864" t="b">
        <v>1</v>
      </c>
      <c r="AA864" t="b">
        <v>1</v>
      </c>
      <c r="AB864" t="b">
        <v>1</v>
      </c>
      <c r="AC864" t="b">
        <v>1</v>
      </c>
      <c r="AD864" t="b">
        <v>1</v>
      </c>
      <c r="AE864" t="b">
        <v>1</v>
      </c>
      <c r="AF864" t="b">
        <v>1</v>
      </c>
      <c r="AG864" t="b">
        <v>1</v>
      </c>
    </row>
    <row r="865" spans="1:33" x14ac:dyDescent="0.25">
      <c r="A865" t="s">
        <v>33</v>
      </c>
      <c r="B865">
        <v>15</v>
      </c>
      <c r="C865" t="b">
        <v>1</v>
      </c>
      <c r="D865" t="s">
        <v>3039</v>
      </c>
      <c r="E865" t="s">
        <v>3040</v>
      </c>
      <c r="F865" t="s">
        <v>3151</v>
      </c>
      <c r="G865" t="s">
        <v>3152</v>
      </c>
      <c r="H865">
        <v>864</v>
      </c>
      <c r="I865" t="str">
        <f>IF(ISBLANK(Table1[[#This Row],[oid]]),"FALSE","TRUE")</f>
        <v>TRUE</v>
      </c>
      <c r="J865" t="str" cm="1">
        <f t="array" ref="J865">_xlfn.SWITCH(LEFT(Table1[[#This Row],[section]],1), "D", "Demographic", "S", "Social", "E", "Economic", "H", "Housing", "")</f>
        <v>Social</v>
      </c>
      <c r="K865" t="s">
        <v>3043</v>
      </c>
      <c r="L865" s="1" t="s">
        <v>3044</v>
      </c>
      <c r="M865" t="str">
        <f>IF(Table1[[#This Row],[used]], _xlfn.CONCAT("🆔 ", Table1[[#This Row],[variable]], ": ",Table1[[#This Row],[alias]]), "")</f>
        <v>🆔 B16004_054E: 65 years and over: Speak other Indo-European languages: Speak English very well</v>
      </c>
      <c r="O865" t="s">
        <v>3153</v>
      </c>
      <c r="P865" t="s">
        <v>3045</v>
      </c>
      <c r="Q865" t="s">
        <v>41</v>
      </c>
      <c r="R865" t="s">
        <v>3154</v>
      </c>
      <c r="S865" t="b">
        <v>1</v>
      </c>
      <c r="T865" t="b">
        <v>1</v>
      </c>
      <c r="U865" t="b">
        <v>1</v>
      </c>
      <c r="V865" t="b">
        <v>1</v>
      </c>
      <c r="W865" t="b">
        <v>1</v>
      </c>
      <c r="X865" t="b">
        <v>1</v>
      </c>
      <c r="Y865" t="b">
        <v>1</v>
      </c>
      <c r="Z865" t="b">
        <v>1</v>
      </c>
      <c r="AA865" t="b">
        <v>1</v>
      </c>
      <c r="AB865" t="b">
        <v>1</v>
      </c>
      <c r="AC865" t="b">
        <v>1</v>
      </c>
      <c r="AD865" t="b">
        <v>1</v>
      </c>
      <c r="AE865" t="b">
        <v>1</v>
      </c>
      <c r="AF865" t="b">
        <v>1</v>
      </c>
      <c r="AG865" t="b">
        <v>1</v>
      </c>
    </row>
    <row r="866" spans="1:33" x14ac:dyDescent="0.25">
      <c r="A866" t="s">
        <v>33</v>
      </c>
      <c r="B866">
        <v>15</v>
      </c>
      <c r="C866" t="b">
        <v>1</v>
      </c>
      <c r="D866" t="s">
        <v>3039</v>
      </c>
      <c r="E866" t="s">
        <v>3040</v>
      </c>
      <c r="F866" t="s">
        <v>3155</v>
      </c>
      <c r="G866" t="s">
        <v>3156</v>
      </c>
      <c r="H866">
        <v>865</v>
      </c>
      <c r="I866" t="str">
        <f>IF(ISBLANK(Table1[[#This Row],[oid]]),"FALSE","TRUE")</f>
        <v>TRUE</v>
      </c>
      <c r="J866" t="str" cm="1">
        <f t="array" ref="J866">_xlfn.SWITCH(LEFT(Table1[[#This Row],[section]],1), "D", "Demographic", "S", "Social", "E", "Economic", "H", "Housing", "")</f>
        <v>Social</v>
      </c>
      <c r="K866" t="s">
        <v>3043</v>
      </c>
      <c r="L866" s="1" t="s">
        <v>3044</v>
      </c>
      <c r="M866" t="str">
        <f>IF(Table1[[#This Row],[used]], _xlfn.CONCAT("🆔 ", Table1[[#This Row],[variable]], ": ",Table1[[#This Row],[alias]]), "")</f>
        <v>🆔 B16004_015E: 5 to 17 years: Speak Asian and Pacific Island languages: Speak English very well</v>
      </c>
      <c r="O866" t="s">
        <v>3157</v>
      </c>
      <c r="P866" t="s">
        <v>3045</v>
      </c>
      <c r="Q866" t="s">
        <v>41</v>
      </c>
      <c r="R866" t="s">
        <v>3158</v>
      </c>
      <c r="S866" t="b">
        <v>1</v>
      </c>
      <c r="T866" t="b">
        <v>1</v>
      </c>
      <c r="U866" t="b">
        <v>1</v>
      </c>
      <c r="V866" t="b">
        <v>1</v>
      </c>
      <c r="W866" t="b">
        <v>1</v>
      </c>
      <c r="X866" t="b">
        <v>1</v>
      </c>
      <c r="Y866" t="b">
        <v>1</v>
      </c>
      <c r="Z866" t="b">
        <v>1</v>
      </c>
      <c r="AA866" t="b">
        <v>1</v>
      </c>
      <c r="AB866" t="b">
        <v>1</v>
      </c>
      <c r="AC866" t="b">
        <v>1</v>
      </c>
      <c r="AD866" t="b">
        <v>1</v>
      </c>
      <c r="AE866" t="b">
        <v>1</v>
      </c>
      <c r="AF866" t="b">
        <v>1</v>
      </c>
      <c r="AG866" t="b">
        <v>1</v>
      </c>
    </row>
    <row r="867" spans="1:33" x14ac:dyDescent="0.25">
      <c r="A867" t="s">
        <v>33</v>
      </c>
      <c r="B867">
        <v>15</v>
      </c>
      <c r="C867" t="b">
        <v>1</v>
      </c>
      <c r="D867" t="s">
        <v>3039</v>
      </c>
      <c r="E867" t="s">
        <v>3040</v>
      </c>
      <c r="F867" t="s">
        <v>3159</v>
      </c>
      <c r="G867" t="s">
        <v>3160</v>
      </c>
      <c r="H867">
        <v>866</v>
      </c>
      <c r="I867" t="str">
        <f>IF(ISBLANK(Table1[[#This Row],[oid]]),"FALSE","TRUE")</f>
        <v>TRUE</v>
      </c>
      <c r="J867" t="str" cm="1">
        <f t="array" ref="J867">_xlfn.SWITCH(LEFT(Table1[[#This Row],[section]],1), "D", "Demographic", "S", "Social", "E", "Economic", "H", "Housing", "")</f>
        <v>Social</v>
      </c>
      <c r="K867" t="s">
        <v>3043</v>
      </c>
      <c r="L867" s="1" t="s">
        <v>3044</v>
      </c>
      <c r="M867" t="str">
        <f>IF(Table1[[#This Row],[used]], _xlfn.CONCAT("🆔 ", Table1[[#This Row],[variable]], ": ",Table1[[#This Row],[alias]]), "")</f>
        <v>🆔 B16004_055E: 65 years and over: Speak other Indo-European languages: Speak English well</v>
      </c>
      <c r="O867" t="s">
        <v>3161</v>
      </c>
      <c r="P867" t="s">
        <v>3045</v>
      </c>
      <c r="Q867" t="s">
        <v>41</v>
      </c>
      <c r="R867" t="s">
        <v>3162</v>
      </c>
      <c r="S867" t="b">
        <v>1</v>
      </c>
      <c r="T867" t="b">
        <v>1</v>
      </c>
      <c r="U867" t="b">
        <v>1</v>
      </c>
      <c r="V867" t="b">
        <v>1</v>
      </c>
      <c r="W867" t="b">
        <v>1</v>
      </c>
      <c r="X867" t="b">
        <v>1</v>
      </c>
      <c r="Y867" t="b">
        <v>1</v>
      </c>
      <c r="Z867" t="b">
        <v>1</v>
      </c>
      <c r="AA867" t="b">
        <v>1</v>
      </c>
      <c r="AB867" t="b">
        <v>1</v>
      </c>
      <c r="AC867" t="b">
        <v>1</v>
      </c>
      <c r="AD867" t="b">
        <v>1</v>
      </c>
      <c r="AE867" t="b">
        <v>1</v>
      </c>
      <c r="AF867" t="b">
        <v>1</v>
      </c>
      <c r="AG867" t="b">
        <v>1</v>
      </c>
    </row>
    <row r="868" spans="1:33" x14ac:dyDescent="0.25">
      <c r="A868" t="s">
        <v>33</v>
      </c>
      <c r="B868">
        <v>15</v>
      </c>
      <c r="C868" t="b">
        <v>1</v>
      </c>
      <c r="D868" t="s">
        <v>3039</v>
      </c>
      <c r="E868" t="s">
        <v>3040</v>
      </c>
      <c r="F868" t="s">
        <v>3163</v>
      </c>
      <c r="G868" t="s">
        <v>3164</v>
      </c>
      <c r="H868">
        <v>867</v>
      </c>
      <c r="I868" t="str">
        <f>IF(ISBLANK(Table1[[#This Row],[oid]]),"FALSE","TRUE")</f>
        <v>TRUE</v>
      </c>
      <c r="J868" t="str" cm="1">
        <f t="array" ref="J868">_xlfn.SWITCH(LEFT(Table1[[#This Row],[section]],1), "D", "Demographic", "S", "Social", "E", "Economic", "H", "Housing", "")</f>
        <v>Social</v>
      </c>
      <c r="K868" t="s">
        <v>3043</v>
      </c>
      <c r="L868" s="1" t="s">
        <v>3044</v>
      </c>
      <c r="M868" t="str">
        <f>IF(Table1[[#This Row],[used]], _xlfn.CONCAT("🆔 ", Table1[[#This Row],[variable]], ": ",Table1[[#This Row],[alias]]), "")</f>
        <v>🆔 B16004_016E: 5 to 17 years: Speak Asian and Pacific Island languages: Speak English well</v>
      </c>
      <c r="O868" t="s">
        <v>3165</v>
      </c>
      <c r="P868" t="s">
        <v>3045</v>
      </c>
      <c r="Q868" t="s">
        <v>41</v>
      </c>
      <c r="R868" t="s">
        <v>3166</v>
      </c>
      <c r="S868" t="b">
        <v>1</v>
      </c>
      <c r="T868" t="b">
        <v>1</v>
      </c>
      <c r="U868" t="b">
        <v>1</v>
      </c>
      <c r="V868" t="b">
        <v>1</v>
      </c>
      <c r="W868" t="b">
        <v>1</v>
      </c>
      <c r="X868" t="b">
        <v>1</v>
      </c>
      <c r="Y868" t="b">
        <v>1</v>
      </c>
      <c r="Z868" t="b">
        <v>1</v>
      </c>
      <c r="AA868" t="b">
        <v>1</v>
      </c>
      <c r="AB868" t="b">
        <v>1</v>
      </c>
      <c r="AC868" t="b">
        <v>1</v>
      </c>
      <c r="AD868" t="b">
        <v>1</v>
      </c>
      <c r="AE868" t="b">
        <v>1</v>
      </c>
      <c r="AF868" t="b">
        <v>1</v>
      </c>
      <c r="AG868" t="b">
        <v>1</v>
      </c>
    </row>
    <row r="869" spans="1:33" x14ac:dyDescent="0.25">
      <c r="A869" t="s">
        <v>33</v>
      </c>
      <c r="B869">
        <v>15</v>
      </c>
      <c r="C869" t="b">
        <v>1</v>
      </c>
      <c r="D869" t="s">
        <v>3039</v>
      </c>
      <c r="E869" t="s">
        <v>3040</v>
      </c>
      <c r="F869" t="s">
        <v>3167</v>
      </c>
      <c r="G869" t="s">
        <v>3168</v>
      </c>
      <c r="H869">
        <v>868</v>
      </c>
      <c r="I869" t="str">
        <f>IF(ISBLANK(Table1[[#This Row],[oid]]),"FALSE","TRUE")</f>
        <v>TRUE</v>
      </c>
      <c r="J869" t="str" cm="1">
        <f t="array" ref="J869">_xlfn.SWITCH(LEFT(Table1[[#This Row],[section]],1), "D", "Demographic", "S", "Social", "E", "Economic", "H", "Housing", "")</f>
        <v>Social</v>
      </c>
      <c r="K869" t="s">
        <v>3043</v>
      </c>
      <c r="L869" s="1" t="s">
        <v>3044</v>
      </c>
      <c r="M869" t="str">
        <f>IF(Table1[[#This Row],[used]], _xlfn.CONCAT("🆔 ", Table1[[#This Row],[variable]], ": ",Table1[[#This Row],[alias]]), "")</f>
        <v>🆔 B16004_056E: 65 years and over: Speak other Indo-European languages: Speak English not well</v>
      </c>
      <c r="O869" t="s">
        <v>3169</v>
      </c>
      <c r="P869" t="s">
        <v>3045</v>
      </c>
      <c r="Q869" t="s">
        <v>41</v>
      </c>
      <c r="R869" t="s">
        <v>3170</v>
      </c>
      <c r="S869" t="b">
        <v>1</v>
      </c>
      <c r="T869" t="b">
        <v>1</v>
      </c>
      <c r="U869" t="b">
        <v>1</v>
      </c>
      <c r="V869" t="b">
        <v>1</v>
      </c>
      <c r="W869" t="b">
        <v>1</v>
      </c>
      <c r="X869" t="b">
        <v>1</v>
      </c>
      <c r="Y869" t="b">
        <v>1</v>
      </c>
      <c r="Z869" t="b">
        <v>1</v>
      </c>
      <c r="AA869" t="b">
        <v>1</v>
      </c>
      <c r="AB869" t="b">
        <v>1</v>
      </c>
      <c r="AC869" t="b">
        <v>1</v>
      </c>
      <c r="AD869" t="b">
        <v>1</v>
      </c>
      <c r="AE869" t="b">
        <v>1</v>
      </c>
      <c r="AF869" t="b">
        <v>1</v>
      </c>
      <c r="AG869" t="b">
        <v>1</v>
      </c>
    </row>
    <row r="870" spans="1:33" x14ac:dyDescent="0.25">
      <c r="A870" t="s">
        <v>33</v>
      </c>
      <c r="B870">
        <v>15</v>
      </c>
      <c r="C870" t="b">
        <v>1</v>
      </c>
      <c r="D870" t="s">
        <v>3039</v>
      </c>
      <c r="E870" t="s">
        <v>3040</v>
      </c>
      <c r="F870" t="s">
        <v>3171</v>
      </c>
      <c r="G870" t="s">
        <v>3172</v>
      </c>
      <c r="H870">
        <v>869</v>
      </c>
      <c r="I870" t="str">
        <f>IF(ISBLANK(Table1[[#This Row],[oid]]),"FALSE","TRUE")</f>
        <v>TRUE</v>
      </c>
      <c r="J870" t="str" cm="1">
        <f t="array" ref="J870">_xlfn.SWITCH(LEFT(Table1[[#This Row],[section]],1), "D", "Demographic", "S", "Social", "E", "Economic", "H", "Housing", "")</f>
        <v>Social</v>
      </c>
      <c r="K870" t="s">
        <v>3043</v>
      </c>
      <c r="L870" s="1" t="s">
        <v>3044</v>
      </c>
      <c r="M870" t="str">
        <f>IF(Table1[[#This Row],[used]], _xlfn.CONCAT("🆔 ", Table1[[#This Row],[variable]], ": ",Table1[[#This Row],[alias]]), "")</f>
        <v>🆔 B16004_017E: 5 to 17 years: Speak Asian and Pacific Island languages: Speak English not well</v>
      </c>
      <c r="O870" t="s">
        <v>3173</v>
      </c>
      <c r="P870" t="s">
        <v>3045</v>
      </c>
      <c r="Q870" t="s">
        <v>41</v>
      </c>
      <c r="R870" t="s">
        <v>3174</v>
      </c>
      <c r="S870" t="b">
        <v>1</v>
      </c>
      <c r="T870" t="b">
        <v>1</v>
      </c>
      <c r="U870" t="b">
        <v>1</v>
      </c>
      <c r="V870" t="b">
        <v>1</v>
      </c>
      <c r="W870" t="b">
        <v>1</v>
      </c>
      <c r="X870" t="b">
        <v>1</v>
      </c>
      <c r="Y870" t="b">
        <v>1</v>
      </c>
      <c r="Z870" t="b">
        <v>1</v>
      </c>
      <c r="AA870" t="b">
        <v>1</v>
      </c>
      <c r="AB870" t="b">
        <v>1</v>
      </c>
      <c r="AC870" t="b">
        <v>1</v>
      </c>
      <c r="AD870" t="b">
        <v>1</v>
      </c>
      <c r="AE870" t="b">
        <v>1</v>
      </c>
      <c r="AF870" t="b">
        <v>1</v>
      </c>
      <c r="AG870" t="b">
        <v>1</v>
      </c>
    </row>
    <row r="871" spans="1:33" x14ac:dyDescent="0.25">
      <c r="A871" t="s">
        <v>33</v>
      </c>
      <c r="B871">
        <v>15</v>
      </c>
      <c r="C871" t="b">
        <v>1</v>
      </c>
      <c r="D871" t="s">
        <v>3039</v>
      </c>
      <c r="E871" t="s">
        <v>3040</v>
      </c>
      <c r="F871" t="s">
        <v>3175</v>
      </c>
      <c r="G871" t="s">
        <v>3176</v>
      </c>
      <c r="H871">
        <v>870</v>
      </c>
      <c r="I871" t="str">
        <f>IF(ISBLANK(Table1[[#This Row],[oid]]),"FALSE","TRUE")</f>
        <v>TRUE</v>
      </c>
      <c r="J871" t="str" cm="1">
        <f t="array" ref="J871">_xlfn.SWITCH(LEFT(Table1[[#This Row],[section]],1), "D", "Demographic", "S", "Social", "E", "Economic", "H", "Housing", "")</f>
        <v>Social</v>
      </c>
      <c r="K871" t="s">
        <v>3043</v>
      </c>
      <c r="L871" s="1" t="s">
        <v>3044</v>
      </c>
      <c r="M871" t="str">
        <f>IF(Table1[[#This Row],[used]], _xlfn.CONCAT("🆔 ", Table1[[#This Row],[variable]], ": ",Table1[[#This Row],[alias]]), "")</f>
        <v>🆔 B16004_057E: 65 years and over: Speak other Indo-European languages: Speak English not at all</v>
      </c>
      <c r="O871" t="s">
        <v>3177</v>
      </c>
      <c r="P871" t="s">
        <v>3045</v>
      </c>
      <c r="Q871" t="s">
        <v>41</v>
      </c>
      <c r="R871" t="s">
        <v>3178</v>
      </c>
      <c r="S871" t="b">
        <v>1</v>
      </c>
      <c r="T871" t="b">
        <v>1</v>
      </c>
      <c r="U871" t="b">
        <v>1</v>
      </c>
      <c r="V871" t="b">
        <v>1</v>
      </c>
      <c r="W871" t="b">
        <v>1</v>
      </c>
      <c r="X871" t="b">
        <v>1</v>
      </c>
      <c r="Y871" t="b">
        <v>1</v>
      </c>
      <c r="Z871" t="b">
        <v>1</v>
      </c>
      <c r="AA871" t="b">
        <v>1</v>
      </c>
      <c r="AB871" t="b">
        <v>1</v>
      </c>
      <c r="AC871" t="b">
        <v>1</v>
      </c>
      <c r="AD871" t="b">
        <v>1</v>
      </c>
      <c r="AE871" t="b">
        <v>1</v>
      </c>
      <c r="AF871" t="b">
        <v>1</v>
      </c>
      <c r="AG871" t="b">
        <v>1</v>
      </c>
    </row>
    <row r="872" spans="1:33" x14ac:dyDescent="0.25">
      <c r="A872" t="s">
        <v>33</v>
      </c>
      <c r="B872">
        <v>15</v>
      </c>
      <c r="C872" t="b">
        <v>1</v>
      </c>
      <c r="D872" t="s">
        <v>3039</v>
      </c>
      <c r="E872" t="s">
        <v>3040</v>
      </c>
      <c r="F872" t="s">
        <v>3179</v>
      </c>
      <c r="G872" t="s">
        <v>3180</v>
      </c>
      <c r="H872">
        <v>871</v>
      </c>
      <c r="I872" t="str">
        <f>IF(ISBLANK(Table1[[#This Row],[oid]]),"FALSE","TRUE")</f>
        <v>TRUE</v>
      </c>
      <c r="J872" t="str" cm="1">
        <f t="array" ref="J872">_xlfn.SWITCH(LEFT(Table1[[#This Row],[section]],1), "D", "Demographic", "S", "Social", "E", "Economic", "H", "Housing", "")</f>
        <v>Social</v>
      </c>
      <c r="K872" t="s">
        <v>3043</v>
      </c>
      <c r="L872" s="1" t="s">
        <v>3044</v>
      </c>
      <c r="M872" t="str">
        <f>IF(Table1[[#This Row],[used]], _xlfn.CONCAT("🆔 ", Table1[[#This Row],[variable]], ": ",Table1[[#This Row],[alias]]), "")</f>
        <v>🆔 B16004_018E: 5 to 17 years: Speak Asian and Pacific Island languages: Speak English not at all</v>
      </c>
      <c r="O872" t="s">
        <v>3181</v>
      </c>
      <c r="P872" t="s">
        <v>3045</v>
      </c>
      <c r="Q872" t="s">
        <v>41</v>
      </c>
      <c r="R872" t="s">
        <v>3182</v>
      </c>
      <c r="S872" t="b">
        <v>1</v>
      </c>
      <c r="T872" t="b">
        <v>1</v>
      </c>
      <c r="U872" t="b">
        <v>1</v>
      </c>
      <c r="V872" t="b">
        <v>1</v>
      </c>
      <c r="W872" t="b">
        <v>1</v>
      </c>
      <c r="X872" t="b">
        <v>1</v>
      </c>
      <c r="Y872" t="b">
        <v>1</v>
      </c>
      <c r="Z872" t="b">
        <v>1</v>
      </c>
      <c r="AA872" t="b">
        <v>1</v>
      </c>
      <c r="AB872" t="b">
        <v>1</v>
      </c>
      <c r="AC872" t="b">
        <v>1</v>
      </c>
      <c r="AD872" t="b">
        <v>1</v>
      </c>
      <c r="AE872" t="b">
        <v>1</v>
      </c>
      <c r="AF872" t="b">
        <v>1</v>
      </c>
      <c r="AG872" t="b">
        <v>1</v>
      </c>
    </row>
    <row r="873" spans="1:33" x14ac:dyDescent="0.25">
      <c r="A873" t="s">
        <v>33</v>
      </c>
      <c r="B873">
        <v>15</v>
      </c>
      <c r="C873" t="b">
        <v>1</v>
      </c>
      <c r="D873" t="s">
        <v>3039</v>
      </c>
      <c r="E873" t="s">
        <v>3040</v>
      </c>
      <c r="F873" t="s">
        <v>3183</v>
      </c>
      <c r="G873" t="s">
        <v>3184</v>
      </c>
      <c r="H873">
        <v>872</v>
      </c>
      <c r="I873" t="str">
        <f>IF(ISBLANK(Table1[[#This Row],[oid]]),"FALSE","TRUE")</f>
        <v>TRUE</v>
      </c>
      <c r="J873" t="str" cm="1">
        <f t="array" ref="J873">_xlfn.SWITCH(LEFT(Table1[[#This Row],[section]],1), "D", "Demographic", "S", "Social", "E", "Economic", "H", "Housing", "")</f>
        <v>Social</v>
      </c>
      <c r="K873" t="s">
        <v>3043</v>
      </c>
      <c r="L873" s="1" t="s">
        <v>3044</v>
      </c>
      <c r="M873" t="str">
        <f>IF(Table1[[#This Row],[used]], _xlfn.CONCAT("🆔 ", Table1[[#This Row],[variable]], ": ",Table1[[#This Row],[alias]]), "")</f>
        <v>🆔 B16004_058E: 65 years and over: Speak Asian and Pacific Island languages</v>
      </c>
      <c r="O873" t="s">
        <v>3185</v>
      </c>
      <c r="P873" t="s">
        <v>3045</v>
      </c>
      <c r="Q873" t="s">
        <v>41</v>
      </c>
      <c r="R873" t="s">
        <v>3186</v>
      </c>
      <c r="S873" t="b">
        <v>1</v>
      </c>
      <c r="T873" t="b">
        <v>1</v>
      </c>
      <c r="U873" t="b">
        <v>1</v>
      </c>
      <c r="V873" t="b">
        <v>1</v>
      </c>
      <c r="W873" t="b">
        <v>1</v>
      </c>
      <c r="X873" t="b">
        <v>1</v>
      </c>
      <c r="Y873" t="b">
        <v>1</v>
      </c>
      <c r="Z873" t="b">
        <v>1</v>
      </c>
      <c r="AA873" t="b">
        <v>1</v>
      </c>
      <c r="AB873" t="b">
        <v>1</v>
      </c>
      <c r="AC873" t="b">
        <v>1</v>
      </c>
      <c r="AD873" t="b">
        <v>1</v>
      </c>
      <c r="AE873" t="b">
        <v>1</v>
      </c>
      <c r="AF873" t="b">
        <v>1</v>
      </c>
      <c r="AG873" t="b">
        <v>1</v>
      </c>
    </row>
    <row r="874" spans="1:33" x14ac:dyDescent="0.25">
      <c r="A874" t="s">
        <v>33</v>
      </c>
      <c r="B874">
        <v>15</v>
      </c>
      <c r="C874" t="b">
        <v>1</v>
      </c>
      <c r="D874" t="s">
        <v>3039</v>
      </c>
      <c r="E874" t="s">
        <v>3040</v>
      </c>
      <c r="F874" t="s">
        <v>3187</v>
      </c>
      <c r="G874" t="s">
        <v>3188</v>
      </c>
      <c r="H874">
        <v>873</v>
      </c>
      <c r="I874" t="str">
        <f>IF(ISBLANK(Table1[[#This Row],[oid]]),"FALSE","TRUE")</f>
        <v>TRUE</v>
      </c>
      <c r="J874" t="str" cm="1">
        <f t="array" ref="J874">_xlfn.SWITCH(LEFT(Table1[[#This Row],[section]],1), "D", "Demographic", "S", "Social", "E", "Economic", "H", "Housing", "")</f>
        <v>Social</v>
      </c>
      <c r="K874" t="s">
        <v>3043</v>
      </c>
      <c r="L874" s="1" t="s">
        <v>3044</v>
      </c>
      <c r="M874" t="str">
        <f>IF(Table1[[#This Row],[used]], _xlfn.CONCAT("🆔 ", Table1[[#This Row],[variable]], ": ",Table1[[#This Row],[alias]]), "")</f>
        <v>🆔 B16004_019E: 5 to 17 years: Speak other languages</v>
      </c>
      <c r="O874" t="s">
        <v>3189</v>
      </c>
      <c r="P874" t="s">
        <v>3045</v>
      </c>
      <c r="Q874" t="s">
        <v>41</v>
      </c>
      <c r="R874" t="s">
        <v>3190</v>
      </c>
      <c r="S874" t="b">
        <v>1</v>
      </c>
      <c r="T874" t="b">
        <v>1</v>
      </c>
      <c r="U874" t="b">
        <v>1</v>
      </c>
      <c r="V874" t="b">
        <v>1</v>
      </c>
      <c r="W874" t="b">
        <v>1</v>
      </c>
      <c r="X874" t="b">
        <v>1</v>
      </c>
      <c r="Y874" t="b">
        <v>1</v>
      </c>
      <c r="Z874" t="b">
        <v>1</v>
      </c>
      <c r="AA874" t="b">
        <v>1</v>
      </c>
      <c r="AB874" t="b">
        <v>1</v>
      </c>
      <c r="AC874" t="b">
        <v>1</v>
      </c>
      <c r="AD874" t="b">
        <v>1</v>
      </c>
      <c r="AE874" t="b">
        <v>1</v>
      </c>
      <c r="AF874" t="b">
        <v>1</v>
      </c>
      <c r="AG874" t="b">
        <v>1</v>
      </c>
    </row>
    <row r="875" spans="1:33" x14ac:dyDescent="0.25">
      <c r="A875" t="s">
        <v>33</v>
      </c>
      <c r="B875">
        <v>15</v>
      </c>
      <c r="C875" t="b">
        <v>1</v>
      </c>
      <c r="D875" t="s">
        <v>3039</v>
      </c>
      <c r="E875" t="s">
        <v>3040</v>
      </c>
      <c r="F875" t="s">
        <v>3191</v>
      </c>
      <c r="G875" t="s">
        <v>3192</v>
      </c>
      <c r="H875">
        <v>874</v>
      </c>
      <c r="I875" t="str">
        <f>IF(ISBLANK(Table1[[#This Row],[oid]]),"FALSE","TRUE")</f>
        <v>TRUE</v>
      </c>
      <c r="J875" t="str" cm="1">
        <f t="array" ref="J875">_xlfn.SWITCH(LEFT(Table1[[#This Row],[section]],1), "D", "Demographic", "S", "Social", "E", "Economic", "H", "Housing", "")</f>
        <v>Social</v>
      </c>
      <c r="K875" t="s">
        <v>3043</v>
      </c>
      <c r="L875" s="1" t="s">
        <v>3044</v>
      </c>
      <c r="M875" t="str">
        <f>IF(Table1[[#This Row],[used]], _xlfn.CONCAT("🆔 ", Table1[[#This Row],[variable]], ": ",Table1[[#This Row],[alias]]), "")</f>
        <v>🆔 B16004_059E: 65 years and over: Speak Asian and Pacific Island languages: Speak English very well</v>
      </c>
      <c r="O875" t="s">
        <v>3193</v>
      </c>
      <c r="P875" t="s">
        <v>3045</v>
      </c>
      <c r="Q875" t="s">
        <v>41</v>
      </c>
      <c r="R875" t="s">
        <v>3194</v>
      </c>
      <c r="S875" t="b">
        <v>1</v>
      </c>
      <c r="T875" t="b">
        <v>1</v>
      </c>
      <c r="U875" t="b">
        <v>1</v>
      </c>
      <c r="V875" t="b">
        <v>1</v>
      </c>
      <c r="W875" t="b">
        <v>1</v>
      </c>
      <c r="X875" t="b">
        <v>1</v>
      </c>
      <c r="Y875" t="b">
        <v>1</v>
      </c>
      <c r="Z875" t="b">
        <v>1</v>
      </c>
      <c r="AA875" t="b">
        <v>1</v>
      </c>
      <c r="AB875" t="b">
        <v>1</v>
      </c>
      <c r="AC875" t="b">
        <v>1</v>
      </c>
      <c r="AD875" t="b">
        <v>1</v>
      </c>
      <c r="AE875" t="b">
        <v>1</v>
      </c>
      <c r="AF875" t="b">
        <v>1</v>
      </c>
      <c r="AG875" t="b">
        <v>1</v>
      </c>
    </row>
    <row r="876" spans="1:33" x14ac:dyDescent="0.25">
      <c r="A876" t="s">
        <v>33</v>
      </c>
      <c r="B876">
        <v>15</v>
      </c>
      <c r="C876" t="b">
        <v>1</v>
      </c>
      <c r="D876" t="s">
        <v>3039</v>
      </c>
      <c r="E876" t="s">
        <v>3040</v>
      </c>
      <c r="F876" t="s">
        <v>3195</v>
      </c>
      <c r="G876" t="s">
        <v>3196</v>
      </c>
      <c r="H876">
        <v>875</v>
      </c>
      <c r="I876" t="str">
        <f>IF(ISBLANK(Table1[[#This Row],[oid]]),"FALSE","TRUE")</f>
        <v>TRUE</v>
      </c>
      <c r="J876" t="str" cm="1">
        <f t="array" ref="J876">_xlfn.SWITCH(LEFT(Table1[[#This Row],[section]],1), "D", "Demographic", "S", "Social", "E", "Economic", "H", "Housing", "")</f>
        <v>Social</v>
      </c>
      <c r="K876" t="s">
        <v>3043</v>
      </c>
      <c r="L876" s="1" t="s">
        <v>3044</v>
      </c>
      <c r="M876" t="str">
        <f>IF(Table1[[#This Row],[used]], _xlfn.CONCAT("🆔 ", Table1[[#This Row],[variable]], ": ",Table1[[#This Row],[alias]]), "")</f>
        <v>🆔 B16004_020E: 5 to 17 years: Speak other languages: Speak English very well</v>
      </c>
      <c r="O876" t="s">
        <v>3197</v>
      </c>
      <c r="P876" t="s">
        <v>3045</v>
      </c>
      <c r="Q876" t="s">
        <v>41</v>
      </c>
      <c r="R876" t="s">
        <v>3198</v>
      </c>
      <c r="S876" t="b">
        <v>1</v>
      </c>
      <c r="T876" t="b">
        <v>1</v>
      </c>
      <c r="U876" t="b">
        <v>1</v>
      </c>
      <c r="V876" t="b">
        <v>1</v>
      </c>
      <c r="W876" t="b">
        <v>1</v>
      </c>
      <c r="X876" t="b">
        <v>1</v>
      </c>
      <c r="Y876" t="b">
        <v>1</v>
      </c>
      <c r="Z876" t="b">
        <v>1</v>
      </c>
      <c r="AA876" t="b">
        <v>1</v>
      </c>
      <c r="AB876" t="b">
        <v>1</v>
      </c>
      <c r="AC876" t="b">
        <v>1</v>
      </c>
      <c r="AD876" t="b">
        <v>1</v>
      </c>
      <c r="AE876" t="b">
        <v>1</v>
      </c>
      <c r="AF876" t="b">
        <v>1</v>
      </c>
      <c r="AG876" t="b">
        <v>1</v>
      </c>
    </row>
    <row r="877" spans="1:33" x14ac:dyDescent="0.25">
      <c r="A877" t="s">
        <v>33</v>
      </c>
      <c r="B877">
        <v>15</v>
      </c>
      <c r="C877" t="b">
        <v>1</v>
      </c>
      <c r="D877" t="s">
        <v>3039</v>
      </c>
      <c r="E877" t="s">
        <v>3040</v>
      </c>
      <c r="F877" t="s">
        <v>3199</v>
      </c>
      <c r="G877" t="s">
        <v>3200</v>
      </c>
      <c r="H877">
        <v>876</v>
      </c>
      <c r="I877" t="str">
        <f>IF(ISBLANK(Table1[[#This Row],[oid]]),"FALSE","TRUE")</f>
        <v>TRUE</v>
      </c>
      <c r="J877" t="str" cm="1">
        <f t="array" ref="J877">_xlfn.SWITCH(LEFT(Table1[[#This Row],[section]],1), "D", "Demographic", "S", "Social", "E", "Economic", "H", "Housing", "")</f>
        <v>Social</v>
      </c>
      <c r="K877" t="s">
        <v>3043</v>
      </c>
      <c r="L877" s="1" t="s">
        <v>3044</v>
      </c>
      <c r="M877" t="str">
        <f>IF(Table1[[#This Row],[used]], _xlfn.CONCAT("🆔 ", Table1[[#This Row],[variable]], ": ",Table1[[#This Row],[alias]]), "")</f>
        <v>🆔 B16004_060E: 65 years and over: Speak Asian and Pacific Island languages: Speak English well</v>
      </c>
      <c r="O877" t="s">
        <v>3201</v>
      </c>
      <c r="P877" t="s">
        <v>3045</v>
      </c>
      <c r="Q877" t="s">
        <v>41</v>
      </c>
      <c r="R877" t="s">
        <v>3202</v>
      </c>
      <c r="S877" t="b">
        <v>1</v>
      </c>
      <c r="T877" t="b">
        <v>1</v>
      </c>
      <c r="U877" t="b">
        <v>1</v>
      </c>
      <c r="V877" t="b">
        <v>1</v>
      </c>
      <c r="W877" t="b">
        <v>1</v>
      </c>
      <c r="X877" t="b">
        <v>1</v>
      </c>
      <c r="Y877" t="b">
        <v>1</v>
      </c>
      <c r="Z877" t="b">
        <v>1</v>
      </c>
      <c r="AA877" t="b">
        <v>1</v>
      </c>
      <c r="AB877" t="b">
        <v>1</v>
      </c>
      <c r="AC877" t="b">
        <v>1</v>
      </c>
      <c r="AD877" t="b">
        <v>1</v>
      </c>
      <c r="AE877" t="b">
        <v>1</v>
      </c>
      <c r="AF877" t="b">
        <v>1</v>
      </c>
      <c r="AG877" t="b">
        <v>1</v>
      </c>
    </row>
    <row r="878" spans="1:33" x14ac:dyDescent="0.25">
      <c r="A878" t="s">
        <v>33</v>
      </c>
      <c r="B878">
        <v>15</v>
      </c>
      <c r="C878" t="b">
        <v>1</v>
      </c>
      <c r="D878" t="s">
        <v>3039</v>
      </c>
      <c r="E878" t="s">
        <v>3040</v>
      </c>
      <c r="F878" t="s">
        <v>3203</v>
      </c>
      <c r="G878" t="s">
        <v>3204</v>
      </c>
      <c r="H878">
        <v>877</v>
      </c>
      <c r="I878" t="str">
        <f>IF(ISBLANK(Table1[[#This Row],[oid]]),"FALSE","TRUE")</f>
        <v>TRUE</v>
      </c>
      <c r="J878" t="str" cm="1">
        <f t="array" ref="J878">_xlfn.SWITCH(LEFT(Table1[[#This Row],[section]],1), "D", "Demographic", "S", "Social", "E", "Economic", "H", "Housing", "")</f>
        <v>Social</v>
      </c>
      <c r="K878" t="s">
        <v>3043</v>
      </c>
      <c r="L878" s="1" t="s">
        <v>3044</v>
      </c>
      <c r="M878" t="str">
        <f>IF(Table1[[#This Row],[used]], _xlfn.CONCAT("🆔 ", Table1[[#This Row],[variable]], ": ",Table1[[#This Row],[alias]]), "")</f>
        <v>🆔 B16004_021E: 5 to 17 years: Speak other languages: Speak English well</v>
      </c>
      <c r="O878" t="s">
        <v>3205</v>
      </c>
      <c r="P878" t="s">
        <v>3045</v>
      </c>
      <c r="Q878" t="s">
        <v>41</v>
      </c>
      <c r="R878" t="s">
        <v>3206</v>
      </c>
      <c r="S878" t="b">
        <v>1</v>
      </c>
      <c r="T878" t="b">
        <v>1</v>
      </c>
      <c r="U878" t="b">
        <v>1</v>
      </c>
      <c r="V878" t="b">
        <v>1</v>
      </c>
      <c r="W878" t="b">
        <v>1</v>
      </c>
      <c r="X878" t="b">
        <v>1</v>
      </c>
      <c r="Y878" t="b">
        <v>1</v>
      </c>
      <c r="Z878" t="b">
        <v>1</v>
      </c>
      <c r="AA878" t="b">
        <v>1</v>
      </c>
      <c r="AB878" t="b">
        <v>1</v>
      </c>
      <c r="AC878" t="b">
        <v>1</v>
      </c>
      <c r="AD878" t="b">
        <v>1</v>
      </c>
      <c r="AE878" t="b">
        <v>1</v>
      </c>
      <c r="AF878" t="b">
        <v>1</v>
      </c>
      <c r="AG878" t="b">
        <v>1</v>
      </c>
    </row>
    <row r="879" spans="1:33" x14ac:dyDescent="0.25">
      <c r="A879" t="s">
        <v>33</v>
      </c>
      <c r="B879">
        <v>15</v>
      </c>
      <c r="C879" t="b">
        <v>1</v>
      </c>
      <c r="D879" t="s">
        <v>3039</v>
      </c>
      <c r="E879" t="s">
        <v>3040</v>
      </c>
      <c r="F879" t="s">
        <v>3207</v>
      </c>
      <c r="G879" t="s">
        <v>3208</v>
      </c>
      <c r="H879">
        <v>878</v>
      </c>
      <c r="I879" t="str">
        <f>IF(ISBLANK(Table1[[#This Row],[oid]]),"FALSE","TRUE")</f>
        <v>TRUE</v>
      </c>
      <c r="J879" t="str" cm="1">
        <f t="array" ref="J879">_xlfn.SWITCH(LEFT(Table1[[#This Row],[section]],1), "D", "Demographic", "S", "Social", "E", "Economic", "H", "Housing", "")</f>
        <v>Social</v>
      </c>
      <c r="K879" t="s">
        <v>3043</v>
      </c>
      <c r="L879" s="1" t="s">
        <v>3044</v>
      </c>
      <c r="M879" t="str">
        <f>IF(Table1[[#This Row],[used]], _xlfn.CONCAT("🆔 ", Table1[[#This Row],[variable]], ": ",Table1[[#This Row],[alias]]), "")</f>
        <v>🆔 B16004_061E: 65 years and over: Speak Asian and Pacific Island languages: Speak English not well</v>
      </c>
      <c r="O879" t="s">
        <v>3209</v>
      </c>
      <c r="P879" t="s">
        <v>3045</v>
      </c>
      <c r="Q879" t="s">
        <v>41</v>
      </c>
      <c r="R879" t="s">
        <v>3210</v>
      </c>
      <c r="S879" t="b">
        <v>1</v>
      </c>
      <c r="T879" t="b">
        <v>1</v>
      </c>
      <c r="U879" t="b">
        <v>1</v>
      </c>
      <c r="V879" t="b">
        <v>1</v>
      </c>
      <c r="W879" t="b">
        <v>1</v>
      </c>
      <c r="X879" t="b">
        <v>1</v>
      </c>
      <c r="Y879" t="b">
        <v>1</v>
      </c>
      <c r="Z879" t="b">
        <v>1</v>
      </c>
      <c r="AA879" t="b">
        <v>1</v>
      </c>
      <c r="AB879" t="b">
        <v>1</v>
      </c>
      <c r="AC879" t="b">
        <v>1</v>
      </c>
      <c r="AD879" t="b">
        <v>1</v>
      </c>
      <c r="AE879" t="b">
        <v>1</v>
      </c>
      <c r="AF879" t="b">
        <v>1</v>
      </c>
      <c r="AG879" t="b">
        <v>1</v>
      </c>
    </row>
    <row r="880" spans="1:33" x14ac:dyDescent="0.25">
      <c r="A880" t="s">
        <v>33</v>
      </c>
      <c r="B880">
        <v>15</v>
      </c>
      <c r="C880" t="b">
        <v>1</v>
      </c>
      <c r="D880" t="s">
        <v>3039</v>
      </c>
      <c r="E880" t="s">
        <v>3040</v>
      </c>
      <c r="F880" t="s">
        <v>3211</v>
      </c>
      <c r="G880" t="s">
        <v>3212</v>
      </c>
      <c r="H880">
        <v>879</v>
      </c>
      <c r="I880" t="str">
        <f>IF(ISBLANK(Table1[[#This Row],[oid]]),"FALSE","TRUE")</f>
        <v>TRUE</v>
      </c>
      <c r="J880" t="str" cm="1">
        <f t="array" ref="J880">_xlfn.SWITCH(LEFT(Table1[[#This Row],[section]],1), "D", "Demographic", "S", "Social", "E", "Economic", "H", "Housing", "")</f>
        <v>Social</v>
      </c>
      <c r="K880" t="s">
        <v>3043</v>
      </c>
      <c r="L880" s="1" t="s">
        <v>3044</v>
      </c>
      <c r="M880" t="str">
        <f>IF(Table1[[#This Row],[used]], _xlfn.CONCAT("🆔 ", Table1[[#This Row],[variable]], ": ",Table1[[#This Row],[alias]]), "")</f>
        <v>🆔 B16004_022E: 5 to 17 years: Speak other languages: Speak English not well</v>
      </c>
      <c r="O880" t="s">
        <v>3213</v>
      </c>
      <c r="P880" t="s">
        <v>3045</v>
      </c>
      <c r="Q880" t="s">
        <v>41</v>
      </c>
      <c r="R880" t="s">
        <v>3214</v>
      </c>
      <c r="S880" t="b">
        <v>1</v>
      </c>
      <c r="T880" t="b">
        <v>1</v>
      </c>
      <c r="U880" t="b">
        <v>1</v>
      </c>
      <c r="V880" t="b">
        <v>1</v>
      </c>
      <c r="W880" t="b">
        <v>1</v>
      </c>
      <c r="X880" t="b">
        <v>1</v>
      </c>
      <c r="Y880" t="b">
        <v>1</v>
      </c>
      <c r="Z880" t="b">
        <v>1</v>
      </c>
      <c r="AA880" t="b">
        <v>1</v>
      </c>
      <c r="AB880" t="b">
        <v>1</v>
      </c>
      <c r="AC880" t="b">
        <v>1</v>
      </c>
      <c r="AD880" t="b">
        <v>1</v>
      </c>
      <c r="AE880" t="b">
        <v>1</v>
      </c>
      <c r="AF880" t="b">
        <v>1</v>
      </c>
      <c r="AG880" t="b">
        <v>1</v>
      </c>
    </row>
    <row r="881" spans="1:33" x14ac:dyDescent="0.25">
      <c r="A881" t="s">
        <v>33</v>
      </c>
      <c r="B881">
        <v>15</v>
      </c>
      <c r="C881" t="b">
        <v>1</v>
      </c>
      <c r="D881" t="s">
        <v>3039</v>
      </c>
      <c r="E881" t="s">
        <v>3040</v>
      </c>
      <c r="F881" t="s">
        <v>3215</v>
      </c>
      <c r="G881" t="s">
        <v>3216</v>
      </c>
      <c r="H881">
        <v>880</v>
      </c>
      <c r="I881" t="str">
        <f>IF(ISBLANK(Table1[[#This Row],[oid]]),"FALSE","TRUE")</f>
        <v>TRUE</v>
      </c>
      <c r="J881" t="str" cm="1">
        <f t="array" ref="J881">_xlfn.SWITCH(LEFT(Table1[[#This Row],[section]],1), "D", "Demographic", "S", "Social", "E", "Economic", "H", "Housing", "")</f>
        <v>Social</v>
      </c>
      <c r="K881" t="s">
        <v>3043</v>
      </c>
      <c r="L881" s="1" t="s">
        <v>3044</v>
      </c>
      <c r="M881" t="str">
        <f>IF(Table1[[#This Row],[used]], _xlfn.CONCAT("🆔 ", Table1[[#This Row],[variable]], ": ",Table1[[#This Row],[alias]]), "")</f>
        <v>🆔 B16004_062E: 65 years and over: Speak Asian and Pacific Island languages: Speak English not at all</v>
      </c>
      <c r="O881" t="s">
        <v>3217</v>
      </c>
      <c r="P881" t="s">
        <v>3045</v>
      </c>
      <c r="Q881" t="s">
        <v>41</v>
      </c>
      <c r="R881" t="s">
        <v>3218</v>
      </c>
      <c r="S881" t="b">
        <v>1</v>
      </c>
      <c r="T881" t="b">
        <v>1</v>
      </c>
      <c r="U881" t="b">
        <v>1</v>
      </c>
      <c r="V881" t="b">
        <v>1</v>
      </c>
      <c r="W881" t="b">
        <v>1</v>
      </c>
      <c r="X881" t="b">
        <v>1</v>
      </c>
      <c r="Y881" t="b">
        <v>1</v>
      </c>
      <c r="Z881" t="b">
        <v>1</v>
      </c>
      <c r="AA881" t="b">
        <v>1</v>
      </c>
      <c r="AB881" t="b">
        <v>1</v>
      </c>
      <c r="AC881" t="b">
        <v>1</v>
      </c>
      <c r="AD881" t="b">
        <v>1</v>
      </c>
      <c r="AE881" t="b">
        <v>1</v>
      </c>
      <c r="AF881" t="b">
        <v>1</v>
      </c>
      <c r="AG881" t="b">
        <v>1</v>
      </c>
    </row>
    <row r="882" spans="1:33" x14ac:dyDescent="0.25">
      <c r="A882" t="s">
        <v>33</v>
      </c>
      <c r="B882">
        <v>15</v>
      </c>
      <c r="C882" t="b">
        <v>1</v>
      </c>
      <c r="D882" t="s">
        <v>3039</v>
      </c>
      <c r="E882" t="s">
        <v>3040</v>
      </c>
      <c r="F882" t="s">
        <v>3219</v>
      </c>
      <c r="G882" t="s">
        <v>3220</v>
      </c>
      <c r="H882">
        <v>881</v>
      </c>
      <c r="I882" t="str">
        <f>IF(ISBLANK(Table1[[#This Row],[oid]]),"FALSE","TRUE")</f>
        <v>TRUE</v>
      </c>
      <c r="J882" t="str" cm="1">
        <f t="array" ref="J882">_xlfn.SWITCH(LEFT(Table1[[#This Row],[section]],1), "D", "Demographic", "S", "Social", "E", "Economic", "H", "Housing", "")</f>
        <v>Social</v>
      </c>
      <c r="K882" t="s">
        <v>3043</v>
      </c>
      <c r="L882" s="1" t="s">
        <v>3044</v>
      </c>
      <c r="M882" t="str">
        <f>IF(Table1[[#This Row],[used]], _xlfn.CONCAT("🆔 ", Table1[[#This Row],[variable]], ": ",Table1[[#This Row],[alias]]), "")</f>
        <v>🆔 B16004_023E: 5 to 17 years: Speak other languages: Speak English not at all</v>
      </c>
      <c r="O882" t="s">
        <v>3221</v>
      </c>
      <c r="P882" t="s">
        <v>3045</v>
      </c>
      <c r="Q882" t="s">
        <v>41</v>
      </c>
      <c r="R882" t="s">
        <v>3222</v>
      </c>
      <c r="S882" t="b">
        <v>1</v>
      </c>
      <c r="T882" t="b">
        <v>1</v>
      </c>
      <c r="U882" t="b">
        <v>1</v>
      </c>
      <c r="V882" t="b">
        <v>1</v>
      </c>
      <c r="W882" t="b">
        <v>1</v>
      </c>
      <c r="X882" t="b">
        <v>1</v>
      </c>
      <c r="Y882" t="b">
        <v>1</v>
      </c>
      <c r="Z882" t="b">
        <v>1</v>
      </c>
      <c r="AA882" t="b">
        <v>1</v>
      </c>
      <c r="AB882" t="b">
        <v>1</v>
      </c>
      <c r="AC882" t="b">
        <v>1</v>
      </c>
      <c r="AD882" t="b">
        <v>1</v>
      </c>
      <c r="AE882" t="b">
        <v>1</v>
      </c>
      <c r="AF882" t="b">
        <v>1</v>
      </c>
      <c r="AG882" t="b">
        <v>1</v>
      </c>
    </row>
    <row r="883" spans="1:33" x14ac:dyDescent="0.25">
      <c r="A883" t="s">
        <v>33</v>
      </c>
      <c r="B883">
        <v>15</v>
      </c>
      <c r="C883" t="b">
        <v>1</v>
      </c>
      <c r="D883" t="s">
        <v>3039</v>
      </c>
      <c r="E883" t="s">
        <v>3040</v>
      </c>
      <c r="F883" t="s">
        <v>3223</v>
      </c>
      <c r="G883" t="s">
        <v>3224</v>
      </c>
      <c r="H883">
        <v>882</v>
      </c>
      <c r="I883" t="str">
        <f>IF(ISBLANK(Table1[[#This Row],[oid]]),"FALSE","TRUE")</f>
        <v>TRUE</v>
      </c>
      <c r="J883" t="str" cm="1">
        <f t="array" ref="J883">_xlfn.SWITCH(LEFT(Table1[[#This Row],[section]],1), "D", "Demographic", "S", "Social", "E", "Economic", "H", "Housing", "")</f>
        <v>Social</v>
      </c>
      <c r="K883" t="s">
        <v>3043</v>
      </c>
      <c r="L883" s="1" t="s">
        <v>3044</v>
      </c>
      <c r="M883" t="str">
        <f>IF(Table1[[#This Row],[used]], _xlfn.CONCAT("🆔 ", Table1[[#This Row],[variable]], ": ",Table1[[#This Row],[alias]]), "")</f>
        <v>🆔 B16004_063E: 65 years and over: Speak other languages</v>
      </c>
      <c r="O883" t="s">
        <v>3225</v>
      </c>
      <c r="P883" t="s">
        <v>3045</v>
      </c>
      <c r="Q883" t="s">
        <v>41</v>
      </c>
      <c r="R883" t="s">
        <v>3226</v>
      </c>
      <c r="S883" t="b">
        <v>1</v>
      </c>
      <c r="T883" t="b">
        <v>1</v>
      </c>
      <c r="U883" t="b">
        <v>1</v>
      </c>
      <c r="V883" t="b">
        <v>1</v>
      </c>
      <c r="W883" t="b">
        <v>1</v>
      </c>
      <c r="X883" t="b">
        <v>1</v>
      </c>
      <c r="Y883" t="b">
        <v>1</v>
      </c>
      <c r="Z883" t="b">
        <v>1</v>
      </c>
      <c r="AA883" t="b">
        <v>1</v>
      </c>
      <c r="AB883" t="b">
        <v>1</v>
      </c>
      <c r="AC883" t="b">
        <v>1</v>
      </c>
      <c r="AD883" t="b">
        <v>1</v>
      </c>
      <c r="AE883" t="b">
        <v>1</v>
      </c>
      <c r="AF883" t="b">
        <v>1</v>
      </c>
      <c r="AG883" t="b">
        <v>1</v>
      </c>
    </row>
    <row r="884" spans="1:33" x14ac:dyDescent="0.25">
      <c r="A884" t="s">
        <v>33</v>
      </c>
      <c r="B884">
        <v>15</v>
      </c>
      <c r="C884" t="b">
        <v>1</v>
      </c>
      <c r="D884" t="s">
        <v>3039</v>
      </c>
      <c r="E884" t="s">
        <v>3040</v>
      </c>
      <c r="F884" t="s">
        <v>3227</v>
      </c>
      <c r="G884" t="s">
        <v>3228</v>
      </c>
      <c r="H884">
        <v>883</v>
      </c>
      <c r="I884" t="str">
        <f>IF(ISBLANK(Table1[[#This Row],[oid]]),"FALSE","TRUE")</f>
        <v>TRUE</v>
      </c>
      <c r="J884" t="str" cm="1">
        <f t="array" ref="J884">_xlfn.SWITCH(LEFT(Table1[[#This Row],[section]],1), "D", "Demographic", "S", "Social", "E", "Economic", "H", "Housing", "")</f>
        <v>Social</v>
      </c>
      <c r="K884" t="s">
        <v>3043</v>
      </c>
      <c r="L884" s="1" t="s">
        <v>3044</v>
      </c>
      <c r="M884" t="str">
        <f>IF(Table1[[#This Row],[used]], _xlfn.CONCAT("🆔 ", Table1[[#This Row],[variable]], ": ",Table1[[#This Row],[alias]]), "")</f>
        <v>🆔 B16004_024E: 18 to 64 years</v>
      </c>
      <c r="O884" t="s">
        <v>3229</v>
      </c>
      <c r="P884" t="s">
        <v>3045</v>
      </c>
      <c r="Q884" t="s">
        <v>41</v>
      </c>
      <c r="R884" t="s">
        <v>3230</v>
      </c>
      <c r="S884" t="b">
        <v>1</v>
      </c>
      <c r="T884" t="b">
        <v>1</v>
      </c>
      <c r="U884" t="b">
        <v>1</v>
      </c>
      <c r="V884" t="b">
        <v>1</v>
      </c>
      <c r="W884" t="b">
        <v>1</v>
      </c>
      <c r="X884" t="b">
        <v>1</v>
      </c>
      <c r="Y884" t="b">
        <v>1</v>
      </c>
      <c r="Z884" t="b">
        <v>1</v>
      </c>
      <c r="AA884" t="b">
        <v>1</v>
      </c>
      <c r="AB884" t="b">
        <v>1</v>
      </c>
      <c r="AC884" t="b">
        <v>1</v>
      </c>
      <c r="AD884" t="b">
        <v>1</v>
      </c>
      <c r="AE884" t="b">
        <v>1</v>
      </c>
      <c r="AF884" t="b">
        <v>1</v>
      </c>
      <c r="AG884" t="b">
        <v>1</v>
      </c>
    </row>
    <row r="885" spans="1:33" x14ac:dyDescent="0.25">
      <c r="A885" t="s">
        <v>33</v>
      </c>
      <c r="B885">
        <v>15</v>
      </c>
      <c r="C885" t="b">
        <v>1</v>
      </c>
      <c r="D885" t="s">
        <v>3039</v>
      </c>
      <c r="E885" t="s">
        <v>3040</v>
      </c>
      <c r="F885" t="s">
        <v>3231</v>
      </c>
      <c r="G885" t="s">
        <v>3232</v>
      </c>
      <c r="H885">
        <v>884</v>
      </c>
      <c r="I885" t="str">
        <f>IF(ISBLANK(Table1[[#This Row],[oid]]),"FALSE","TRUE")</f>
        <v>TRUE</v>
      </c>
      <c r="J885" t="str" cm="1">
        <f t="array" ref="J885">_xlfn.SWITCH(LEFT(Table1[[#This Row],[section]],1), "D", "Demographic", "S", "Social", "E", "Economic", "H", "Housing", "")</f>
        <v>Social</v>
      </c>
      <c r="K885" t="s">
        <v>3043</v>
      </c>
      <c r="L885" s="1" t="s">
        <v>3044</v>
      </c>
      <c r="M885" t="str">
        <f>IF(Table1[[#This Row],[used]], _xlfn.CONCAT("🆔 ", Table1[[#This Row],[variable]], ": ",Table1[[#This Row],[alias]]), "")</f>
        <v>🆔 B16004_064E: 65 years and over: Speak other languages: Speak English very well</v>
      </c>
      <c r="O885" t="s">
        <v>3233</v>
      </c>
      <c r="P885" t="s">
        <v>3045</v>
      </c>
      <c r="Q885" t="s">
        <v>41</v>
      </c>
      <c r="R885" t="s">
        <v>3234</v>
      </c>
      <c r="S885" t="b">
        <v>1</v>
      </c>
      <c r="T885" t="b">
        <v>1</v>
      </c>
      <c r="U885" t="b">
        <v>1</v>
      </c>
      <c r="V885" t="b">
        <v>1</v>
      </c>
      <c r="W885" t="b">
        <v>1</v>
      </c>
      <c r="X885" t="b">
        <v>1</v>
      </c>
      <c r="Y885" t="b">
        <v>1</v>
      </c>
      <c r="Z885" t="b">
        <v>1</v>
      </c>
      <c r="AA885" t="b">
        <v>1</v>
      </c>
      <c r="AB885" t="b">
        <v>1</v>
      </c>
      <c r="AC885" t="b">
        <v>1</v>
      </c>
      <c r="AD885" t="b">
        <v>1</v>
      </c>
      <c r="AE885" t="b">
        <v>1</v>
      </c>
      <c r="AF885" t="b">
        <v>1</v>
      </c>
      <c r="AG885" t="b">
        <v>1</v>
      </c>
    </row>
    <row r="886" spans="1:33" x14ac:dyDescent="0.25">
      <c r="A886" t="s">
        <v>33</v>
      </c>
      <c r="B886">
        <v>15</v>
      </c>
      <c r="C886" t="b">
        <v>1</v>
      </c>
      <c r="D886" t="s">
        <v>3039</v>
      </c>
      <c r="E886" t="s">
        <v>3040</v>
      </c>
      <c r="F886" t="s">
        <v>3235</v>
      </c>
      <c r="G886" t="s">
        <v>3236</v>
      </c>
      <c r="H886">
        <v>885</v>
      </c>
      <c r="I886" t="str">
        <f>IF(ISBLANK(Table1[[#This Row],[oid]]),"FALSE","TRUE")</f>
        <v>TRUE</v>
      </c>
      <c r="J886" t="str" cm="1">
        <f t="array" ref="J886">_xlfn.SWITCH(LEFT(Table1[[#This Row],[section]],1), "D", "Demographic", "S", "Social", "E", "Economic", "H", "Housing", "")</f>
        <v>Social</v>
      </c>
      <c r="K886" t="s">
        <v>3043</v>
      </c>
      <c r="L886" s="1" t="s">
        <v>3044</v>
      </c>
      <c r="M886" t="str">
        <f>IF(Table1[[#This Row],[used]], _xlfn.CONCAT("🆔 ", Table1[[#This Row],[variable]], ": ",Table1[[#This Row],[alias]]), "")</f>
        <v>🆔 B16004_025E: 18 to 64 years: Speak only English</v>
      </c>
      <c r="O886" t="s">
        <v>3237</v>
      </c>
      <c r="P886" t="s">
        <v>3045</v>
      </c>
      <c r="Q886" t="s">
        <v>41</v>
      </c>
      <c r="R886" t="s">
        <v>3238</v>
      </c>
      <c r="S886" t="b">
        <v>1</v>
      </c>
      <c r="T886" t="b">
        <v>1</v>
      </c>
      <c r="U886" t="b">
        <v>1</v>
      </c>
      <c r="V886" t="b">
        <v>1</v>
      </c>
      <c r="W886" t="b">
        <v>1</v>
      </c>
      <c r="X886" t="b">
        <v>1</v>
      </c>
      <c r="Y886" t="b">
        <v>1</v>
      </c>
      <c r="Z886" t="b">
        <v>1</v>
      </c>
      <c r="AA886" t="b">
        <v>1</v>
      </c>
      <c r="AB886" t="b">
        <v>1</v>
      </c>
      <c r="AC886" t="b">
        <v>1</v>
      </c>
      <c r="AD886" t="b">
        <v>1</v>
      </c>
      <c r="AE886" t="b">
        <v>1</v>
      </c>
      <c r="AF886" t="b">
        <v>1</v>
      </c>
      <c r="AG886" t="b">
        <v>1</v>
      </c>
    </row>
    <row r="887" spans="1:33" x14ac:dyDescent="0.25">
      <c r="A887" t="s">
        <v>33</v>
      </c>
      <c r="B887">
        <v>15</v>
      </c>
      <c r="C887" t="b">
        <v>1</v>
      </c>
      <c r="D887" t="s">
        <v>3039</v>
      </c>
      <c r="E887" t="s">
        <v>3040</v>
      </c>
      <c r="F887" t="s">
        <v>3239</v>
      </c>
      <c r="G887" t="s">
        <v>3240</v>
      </c>
      <c r="H887">
        <v>886</v>
      </c>
      <c r="I887" t="str">
        <f>IF(ISBLANK(Table1[[#This Row],[oid]]),"FALSE","TRUE")</f>
        <v>TRUE</v>
      </c>
      <c r="J887" t="str" cm="1">
        <f t="array" ref="J887">_xlfn.SWITCH(LEFT(Table1[[#This Row],[section]],1), "D", "Demographic", "S", "Social", "E", "Economic", "H", "Housing", "")</f>
        <v>Social</v>
      </c>
      <c r="K887" t="s">
        <v>3043</v>
      </c>
      <c r="L887" s="1" t="s">
        <v>3044</v>
      </c>
      <c r="M887" t="str">
        <f>IF(Table1[[#This Row],[used]], _xlfn.CONCAT("🆔 ", Table1[[#This Row],[variable]], ": ",Table1[[#This Row],[alias]]), "")</f>
        <v>🆔 B16004_065E: 65 years and over: Speak other languages: Speak English well</v>
      </c>
      <c r="O887" t="s">
        <v>3241</v>
      </c>
      <c r="P887" t="s">
        <v>3045</v>
      </c>
      <c r="Q887" t="s">
        <v>41</v>
      </c>
      <c r="R887" t="s">
        <v>3242</v>
      </c>
      <c r="S887" t="b">
        <v>1</v>
      </c>
      <c r="T887" t="b">
        <v>1</v>
      </c>
      <c r="U887" t="b">
        <v>1</v>
      </c>
      <c r="V887" t="b">
        <v>1</v>
      </c>
      <c r="W887" t="b">
        <v>1</v>
      </c>
      <c r="X887" t="b">
        <v>1</v>
      </c>
      <c r="Y887" t="b">
        <v>1</v>
      </c>
      <c r="Z887" t="b">
        <v>1</v>
      </c>
      <c r="AA887" t="b">
        <v>1</v>
      </c>
      <c r="AB887" t="b">
        <v>1</v>
      </c>
      <c r="AC887" t="b">
        <v>1</v>
      </c>
      <c r="AD887" t="b">
        <v>1</v>
      </c>
      <c r="AE887" t="b">
        <v>1</v>
      </c>
      <c r="AF887" t="b">
        <v>1</v>
      </c>
      <c r="AG887" t="b">
        <v>1</v>
      </c>
    </row>
    <row r="888" spans="1:33" x14ac:dyDescent="0.25">
      <c r="A888" t="s">
        <v>33</v>
      </c>
      <c r="B888">
        <v>15</v>
      </c>
      <c r="C888" t="b">
        <v>1</v>
      </c>
      <c r="D888" t="s">
        <v>3039</v>
      </c>
      <c r="E888" t="s">
        <v>3040</v>
      </c>
      <c r="F888" t="s">
        <v>3243</v>
      </c>
      <c r="G888" t="s">
        <v>3244</v>
      </c>
      <c r="H888">
        <v>887</v>
      </c>
      <c r="I888" t="str">
        <f>IF(ISBLANK(Table1[[#This Row],[oid]]),"FALSE","TRUE")</f>
        <v>TRUE</v>
      </c>
      <c r="J888" t="str" cm="1">
        <f t="array" ref="J888">_xlfn.SWITCH(LEFT(Table1[[#This Row],[section]],1), "D", "Demographic", "S", "Social", "E", "Economic", "H", "Housing", "")</f>
        <v>Social</v>
      </c>
      <c r="K888" t="s">
        <v>3043</v>
      </c>
      <c r="L888" s="1" t="s">
        <v>3044</v>
      </c>
      <c r="M888" t="str">
        <f>IF(Table1[[#This Row],[used]], _xlfn.CONCAT("🆔 ", Table1[[#This Row],[variable]], ": ",Table1[[#This Row],[alias]]), "")</f>
        <v>🆔 B16004_026E: 18 to 64 years: Speak Spanish</v>
      </c>
      <c r="O888" t="s">
        <v>3245</v>
      </c>
      <c r="P888" t="s">
        <v>3045</v>
      </c>
      <c r="Q888" t="s">
        <v>41</v>
      </c>
      <c r="R888" t="s">
        <v>3246</v>
      </c>
      <c r="S888" t="b">
        <v>1</v>
      </c>
      <c r="T888" t="b">
        <v>1</v>
      </c>
      <c r="U888" t="b">
        <v>1</v>
      </c>
      <c r="V888" t="b">
        <v>1</v>
      </c>
      <c r="W888" t="b">
        <v>1</v>
      </c>
      <c r="X888" t="b">
        <v>1</v>
      </c>
      <c r="Y888" t="b">
        <v>1</v>
      </c>
      <c r="Z888" t="b">
        <v>1</v>
      </c>
      <c r="AA888" t="b">
        <v>1</v>
      </c>
      <c r="AB888" t="b">
        <v>1</v>
      </c>
      <c r="AC888" t="b">
        <v>1</v>
      </c>
      <c r="AD888" t="b">
        <v>1</v>
      </c>
      <c r="AE888" t="b">
        <v>1</v>
      </c>
      <c r="AF888" t="b">
        <v>1</v>
      </c>
      <c r="AG888" t="b">
        <v>1</v>
      </c>
    </row>
    <row r="889" spans="1:33" x14ac:dyDescent="0.25">
      <c r="A889" t="s">
        <v>33</v>
      </c>
      <c r="B889">
        <v>15</v>
      </c>
      <c r="C889" t="b">
        <v>1</v>
      </c>
      <c r="D889" t="s">
        <v>3039</v>
      </c>
      <c r="E889" t="s">
        <v>3040</v>
      </c>
      <c r="F889" t="s">
        <v>3247</v>
      </c>
      <c r="G889" t="s">
        <v>3248</v>
      </c>
      <c r="H889">
        <v>888</v>
      </c>
      <c r="I889" t="str">
        <f>IF(ISBLANK(Table1[[#This Row],[oid]]),"FALSE","TRUE")</f>
        <v>TRUE</v>
      </c>
      <c r="J889" t="str" cm="1">
        <f t="array" ref="J889">_xlfn.SWITCH(LEFT(Table1[[#This Row],[section]],1), "D", "Demographic", "S", "Social", "E", "Economic", "H", "Housing", "")</f>
        <v>Social</v>
      </c>
      <c r="K889" t="s">
        <v>3043</v>
      </c>
      <c r="L889" s="1" t="s">
        <v>3044</v>
      </c>
      <c r="M889" t="str">
        <f>IF(Table1[[#This Row],[used]], _xlfn.CONCAT("🆔 ", Table1[[#This Row],[variable]], ": ",Table1[[#This Row],[alias]]), "")</f>
        <v>🆔 B16004_066E: 65 years and over: Speak other languages: Speak English not well</v>
      </c>
      <c r="O889" t="s">
        <v>3249</v>
      </c>
      <c r="P889" t="s">
        <v>3045</v>
      </c>
      <c r="Q889" t="s">
        <v>41</v>
      </c>
      <c r="R889" t="s">
        <v>3250</v>
      </c>
      <c r="S889" t="b">
        <v>1</v>
      </c>
      <c r="T889" t="b">
        <v>1</v>
      </c>
      <c r="U889" t="b">
        <v>1</v>
      </c>
      <c r="V889" t="b">
        <v>1</v>
      </c>
      <c r="W889" t="b">
        <v>1</v>
      </c>
      <c r="X889" t="b">
        <v>1</v>
      </c>
      <c r="Y889" t="b">
        <v>1</v>
      </c>
      <c r="Z889" t="b">
        <v>1</v>
      </c>
      <c r="AA889" t="b">
        <v>1</v>
      </c>
      <c r="AB889" t="b">
        <v>1</v>
      </c>
      <c r="AC889" t="b">
        <v>1</v>
      </c>
      <c r="AD889" t="b">
        <v>1</v>
      </c>
      <c r="AE889" t="b">
        <v>1</v>
      </c>
      <c r="AF889" t="b">
        <v>1</v>
      </c>
      <c r="AG889" t="b">
        <v>1</v>
      </c>
    </row>
    <row r="890" spans="1:33" x14ac:dyDescent="0.25">
      <c r="A890" t="s">
        <v>33</v>
      </c>
      <c r="B890">
        <v>15</v>
      </c>
      <c r="C890" t="b">
        <v>1</v>
      </c>
      <c r="D890" t="s">
        <v>3039</v>
      </c>
      <c r="E890" t="s">
        <v>3040</v>
      </c>
      <c r="F890" t="s">
        <v>3251</v>
      </c>
      <c r="G890" t="s">
        <v>3252</v>
      </c>
      <c r="H890">
        <v>889</v>
      </c>
      <c r="I890" t="str">
        <f>IF(ISBLANK(Table1[[#This Row],[oid]]),"FALSE","TRUE")</f>
        <v>TRUE</v>
      </c>
      <c r="J890" t="str" cm="1">
        <f t="array" ref="J890">_xlfn.SWITCH(LEFT(Table1[[#This Row],[section]],1), "D", "Demographic", "S", "Social", "E", "Economic", "H", "Housing", "")</f>
        <v>Social</v>
      </c>
      <c r="K890" t="s">
        <v>3043</v>
      </c>
      <c r="L890" s="1" t="s">
        <v>3044</v>
      </c>
      <c r="M890" t="str">
        <f>IF(Table1[[#This Row],[used]], _xlfn.CONCAT("🆔 ", Table1[[#This Row],[variable]], ": ",Table1[[#This Row],[alias]]), "")</f>
        <v>🆔 B16004_027E: 18 to 64 years: Speak Spanish: Speak English very well</v>
      </c>
      <c r="O890" t="s">
        <v>3253</v>
      </c>
      <c r="P890" t="s">
        <v>3045</v>
      </c>
      <c r="Q890" t="s">
        <v>41</v>
      </c>
      <c r="R890" t="s">
        <v>3254</v>
      </c>
      <c r="S890" t="b">
        <v>1</v>
      </c>
      <c r="T890" t="b">
        <v>1</v>
      </c>
      <c r="U890" t="b">
        <v>1</v>
      </c>
      <c r="V890" t="b">
        <v>1</v>
      </c>
      <c r="W890" t="b">
        <v>1</v>
      </c>
      <c r="X890" t="b">
        <v>1</v>
      </c>
      <c r="Y890" t="b">
        <v>1</v>
      </c>
      <c r="Z890" t="b">
        <v>1</v>
      </c>
      <c r="AA890" t="b">
        <v>1</v>
      </c>
      <c r="AB890" t="b">
        <v>1</v>
      </c>
      <c r="AC890" t="b">
        <v>1</v>
      </c>
      <c r="AD890" t="b">
        <v>1</v>
      </c>
      <c r="AE890" t="b">
        <v>1</v>
      </c>
      <c r="AF890" t="b">
        <v>1</v>
      </c>
      <c r="AG890" t="b">
        <v>1</v>
      </c>
    </row>
    <row r="891" spans="1:33" x14ac:dyDescent="0.25">
      <c r="A891" t="s">
        <v>33</v>
      </c>
      <c r="B891">
        <v>15</v>
      </c>
      <c r="C891" t="b">
        <v>1</v>
      </c>
      <c r="D891" t="s">
        <v>3039</v>
      </c>
      <c r="E891" t="s">
        <v>3040</v>
      </c>
      <c r="F891" t="s">
        <v>3255</v>
      </c>
      <c r="G891" t="s">
        <v>3256</v>
      </c>
      <c r="H891">
        <v>890</v>
      </c>
      <c r="I891" t="str">
        <f>IF(ISBLANK(Table1[[#This Row],[oid]]),"FALSE","TRUE")</f>
        <v>TRUE</v>
      </c>
      <c r="J891" t="str" cm="1">
        <f t="array" ref="J891">_xlfn.SWITCH(LEFT(Table1[[#This Row],[section]],1), "D", "Demographic", "S", "Social", "E", "Economic", "H", "Housing", "")</f>
        <v>Social</v>
      </c>
      <c r="K891" t="s">
        <v>3043</v>
      </c>
      <c r="L891" s="1" t="s">
        <v>3044</v>
      </c>
      <c r="M891" t="str">
        <f>IF(Table1[[#This Row],[used]], _xlfn.CONCAT("🆔 ", Table1[[#This Row],[variable]], ": ",Table1[[#This Row],[alias]]), "")</f>
        <v>🆔 B16004_067E: 65 years and over: Speak other languages: Speak English not at all</v>
      </c>
      <c r="O891" t="s">
        <v>3257</v>
      </c>
      <c r="P891" t="s">
        <v>3045</v>
      </c>
      <c r="Q891" t="s">
        <v>41</v>
      </c>
      <c r="R891" t="s">
        <v>3258</v>
      </c>
      <c r="S891" t="b">
        <v>1</v>
      </c>
      <c r="T891" t="b">
        <v>1</v>
      </c>
      <c r="U891" t="b">
        <v>1</v>
      </c>
      <c r="V891" t="b">
        <v>1</v>
      </c>
      <c r="W891" t="b">
        <v>1</v>
      </c>
      <c r="X891" t="b">
        <v>1</v>
      </c>
      <c r="Y891" t="b">
        <v>1</v>
      </c>
      <c r="Z891" t="b">
        <v>1</v>
      </c>
      <c r="AA891" t="b">
        <v>1</v>
      </c>
      <c r="AB891" t="b">
        <v>1</v>
      </c>
      <c r="AC891" t="b">
        <v>1</v>
      </c>
      <c r="AD891" t="b">
        <v>1</v>
      </c>
      <c r="AE891" t="b">
        <v>1</v>
      </c>
      <c r="AF891" t="b">
        <v>1</v>
      </c>
      <c r="AG891" t="b">
        <v>1</v>
      </c>
    </row>
    <row r="892" spans="1:33" x14ac:dyDescent="0.25">
      <c r="A892" t="s">
        <v>33</v>
      </c>
      <c r="B892">
        <v>15</v>
      </c>
      <c r="C892" t="b">
        <v>1</v>
      </c>
      <c r="D892" t="s">
        <v>3039</v>
      </c>
      <c r="E892" t="s">
        <v>3040</v>
      </c>
      <c r="F892" t="s">
        <v>3259</v>
      </c>
      <c r="G892" t="s">
        <v>3260</v>
      </c>
      <c r="H892">
        <v>891</v>
      </c>
      <c r="I892" t="str">
        <f>IF(ISBLANK(Table1[[#This Row],[oid]]),"FALSE","TRUE")</f>
        <v>TRUE</v>
      </c>
      <c r="J892" t="str" cm="1">
        <f t="array" ref="J892">_xlfn.SWITCH(LEFT(Table1[[#This Row],[section]],1), "D", "Demographic", "S", "Social", "E", "Economic", "H", "Housing", "")</f>
        <v>Social</v>
      </c>
      <c r="K892" t="s">
        <v>3043</v>
      </c>
      <c r="L892" s="1" t="s">
        <v>3044</v>
      </c>
      <c r="M892" t="str">
        <f>IF(Table1[[#This Row],[used]], _xlfn.CONCAT("🆔 ", Table1[[#This Row],[variable]], ": ",Table1[[#This Row],[alias]]), "")</f>
        <v>🆔 B16004_028E: 18 to 64 years: Speak Spanish: Speak English well</v>
      </c>
      <c r="O892" t="s">
        <v>3261</v>
      </c>
      <c r="P892" t="s">
        <v>3045</v>
      </c>
      <c r="Q892" t="s">
        <v>41</v>
      </c>
      <c r="R892" t="s">
        <v>3262</v>
      </c>
      <c r="S892" t="b">
        <v>1</v>
      </c>
      <c r="T892" t="b">
        <v>1</v>
      </c>
      <c r="U892" t="b">
        <v>1</v>
      </c>
      <c r="V892" t="b">
        <v>1</v>
      </c>
      <c r="W892" t="b">
        <v>1</v>
      </c>
      <c r="X892" t="b">
        <v>1</v>
      </c>
      <c r="Y892" t="b">
        <v>1</v>
      </c>
      <c r="Z892" t="b">
        <v>1</v>
      </c>
      <c r="AA892" t="b">
        <v>1</v>
      </c>
      <c r="AB892" t="b">
        <v>1</v>
      </c>
      <c r="AC892" t="b">
        <v>1</v>
      </c>
      <c r="AD892" t="b">
        <v>1</v>
      </c>
      <c r="AE892" t="b">
        <v>1</v>
      </c>
      <c r="AF892" t="b">
        <v>1</v>
      </c>
      <c r="AG892" t="b">
        <v>1</v>
      </c>
    </row>
    <row r="893" spans="1:33" x14ac:dyDescent="0.25">
      <c r="A893" t="s">
        <v>33</v>
      </c>
      <c r="B893">
        <v>15</v>
      </c>
      <c r="C893" t="b">
        <v>1</v>
      </c>
      <c r="D893" t="s">
        <v>3039</v>
      </c>
      <c r="E893" t="s">
        <v>3040</v>
      </c>
      <c r="F893" t="s">
        <v>3263</v>
      </c>
      <c r="G893" t="s">
        <v>3264</v>
      </c>
      <c r="H893">
        <v>892</v>
      </c>
      <c r="I893" t="str">
        <f>IF(ISBLANK(Table1[[#This Row],[oid]]),"FALSE","TRUE")</f>
        <v>TRUE</v>
      </c>
      <c r="J893" t="str" cm="1">
        <f t="array" ref="J893">_xlfn.SWITCH(LEFT(Table1[[#This Row],[section]],1), "D", "Demographic", "S", "Social", "E", "Economic", "H", "Housing", "")</f>
        <v>Social</v>
      </c>
      <c r="K893" t="s">
        <v>3043</v>
      </c>
      <c r="L893" s="1" t="s">
        <v>3044</v>
      </c>
      <c r="M893" t="str">
        <f>IF(Table1[[#This Row],[used]], _xlfn.CONCAT("🆔 ", Table1[[#This Row],[variable]], ": ",Table1[[#This Row],[alias]]), "")</f>
        <v>🆔 B16004_029E: 18 to 64 years: Speak Spanish: Speak English not well</v>
      </c>
      <c r="O893" t="s">
        <v>3265</v>
      </c>
      <c r="P893" t="s">
        <v>3045</v>
      </c>
      <c r="Q893" t="s">
        <v>41</v>
      </c>
      <c r="R893" t="s">
        <v>3266</v>
      </c>
      <c r="S893" t="b">
        <v>1</v>
      </c>
      <c r="T893" t="b">
        <v>1</v>
      </c>
      <c r="U893" t="b">
        <v>1</v>
      </c>
      <c r="V893" t="b">
        <v>1</v>
      </c>
      <c r="W893" t="b">
        <v>1</v>
      </c>
      <c r="X893" t="b">
        <v>1</v>
      </c>
      <c r="Y893" t="b">
        <v>1</v>
      </c>
      <c r="Z893" t="b">
        <v>1</v>
      </c>
      <c r="AA893" t="b">
        <v>1</v>
      </c>
      <c r="AB893" t="b">
        <v>1</v>
      </c>
      <c r="AC893" t="b">
        <v>1</v>
      </c>
      <c r="AD893" t="b">
        <v>1</v>
      </c>
      <c r="AE893" t="b">
        <v>1</v>
      </c>
      <c r="AF893" t="b">
        <v>1</v>
      </c>
      <c r="AG893" t="b">
        <v>1</v>
      </c>
    </row>
    <row r="894" spans="1:33" x14ac:dyDescent="0.25">
      <c r="A894" t="s">
        <v>33</v>
      </c>
      <c r="B894">
        <v>15</v>
      </c>
      <c r="C894" t="b">
        <v>1</v>
      </c>
      <c r="D894" t="s">
        <v>3039</v>
      </c>
      <c r="E894" t="s">
        <v>3040</v>
      </c>
      <c r="F894" t="s">
        <v>3267</v>
      </c>
      <c r="G894" t="s">
        <v>3268</v>
      </c>
      <c r="H894">
        <v>893</v>
      </c>
      <c r="I894" t="str">
        <f>IF(ISBLANK(Table1[[#This Row],[oid]]),"FALSE","TRUE")</f>
        <v>TRUE</v>
      </c>
      <c r="J894" t="str" cm="1">
        <f t="array" ref="J894">_xlfn.SWITCH(LEFT(Table1[[#This Row],[section]],1), "D", "Demographic", "S", "Social", "E", "Economic", "H", "Housing", "")</f>
        <v>Social</v>
      </c>
      <c r="K894" t="s">
        <v>3043</v>
      </c>
      <c r="L894" s="1" t="s">
        <v>3044</v>
      </c>
      <c r="M894" t="str">
        <f>IF(Table1[[#This Row],[used]], _xlfn.CONCAT("🆔 ", Table1[[#This Row],[variable]], ": ",Table1[[#This Row],[alias]]), "")</f>
        <v>🆔 B16004_030E: 18 to 64 years: Speak Spanish: Speak English not at all</v>
      </c>
      <c r="O894" t="s">
        <v>3269</v>
      </c>
      <c r="P894" t="s">
        <v>3045</v>
      </c>
      <c r="Q894" t="s">
        <v>41</v>
      </c>
      <c r="R894" t="s">
        <v>3270</v>
      </c>
      <c r="S894" t="b">
        <v>1</v>
      </c>
      <c r="T894" t="b">
        <v>1</v>
      </c>
      <c r="U894" t="b">
        <v>1</v>
      </c>
      <c r="V894" t="b">
        <v>1</v>
      </c>
      <c r="W894" t="b">
        <v>1</v>
      </c>
      <c r="X894" t="b">
        <v>1</v>
      </c>
      <c r="Y894" t="b">
        <v>1</v>
      </c>
      <c r="Z894" t="b">
        <v>1</v>
      </c>
      <c r="AA894" t="b">
        <v>1</v>
      </c>
      <c r="AB894" t="b">
        <v>1</v>
      </c>
      <c r="AC894" t="b">
        <v>1</v>
      </c>
      <c r="AD894" t="b">
        <v>1</v>
      </c>
      <c r="AE894" t="b">
        <v>1</v>
      </c>
      <c r="AF894" t="b">
        <v>1</v>
      </c>
      <c r="AG894" t="b">
        <v>1</v>
      </c>
    </row>
    <row r="895" spans="1:33" x14ac:dyDescent="0.25">
      <c r="A895" t="s">
        <v>33</v>
      </c>
      <c r="B895">
        <v>15</v>
      </c>
      <c r="C895" t="b">
        <v>1</v>
      </c>
      <c r="D895" t="s">
        <v>3039</v>
      </c>
      <c r="E895" t="s">
        <v>3040</v>
      </c>
      <c r="F895" t="s">
        <v>3271</v>
      </c>
      <c r="G895" t="s">
        <v>3272</v>
      </c>
      <c r="H895">
        <v>894</v>
      </c>
      <c r="I895" t="str">
        <f>IF(ISBLANK(Table1[[#This Row],[oid]]),"FALSE","TRUE")</f>
        <v>TRUE</v>
      </c>
      <c r="J895" t="str" cm="1">
        <f t="array" ref="J895">_xlfn.SWITCH(LEFT(Table1[[#This Row],[section]],1), "D", "Demographic", "S", "Social", "E", "Economic", "H", "Housing", "")</f>
        <v>Social</v>
      </c>
      <c r="K895" t="s">
        <v>3043</v>
      </c>
      <c r="L895" s="1" t="s">
        <v>3044</v>
      </c>
      <c r="M895" t="str">
        <f>IF(Table1[[#This Row],[used]], _xlfn.CONCAT("🆔 ", Table1[[#This Row],[variable]], ": ",Table1[[#This Row],[alias]]), "")</f>
        <v>🆔 B16004_031E: 18 to 64 years: Speak other Indo-European languages</v>
      </c>
      <c r="O895" t="s">
        <v>3273</v>
      </c>
      <c r="P895" t="s">
        <v>3045</v>
      </c>
      <c r="Q895" t="s">
        <v>41</v>
      </c>
      <c r="R895" t="s">
        <v>3274</v>
      </c>
      <c r="S895" t="b">
        <v>1</v>
      </c>
      <c r="T895" t="b">
        <v>1</v>
      </c>
      <c r="U895" t="b">
        <v>1</v>
      </c>
      <c r="V895" t="b">
        <v>1</v>
      </c>
      <c r="W895" t="b">
        <v>1</v>
      </c>
      <c r="X895" t="b">
        <v>1</v>
      </c>
      <c r="Y895" t="b">
        <v>1</v>
      </c>
      <c r="Z895" t="b">
        <v>1</v>
      </c>
      <c r="AA895" t="b">
        <v>1</v>
      </c>
      <c r="AB895" t="b">
        <v>1</v>
      </c>
      <c r="AC895" t="b">
        <v>1</v>
      </c>
      <c r="AD895" t="b">
        <v>1</v>
      </c>
      <c r="AE895" t="b">
        <v>1</v>
      </c>
      <c r="AF895" t="b">
        <v>1</v>
      </c>
      <c r="AG895" t="b">
        <v>1</v>
      </c>
    </row>
    <row r="896" spans="1:33" x14ac:dyDescent="0.25">
      <c r="A896" t="s">
        <v>33</v>
      </c>
      <c r="B896">
        <v>15</v>
      </c>
      <c r="C896" t="b">
        <v>1</v>
      </c>
      <c r="D896" t="s">
        <v>3039</v>
      </c>
      <c r="E896" t="s">
        <v>3040</v>
      </c>
      <c r="F896" t="s">
        <v>3275</v>
      </c>
      <c r="G896" t="s">
        <v>3276</v>
      </c>
      <c r="H896">
        <v>895</v>
      </c>
      <c r="I896" t="str">
        <f>IF(ISBLANK(Table1[[#This Row],[oid]]),"FALSE","TRUE")</f>
        <v>TRUE</v>
      </c>
      <c r="J896" t="str" cm="1">
        <f t="array" ref="J896">_xlfn.SWITCH(LEFT(Table1[[#This Row],[section]],1), "D", "Demographic", "S", "Social", "E", "Economic", "H", "Housing", "")</f>
        <v>Social</v>
      </c>
      <c r="K896" t="s">
        <v>3043</v>
      </c>
      <c r="L896" s="1" t="s">
        <v>3044</v>
      </c>
      <c r="M896" t="str">
        <f>IF(Table1[[#This Row],[used]], _xlfn.CONCAT("🆔 ", Table1[[#This Row],[variable]], ": ",Table1[[#This Row],[alias]]), "")</f>
        <v>🆔 B16004_032E: 18 to 64 years: Speak other Indo-European languages: Speak English very well</v>
      </c>
      <c r="O896" t="s">
        <v>3277</v>
      </c>
      <c r="P896" t="s">
        <v>3045</v>
      </c>
      <c r="Q896" t="s">
        <v>41</v>
      </c>
      <c r="R896" t="s">
        <v>3278</v>
      </c>
      <c r="S896" t="b">
        <v>1</v>
      </c>
      <c r="T896" t="b">
        <v>1</v>
      </c>
      <c r="U896" t="b">
        <v>1</v>
      </c>
      <c r="V896" t="b">
        <v>1</v>
      </c>
      <c r="W896" t="b">
        <v>1</v>
      </c>
      <c r="X896" t="b">
        <v>1</v>
      </c>
      <c r="Y896" t="b">
        <v>1</v>
      </c>
      <c r="Z896" t="b">
        <v>1</v>
      </c>
      <c r="AA896" t="b">
        <v>1</v>
      </c>
      <c r="AB896" t="b">
        <v>1</v>
      </c>
      <c r="AC896" t="b">
        <v>1</v>
      </c>
      <c r="AD896" t="b">
        <v>1</v>
      </c>
      <c r="AE896" t="b">
        <v>1</v>
      </c>
      <c r="AF896" t="b">
        <v>1</v>
      </c>
      <c r="AG896" t="b">
        <v>1</v>
      </c>
    </row>
    <row r="897" spans="1:33" x14ac:dyDescent="0.25">
      <c r="A897" t="s">
        <v>33</v>
      </c>
      <c r="B897">
        <v>15</v>
      </c>
      <c r="C897" t="b">
        <v>1</v>
      </c>
      <c r="D897" t="s">
        <v>3039</v>
      </c>
      <c r="E897" t="s">
        <v>3040</v>
      </c>
      <c r="F897" t="s">
        <v>3279</v>
      </c>
      <c r="G897" t="s">
        <v>3280</v>
      </c>
      <c r="H897">
        <v>896</v>
      </c>
      <c r="I897" t="str">
        <f>IF(ISBLANK(Table1[[#This Row],[oid]]),"FALSE","TRUE")</f>
        <v>TRUE</v>
      </c>
      <c r="J897" t="str" cm="1">
        <f t="array" ref="J897">_xlfn.SWITCH(LEFT(Table1[[#This Row],[section]],1), "D", "Demographic", "S", "Social", "E", "Economic", "H", "Housing", "")</f>
        <v>Social</v>
      </c>
      <c r="K897" t="s">
        <v>3043</v>
      </c>
      <c r="L897" s="1" t="s">
        <v>3044</v>
      </c>
      <c r="M897" t="str">
        <f>IF(Table1[[#This Row],[used]], _xlfn.CONCAT("🆔 ", Table1[[#This Row],[variable]], ": ",Table1[[#This Row],[alias]]), "")</f>
        <v>🆔 B16004_033E: 18 to 64 years: Speak other Indo-European languages: Speak English well</v>
      </c>
      <c r="O897" t="s">
        <v>3281</v>
      </c>
      <c r="P897" t="s">
        <v>3045</v>
      </c>
      <c r="Q897" t="s">
        <v>41</v>
      </c>
      <c r="R897" t="s">
        <v>3282</v>
      </c>
      <c r="S897" t="b">
        <v>1</v>
      </c>
      <c r="T897" t="b">
        <v>1</v>
      </c>
      <c r="U897" t="b">
        <v>1</v>
      </c>
      <c r="V897" t="b">
        <v>1</v>
      </c>
      <c r="W897" t="b">
        <v>1</v>
      </c>
      <c r="X897" t="b">
        <v>1</v>
      </c>
      <c r="Y897" t="b">
        <v>1</v>
      </c>
      <c r="Z897" t="b">
        <v>1</v>
      </c>
      <c r="AA897" t="b">
        <v>1</v>
      </c>
      <c r="AB897" t="b">
        <v>1</v>
      </c>
      <c r="AC897" t="b">
        <v>1</v>
      </c>
      <c r="AD897" t="b">
        <v>1</v>
      </c>
      <c r="AE897" t="b">
        <v>1</v>
      </c>
      <c r="AF897" t="b">
        <v>1</v>
      </c>
      <c r="AG897" t="b">
        <v>1</v>
      </c>
    </row>
    <row r="898" spans="1:33" x14ac:dyDescent="0.25">
      <c r="A898" t="s">
        <v>33</v>
      </c>
      <c r="B898">
        <v>15</v>
      </c>
      <c r="C898" t="b">
        <v>1</v>
      </c>
      <c r="D898" t="s">
        <v>3039</v>
      </c>
      <c r="E898" t="s">
        <v>3040</v>
      </c>
      <c r="F898" t="s">
        <v>3283</v>
      </c>
      <c r="G898" t="s">
        <v>3284</v>
      </c>
      <c r="H898">
        <v>897</v>
      </c>
      <c r="I898" t="str">
        <f>IF(ISBLANK(Table1[[#This Row],[oid]]),"FALSE","TRUE")</f>
        <v>TRUE</v>
      </c>
      <c r="J898" t="str" cm="1">
        <f t="array" ref="J898">_xlfn.SWITCH(LEFT(Table1[[#This Row],[section]],1), "D", "Demographic", "S", "Social", "E", "Economic", "H", "Housing", "")</f>
        <v>Social</v>
      </c>
      <c r="K898" t="s">
        <v>3043</v>
      </c>
      <c r="L898" s="1" t="s">
        <v>3044</v>
      </c>
      <c r="M898" t="str">
        <f>IF(Table1[[#This Row],[used]], _xlfn.CONCAT("🆔 ", Table1[[#This Row],[variable]], ": ",Table1[[#This Row],[alias]]), "")</f>
        <v>🆔 B16004_034E: 18 to 64 years: Speak other Indo-European languages: Speak English not well</v>
      </c>
      <c r="O898" t="s">
        <v>3285</v>
      </c>
      <c r="P898" t="s">
        <v>3045</v>
      </c>
      <c r="Q898" t="s">
        <v>41</v>
      </c>
      <c r="R898" t="s">
        <v>3286</v>
      </c>
      <c r="S898" t="b">
        <v>1</v>
      </c>
      <c r="T898" t="b">
        <v>1</v>
      </c>
      <c r="U898" t="b">
        <v>1</v>
      </c>
      <c r="V898" t="b">
        <v>1</v>
      </c>
      <c r="W898" t="b">
        <v>1</v>
      </c>
      <c r="X898" t="b">
        <v>1</v>
      </c>
      <c r="Y898" t="b">
        <v>1</v>
      </c>
      <c r="Z898" t="b">
        <v>1</v>
      </c>
      <c r="AA898" t="b">
        <v>1</v>
      </c>
      <c r="AB898" t="b">
        <v>1</v>
      </c>
      <c r="AC898" t="b">
        <v>1</v>
      </c>
      <c r="AD898" t="b">
        <v>1</v>
      </c>
      <c r="AE898" t="b">
        <v>1</v>
      </c>
      <c r="AF898" t="b">
        <v>1</v>
      </c>
      <c r="AG898" t="b">
        <v>1</v>
      </c>
    </row>
    <row r="899" spans="1:33" x14ac:dyDescent="0.25">
      <c r="A899" t="s">
        <v>33</v>
      </c>
      <c r="B899">
        <v>15</v>
      </c>
      <c r="C899" t="b">
        <v>1</v>
      </c>
      <c r="D899" t="s">
        <v>3039</v>
      </c>
      <c r="E899" t="s">
        <v>3040</v>
      </c>
      <c r="F899" t="s">
        <v>3287</v>
      </c>
      <c r="G899" t="s">
        <v>3288</v>
      </c>
      <c r="H899">
        <v>898</v>
      </c>
      <c r="I899" t="str">
        <f>IF(ISBLANK(Table1[[#This Row],[oid]]),"FALSE","TRUE")</f>
        <v>TRUE</v>
      </c>
      <c r="J899" t="str" cm="1">
        <f t="array" ref="J899">_xlfn.SWITCH(LEFT(Table1[[#This Row],[section]],1), "D", "Demographic", "S", "Social", "E", "Economic", "H", "Housing", "")</f>
        <v>Social</v>
      </c>
      <c r="K899" t="s">
        <v>3043</v>
      </c>
      <c r="L899" s="1" t="s">
        <v>3044</v>
      </c>
      <c r="M899" t="str">
        <f>IF(Table1[[#This Row],[used]], _xlfn.CONCAT("🆔 ", Table1[[#This Row],[variable]], ": ",Table1[[#This Row],[alias]]), "")</f>
        <v>🆔 B16004_035E: 18 to 64 years: Speak other Indo-European languages: Speak English not at all</v>
      </c>
      <c r="O899" t="s">
        <v>3289</v>
      </c>
      <c r="P899" t="s">
        <v>3045</v>
      </c>
      <c r="Q899" t="s">
        <v>41</v>
      </c>
      <c r="R899" t="s">
        <v>3290</v>
      </c>
      <c r="S899" t="b">
        <v>1</v>
      </c>
      <c r="T899" t="b">
        <v>1</v>
      </c>
      <c r="U899" t="b">
        <v>1</v>
      </c>
      <c r="V899" t="b">
        <v>1</v>
      </c>
      <c r="W899" t="b">
        <v>1</v>
      </c>
      <c r="X899" t="b">
        <v>1</v>
      </c>
      <c r="Y899" t="b">
        <v>1</v>
      </c>
      <c r="Z899" t="b">
        <v>1</v>
      </c>
      <c r="AA899" t="b">
        <v>1</v>
      </c>
      <c r="AB899" t="b">
        <v>1</v>
      </c>
      <c r="AC899" t="b">
        <v>1</v>
      </c>
      <c r="AD899" t="b">
        <v>1</v>
      </c>
      <c r="AE899" t="b">
        <v>1</v>
      </c>
      <c r="AF899" t="b">
        <v>1</v>
      </c>
      <c r="AG899" t="b">
        <v>1</v>
      </c>
    </row>
    <row r="900" spans="1:33" x14ac:dyDescent="0.25">
      <c r="A900" t="s">
        <v>33</v>
      </c>
      <c r="B900">
        <v>15</v>
      </c>
      <c r="C900" t="b">
        <v>1</v>
      </c>
      <c r="D900" t="s">
        <v>3039</v>
      </c>
      <c r="E900" t="s">
        <v>3040</v>
      </c>
      <c r="F900" t="s">
        <v>3291</v>
      </c>
      <c r="G900" t="s">
        <v>3292</v>
      </c>
      <c r="H900">
        <v>899</v>
      </c>
      <c r="I900" t="str">
        <f>IF(ISBLANK(Table1[[#This Row],[oid]]),"FALSE","TRUE")</f>
        <v>TRUE</v>
      </c>
      <c r="J900" t="str" cm="1">
        <f t="array" ref="J900">_xlfn.SWITCH(LEFT(Table1[[#This Row],[section]],1), "D", "Demographic", "S", "Social", "E", "Economic", "H", "Housing", "")</f>
        <v>Social</v>
      </c>
      <c r="K900" t="s">
        <v>3043</v>
      </c>
      <c r="L900" s="1" t="s">
        <v>3044</v>
      </c>
      <c r="M900" t="str">
        <f>IF(Table1[[#This Row],[used]], _xlfn.CONCAT("🆔 ", Table1[[#This Row],[variable]], ": ",Table1[[#This Row],[alias]]), "")</f>
        <v>🆔 B16004_036E: 18 to 64 years: Speak Asian and Pacific Island languages</v>
      </c>
      <c r="O900" t="s">
        <v>3293</v>
      </c>
      <c r="P900" t="s">
        <v>3045</v>
      </c>
      <c r="Q900" t="s">
        <v>41</v>
      </c>
      <c r="R900" t="s">
        <v>3294</v>
      </c>
      <c r="S900" t="b">
        <v>1</v>
      </c>
      <c r="T900" t="b">
        <v>1</v>
      </c>
      <c r="U900" t="b">
        <v>1</v>
      </c>
      <c r="V900" t="b">
        <v>1</v>
      </c>
      <c r="W900" t="b">
        <v>1</v>
      </c>
      <c r="X900" t="b">
        <v>1</v>
      </c>
      <c r="Y900" t="b">
        <v>1</v>
      </c>
      <c r="Z900" t="b">
        <v>1</v>
      </c>
      <c r="AA900" t="b">
        <v>1</v>
      </c>
      <c r="AB900" t="b">
        <v>1</v>
      </c>
      <c r="AC900" t="b">
        <v>1</v>
      </c>
      <c r="AD900" t="b">
        <v>1</v>
      </c>
      <c r="AE900" t="b">
        <v>1</v>
      </c>
      <c r="AF900" t="b">
        <v>1</v>
      </c>
      <c r="AG900" t="b">
        <v>1</v>
      </c>
    </row>
    <row r="901" spans="1:33" x14ac:dyDescent="0.25">
      <c r="A901" t="s">
        <v>33</v>
      </c>
      <c r="B901">
        <v>15</v>
      </c>
      <c r="C901" t="b">
        <v>1</v>
      </c>
      <c r="D901" t="s">
        <v>3039</v>
      </c>
      <c r="E901" t="s">
        <v>3040</v>
      </c>
      <c r="F901" t="s">
        <v>3295</v>
      </c>
      <c r="G901" t="s">
        <v>3296</v>
      </c>
      <c r="H901">
        <v>900</v>
      </c>
      <c r="I901" t="str">
        <f>IF(ISBLANK(Table1[[#This Row],[oid]]),"FALSE","TRUE")</f>
        <v>TRUE</v>
      </c>
      <c r="J901" t="str" cm="1">
        <f t="array" ref="J901">_xlfn.SWITCH(LEFT(Table1[[#This Row],[section]],1), "D", "Demographic", "S", "Social", "E", "Economic", "H", "Housing", "")</f>
        <v>Social</v>
      </c>
      <c r="K901" t="s">
        <v>3043</v>
      </c>
      <c r="L901" s="1" t="s">
        <v>3044</v>
      </c>
      <c r="M901" t="str">
        <f>IF(Table1[[#This Row],[used]], _xlfn.CONCAT("🆔 ", Table1[[#This Row],[variable]], ": ",Table1[[#This Row],[alias]]), "")</f>
        <v>🆔 B16004_037E: 18 to 64 years: Speak Asian and Pacific Island languages: Speak English very well</v>
      </c>
      <c r="O901" t="s">
        <v>3297</v>
      </c>
      <c r="P901" t="s">
        <v>3045</v>
      </c>
      <c r="Q901" t="s">
        <v>41</v>
      </c>
      <c r="R901" t="s">
        <v>3298</v>
      </c>
      <c r="S901" t="b">
        <v>1</v>
      </c>
      <c r="T901" t="b">
        <v>1</v>
      </c>
      <c r="U901" t="b">
        <v>1</v>
      </c>
      <c r="V901" t="b">
        <v>1</v>
      </c>
      <c r="W901" t="b">
        <v>1</v>
      </c>
      <c r="X901" t="b">
        <v>1</v>
      </c>
      <c r="Y901" t="b">
        <v>1</v>
      </c>
      <c r="Z901" t="b">
        <v>1</v>
      </c>
      <c r="AA901" t="b">
        <v>1</v>
      </c>
      <c r="AB901" t="b">
        <v>1</v>
      </c>
      <c r="AC901" t="b">
        <v>1</v>
      </c>
      <c r="AD901" t="b">
        <v>1</v>
      </c>
      <c r="AE901" t="b">
        <v>1</v>
      </c>
      <c r="AF901" t="b">
        <v>1</v>
      </c>
      <c r="AG901" t="b">
        <v>1</v>
      </c>
    </row>
    <row r="902" spans="1:33" x14ac:dyDescent="0.25">
      <c r="A902" t="s">
        <v>33</v>
      </c>
      <c r="B902">
        <v>15</v>
      </c>
      <c r="C902" t="b">
        <v>1</v>
      </c>
      <c r="D902" t="s">
        <v>3039</v>
      </c>
      <c r="E902" t="s">
        <v>3040</v>
      </c>
      <c r="F902" t="s">
        <v>3299</v>
      </c>
      <c r="G902" t="s">
        <v>3300</v>
      </c>
      <c r="H902">
        <v>901</v>
      </c>
      <c r="I902" t="str">
        <f>IF(ISBLANK(Table1[[#This Row],[oid]]),"FALSE","TRUE")</f>
        <v>TRUE</v>
      </c>
      <c r="J902" t="str" cm="1">
        <f t="array" ref="J902">_xlfn.SWITCH(LEFT(Table1[[#This Row],[section]],1), "D", "Demographic", "S", "Social", "E", "Economic", "H", "Housing", "")</f>
        <v>Social</v>
      </c>
      <c r="K902" t="s">
        <v>3043</v>
      </c>
      <c r="L902" s="1" t="s">
        <v>3044</v>
      </c>
      <c r="M902" t="str">
        <f>IF(Table1[[#This Row],[used]], _xlfn.CONCAT("🆔 ", Table1[[#This Row],[variable]], ": ",Table1[[#This Row],[alias]]), "")</f>
        <v>🆔 B16004_038E: 18 to 64 years: Speak Asian and Pacific Island languages: Speak English well</v>
      </c>
      <c r="O902" t="s">
        <v>3301</v>
      </c>
      <c r="P902" t="s">
        <v>3045</v>
      </c>
      <c r="Q902" t="s">
        <v>41</v>
      </c>
      <c r="R902" t="s">
        <v>3302</v>
      </c>
      <c r="S902" t="b">
        <v>1</v>
      </c>
      <c r="T902" t="b">
        <v>1</v>
      </c>
      <c r="U902" t="b">
        <v>1</v>
      </c>
      <c r="V902" t="b">
        <v>1</v>
      </c>
      <c r="W902" t="b">
        <v>1</v>
      </c>
      <c r="X902" t="b">
        <v>1</v>
      </c>
      <c r="Y902" t="b">
        <v>1</v>
      </c>
      <c r="Z902" t="b">
        <v>1</v>
      </c>
      <c r="AA902" t="b">
        <v>1</v>
      </c>
      <c r="AB902" t="b">
        <v>1</v>
      </c>
      <c r="AC902" t="b">
        <v>1</v>
      </c>
      <c r="AD902" t="b">
        <v>1</v>
      </c>
      <c r="AE902" t="b">
        <v>1</v>
      </c>
      <c r="AF902" t="b">
        <v>1</v>
      </c>
      <c r="AG902" t="b">
        <v>1</v>
      </c>
    </row>
    <row r="903" spans="1:33" x14ac:dyDescent="0.25">
      <c r="A903" t="s">
        <v>33</v>
      </c>
      <c r="B903">
        <v>15</v>
      </c>
      <c r="C903" t="b">
        <v>1</v>
      </c>
      <c r="D903" t="s">
        <v>3039</v>
      </c>
      <c r="E903" t="s">
        <v>3040</v>
      </c>
      <c r="F903" t="s">
        <v>3303</v>
      </c>
      <c r="G903" t="s">
        <v>3304</v>
      </c>
      <c r="H903">
        <v>902</v>
      </c>
      <c r="I903" t="str">
        <f>IF(ISBLANK(Table1[[#This Row],[oid]]),"FALSE","TRUE")</f>
        <v>TRUE</v>
      </c>
      <c r="J903" t="str" cm="1">
        <f t="array" ref="J903">_xlfn.SWITCH(LEFT(Table1[[#This Row],[section]],1), "D", "Demographic", "S", "Social", "E", "Economic", "H", "Housing", "")</f>
        <v>Social</v>
      </c>
      <c r="K903" t="s">
        <v>3043</v>
      </c>
      <c r="L903" s="1" t="s">
        <v>3044</v>
      </c>
      <c r="M903" t="str">
        <f>IF(Table1[[#This Row],[used]], _xlfn.CONCAT("🆔 ", Table1[[#This Row],[variable]], ": ",Table1[[#This Row],[alias]]), "")</f>
        <v>🆔 B16004_039E: 18 to 64 years: Speak Asian and Pacific Island languages: Speak English not well</v>
      </c>
      <c r="O903" t="s">
        <v>3305</v>
      </c>
      <c r="P903" t="s">
        <v>3045</v>
      </c>
      <c r="Q903" t="s">
        <v>41</v>
      </c>
      <c r="R903" t="s">
        <v>3306</v>
      </c>
      <c r="S903" t="b">
        <v>1</v>
      </c>
      <c r="T903" t="b">
        <v>1</v>
      </c>
      <c r="U903" t="b">
        <v>1</v>
      </c>
      <c r="V903" t="b">
        <v>1</v>
      </c>
      <c r="W903" t="b">
        <v>1</v>
      </c>
      <c r="X903" t="b">
        <v>1</v>
      </c>
      <c r="Y903" t="b">
        <v>1</v>
      </c>
      <c r="Z903" t="b">
        <v>1</v>
      </c>
      <c r="AA903" t="b">
        <v>1</v>
      </c>
      <c r="AB903" t="b">
        <v>1</v>
      </c>
      <c r="AC903" t="b">
        <v>1</v>
      </c>
      <c r="AD903" t="b">
        <v>1</v>
      </c>
      <c r="AE903" t="b">
        <v>1</v>
      </c>
      <c r="AF903" t="b">
        <v>1</v>
      </c>
      <c r="AG903" t="b">
        <v>1</v>
      </c>
    </row>
    <row r="904" spans="1:33" x14ac:dyDescent="0.25">
      <c r="A904" t="s">
        <v>33</v>
      </c>
      <c r="B904">
        <v>15</v>
      </c>
      <c r="C904" t="b">
        <v>1</v>
      </c>
      <c r="D904" t="s">
        <v>3039</v>
      </c>
      <c r="E904" t="s">
        <v>3040</v>
      </c>
      <c r="F904" t="s">
        <v>3307</v>
      </c>
      <c r="G904" t="s">
        <v>3308</v>
      </c>
      <c r="H904">
        <v>903</v>
      </c>
      <c r="I904" t="str">
        <f>IF(ISBLANK(Table1[[#This Row],[oid]]),"FALSE","TRUE")</f>
        <v>TRUE</v>
      </c>
      <c r="J904" t="str" cm="1">
        <f t="array" ref="J904">_xlfn.SWITCH(LEFT(Table1[[#This Row],[section]],1), "D", "Demographic", "S", "Social", "E", "Economic", "H", "Housing", "")</f>
        <v>Social</v>
      </c>
      <c r="K904" t="s">
        <v>3043</v>
      </c>
      <c r="L904" s="1" t="s">
        <v>3044</v>
      </c>
      <c r="M904" t="str">
        <f>IF(Table1[[#This Row],[used]], _xlfn.CONCAT("🆔 ", Table1[[#This Row],[variable]], ": ",Table1[[#This Row],[alias]]), "")</f>
        <v>🆔 B16004_040E: 18 to 64 years: Speak Asian and Pacific Island languages: Speak English not at all</v>
      </c>
      <c r="O904" t="s">
        <v>3309</v>
      </c>
      <c r="P904" t="s">
        <v>3045</v>
      </c>
      <c r="Q904" t="s">
        <v>41</v>
      </c>
      <c r="R904" t="s">
        <v>3310</v>
      </c>
      <c r="S904" t="b">
        <v>1</v>
      </c>
      <c r="T904" t="b">
        <v>1</v>
      </c>
      <c r="U904" t="b">
        <v>1</v>
      </c>
      <c r="V904" t="b">
        <v>1</v>
      </c>
      <c r="W904" t="b">
        <v>1</v>
      </c>
      <c r="X904" t="b">
        <v>1</v>
      </c>
      <c r="Y904" t="b">
        <v>1</v>
      </c>
      <c r="Z904" t="b">
        <v>1</v>
      </c>
      <c r="AA904" t="b">
        <v>1</v>
      </c>
      <c r="AB904" t="b">
        <v>1</v>
      </c>
      <c r="AC904" t="b">
        <v>1</v>
      </c>
      <c r="AD904" t="b">
        <v>1</v>
      </c>
      <c r="AE904" t="b">
        <v>1</v>
      </c>
      <c r="AF904" t="b">
        <v>1</v>
      </c>
      <c r="AG904" t="b">
        <v>1</v>
      </c>
    </row>
    <row r="905" spans="1:33" x14ac:dyDescent="0.25">
      <c r="A905" t="s">
        <v>33</v>
      </c>
      <c r="B905">
        <v>15</v>
      </c>
      <c r="C905" t="b">
        <v>1</v>
      </c>
      <c r="D905" t="s">
        <v>3311</v>
      </c>
      <c r="E905" t="s">
        <v>3312</v>
      </c>
      <c r="F905" t="s">
        <v>3313</v>
      </c>
      <c r="G905" t="s">
        <v>3314</v>
      </c>
      <c r="H905">
        <v>904</v>
      </c>
      <c r="I905" t="str">
        <f>IF(ISBLANK(Table1[[#This Row],[oid]]),"FALSE","TRUE")</f>
        <v>TRUE</v>
      </c>
      <c r="J905" t="str" cm="1">
        <f t="array" ref="J905">_xlfn.SWITCH(LEFT(Table1[[#This Row],[section]],1), "D", "Demographic", "S", "Social", "E", "Economic", "H", "Housing", "")</f>
        <v>Social</v>
      </c>
      <c r="K905" t="s">
        <v>3315</v>
      </c>
      <c r="L905" s="1" t="s">
        <v>3316</v>
      </c>
      <c r="M905" t="str">
        <f>IF(Table1[[#This Row],[used]], _xlfn.CONCAT("🆔 ", Table1[[#This Row],[variable]], ": ",Table1[[#This Row],[alias]]), "")</f>
        <v>🆔 B04007_002E: Ancestry specified</v>
      </c>
      <c r="O905" t="s">
        <v>3317</v>
      </c>
      <c r="P905" t="s">
        <v>3318</v>
      </c>
      <c r="Q905" t="s">
        <v>41</v>
      </c>
      <c r="R905" t="s">
        <v>3319</v>
      </c>
      <c r="S905" t="b">
        <v>1</v>
      </c>
      <c r="T905" t="b">
        <v>1</v>
      </c>
      <c r="U905" t="b">
        <v>1</v>
      </c>
      <c r="V905" t="b">
        <v>1</v>
      </c>
      <c r="W905" t="b">
        <v>1</v>
      </c>
      <c r="X905" t="b">
        <v>1</v>
      </c>
      <c r="Y905" t="b">
        <v>1</v>
      </c>
      <c r="Z905" t="b">
        <v>1</v>
      </c>
      <c r="AA905" t="b">
        <v>1</v>
      </c>
      <c r="AB905" t="b">
        <v>1</v>
      </c>
      <c r="AC905" t="b">
        <v>1</v>
      </c>
      <c r="AD905" t="b">
        <v>1</v>
      </c>
      <c r="AE905" t="b">
        <v>1</v>
      </c>
      <c r="AF905" t="b">
        <v>1</v>
      </c>
      <c r="AG905" t="b">
        <v>1</v>
      </c>
    </row>
    <row r="906" spans="1:33" x14ac:dyDescent="0.25">
      <c r="A906" t="s">
        <v>33</v>
      </c>
      <c r="B906">
        <v>15</v>
      </c>
      <c r="C906" t="b">
        <v>1</v>
      </c>
      <c r="D906" t="s">
        <v>3311</v>
      </c>
      <c r="E906" t="s">
        <v>3312</v>
      </c>
      <c r="F906" t="s">
        <v>3320</v>
      </c>
      <c r="G906" t="s">
        <v>3321</v>
      </c>
      <c r="H906">
        <v>905</v>
      </c>
      <c r="I906" t="str">
        <f>IF(ISBLANK(Table1[[#This Row],[oid]]),"FALSE","TRUE")</f>
        <v>TRUE</v>
      </c>
      <c r="J906" t="str" cm="1">
        <f t="array" ref="J906">_xlfn.SWITCH(LEFT(Table1[[#This Row],[section]],1), "D", "Demographic", "S", "Social", "E", "Economic", "H", "Housing", "")</f>
        <v>Social</v>
      </c>
      <c r="K906" t="s">
        <v>3315</v>
      </c>
      <c r="L906" s="1" t="s">
        <v>3316</v>
      </c>
      <c r="M906" t="str">
        <f>IF(Table1[[#This Row],[used]], _xlfn.CONCAT("🆔 ", Table1[[#This Row],[variable]], ": ",Table1[[#This Row],[alias]]), "")</f>
        <v>🆔 B04007_003E: Ancestry specified: Single ancestry</v>
      </c>
      <c r="O906" t="s">
        <v>3322</v>
      </c>
      <c r="P906" t="s">
        <v>3318</v>
      </c>
      <c r="Q906" t="s">
        <v>41</v>
      </c>
      <c r="R906" t="s">
        <v>3323</v>
      </c>
      <c r="S906" t="b">
        <v>1</v>
      </c>
      <c r="T906" t="b">
        <v>1</v>
      </c>
      <c r="U906" t="b">
        <v>1</v>
      </c>
      <c r="V906" t="b">
        <v>1</v>
      </c>
      <c r="W906" t="b">
        <v>1</v>
      </c>
      <c r="X906" t="b">
        <v>1</v>
      </c>
      <c r="Y906" t="b">
        <v>1</v>
      </c>
      <c r="Z906" t="b">
        <v>1</v>
      </c>
      <c r="AA906" t="b">
        <v>1</v>
      </c>
      <c r="AB906" t="b">
        <v>1</v>
      </c>
      <c r="AC906" t="b">
        <v>1</v>
      </c>
      <c r="AD906" t="b">
        <v>1</v>
      </c>
      <c r="AE906" t="b">
        <v>1</v>
      </c>
      <c r="AF906" t="b">
        <v>1</v>
      </c>
      <c r="AG906" t="b">
        <v>1</v>
      </c>
    </row>
    <row r="907" spans="1:33" x14ac:dyDescent="0.25">
      <c r="A907" t="s">
        <v>33</v>
      </c>
      <c r="B907">
        <v>15</v>
      </c>
      <c r="C907" t="b">
        <v>1</v>
      </c>
      <c r="D907" t="s">
        <v>3311</v>
      </c>
      <c r="E907" t="s">
        <v>3312</v>
      </c>
      <c r="F907" t="s">
        <v>3324</v>
      </c>
      <c r="G907" t="s">
        <v>3325</v>
      </c>
      <c r="H907">
        <v>906</v>
      </c>
      <c r="I907" t="str">
        <f>IF(ISBLANK(Table1[[#This Row],[oid]]),"FALSE","TRUE")</f>
        <v>TRUE</v>
      </c>
      <c r="J907" t="str" cm="1">
        <f t="array" ref="J907">_xlfn.SWITCH(LEFT(Table1[[#This Row],[section]],1), "D", "Demographic", "S", "Social", "E", "Economic", "H", "Housing", "")</f>
        <v>Social</v>
      </c>
      <c r="K907" t="s">
        <v>3315</v>
      </c>
      <c r="L907" s="1" t="s">
        <v>3316</v>
      </c>
      <c r="M907" t="str">
        <f>IF(Table1[[#This Row],[used]], _xlfn.CONCAT("🆔 ", Table1[[#This Row],[variable]], ": ",Table1[[#This Row],[alias]]), "")</f>
        <v>🆔 B04007_004E: Ancestry specified: Multiple ancestry</v>
      </c>
      <c r="O907" t="s">
        <v>3326</v>
      </c>
      <c r="P907" t="s">
        <v>3318</v>
      </c>
      <c r="Q907" t="s">
        <v>41</v>
      </c>
      <c r="R907" t="s">
        <v>3327</v>
      </c>
      <c r="S907" t="b">
        <v>1</v>
      </c>
      <c r="T907" t="b">
        <v>1</v>
      </c>
      <c r="U907" t="b">
        <v>1</v>
      </c>
      <c r="V907" t="b">
        <v>1</v>
      </c>
      <c r="W907" t="b">
        <v>1</v>
      </c>
      <c r="X907" t="b">
        <v>1</v>
      </c>
      <c r="Y907" t="b">
        <v>1</v>
      </c>
      <c r="Z907" t="b">
        <v>1</v>
      </c>
      <c r="AA907" t="b">
        <v>1</v>
      </c>
      <c r="AB907" t="b">
        <v>1</v>
      </c>
      <c r="AC907" t="b">
        <v>1</v>
      </c>
      <c r="AD907" t="b">
        <v>1</v>
      </c>
      <c r="AE907" t="b">
        <v>1</v>
      </c>
      <c r="AF907" t="b">
        <v>1</v>
      </c>
      <c r="AG907" t="b">
        <v>1</v>
      </c>
    </row>
    <row r="908" spans="1:33" x14ac:dyDescent="0.25">
      <c r="A908" t="s">
        <v>33</v>
      </c>
      <c r="B908">
        <v>15</v>
      </c>
      <c r="C908" t="b">
        <v>1</v>
      </c>
      <c r="D908" t="s">
        <v>3311</v>
      </c>
      <c r="E908" t="s">
        <v>3312</v>
      </c>
      <c r="F908" t="s">
        <v>3328</v>
      </c>
      <c r="G908" t="s">
        <v>3329</v>
      </c>
      <c r="H908">
        <v>907</v>
      </c>
      <c r="I908" t="str">
        <f>IF(ISBLANK(Table1[[#This Row],[oid]]),"FALSE","TRUE")</f>
        <v>TRUE</v>
      </c>
      <c r="J908" t="str" cm="1">
        <f t="array" ref="J908">_xlfn.SWITCH(LEFT(Table1[[#This Row],[section]],1), "D", "Demographic", "S", "Social", "E", "Economic", "H", "Housing", "")</f>
        <v>Social</v>
      </c>
      <c r="K908" t="s">
        <v>3315</v>
      </c>
      <c r="L908" s="1" t="s">
        <v>3316</v>
      </c>
      <c r="M908" t="str">
        <f>IF(Table1[[#This Row],[used]], _xlfn.CONCAT("🆔 ", Table1[[#This Row],[variable]], ": ",Table1[[#This Row],[alias]]), "")</f>
        <v>🆔 B04007_005E: Ancestry not specified</v>
      </c>
      <c r="O908" t="s">
        <v>3330</v>
      </c>
      <c r="P908" t="s">
        <v>3318</v>
      </c>
      <c r="Q908" t="s">
        <v>41</v>
      </c>
      <c r="R908" t="s">
        <v>3331</v>
      </c>
      <c r="S908" t="b">
        <v>1</v>
      </c>
      <c r="T908" t="b">
        <v>1</v>
      </c>
      <c r="U908" t="b">
        <v>1</v>
      </c>
      <c r="V908" t="b">
        <v>1</v>
      </c>
      <c r="W908" t="b">
        <v>1</v>
      </c>
      <c r="X908" t="b">
        <v>1</v>
      </c>
      <c r="Y908" t="b">
        <v>1</v>
      </c>
      <c r="Z908" t="b">
        <v>1</v>
      </c>
      <c r="AA908" t="b">
        <v>1</v>
      </c>
      <c r="AB908" t="b">
        <v>1</v>
      </c>
      <c r="AC908" t="b">
        <v>1</v>
      </c>
      <c r="AD908" t="b">
        <v>1</v>
      </c>
      <c r="AE908" t="b">
        <v>1</v>
      </c>
      <c r="AF908" t="b">
        <v>1</v>
      </c>
      <c r="AG908" t="b">
        <v>1</v>
      </c>
    </row>
    <row r="909" spans="1:33" x14ac:dyDescent="0.25">
      <c r="A909" t="s">
        <v>33</v>
      </c>
      <c r="B909">
        <v>15</v>
      </c>
      <c r="C909" t="b">
        <v>1</v>
      </c>
      <c r="D909" t="s">
        <v>3311</v>
      </c>
      <c r="E909" t="s">
        <v>3312</v>
      </c>
      <c r="F909" t="s">
        <v>3332</v>
      </c>
      <c r="G909" t="s">
        <v>3333</v>
      </c>
      <c r="H909">
        <v>908</v>
      </c>
      <c r="I909" t="str">
        <f>IF(ISBLANK(Table1[[#This Row],[oid]]),"FALSE","TRUE")</f>
        <v>TRUE</v>
      </c>
      <c r="J909" t="str" cm="1">
        <f t="array" ref="J909">_xlfn.SWITCH(LEFT(Table1[[#This Row],[section]],1), "D", "Demographic", "S", "Social", "E", "Economic", "H", "Housing", "")</f>
        <v>Social</v>
      </c>
      <c r="K909" t="s">
        <v>3315</v>
      </c>
      <c r="L909" s="1" t="s">
        <v>3316</v>
      </c>
      <c r="M909" t="str">
        <f>IF(Table1[[#This Row],[used]], _xlfn.CONCAT("🆔 ", Table1[[#This Row],[variable]], ": ",Table1[[#This Row],[alias]]), "")</f>
        <v>🆔 B04007_006E: Ancestry not specified: Ancestry unclassified</v>
      </c>
      <c r="O909" t="s">
        <v>3334</v>
      </c>
      <c r="P909" t="s">
        <v>3318</v>
      </c>
      <c r="Q909" t="s">
        <v>41</v>
      </c>
      <c r="R909" t="s">
        <v>3335</v>
      </c>
      <c r="S909" t="b">
        <v>1</v>
      </c>
      <c r="T909" t="b">
        <v>1</v>
      </c>
      <c r="U909" t="b">
        <v>1</v>
      </c>
      <c r="V909" t="b">
        <v>1</v>
      </c>
      <c r="W909" t="b">
        <v>1</v>
      </c>
      <c r="X909" t="b">
        <v>1</v>
      </c>
      <c r="Y909" t="b">
        <v>1</v>
      </c>
      <c r="Z909" t="b">
        <v>1</v>
      </c>
      <c r="AA909" t="b">
        <v>1</v>
      </c>
      <c r="AB909" t="b">
        <v>1</v>
      </c>
      <c r="AC909" t="b">
        <v>1</v>
      </c>
      <c r="AD909" t="b">
        <v>1</v>
      </c>
      <c r="AE909" t="b">
        <v>1</v>
      </c>
      <c r="AF909" t="b">
        <v>1</v>
      </c>
      <c r="AG909" t="b">
        <v>1</v>
      </c>
    </row>
    <row r="910" spans="1:33" x14ac:dyDescent="0.25">
      <c r="A910" t="s">
        <v>33</v>
      </c>
      <c r="B910">
        <v>15</v>
      </c>
      <c r="C910" t="b">
        <v>1</v>
      </c>
      <c r="D910" t="s">
        <v>3311</v>
      </c>
      <c r="E910" t="s">
        <v>3312</v>
      </c>
      <c r="F910" t="s">
        <v>3336</v>
      </c>
      <c r="G910" t="s">
        <v>3337</v>
      </c>
      <c r="H910">
        <v>909</v>
      </c>
      <c r="I910" t="str">
        <f>IF(ISBLANK(Table1[[#This Row],[oid]]),"FALSE","TRUE")</f>
        <v>TRUE</v>
      </c>
      <c r="J910" t="str" cm="1">
        <f t="array" ref="J910">_xlfn.SWITCH(LEFT(Table1[[#This Row],[section]],1), "D", "Demographic", "S", "Social", "E", "Economic", "H", "Housing", "")</f>
        <v>Social</v>
      </c>
      <c r="K910" t="s">
        <v>3315</v>
      </c>
      <c r="L910" s="1" t="s">
        <v>3316</v>
      </c>
      <c r="M910" t="str">
        <f>IF(Table1[[#This Row],[used]], _xlfn.CONCAT("🆔 ", Table1[[#This Row],[variable]], ": ",Table1[[#This Row],[alias]]), "")</f>
        <v>🆔 B04007_007E: Ancestry not specified: Ancestry not reported</v>
      </c>
      <c r="O910" t="s">
        <v>3338</v>
      </c>
      <c r="P910" t="s">
        <v>3318</v>
      </c>
      <c r="Q910" t="s">
        <v>41</v>
      </c>
      <c r="R910" t="s">
        <v>3339</v>
      </c>
      <c r="S910" t="b">
        <v>1</v>
      </c>
      <c r="T910" t="b">
        <v>1</v>
      </c>
      <c r="U910" t="b">
        <v>1</v>
      </c>
      <c r="V910" t="b">
        <v>1</v>
      </c>
      <c r="W910" t="b">
        <v>1</v>
      </c>
      <c r="X910" t="b">
        <v>1</v>
      </c>
      <c r="Y910" t="b">
        <v>1</v>
      </c>
      <c r="Z910" t="b">
        <v>1</v>
      </c>
      <c r="AA910" t="b">
        <v>1</v>
      </c>
      <c r="AB910" t="b">
        <v>1</v>
      </c>
      <c r="AC910" t="b">
        <v>1</v>
      </c>
      <c r="AD910" t="b">
        <v>1</v>
      </c>
      <c r="AE910" t="b">
        <v>1</v>
      </c>
      <c r="AF910" t="b">
        <v>1</v>
      </c>
      <c r="AG910" t="b">
        <v>1</v>
      </c>
    </row>
    <row r="911" spans="1:33" x14ac:dyDescent="0.25">
      <c r="A911" t="s">
        <v>33</v>
      </c>
      <c r="B911">
        <v>15</v>
      </c>
      <c r="C911" t="b">
        <v>1</v>
      </c>
      <c r="D911" t="s">
        <v>3311</v>
      </c>
      <c r="E911" t="s">
        <v>3340</v>
      </c>
      <c r="F911" t="s">
        <v>3341</v>
      </c>
      <c r="G911" s="1" t="s">
        <v>3342</v>
      </c>
      <c r="H911">
        <v>910</v>
      </c>
      <c r="I911" t="str">
        <f>IF(ISBLANK(Table1[[#This Row],[oid]]),"FALSE","TRUE")</f>
        <v>TRUE</v>
      </c>
      <c r="J911" t="str" cm="1">
        <f t="array" ref="J911">_xlfn.SWITCH(LEFT(Table1[[#This Row],[section]],1), "D", "Demographic", "S", "Social", "E", "Economic", "H", "Housing", "")</f>
        <v>Social</v>
      </c>
      <c r="K911" s="1" t="s">
        <v>3343</v>
      </c>
      <c r="L911" s="1" t="s">
        <v>3344</v>
      </c>
      <c r="M911" t="str">
        <f>IF(Table1[[#This Row],[used]], _xlfn.CONCAT("🆔 ", Table1[[#This Row],[variable]], ": ",Table1[[#This Row],[alias]]), "")</f>
        <v>🆔 B04006_001E: Total people reporting ancestry</v>
      </c>
      <c r="O911" t="s">
        <v>39</v>
      </c>
      <c r="P911" t="s">
        <v>3345</v>
      </c>
      <c r="Q911" t="s">
        <v>41</v>
      </c>
      <c r="R911" t="s">
        <v>3346</v>
      </c>
      <c r="S911" t="b">
        <v>1</v>
      </c>
      <c r="T911" t="b">
        <v>1</v>
      </c>
      <c r="U911" t="b">
        <v>1</v>
      </c>
      <c r="V911" t="b">
        <v>1</v>
      </c>
      <c r="W911" t="b">
        <v>1</v>
      </c>
      <c r="X911" t="b">
        <v>1</v>
      </c>
      <c r="Y911" t="b">
        <v>1</v>
      </c>
      <c r="Z911" t="b">
        <v>1</v>
      </c>
      <c r="AA911" t="b">
        <v>1</v>
      </c>
      <c r="AB911" t="b">
        <v>1</v>
      </c>
      <c r="AC911" t="b">
        <v>1</v>
      </c>
      <c r="AD911" t="b">
        <v>1</v>
      </c>
      <c r="AE911" t="b">
        <v>1</v>
      </c>
      <c r="AF911" t="b">
        <v>1</v>
      </c>
      <c r="AG911" t="b">
        <v>1</v>
      </c>
    </row>
    <row r="912" spans="1:33" x14ac:dyDescent="0.25">
      <c r="A912" t="s">
        <v>33</v>
      </c>
      <c r="B912">
        <v>15</v>
      </c>
      <c r="C912" t="b">
        <v>1</v>
      </c>
      <c r="D912" t="s">
        <v>3311</v>
      </c>
      <c r="E912" t="s">
        <v>3340</v>
      </c>
      <c r="F912" t="s">
        <v>3347</v>
      </c>
      <c r="G912" t="s">
        <v>3348</v>
      </c>
      <c r="H912">
        <v>911</v>
      </c>
      <c r="I912" t="str">
        <f>IF(ISBLANK(Table1[[#This Row],[oid]]),"FALSE","TRUE")</f>
        <v>TRUE</v>
      </c>
      <c r="J912" t="str" cm="1">
        <f t="array" ref="J912">_xlfn.SWITCH(LEFT(Table1[[#This Row],[section]],1), "D", "Demographic", "S", "Social", "E", "Economic", "H", "Housing", "")</f>
        <v>Social</v>
      </c>
      <c r="K912" s="1" t="s">
        <v>3343</v>
      </c>
      <c r="L912" s="1" t="s">
        <v>3344</v>
      </c>
      <c r="M912" t="str">
        <f>IF(Table1[[#This Row],[used]], _xlfn.CONCAT("🆔 ", Table1[[#This Row],[variable]], ": ",Table1[[#This Row],[alias]]), "")</f>
        <v>🆔 B04006_002E: Afghan</v>
      </c>
      <c r="O912" t="s">
        <v>3349</v>
      </c>
      <c r="P912" t="s">
        <v>3345</v>
      </c>
      <c r="Q912" t="s">
        <v>41</v>
      </c>
      <c r="R912" t="s">
        <v>3350</v>
      </c>
      <c r="S912" t="b">
        <v>1</v>
      </c>
      <c r="T912" t="b">
        <v>1</v>
      </c>
      <c r="U912" t="b">
        <v>1</v>
      </c>
      <c r="V912" t="b">
        <v>1</v>
      </c>
      <c r="W912" t="b">
        <v>1</v>
      </c>
      <c r="X912" t="b">
        <v>1</v>
      </c>
      <c r="Y912" t="b">
        <v>1</v>
      </c>
      <c r="Z912" t="b">
        <v>1</v>
      </c>
      <c r="AA912" t="b">
        <v>1</v>
      </c>
      <c r="AB912" t="b">
        <v>1</v>
      </c>
      <c r="AC912" t="b">
        <v>1</v>
      </c>
      <c r="AD912" t="b">
        <v>1</v>
      </c>
      <c r="AE912" t="b">
        <v>1</v>
      </c>
      <c r="AF912" t="b">
        <v>1</v>
      </c>
      <c r="AG912" t="b">
        <v>1</v>
      </c>
    </row>
    <row r="913" spans="1:33" x14ac:dyDescent="0.25">
      <c r="A913" t="s">
        <v>33</v>
      </c>
      <c r="B913">
        <v>15</v>
      </c>
      <c r="C913" t="b">
        <v>1</v>
      </c>
      <c r="D913" t="s">
        <v>3311</v>
      </c>
      <c r="E913" t="s">
        <v>3340</v>
      </c>
      <c r="F913" t="s">
        <v>3351</v>
      </c>
      <c r="G913" t="s">
        <v>3352</v>
      </c>
      <c r="H913">
        <v>912</v>
      </c>
      <c r="I913" t="str">
        <f>IF(ISBLANK(Table1[[#This Row],[oid]]),"FALSE","TRUE")</f>
        <v>TRUE</v>
      </c>
      <c r="J913" t="str" cm="1">
        <f t="array" ref="J913">_xlfn.SWITCH(LEFT(Table1[[#This Row],[section]],1), "D", "Demographic", "S", "Social", "E", "Economic", "H", "Housing", "")</f>
        <v>Social</v>
      </c>
      <c r="K913" s="1" t="s">
        <v>3343</v>
      </c>
      <c r="L913" s="1" t="s">
        <v>3344</v>
      </c>
      <c r="M913" t="str">
        <f>IF(Table1[[#This Row],[used]], _xlfn.CONCAT("🆔 ", Table1[[#This Row],[variable]], ": ",Table1[[#This Row],[alias]]), "")</f>
        <v>🆔 B04006_003E: Albanian</v>
      </c>
      <c r="O913" t="s">
        <v>3353</v>
      </c>
      <c r="P913" t="s">
        <v>3345</v>
      </c>
      <c r="Q913" t="s">
        <v>41</v>
      </c>
      <c r="R913" t="s">
        <v>3354</v>
      </c>
      <c r="S913" t="b">
        <v>1</v>
      </c>
      <c r="T913" t="b">
        <v>1</v>
      </c>
      <c r="U913" t="b">
        <v>1</v>
      </c>
      <c r="V913" t="b">
        <v>1</v>
      </c>
      <c r="W913" t="b">
        <v>1</v>
      </c>
      <c r="X913" t="b">
        <v>1</v>
      </c>
      <c r="Y913" t="b">
        <v>1</v>
      </c>
      <c r="Z913" t="b">
        <v>1</v>
      </c>
      <c r="AA913" t="b">
        <v>1</v>
      </c>
      <c r="AB913" t="b">
        <v>1</v>
      </c>
      <c r="AC913" t="b">
        <v>1</v>
      </c>
      <c r="AD913" t="b">
        <v>1</v>
      </c>
      <c r="AE913" t="b">
        <v>1</v>
      </c>
      <c r="AF913" t="b">
        <v>1</v>
      </c>
      <c r="AG913" t="b">
        <v>1</v>
      </c>
    </row>
    <row r="914" spans="1:33" x14ac:dyDescent="0.25">
      <c r="A914" t="s">
        <v>33</v>
      </c>
      <c r="B914">
        <v>15</v>
      </c>
      <c r="C914" t="b">
        <v>1</v>
      </c>
      <c r="D914" t="s">
        <v>3311</v>
      </c>
      <c r="E914" t="s">
        <v>3340</v>
      </c>
      <c r="F914" t="s">
        <v>3355</v>
      </c>
      <c r="G914" t="s">
        <v>3356</v>
      </c>
      <c r="H914">
        <v>913</v>
      </c>
      <c r="I914" t="str">
        <f>IF(ISBLANK(Table1[[#This Row],[oid]]),"FALSE","TRUE")</f>
        <v>TRUE</v>
      </c>
      <c r="J914" t="str" cm="1">
        <f t="array" ref="J914">_xlfn.SWITCH(LEFT(Table1[[#This Row],[section]],1), "D", "Demographic", "S", "Social", "E", "Economic", "H", "Housing", "")</f>
        <v>Social</v>
      </c>
      <c r="K914" s="1" t="s">
        <v>3343</v>
      </c>
      <c r="L914" s="1" t="s">
        <v>3344</v>
      </c>
      <c r="M914" t="str">
        <f>IF(Table1[[#This Row],[used]], _xlfn.CONCAT("🆔 ", Table1[[#This Row],[variable]], ": ",Table1[[#This Row],[alias]]), "")</f>
        <v>🆔 B04006_004E: Alsatian</v>
      </c>
      <c r="O914" t="s">
        <v>3357</v>
      </c>
      <c r="P914" t="s">
        <v>3345</v>
      </c>
      <c r="Q914" t="s">
        <v>41</v>
      </c>
      <c r="R914" t="s">
        <v>3358</v>
      </c>
      <c r="S914" t="b">
        <v>1</v>
      </c>
      <c r="T914" t="b">
        <v>1</v>
      </c>
      <c r="U914" t="b">
        <v>1</v>
      </c>
      <c r="V914" t="b">
        <v>1</v>
      </c>
      <c r="W914" t="b">
        <v>1</v>
      </c>
      <c r="X914" t="b">
        <v>1</v>
      </c>
      <c r="Y914" t="b">
        <v>1</v>
      </c>
      <c r="Z914" t="b">
        <v>1</v>
      </c>
      <c r="AA914" t="b">
        <v>1</v>
      </c>
      <c r="AB914" t="b">
        <v>1</v>
      </c>
      <c r="AC914" t="b">
        <v>1</v>
      </c>
      <c r="AD914" t="b">
        <v>1</v>
      </c>
      <c r="AE914" t="b">
        <v>1</v>
      </c>
      <c r="AF914" t="b">
        <v>1</v>
      </c>
      <c r="AG914" t="b">
        <v>1</v>
      </c>
    </row>
    <row r="915" spans="1:33" x14ac:dyDescent="0.25">
      <c r="A915" t="s">
        <v>33</v>
      </c>
      <c r="B915">
        <v>15</v>
      </c>
      <c r="C915" t="b">
        <v>1</v>
      </c>
      <c r="D915" t="s">
        <v>3311</v>
      </c>
      <c r="E915" t="s">
        <v>3340</v>
      </c>
      <c r="F915" t="s">
        <v>3359</v>
      </c>
      <c r="G915" t="s">
        <v>3360</v>
      </c>
      <c r="H915">
        <v>914</v>
      </c>
      <c r="I915" t="str">
        <f>IF(ISBLANK(Table1[[#This Row],[oid]]),"FALSE","TRUE")</f>
        <v>TRUE</v>
      </c>
      <c r="J915" t="str" cm="1">
        <f t="array" ref="J915">_xlfn.SWITCH(LEFT(Table1[[#This Row],[section]],1), "D", "Demographic", "S", "Social", "E", "Economic", "H", "Housing", "")</f>
        <v>Social</v>
      </c>
      <c r="K915" s="1" t="s">
        <v>3343</v>
      </c>
      <c r="L915" s="1" t="s">
        <v>3344</v>
      </c>
      <c r="M915" t="str">
        <f>IF(Table1[[#This Row],[used]], _xlfn.CONCAT("🆔 ", Table1[[#This Row],[variable]], ": ",Table1[[#This Row],[alias]]), "")</f>
        <v>🆔 B04006_005E: American</v>
      </c>
      <c r="O915" t="s">
        <v>3361</v>
      </c>
      <c r="P915" t="s">
        <v>3345</v>
      </c>
      <c r="Q915" t="s">
        <v>41</v>
      </c>
      <c r="R915" t="s">
        <v>3362</v>
      </c>
      <c r="S915" t="b">
        <v>1</v>
      </c>
      <c r="T915" t="b">
        <v>1</v>
      </c>
      <c r="U915" t="b">
        <v>1</v>
      </c>
      <c r="V915" t="b">
        <v>1</v>
      </c>
      <c r="W915" t="b">
        <v>1</v>
      </c>
      <c r="X915" t="b">
        <v>1</v>
      </c>
      <c r="Y915" t="b">
        <v>1</v>
      </c>
      <c r="Z915" t="b">
        <v>1</v>
      </c>
      <c r="AA915" t="b">
        <v>1</v>
      </c>
      <c r="AB915" t="b">
        <v>1</v>
      </c>
      <c r="AC915" t="b">
        <v>1</v>
      </c>
      <c r="AD915" t="b">
        <v>1</v>
      </c>
      <c r="AE915" t="b">
        <v>1</v>
      </c>
      <c r="AF915" t="b">
        <v>1</v>
      </c>
      <c r="AG915" t="b">
        <v>1</v>
      </c>
    </row>
    <row r="916" spans="1:33" x14ac:dyDescent="0.25">
      <c r="A916" t="s">
        <v>33</v>
      </c>
      <c r="B916">
        <v>15</v>
      </c>
      <c r="C916" t="b">
        <v>1</v>
      </c>
      <c r="D916" t="s">
        <v>3311</v>
      </c>
      <c r="E916" t="s">
        <v>3340</v>
      </c>
      <c r="F916" t="s">
        <v>3363</v>
      </c>
      <c r="G916" t="s">
        <v>3364</v>
      </c>
      <c r="H916">
        <v>915</v>
      </c>
      <c r="I916" t="str">
        <f>IF(ISBLANK(Table1[[#This Row],[oid]]),"FALSE","TRUE")</f>
        <v>TRUE</v>
      </c>
      <c r="J916" t="str" cm="1">
        <f t="array" ref="J916">_xlfn.SWITCH(LEFT(Table1[[#This Row],[section]],1), "D", "Demographic", "S", "Social", "E", "Economic", "H", "Housing", "")</f>
        <v>Social</v>
      </c>
      <c r="K916" s="1" t="s">
        <v>3343</v>
      </c>
      <c r="L916" s="1" t="s">
        <v>3344</v>
      </c>
      <c r="M916" t="str">
        <f>IF(Table1[[#This Row],[used]], _xlfn.CONCAT("🆔 ", Table1[[#This Row],[variable]], ": ",Table1[[#This Row],[alias]]), "")</f>
        <v>🆔 B04006_006E: Arab</v>
      </c>
      <c r="O916" t="s">
        <v>3365</v>
      </c>
      <c r="P916" t="s">
        <v>3345</v>
      </c>
      <c r="Q916" t="s">
        <v>41</v>
      </c>
      <c r="R916" t="s">
        <v>3366</v>
      </c>
      <c r="S916" t="b">
        <v>1</v>
      </c>
      <c r="T916" t="b">
        <v>1</v>
      </c>
      <c r="U916" t="b">
        <v>1</v>
      </c>
      <c r="V916" t="b">
        <v>1</v>
      </c>
      <c r="W916" t="b">
        <v>1</v>
      </c>
      <c r="X916" t="b">
        <v>1</v>
      </c>
      <c r="Y916" t="b">
        <v>1</v>
      </c>
      <c r="Z916" t="b">
        <v>1</v>
      </c>
      <c r="AA916" t="b">
        <v>1</v>
      </c>
      <c r="AB916" t="b">
        <v>1</v>
      </c>
      <c r="AC916" t="b">
        <v>1</v>
      </c>
      <c r="AD916" t="b">
        <v>1</v>
      </c>
      <c r="AE916" t="b">
        <v>1</v>
      </c>
      <c r="AF916" t="b">
        <v>1</v>
      </c>
      <c r="AG916" t="b">
        <v>1</v>
      </c>
    </row>
    <row r="917" spans="1:33" x14ac:dyDescent="0.25">
      <c r="A917" t="s">
        <v>33</v>
      </c>
      <c r="B917">
        <v>15</v>
      </c>
      <c r="C917" t="b">
        <v>1</v>
      </c>
      <c r="D917" t="s">
        <v>3311</v>
      </c>
      <c r="E917" t="s">
        <v>3340</v>
      </c>
      <c r="F917" t="s">
        <v>3367</v>
      </c>
      <c r="G917" t="s">
        <v>3368</v>
      </c>
      <c r="H917">
        <v>916</v>
      </c>
      <c r="I917" t="str">
        <f>IF(ISBLANK(Table1[[#This Row],[oid]]),"FALSE","TRUE")</f>
        <v>TRUE</v>
      </c>
      <c r="J917" t="str" cm="1">
        <f t="array" ref="J917">_xlfn.SWITCH(LEFT(Table1[[#This Row],[section]],1), "D", "Demographic", "S", "Social", "E", "Economic", "H", "Housing", "")</f>
        <v>Social</v>
      </c>
      <c r="K917" s="1" t="s">
        <v>3343</v>
      </c>
      <c r="L917" s="1" t="s">
        <v>3344</v>
      </c>
      <c r="M917" t="str">
        <f>IF(Table1[[#This Row],[used]], _xlfn.CONCAT("🆔 ", Table1[[#This Row],[variable]], ": ",Table1[[#This Row],[alias]]), "")</f>
        <v>🆔 B04006_007E: Arab: Egyptian</v>
      </c>
      <c r="O917" t="s">
        <v>3369</v>
      </c>
      <c r="P917" t="s">
        <v>3345</v>
      </c>
      <c r="Q917" t="s">
        <v>41</v>
      </c>
      <c r="R917" t="s">
        <v>3370</v>
      </c>
      <c r="S917" t="b">
        <v>1</v>
      </c>
      <c r="T917" t="b">
        <v>1</v>
      </c>
      <c r="U917" t="b">
        <v>1</v>
      </c>
      <c r="V917" t="b">
        <v>1</v>
      </c>
      <c r="W917" t="b">
        <v>1</v>
      </c>
      <c r="X917" t="b">
        <v>1</v>
      </c>
      <c r="Y917" t="b">
        <v>1</v>
      </c>
      <c r="Z917" t="b">
        <v>1</v>
      </c>
      <c r="AA917" t="b">
        <v>1</v>
      </c>
      <c r="AB917" t="b">
        <v>1</v>
      </c>
      <c r="AC917" t="b">
        <v>1</v>
      </c>
      <c r="AD917" t="b">
        <v>1</v>
      </c>
      <c r="AE917" t="b">
        <v>1</v>
      </c>
      <c r="AF917" t="b">
        <v>1</v>
      </c>
      <c r="AG917" t="b">
        <v>1</v>
      </c>
    </row>
    <row r="918" spans="1:33" x14ac:dyDescent="0.25">
      <c r="A918" t="s">
        <v>33</v>
      </c>
      <c r="B918">
        <v>15</v>
      </c>
      <c r="C918" t="b">
        <v>1</v>
      </c>
      <c r="D918" t="s">
        <v>3311</v>
      </c>
      <c r="E918" t="s">
        <v>3340</v>
      </c>
      <c r="F918" t="s">
        <v>3371</v>
      </c>
      <c r="G918" t="s">
        <v>3372</v>
      </c>
      <c r="H918">
        <v>917</v>
      </c>
      <c r="I918" t="str">
        <f>IF(ISBLANK(Table1[[#This Row],[oid]]),"FALSE","TRUE")</f>
        <v>TRUE</v>
      </c>
      <c r="J918" t="str" cm="1">
        <f t="array" ref="J918">_xlfn.SWITCH(LEFT(Table1[[#This Row],[section]],1), "D", "Demographic", "S", "Social", "E", "Economic", "H", "Housing", "")</f>
        <v>Social</v>
      </c>
      <c r="K918" s="1" t="s">
        <v>3343</v>
      </c>
      <c r="L918" s="1" t="s">
        <v>3344</v>
      </c>
      <c r="M918" t="str">
        <f>IF(Table1[[#This Row],[used]], _xlfn.CONCAT("🆔 ", Table1[[#This Row],[variable]], ": ",Table1[[#This Row],[alias]]), "")</f>
        <v>🆔 B04006_008E: Arab: Iraqi</v>
      </c>
      <c r="O918" t="s">
        <v>3373</v>
      </c>
      <c r="P918" t="s">
        <v>3345</v>
      </c>
      <c r="Q918" t="s">
        <v>41</v>
      </c>
      <c r="R918" t="s">
        <v>3374</v>
      </c>
      <c r="S918" t="b">
        <v>1</v>
      </c>
      <c r="T918" t="b">
        <v>1</v>
      </c>
      <c r="U918" t="b">
        <v>1</v>
      </c>
      <c r="V918" t="b">
        <v>1</v>
      </c>
      <c r="W918" t="b">
        <v>1</v>
      </c>
      <c r="X918" t="b">
        <v>1</v>
      </c>
      <c r="Y918" t="b">
        <v>1</v>
      </c>
      <c r="Z918" t="b">
        <v>1</v>
      </c>
      <c r="AA918" t="b">
        <v>1</v>
      </c>
      <c r="AB918" t="b">
        <v>1</v>
      </c>
      <c r="AC918" t="b">
        <v>1</v>
      </c>
      <c r="AD918" t="b">
        <v>1</v>
      </c>
      <c r="AE918" t="b">
        <v>1</v>
      </c>
      <c r="AF918" t="b">
        <v>1</v>
      </c>
      <c r="AG918" t="b">
        <v>1</v>
      </c>
    </row>
    <row r="919" spans="1:33" x14ac:dyDescent="0.25">
      <c r="A919" t="s">
        <v>33</v>
      </c>
      <c r="B919">
        <v>15</v>
      </c>
      <c r="C919" t="b">
        <v>1</v>
      </c>
      <c r="D919" t="s">
        <v>3311</v>
      </c>
      <c r="E919" t="s">
        <v>3340</v>
      </c>
      <c r="F919" t="s">
        <v>3375</v>
      </c>
      <c r="G919" t="s">
        <v>3376</v>
      </c>
      <c r="H919">
        <v>918</v>
      </c>
      <c r="I919" t="str">
        <f>IF(ISBLANK(Table1[[#This Row],[oid]]),"FALSE","TRUE")</f>
        <v>TRUE</v>
      </c>
      <c r="J919" t="str" cm="1">
        <f t="array" ref="J919">_xlfn.SWITCH(LEFT(Table1[[#This Row],[section]],1), "D", "Demographic", "S", "Social", "E", "Economic", "H", "Housing", "")</f>
        <v>Social</v>
      </c>
      <c r="K919" s="1" t="s">
        <v>3343</v>
      </c>
      <c r="L919" s="1" t="s">
        <v>3344</v>
      </c>
      <c r="M919" t="str">
        <f>IF(Table1[[#This Row],[used]], _xlfn.CONCAT("🆔 ", Table1[[#This Row],[variable]], ": ",Table1[[#This Row],[alias]]), "")</f>
        <v>🆔 B04006_009E: Arab: Jordanian</v>
      </c>
      <c r="O919" t="s">
        <v>3377</v>
      </c>
      <c r="P919" t="s">
        <v>3345</v>
      </c>
      <c r="Q919" t="s">
        <v>41</v>
      </c>
      <c r="R919" t="s">
        <v>3378</v>
      </c>
      <c r="S919" t="b">
        <v>1</v>
      </c>
      <c r="T919" t="b">
        <v>1</v>
      </c>
      <c r="U919" t="b">
        <v>1</v>
      </c>
      <c r="V919" t="b">
        <v>1</v>
      </c>
      <c r="W919" t="b">
        <v>1</v>
      </c>
      <c r="X919" t="b">
        <v>1</v>
      </c>
      <c r="Y919" t="b">
        <v>1</v>
      </c>
      <c r="Z919" t="b">
        <v>1</v>
      </c>
      <c r="AA919" t="b">
        <v>1</v>
      </c>
      <c r="AB919" t="b">
        <v>1</v>
      </c>
      <c r="AC919" t="b">
        <v>1</v>
      </c>
      <c r="AD919" t="b">
        <v>1</v>
      </c>
      <c r="AE919" t="b">
        <v>1</v>
      </c>
      <c r="AF919" t="b">
        <v>1</v>
      </c>
      <c r="AG919" t="b">
        <v>1</v>
      </c>
    </row>
    <row r="920" spans="1:33" x14ac:dyDescent="0.25">
      <c r="A920" t="s">
        <v>33</v>
      </c>
      <c r="B920">
        <v>15</v>
      </c>
      <c r="C920" t="b">
        <v>1</v>
      </c>
      <c r="D920" t="s">
        <v>3311</v>
      </c>
      <c r="E920" t="s">
        <v>3340</v>
      </c>
      <c r="F920" t="s">
        <v>3379</v>
      </c>
      <c r="G920" t="s">
        <v>3380</v>
      </c>
      <c r="H920">
        <v>919</v>
      </c>
      <c r="I920" t="str">
        <f>IF(ISBLANK(Table1[[#This Row],[oid]]),"FALSE","TRUE")</f>
        <v>TRUE</v>
      </c>
      <c r="J920" t="str" cm="1">
        <f t="array" ref="J920">_xlfn.SWITCH(LEFT(Table1[[#This Row],[section]],1), "D", "Demographic", "S", "Social", "E", "Economic", "H", "Housing", "")</f>
        <v>Social</v>
      </c>
      <c r="K920" s="1" t="s">
        <v>3343</v>
      </c>
      <c r="L920" s="1" t="s">
        <v>3344</v>
      </c>
      <c r="M920" t="str">
        <f>IF(Table1[[#This Row],[used]], _xlfn.CONCAT("🆔 ", Table1[[#This Row],[variable]], ": ",Table1[[#This Row],[alias]]), "")</f>
        <v>🆔 B04006_010E: Arab: Lebanese</v>
      </c>
      <c r="O920" t="s">
        <v>3381</v>
      </c>
      <c r="P920" t="s">
        <v>3345</v>
      </c>
      <c r="Q920" t="s">
        <v>41</v>
      </c>
      <c r="R920" t="s">
        <v>3382</v>
      </c>
      <c r="S920" t="b">
        <v>1</v>
      </c>
      <c r="T920" t="b">
        <v>1</v>
      </c>
      <c r="U920" t="b">
        <v>1</v>
      </c>
      <c r="V920" t="b">
        <v>1</v>
      </c>
      <c r="W920" t="b">
        <v>1</v>
      </c>
      <c r="X920" t="b">
        <v>1</v>
      </c>
      <c r="Y920" t="b">
        <v>1</v>
      </c>
      <c r="Z920" t="b">
        <v>1</v>
      </c>
      <c r="AA920" t="b">
        <v>1</v>
      </c>
      <c r="AB920" t="b">
        <v>1</v>
      </c>
      <c r="AC920" t="b">
        <v>1</v>
      </c>
      <c r="AD920" t="b">
        <v>1</v>
      </c>
      <c r="AE920" t="b">
        <v>1</v>
      </c>
      <c r="AF920" t="b">
        <v>1</v>
      </c>
      <c r="AG920" t="b">
        <v>1</v>
      </c>
    </row>
    <row r="921" spans="1:33" x14ac:dyDescent="0.25">
      <c r="A921" t="s">
        <v>33</v>
      </c>
      <c r="B921">
        <v>15</v>
      </c>
      <c r="C921" t="b">
        <v>1</v>
      </c>
      <c r="D921" t="s">
        <v>3311</v>
      </c>
      <c r="E921" t="s">
        <v>3340</v>
      </c>
      <c r="F921" t="s">
        <v>3383</v>
      </c>
      <c r="G921" t="s">
        <v>3384</v>
      </c>
      <c r="H921">
        <v>920</v>
      </c>
      <c r="I921" t="str">
        <f>IF(ISBLANK(Table1[[#This Row],[oid]]),"FALSE","TRUE")</f>
        <v>TRUE</v>
      </c>
      <c r="J921" t="str" cm="1">
        <f t="array" ref="J921">_xlfn.SWITCH(LEFT(Table1[[#This Row],[section]],1), "D", "Demographic", "S", "Social", "E", "Economic", "H", "Housing", "")</f>
        <v>Social</v>
      </c>
      <c r="K921" s="1" t="s">
        <v>3343</v>
      </c>
      <c r="L921" s="1" t="s">
        <v>3344</v>
      </c>
      <c r="M921" t="str">
        <f>IF(Table1[[#This Row],[used]], _xlfn.CONCAT("🆔 ", Table1[[#This Row],[variable]], ": ",Table1[[#This Row],[alias]]), "")</f>
        <v>🆔 B04006_011E: Arab: Moroccan</v>
      </c>
      <c r="O921" t="s">
        <v>3385</v>
      </c>
      <c r="P921" t="s">
        <v>3345</v>
      </c>
      <c r="Q921" t="s">
        <v>41</v>
      </c>
      <c r="R921" t="s">
        <v>3386</v>
      </c>
      <c r="S921" t="b">
        <v>1</v>
      </c>
      <c r="T921" t="b">
        <v>1</v>
      </c>
      <c r="U921" t="b">
        <v>1</v>
      </c>
      <c r="V921" t="b">
        <v>1</v>
      </c>
      <c r="W921" t="b">
        <v>1</v>
      </c>
      <c r="X921" t="b">
        <v>1</v>
      </c>
      <c r="Y921" t="b">
        <v>1</v>
      </c>
      <c r="Z921" t="b">
        <v>1</v>
      </c>
      <c r="AA921" t="b">
        <v>1</v>
      </c>
      <c r="AB921" t="b">
        <v>1</v>
      </c>
      <c r="AC921" t="b">
        <v>1</v>
      </c>
      <c r="AD921" t="b">
        <v>1</v>
      </c>
      <c r="AE921" t="b">
        <v>1</v>
      </c>
      <c r="AF921" t="b">
        <v>1</v>
      </c>
      <c r="AG921" t="b">
        <v>1</v>
      </c>
    </row>
    <row r="922" spans="1:33" x14ac:dyDescent="0.25">
      <c r="A922" t="s">
        <v>33</v>
      </c>
      <c r="B922">
        <v>15</v>
      </c>
      <c r="C922" t="b">
        <v>1</v>
      </c>
      <c r="D922" t="s">
        <v>3311</v>
      </c>
      <c r="E922" t="s">
        <v>3340</v>
      </c>
      <c r="F922" t="s">
        <v>3387</v>
      </c>
      <c r="G922" t="s">
        <v>3388</v>
      </c>
      <c r="H922">
        <v>921</v>
      </c>
      <c r="I922" t="str">
        <f>IF(ISBLANK(Table1[[#This Row],[oid]]),"FALSE","TRUE")</f>
        <v>TRUE</v>
      </c>
      <c r="J922" t="str" cm="1">
        <f t="array" ref="J922">_xlfn.SWITCH(LEFT(Table1[[#This Row],[section]],1), "D", "Demographic", "S", "Social", "E", "Economic", "H", "Housing", "")</f>
        <v>Social</v>
      </c>
      <c r="K922" s="1" t="s">
        <v>3343</v>
      </c>
      <c r="L922" s="1" t="s">
        <v>3344</v>
      </c>
      <c r="M922" t="str">
        <f>IF(Table1[[#This Row],[used]], _xlfn.CONCAT("🆔 ", Table1[[#This Row],[variable]], ": ",Table1[[#This Row],[alias]]), "")</f>
        <v>🆔 B04006_012E: Arab: Palestinian</v>
      </c>
      <c r="O922" t="s">
        <v>3389</v>
      </c>
      <c r="P922" t="s">
        <v>3345</v>
      </c>
      <c r="Q922" t="s">
        <v>41</v>
      </c>
      <c r="R922" t="s">
        <v>3390</v>
      </c>
      <c r="S922" t="b">
        <v>1</v>
      </c>
      <c r="T922" t="b">
        <v>1</v>
      </c>
      <c r="U922" t="b">
        <v>1</v>
      </c>
      <c r="V922" t="b">
        <v>1</v>
      </c>
      <c r="W922" t="b">
        <v>1</v>
      </c>
      <c r="X922" t="b">
        <v>1</v>
      </c>
      <c r="Y922" t="b">
        <v>1</v>
      </c>
      <c r="Z922" t="b">
        <v>1</v>
      </c>
      <c r="AA922" t="b">
        <v>1</v>
      </c>
      <c r="AB922" t="b">
        <v>1</v>
      </c>
      <c r="AC922" t="b">
        <v>1</v>
      </c>
      <c r="AD922" t="b">
        <v>1</v>
      </c>
      <c r="AE922" t="b">
        <v>1</v>
      </c>
      <c r="AF922" t="b">
        <v>1</v>
      </c>
      <c r="AG922" t="b">
        <v>1</v>
      </c>
    </row>
    <row r="923" spans="1:33" x14ac:dyDescent="0.25">
      <c r="A923" t="s">
        <v>33</v>
      </c>
      <c r="B923">
        <v>15</v>
      </c>
      <c r="C923" t="b">
        <v>1</v>
      </c>
      <c r="D923" t="s">
        <v>3311</v>
      </c>
      <c r="E923" t="s">
        <v>3340</v>
      </c>
      <c r="F923" t="s">
        <v>3391</v>
      </c>
      <c r="G923" t="s">
        <v>3392</v>
      </c>
      <c r="H923">
        <v>922</v>
      </c>
      <c r="I923" t="str">
        <f>IF(ISBLANK(Table1[[#This Row],[oid]]),"FALSE","TRUE")</f>
        <v>TRUE</v>
      </c>
      <c r="J923" t="str" cm="1">
        <f t="array" ref="J923">_xlfn.SWITCH(LEFT(Table1[[#This Row],[section]],1), "D", "Demographic", "S", "Social", "E", "Economic", "H", "Housing", "")</f>
        <v>Social</v>
      </c>
      <c r="K923" s="1" t="s">
        <v>3343</v>
      </c>
      <c r="L923" s="1" t="s">
        <v>3344</v>
      </c>
      <c r="M923" t="str">
        <f>IF(Table1[[#This Row],[used]], _xlfn.CONCAT("🆔 ", Table1[[#This Row],[variable]], ": ",Table1[[#This Row],[alias]]), "")</f>
        <v>🆔 B04006_013E: Arab: Syrian</v>
      </c>
      <c r="O923" t="s">
        <v>3393</v>
      </c>
      <c r="P923" t="s">
        <v>3345</v>
      </c>
      <c r="Q923" t="s">
        <v>41</v>
      </c>
      <c r="R923" t="s">
        <v>3394</v>
      </c>
      <c r="S923" t="b">
        <v>1</v>
      </c>
      <c r="T923" t="b">
        <v>1</v>
      </c>
      <c r="U923" t="b">
        <v>1</v>
      </c>
      <c r="V923" t="b">
        <v>1</v>
      </c>
      <c r="W923" t="b">
        <v>1</v>
      </c>
      <c r="X923" t="b">
        <v>1</v>
      </c>
      <c r="Y923" t="b">
        <v>1</v>
      </c>
      <c r="Z923" t="b">
        <v>1</v>
      </c>
      <c r="AA923" t="b">
        <v>1</v>
      </c>
      <c r="AB923" t="b">
        <v>1</v>
      </c>
      <c r="AC923" t="b">
        <v>1</v>
      </c>
      <c r="AD923" t="b">
        <v>1</v>
      </c>
      <c r="AE923" t="b">
        <v>1</v>
      </c>
      <c r="AF923" t="b">
        <v>1</v>
      </c>
      <c r="AG923" t="b">
        <v>1</v>
      </c>
    </row>
    <row r="924" spans="1:33" x14ac:dyDescent="0.25">
      <c r="A924" t="s">
        <v>33</v>
      </c>
      <c r="B924">
        <v>15</v>
      </c>
      <c r="C924" t="b">
        <v>1</v>
      </c>
      <c r="D924" t="s">
        <v>3311</v>
      </c>
      <c r="E924" t="s">
        <v>3340</v>
      </c>
      <c r="F924" t="s">
        <v>3395</v>
      </c>
      <c r="G924" t="s">
        <v>3396</v>
      </c>
      <c r="H924">
        <v>923</v>
      </c>
      <c r="I924" t="str">
        <f>IF(ISBLANK(Table1[[#This Row],[oid]]),"FALSE","TRUE")</f>
        <v>TRUE</v>
      </c>
      <c r="J924" t="str" cm="1">
        <f t="array" ref="J924">_xlfn.SWITCH(LEFT(Table1[[#This Row],[section]],1), "D", "Demographic", "S", "Social", "E", "Economic", "H", "Housing", "")</f>
        <v>Social</v>
      </c>
      <c r="K924" s="1" t="s">
        <v>3343</v>
      </c>
      <c r="L924" s="1" t="s">
        <v>3344</v>
      </c>
      <c r="M924" t="str">
        <f>IF(Table1[[#This Row],[used]], _xlfn.CONCAT("🆔 ", Table1[[#This Row],[variable]], ": ",Table1[[#This Row],[alias]]), "")</f>
        <v>🆔 B04006_014E: Arab: Arab</v>
      </c>
      <c r="O924" t="s">
        <v>3397</v>
      </c>
      <c r="P924" t="s">
        <v>3345</v>
      </c>
      <c r="Q924" t="s">
        <v>41</v>
      </c>
      <c r="R924" t="s">
        <v>3398</v>
      </c>
      <c r="S924" t="b">
        <v>1</v>
      </c>
      <c r="T924" t="b">
        <v>1</v>
      </c>
      <c r="U924" t="b">
        <v>1</v>
      </c>
      <c r="V924" t="b">
        <v>1</v>
      </c>
      <c r="W924" t="b">
        <v>1</v>
      </c>
      <c r="X924" t="b">
        <v>1</v>
      </c>
      <c r="Y924" t="b">
        <v>1</v>
      </c>
      <c r="Z924" t="b">
        <v>1</v>
      </c>
      <c r="AA924" t="b">
        <v>1</v>
      </c>
      <c r="AB924" t="b">
        <v>1</v>
      </c>
      <c r="AC924" t="b">
        <v>1</v>
      </c>
      <c r="AD924" t="b">
        <v>1</v>
      </c>
      <c r="AE924" t="b">
        <v>1</v>
      </c>
      <c r="AF924" t="b">
        <v>1</v>
      </c>
      <c r="AG924" t="b">
        <v>1</v>
      </c>
    </row>
    <row r="925" spans="1:33" x14ac:dyDescent="0.25">
      <c r="A925" t="s">
        <v>33</v>
      </c>
      <c r="B925">
        <v>15</v>
      </c>
      <c r="C925" t="b">
        <v>1</v>
      </c>
      <c r="D925" t="s">
        <v>3311</v>
      </c>
      <c r="E925" t="s">
        <v>3340</v>
      </c>
      <c r="F925" t="s">
        <v>3399</v>
      </c>
      <c r="G925" t="s">
        <v>3400</v>
      </c>
      <c r="H925">
        <v>924</v>
      </c>
      <c r="I925" t="str">
        <f>IF(ISBLANK(Table1[[#This Row],[oid]]),"FALSE","TRUE")</f>
        <v>TRUE</v>
      </c>
      <c r="J925" t="str" cm="1">
        <f t="array" ref="J925">_xlfn.SWITCH(LEFT(Table1[[#This Row],[section]],1), "D", "Demographic", "S", "Social", "E", "Economic", "H", "Housing", "")</f>
        <v>Social</v>
      </c>
      <c r="K925" s="1" t="s">
        <v>3343</v>
      </c>
      <c r="L925" s="1" t="s">
        <v>3344</v>
      </c>
      <c r="M925" t="str">
        <f>IF(Table1[[#This Row],[used]], _xlfn.CONCAT("🆔 ", Table1[[#This Row],[variable]], ": ",Table1[[#This Row],[alias]]), "")</f>
        <v>🆔 B04006_015E: Arab: Other Arab</v>
      </c>
      <c r="O925" t="s">
        <v>3401</v>
      </c>
      <c r="P925" t="s">
        <v>3345</v>
      </c>
      <c r="Q925" t="s">
        <v>41</v>
      </c>
      <c r="R925" t="s">
        <v>3402</v>
      </c>
      <c r="S925" t="b">
        <v>1</v>
      </c>
      <c r="T925" t="b">
        <v>1</v>
      </c>
      <c r="U925" t="b">
        <v>1</v>
      </c>
      <c r="V925" t="b">
        <v>1</v>
      </c>
      <c r="W925" t="b">
        <v>1</v>
      </c>
      <c r="X925" t="b">
        <v>1</v>
      </c>
      <c r="Y925" t="b">
        <v>1</v>
      </c>
      <c r="Z925" t="b">
        <v>1</v>
      </c>
      <c r="AA925" t="b">
        <v>1</v>
      </c>
      <c r="AB925" t="b">
        <v>1</v>
      </c>
      <c r="AC925" t="b">
        <v>1</v>
      </c>
      <c r="AD925" t="b">
        <v>1</v>
      </c>
      <c r="AE925" t="b">
        <v>1</v>
      </c>
      <c r="AF925" t="b">
        <v>1</v>
      </c>
      <c r="AG925" t="b">
        <v>1</v>
      </c>
    </row>
    <row r="926" spans="1:33" x14ac:dyDescent="0.25">
      <c r="A926" t="s">
        <v>33</v>
      </c>
      <c r="B926">
        <v>15</v>
      </c>
      <c r="C926" t="b">
        <v>1</v>
      </c>
      <c r="D926" t="s">
        <v>3311</v>
      </c>
      <c r="E926" t="s">
        <v>3340</v>
      </c>
      <c r="F926" t="s">
        <v>3403</v>
      </c>
      <c r="G926" t="s">
        <v>3404</v>
      </c>
      <c r="H926">
        <v>925</v>
      </c>
      <c r="I926" t="str">
        <f>IF(ISBLANK(Table1[[#This Row],[oid]]),"FALSE","TRUE")</f>
        <v>TRUE</v>
      </c>
      <c r="J926" t="str" cm="1">
        <f t="array" ref="J926">_xlfn.SWITCH(LEFT(Table1[[#This Row],[section]],1), "D", "Demographic", "S", "Social", "E", "Economic", "H", "Housing", "")</f>
        <v>Social</v>
      </c>
      <c r="K926" s="1" t="s">
        <v>3343</v>
      </c>
      <c r="L926" s="1" t="s">
        <v>3344</v>
      </c>
      <c r="M926" t="str">
        <f>IF(Table1[[#This Row],[used]], _xlfn.CONCAT("🆔 ", Table1[[#This Row],[variable]], ": ",Table1[[#This Row],[alias]]), "")</f>
        <v>🆔 B04006_016E: Armenian</v>
      </c>
      <c r="O926" t="s">
        <v>3405</v>
      </c>
      <c r="P926" t="s">
        <v>3345</v>
      </c>
      <c r="Q926" t="s">
        <v>41</v>
      </c>
      <c r="R926" t="s">
        <v>3406</v>
      </c>
      <c r="S926" t="b">
        <v>1</v>
      </c>
      <c r="T926" t="b">
        <v>1</v>
      </c>
      <c r="U926" t="b">
        <v>1</v>
      </c>
      <c r="V926" t="b">
        <v>1</v>
      </c>
      <c r="W926" t="b">
        <v>1</v>
      </c>
      <c r="X926" t="b">
        <v>1</v>
      </c>
      <c r="Y926" t="b">
        <v>1</v>
      </c>
      <c r="Z926" t="b">
        <v>1</v>
      </c>
      <c r="AA926" t="b">
        <v>1</v>
      </c>
      <c r="AB926" t="b">
        <v>1</v>
      </c>
      <c r="AC926" t="b">
        <v>1</v>
      </c>
      <c r="AD926" t="b">
        <v>1</v>
      </c>
      <c r="AE926" t="b">
        <v>1</v>
      </c>
      <c r="AF926" t="b">
        <v>1</v>
      </c>
      <c r="AG926" t="b">
        <v>1</v>
      </c>
    </row>
    <row r="927" spans="1:33" x14ac:dyDescent="0.25">
      <c r="A927" t="s">
        <v>33</v>
      </c>
      <c r="B927">
        <v>15</v>
      </c>
      <c r="C927" t="b">
        <v>1</v>
      </c>
      <c r="D927" t="s">
        <v>3311</v>
      </c>
      <c r="E927" t="s">
        <v>3340</v>
      </c>
      <c r="F927" t="s">
        <v>3407</v>
      </c>
      <c r="G927" t="s">
        <v>3408</v>
      </c>
      <c r="H927">
        <v>926</v>
      </c>
      <c r="I927" t="str">
        <f>IF(ISBLANK(Table1[[#This Row],[oid]]),"FALSE","TRUE")</f>
        <v>TRUE</v>
      </c>
      <c r="J927" t="str" cm="1">
        <f t="array" ref="J927">_xlfn.SWITCH(LEFT(Table1[[#This Row],[section]],1), "D", "Demographic", "S", "Social", "E", "Economic", "H", "Housing", "")</f>
        <v>Social</v>
      </c>
      <c r="K927" s="1" t="s">
        <v>3343</v>
      </c>
      <c r="L927" s="1" t="s">
        <v>3344</v>
      </c>
      <c r="M927" t="str">
        <f>IF(Table1[[#This Row],[used]], _xlfn.CONCAT("🆔 ", Table1[[#This Row],[variable]], ": ",Table1[[#This Row],[alias]]), "")</f>
        <v>🆔 B04006_017E: AssyrianChaldeanSyriac</v>
      </c>
      <c r="O927" t="s">
        <v>3409</v>
      </c>
      <c r="P927" t="s">
        <v>3345</v>
      </c>
      <c r="Q927" t="s">
        <v>41</v>
      </c>
      <c r="R927" t="s">
        <v>3410</v>
      </c>
      <c r="S927" t="b">
        <v>1</v>
      </c>
      <c r="T927" t="b">
        <v>1</v>
      </c>
      <c r="U927" t="b">
        <v>1</v>
      </c>
      <c r="V927" t="b">
        <v>1</v>
      </c>
      <c r="W927" t="b">
        <v>1</v>
      </c>
      <c r="X927" t="b">
        <v>1</v>
      </c>
      <c r="Y927" t="b">
        <v>1</v>
      </c>
      <c r="Z927" t="b">
        <v>1</v>
      </c>
      <c r="AA927" t="b">
        <v>1</v>
      </c>
      <c r="AB927" t="b">
        <v>1</v>
      </c>
      <c r="AC927" t="b">
        <v>1</v>
      </c>
      <c r="AD927" t="b">
        <v>1</v>
      </c>
      <c r="AE927" t="b">
        <v>1</v>
      </c>
      <c r="AF927" t="b">
        <v>1</v>
      </c>
      <c r="AG927" t="b">
        <v>1</v>
      </c>
    </row>
    <row r="928" spans="1:33" x14ac:dyDescent="0.25">
      <c r="A928" t="s">
        <v>33</v>
      </c>
      <c r="B928">
        <v>15</v>
      </c>
      <c r="C928" t="b">
        <v>1</v>
      </c>
      <c r="D928" t="s">
        <v>3311</v>
      </c>
      <c r="E928" t="s">
        <v>3340</v>
      </c>
      <c r="F928" t="s">
        <v>3411</v>
      </c>
      <c r="G928" t="s">
        <v>3412</v>
      </c>
      <c r="H928">
        <v>927</v>
      </c>
      <c r="I928" t="str">
        <f>IF(ISBLANK(Table1[[#This Row],[oid]]),"FALSE","TRUE")</f>
        <v>TRUE</v>
      </c>
      <c r="J928" t="str" cm="1">
        <f t="array" ref="J928">_xlfn.SWITCH(LEFT(Table1[[#This Row],[section]],1), "D", "Demographic", "S", "Social", "E", "Economic", "H", "Housing", "")</f>
        <v>Social</v>
      </c>
      <c r="K928" s="1" t="s">
        <v>3343</v>
      </c>
      <c r="L928" s="1" t="s">
        <v>3344</v>
      </c>
      <c r="M928" t="str">
        <f>IF(Table1[[#This Row],[used]], _xlfn.CONCAT("🆔 ", Table1[[#This Row],[variable]], ": ",Table1[[#This Row],[alias]]), "")</f>
        <v>🆔 B04006_018E: Australian</v>
      </c>
      <c r="O928" t="s">
        <v>3413</v>
      </c>
      <c r="P928" t="s">
        <v>3345</v>
      </c>
      <c r="Q928" t="s">
        <v>41</v>
      </c>
      <c r="R928" t="s">
        <v>3414</v>
      </c>
      <c r="S928" t="b">
        <v>1</v>
      </c>
      <c r="T928" t="b">
        <v>1</v>
      </c>
      <c r="U928" t="b">
        <v>1</v>
      </c>
      <c r="V928" t="b">
        <v>1</v>
      </c>
      <c r="W928" t="b">
        <v>1</v>
      </c>
      <c r="X928" t="b">
        <v>1</v>
      </c>
      <c r="Y928" t="b">
        <v>1</v>
      </c>
      <c r="Z928" t="b">
        <v>1</v>
      </c>
      <c r="AA928" t="b">
        <v>1</v>
      </c>
      <c r="AB928" t="b">
        <v>1</v>
      </c>
      <c r="AC928" t="b">
        <v>1</v>
      </c>
      <c r="AD928" t="b">
        <v>1</v>
      </c>
      <c r="AE928" t="b">
        <v>1</v>
      </c>
      <c r="AF928" t="b">
        <v>1</v>
      </c>
      <c r="AG928" t="b">
        <v>1</v>
      </c>
    </row>
    <row r="929" spans="1:33" x14ac:dyDescent="0.25">
      <c r="A929" t="s">
        <v>33</v>
      </c>
      <c r="B929">
        <v>15</v>
      </c>
      <c r="C929" t="b">
        <v>1</v>
      </c>
      <c r="D929" t="s">
        <v>3311</v>
      </c>
      <c r="E929" t="s">
        <v>3340</v>
      </c>
      <c r="F929" t="s">
        <v>3415</v>
      </c>
      <c r="G929" t="s">
        <v>3416</v>
      </c>
      <c r="H929">
        <v>928</v>
      </c>
      <c r="I929" t="str">
        <f>IF(ISBLANK(Table1[[#This Row],[oid]]),"FALSE","TRUE")</f>
        <v>TRUE</v>
      </c>
      <c r="J929" t="str" cm="1">
        <f t="array" ref="J929">_xlfn.SWITCH(LEFT(Table1[[#This Row],[section]],1), "D", "Demographic", "S", "Social", "E", "Economic", "H", "Housing", "")</f>
        <v>Social</v>
      </c>
      <c r="K929" s="1" t="s">
        <v>3343</v>
      </c>
      <c r="L929" s="1" t="s">
        <v>3344</v>
      </c>
      <c r="M929" t="str">
        <f>IF(Table1[[#This Row],[used]], _xlfn.CONCAT("🆔 ", Table1[[#This Row],[variable]], ": ",Table1[[#This Row],[alias]]), "")</f>
        <v>🆔 B04006_019E: Austrian</v>
      </c>
      <c r="O929" t="s">
        <v>3417</v>
      </c>
      <c r="P929" t="s">
        <v>3345</v>
      </c>
      <c r="Q929" t="s">
        <v>41</v>
      </c>
      <c r="R929" t="s">
        <v>3418</v>
      </c>
      <c r="S929" t="b">
        <v>1</v>
      </c>
      <c r="T929" t="b">
        <v>1</v>
      </c>
      <c r="U929" t="b">
        <v>1</v>
      </c>
      <c r="V929" t="b">
        <v>1</v>
      </c>
      <c r="W929" t="b">
        <v>1</v>
      </c>
      <c r="X929" t="b">
        <v>1</v>
      </c>
      <c r="Y929" t="b">
        <v>1</v>
      </c>
      <c r="Z929" t="b">
        <v>1</v>
      </c>
      <c r="AA929" t="b">
        <v>1</v>
      </c>
      <c r="AB929" t="b">
        <v>1</v>
      </c>
      <c r="AC929" t="b">
        <v>1</v>
      </c>
      <c r="AD929" t="b">
        <v>1</v>
      </c>
      <c r="AE929" t="b">
        <v>1</v>
      </c>
      <c r="AF929" t="b">
        <v>1</v>
      </c>
      <c r="AG929" t="b">
        <v>1</v>
      </c>
    </row>
    <row r="930" spans="1:33" x14ac:dyDescent="0.25">
      <c r="A930" t="s">
        <v>33</v>
      </c>
      <c r="B930">
        <v>15</v>
      </c>
      <c r="C930" t="b">
        <v>1</v>
      </c>
      <c r="D930" t="s">
        <v>3311</v>
      </c>
      <c r="E930" t="s">
        <v>3340</v>
      </c>
      <c r="F930" t="s">
        <v>3419</v>
      </c>
      <c r="G930" t="s">
        <v>3420</v>
      </c>
      <c r="H930">
        <v>929</v>
      </c>
      <c r="I930" t="str">
        <f>IF(ISBLANK(Table1[[#This Row],[oid]]),"FALSE","TRUE")</f>
        <v>TRUE</v>
      </c>
      <c r="J930" t="str" cm="1">
        <f t="array" ref="J930">_xlfn.SWITCH(LEFT(Table1[[#This Row],[section]],1), "D", "Demographic", "S", "Social", "E", "Economic", "H", "Housing", "")</f>
        <v>Social</v>
      </c>
      <c r="K930" s="1" t="s">
        <v>3343</v>
      </c>
      <c r="L930" s="1" t="s">
        <v>3344</v>
      </c>
      <c r="M930" t="str">
        <f>IF(Table1[[#This Row],[used]], _xlfn.CONCAT("🆔 ", Table1[[#This Row],[variable]], ": ",Table1[[#This Row],[alias]]), "")</f>
        <v>🆔 B04006_020E: Basque</v>
      </c>
      <c r="O930" t="s">
        <v>3421</v>
      </c>
      <c r="P930" t="s">
        <v>3345</v>
      </c>
      <c r="Q930" t="s">
        <v>41</v>
      </c>
      <c r="R930" t="s">
        <v>3422</v>
      </c>
      <c r="S930" t="b">
        <v>1</v>
      </c>
      <c r="T930" t="b">
        <v>1</v>
      </c>
      <c r="U930" t="b">
        <v>1</v>
      </c>
      <c r="V930" t="b">
        <v>1</v>
      </c>
      <c r="W930" t="b">
        <v>1</v>
      </c>
      <c r="X930" t="b">
        <v>1</v>
      </c>
      <c r="Y930" t="b">
        <v>1</v>
      </c>
      <c r="Z930" t="b">
        <v>1</v>
      </c>
      <c r="AA930" t="b">
        <v>1</v>
      </c>
      <c r="AB930" t="b">
        <v>1</v>
      </c>
      <c r="AC930" t="b">
        <v>1</v>
      </c>
      <c r="AD930" t="b">
        <v>1</v>
      </c>
      <c r="AE930" t="b">
        <v>1</v>
      </c>
      <c r="AF930" t="b">
        <v>1</v>
      </c>
      <c r="AG930" t="b">
        <v>1</v>
      </c>
    </row>
    <row r="931" spans="1:33" x14ac:dyDescent="0.25">
      <c r="A931" t="s">
        <v>33</v>
      </c>
      <c r="B931">
        <v>15</v>
      </c>
      <c r="C931" t="b">
        <v>1</v>
      </c>
      <c r="D931" t="s">
        <v>3311</v>
      </c>
      <c r="E931" t="s">
        <v>3340</v>
      </c>
      <c r="F931" t="s">
        <v>3423</v>
      </c>
      <c r="G931" t="s">
        <v>3424</v>
      </c>
      <c r="H931">
        <v>930</v>
      </c>
      <c r="I931" t="str">
        <f>IF(ISBLANK(Table1[[#This Row],[oid]]),"FALSE","TRUE")</f>
        <v>TRUE</v>
      </c>
      <c r="J931" t="str" cm="1">
        <f t="array" ref="J931">_xlfn.SWITCH(LEFT(Table1[[#This Row],[section]],1), "D", "Demographic", "S", "Social", "E", "Economic", "H", "Housing", "")</f>
        <v>Social</v>
      </c>
      <c r="K931" s="1" t="s">
        <v>3343</v>
      </c>
      <c r="L931" s="1" t="s">
        <v>3344</v>
      </c>
      <c r="M931" t="str">
        <f>IF(Table1[[#This Row],[used]], _xlfn.CONCAT("🆔 ", Table1[[#This Row],[variable]], ": ",Table1[[#This Row],[alias]]), "")</f>
        <v>🆔 B04006_021E: Belgian</v>
      </c>
      <c r="O931" t="s">
        <v>3425</v>
      </c>
      <c r="P931" t="s">
        <v>3345</v>
      </c>
      <c r="Q931" t="s">
        <v>41</v>
      </c>
      <c r="R931" t="s">
        <v>3426</v>
      </c>
      <c r="S931" t="b">
        <v>1</v>
      </c>
      <c r="T931" t="b">
        <v>1</v>
      </c>
      <c r="U931" t="b">
        <v>1</v>
      </c>
      <c r="V931" t="b">
        <v>1</v>
      </c>
      <c r="W931" t="b">
        <v>1</v>
      </c>
      <c r="X931" t="b">
        <v>1</v>
      </c>
      <c r="Y931" t="b">
        <v>1</v>
      </c>
      <c r="Z931" t="b">
        <v>1</v>
      </c>
      <c r="AA931" t="b">
        <v>1</v>
      </c>
      <c r="AB931" t="b">
        <v>1</v>
      </c>
      <c r="AC931" t="b">
        <v>1</v>
      </c>
      <c r="AD931" t="b">
        <v>1</v>
      </c>
      <c r="AE931" t="b">
        <v>1</v>
      </c>
      <c r="AF931" t="b">
        <v>1</v>
      </c>
      <c r="AG931" t="b">
        <v>1</v>
      </c>
    </row>
    <row r="932" spans="1:33" x14ac:dyDescent="0.25">
      <c r="A932" t="s">
        <v>33</v>
      </c>
      <c r="B932">
        <v>15</v>
      </c>
      <c r="C932" t="b">
        <v>1</v>
      </c>
      <c r="D932" t="s">
        <v>3311</v>
      </c>
      <c r="E932" t="s">
        <v>3340</v>
      </c>
      <c r="F932" t="s">
        <v>3427</v>
      </c>
      <c r="G932" t="s">
        <v>3428</v>
      </c>
      <c r="H932">
        <v>931</v>
      </c>
      <c r="I932" t="str">
        <f>IF(ISBLANK(Table1[[#This Row],[oid]]),"FALSE","TRUE")</f>
        <v>TRUE</v>
      </c>
      <c r="J932" t="str" cm="1">
        <f t="array" ref="J932">_xlfn.SWITCH(LEFT(Table1[[#This Row],[section]],1), "D", "Demographic", "S", "Social", "E", "Economic", "H", "Housing", "")</f>
        <v>Social</v>
      </c>
      <c r="K932" s="1" t="s">
        <v>3343</v>
      </c>
      <c r="L932" s="1" t="s">
        <v>3344</v>
      </c>
      <c r="M932" t="str">
        <f>IF(Table1[[#This Row],[used]], _xlfn.CONCAT("🆔 ", Table1[[#This Row],[variable]], ": ",Table1[[#This Row],[alias]]), "")</f>
        <v>🆔 B04006_022E: Brazilian</v>
      </c>
      <c r="O932" t="s">
        <v>3429</v>
      </c>
      <c r="P932" t="s">
        <v>3345</v>
      </c>
      <c r="Q932" t="s">
        <v>41</v>
      </c>
      <c r="R932" t="s">
        <v>3430</v>
      </c>
      <c r="S932" t="b">
        <v>1</v>
      </c>
      <c r="T932" t="b">
        <v>1</v>
      </c>
      <c r="U932" t="b">
        <v>1</v>
      </c>
      <c r="V932" t="b">
        <v>1</v>
      </c>
      <c r="W932" t="b">
        <v>1</v>
      </c>
      <c r="X932" t="b">
        <v>1</v>
      </c>
      <c r="Y932" t="b">
        <v>1</v>
      </c>
      <c r="Z932" t="b">
        <v>1</v>
      </c>
      <c r="AA932" t="b">
        <v>1</v>
      </c>
      <c r="AB932" t="b">
        <v>1</v>
      </c>
      <c r="AC932" t="b">
        <v>1</v>
      </c>
      <c r="AD932" t="b">
        <v>1</v>
      </c>
      <c r="AE932" t="b">
        <v>1</v>
      </c>
      <c r="AF932" t="b">
        <v>1</v>
      </c>
      <c r="AG932" t="b">
        <v>1</v>
      </c>
    </row>
    <row r="933" spans="1:33" x14ac:dyDescent="0.25">
      <c r="A933" t="s">
        <v>33</v>
      </c>
      <c r="B933">
        <v>15</v>
      </c>
      <c r="C933" t="b">
        <v>1</v>
      </c>
      <c r="D933" t="s">
        <v>3311</v>
      </c>
      <c r="E933" t="s">
        <v>3340</v>
      </c>
      <c r="F933" t="s">
        <v>3431</v>
      </c>
      <c r="G933" t="s">
        <v>3432</v>
      </c>
      <c r="H933">
        <v>932</v>
      </c>
      <c r="I933" t="str">
        <f>IF(ISBLANK(Table1[[#This Row],[oid]]),"FALSE","TRUE")</f>
        <v>TRUE</v>
      </c>
      <c r="J933" t="str" cm="1">
        <f t="array" ref="J933">_xlfn.SWITCH(LEFT(Table1[[#This Row],[section]],1), "D", "Demographic", "S", "Social", "E", "Economic", "H", "Housing", "")</f>
        <v>Social</v>
      </c>
      <c r="K933" s="1" t="s">
        <v>3343</v>
      </c>
      <c r="L933" s="1" t="s">
        <v>3344</v>
      </c>
      <c r="M933" t="str">
        <f>IF(Table1[[#This Row],[used]], _xlfn.CONCAT("🆔 ", Table1[[#This Row],[variable]], ": ",Table1[[#This Row],[alias]]), "")</f>
        <v>🆔 B04006_023E: British</v>
      </c>
      <c r="O933" t="s">
        <v>3433</v>
      </c>
      <c r="P933" t="s">
        <v>3345</v>
      </c>
      <c r="Q933" t="s">
        <v>41</v>
      </c>
      <c r="R933" t="s">
        <v>3434</v>
      </c>
      <c r="S933" t="b">
        <v>1</v>
      </c>
      <c r="T933" t="b">
        <v>1</v>
      </c>
      <c r="U933" t="b">
        <v>1</v>
      </c>
      <c r="V933" t="b">
        <v>1</v>
      </c>
      <c r="W933" t="b">
        <v>1</v>
      </c>
      <c r="X933" t="b">
        <v>1</v>
      </c>
      <c r="Y933" t="b">
        <v>1</v>
      </c>
      <c r="Z933" t="b">
        <v>1</v>
      </c>
      <c r="AA933" t="b">
        <v>1</v>
      </c>
      <c r="AB933" t="b">
        <v>1</v>
      </c>
      <c r="AC933" t="b">
        <v>1</v>
      </c>
      <c r="AD933" t="b">
        <v>1</v>
      </c>
      <c r="AE933" t="b">
        <v>1</v>
      </c>
      <c r="AF933" t="b">
        <v>1</v>
      </c>
      <c r="AG933" t="b">
        <v>1</v>
      </c>
    </row>
    <row r="934" spans="1:33" x14ac:dyDescent="0.25">
      <c r="A934" t="s">
        <v>33</v>
      </c>
      <c r="B934">
        <v>15</v>
      </c>
      <c r="C934" t="b">
        <v>1</v>
      </c>
      <c r="D934" t="s">
        <v>3311</v>
      </c>
      <c r="E934" t="s">
        <v>3340</v>
      </c>
      <c r="F934" t="s">
        <v>3435</v>
      </c>
      <c r="G934" t="s">
        <v>3436</v>
      </c>
      <c r="H934">
        <v>933</v>
      </c>
      <c r="I934" t="str">
        <f>IF(ISBLANK(Table1[[#This Row],[oid]]),"FALSE","TRUE")</f>
        <v>TRUE</v>
      </c>
      <c r="J934" t="str" cm="1">
        <f t="array" ref="J934">_xlfn.SWITCH(LEFT(Table1[[#This Row],[section]],1), "D", "Demographic", "S", "Social", "E", "Economic", "H", "Housing", "")</f>
        <v>Social</v>
      </c>
      <c r="K934" s="1" t="s">
        <v>3343</v>
      </c>
      <c r="L934" s="1" t="s">
        <v>3344</v>
      </c>
      <c r="M934" t="str">
        <f>IF(Table1[[#This Row],[used]], _xlfn.CONCAT("🆔 ", Table1[[#This Row],[variable]], ": ",Table1[[#This Row],[alias]]), "")</f>
        <v>🆔 B04006_024E: Bulgarian</v>
      </c>
      <c r="O934" t="s">
        <v>3437</v>
      </c>
      <c r="P934" t="s">
        <v>3345</v>
      </c>
      <c r="Q934" t="s">
        <v>41</v>
      </c>
      <c r="R934" t="s">
        <v>3438</v>
      </c>
      <c r="S934" t="b">
        <v>1</v>
      </c>
      <c r="T934" t="b">
        <v>1</v>
      </c>
      <c r="U934" t="b">
        <v>1</v>
      </c>
      <c r="V934" t="b">
        <v>1</v>
      </c>
      <c r="W934" t="b">
        <v>1</v>
      </c>
      <c r="X934" t="b">
        <v>1</v>
      </c>
      <c r="Y934" t="b">
        <v>1</v>
      </c>
      <c r="Z934" t="b">
        <v>1</v>
      </c>
      <c r="AA934" t="b">
        <v>1</v>
      </c>
      <c r="AB934" t="b">
        <v>1</v>
      </c>
      <c r="AC934" t="b">
        <v>1</v>
      </c>
      <c r="AD934" t="b">
        <v>1</v>
      </c>
      <c r="AE934" t="b">
        <v>1</v>
      </c>
      <c r="AF934" t="b">
        <v>1</v>
      </c>
      <c r="AG934" t="b">
        <v>1</v>
      </c>
    </row>
    <row r="935" spans="1:33" x14ac:dyDescent="0.25">
      <c r="A935" t="s">
        <v>33</v>
      </c>
      <c r="B935">
        <v>15</v>
      </c>
      <c r="C935" t="b">
        <v>1</v>
      </c>
      <c r="D935" t="s">
        <v>3311</v>
      </c>
      <c r="E935" t="s">
        <v>3340</v>
      </c>
      <c r="F935" t="s">
        <v>3439</v>
      </c>
      <c r="G935" t="s">
        <v>3440</v>
      </c>
      <c r="H935">
        <v>934</v>
      </c>
      <c r="I935" t="str">
        <f>IF(ISBLANK(Table1[[#This Row],[oid]]),"FALSE","TRUE")</f>
        <v>TRUE</v>
      </c>
      <c r="J935" t="str" cm="1">
        <f t="array" ref="J935">_xlfn.SWITCH(LEFT(Table1[[#This Row],[section]],1), "D", "Demographic", "S", "Social", "E", "Economic", "H", "Housing", "")</f>
        <v>Social</v>
      </c>
      <c r="K935" s="1" t="s">
        <v>3343</v>
      </c>
      <c r="L935" s="1" t="s">
        <v>3344</v>
      </c>
      <c r="M935" t="str">
        <f>IF(Table1[[#This Row],[used]], _xlfn.CONCAT("🆔 ", Table1[[#This Row],[variable]], ": ",Table1[[#This Row],[alias]]), "")</f>
        <v>🆔 B04006_025E: Cajun</v>
      </c>
      <c r="O935" t="s">
        <v>3441</v>
      </c>
      <c r="P935" t="s">
        <v>3345</v>
      </c>
      <c r="Q935" t="s">
        <v>41</v>
      </c>
      <c r="R935" t="s">
        <v>3442</v>
      </c>
      <c r="S935" t="b">
        <v>1</v>
      </c>
      <c r="T935" t="b">
        <v>1</v>
      </c>
      <c r="U935" t="b">
        <v>1</v>
      </c>
      <c r="V935" t="b">
        <v>1</v>
      </c>
      <c r="W935" t="b">
        <v>1</v>
      </c>
      <c r="X935" t="b">
        <v>1</v>
      </c>
      <c r="Y935" t="b">
        <v>1</v>
      </c>
      <c r="Z935" t="b">
        <v>1</v>
      </c>
      <c r="AA935" t="b">
        <v>1</v>
      </c>
      <c r="AB935" t="b">
        <v>1</v>
      </c>
      <c r="AC935" t="b">
        <v>1</v>
      </c>
      <c r="AD935" t="b">
        <v>1</v>
      </c>
      <c r="AE935" t="b">
        <v>1</v>
      </c>
      <c r="AF935" t="b">
        <v>1</v>
      </c>
      <c r="AG935" t="b">
        <v>1</v>
      </c>
    </row>
    <row r="936" spans="1:33" x14ac:dyDescent="0.25">
      <c r="A936" t="s">
        <v>33</v>
      </c>
      <c r="B936">
        <v>15</v>
      </c>
      <c r="C936" t="b">
        <v>1</v>
      </c>
      <c r="D936" t="s">
        <v>3311</v>
      </c>
      <c r="E936" t="s">
        <v>3340</v>
      </c>
      <c r="F936" t="s">
        <v>3443</v>
      </c>
      <c r="G936" t="s">
        <v>3444</v>
      </c>
      <c r="H936">
        <v>935</v>
      </c>
      <c r="I936" t="str">
        <f>IF(ISBLANK(Table1[[#This Row],[oid]]),"FALSE","TRUE")</f>
        <v>TRUE</v>
      </c>
      <c r="J936" t="str" cm="1">
        <f t="array" ref="J936">_xlfn.SWITCH(LEFT(Table1[[#This Row],[section]],1), "D", "Demographic", "S", "Social", "E", "Economic", "H", "Housing", "")</f>
        <v>Social</v>
      </c>
      <c r="K936" s="1" t="s">
        <v>3343</v>
      </c>
      <c r="L936" s="1" t="s">
        <v>3344</v>
      </c>
      <c r="M936" t="str">
        <f>IF(Table1[[#This Row],[used]], _xlfn.CONCAT("🆔 ", Table1[[#This Row],[variable]], ": ",Table1[[#This Row],[alias]]), "")</f>
        <v>🆔 B04006_026E: Canadian</v>
      </c>
      <c r="O936" t="s">
        <v>3445</v>
      </c>
      <c r="P936" t="s">
        <v>3345</v>
      </c>
      <c r="Q936" t="s">
        <v>41</v>
      </c>
      <c r="R936" t="s">
        <v>3446</v>
      </c>
      <c r="S936" t="b">
        <v>1</v>
      </c>
      <c r="T936" t="b">
        <v>1</v>
      </c>
      <c r="U936" t="b">
        <v>1</v>
      </c>
      <c r="V936" t="b">
        <v>1</v>
      </c>
      <c r="W936" t="b">
        <v>1</v>
      </c>
      <c r="X936" t="b">
        <v>1</v>
      </c>
      <c r="Y936" t="b">
        <v>1</v>
      </c>
      <c r="Z936" t="b">
        <v>1</v>
      </c>
      <c r="AA936" t="b">
        <v>1</v>
      </c>
      <c r="AB936" t="b">
        <v>1</v>
      </c>
      <c r="AC936" t="b">
        <v>1</v>
      </c>
      <c r="AD936" t="b">
        <v>1</v>
      </c>
      <c r="AE936" t="b">
        <v>1</v>
      </c>
      <c r="AF936" t="b">
        <v>1</v>
      </c>
      <c r="AG936" t="b">
        <v>1</v>
      </c>
    </row>
    <row r="937" spans="1:33" x14ac:dyDescent="0.25">
      <c r="A937" t="s">
        <v>33</v>
      </c>
      <c r="B937">
        <v>15</v>
      </c>
      <c r="C937" t="b">
        <v>1</v>
      </c>
      <c r="D937" t="s">
        <v>3311</v>
      </c>
      <c r="E937" t="s">
        <v>3340</v>
      </c>
      <c r="F937" t="s">
        <v>3447</v>
      </c>
      <c r="G937" t="s">
        <v>3448</v>
      </c>
      <c r="H937">
        <v>936</v>
      </c>
      <c r="I937" t="str">
        <f>IF(ISBLANK(Table1[[#This Row],[oid]]),"FALSE","TRUE")</f>
        <v>TRUE</v>
      </c>
      <c r="J937" t="str" cm="1">
        <f t="array" ref="J937">_xlfn.SWITCH(LEFT(Table1[[#This Row],[section]],1), "D", "Demographic", "S", "Social", "E", "Economic", "H", "Housing", "")</f>
        <v>Social</v>
      </c>
      <c r="K937" s="1" t="s">
        <v>3343</v>
      </c>
      <c r="L937" s="1" t="s">
        <v>3344</v>
      </c>
      <c r="M937" t="str">
        <f>IF(Table1[[#This Row],[used]], _xlfn.CONCAT("🆔 ", Table1[[#This Row],[variable]], ": ",Table1[[#This Row],[alias]]), "")</f>
        <v>🆔 B04006_027E: Carpatho Rusyn</v>
      </c>
      <c r="O937" t="s">
        <v>3449</v>
      </c>
      <c r="P937" t="s">
        <v>3345</v>
      </c>
      <c r="Q937" t="s">
        <v>41</v>
      </c>
      <c r="R937" t="s">
        <v>3450</v>
      </c>
      <c r="S937" t="b">
        <v>1</v>
      </c>
      <c r="T937" t="b">
        <v>1</v>
      </c>
      <c r="U937" t="b">
        <v>1</v>
      </c>
      <c r="V937" t="b">
        <v>1</v>
      </c>
      <c r="W937" t="b">
        <v>1</v>
      </c>
      <c r="X937" t="b">
        <v>1</v>
      </c>
      <c r="Y937" t="b">
        <v>1</v>
      </c>
      <c r="Z937" t="b">
        <v>1</v>
      </c>
      <c r="AA937" t="b">
        <v>1</v>
      </c>
      <c r="AB937" t="b">
        <v>1</v>
      </c>
      <c r="AC937" t="b">
        <v>1</v>
      </c>
      <c r="AD937" t="b">
        <v>1</v>
      </c>
      <c r="AE937" t="b">
        <v>1</v>
      </c>
      <c r="AF937" t="b">
        <v>1</v>
      </c>
      <c r="AG937" t="b">
        <v>1</v>
      </c>
    </row>
    <row r="938" spans="1:33" x14ac:dyDescent="0.25">
      <c r="A938" t="s">
        <v>33</v>
      </c>
      <c r="B938">
        <v>15</v>
      </c>
      <c r="C938" t="b">
        <v>1</v>
      </c>
      <c r="D938" t="s">
        <v>3311</v>
      </c>
      <c r="E938" t="s">
        <v>3340</v>
      </c>
      <c r="F938" t="s">
        <v>3451</v>
      </c>
      <c r="G938" t="s">
        <v>3452</v>
      </c>
      <c r="H938">
        <v>937</v>
      </c>
      <c r="I938" t="str">
        <f>IF(ISBLANK(Table1[[#This Row],[oid]]),"FALSE","TRUE")</f>
        <v>TRUE</v>
      </c>
      <c r="J938" t="str" cm="1">
        <f t="array" ref="J938">_xlfn.SWITCH(LEFT(Table1[[#This Row],[section]],1), "D", "Demographic", "S", "Social", "E", "Economic", "H", "Housing", "")</f>
        <v>Social</v>
      </c>
      <c r="K938" s="1" t="s">
        <v>3343</v>
      </c>
      <c r="L938" s="1" t="s">
        <v>3344</v>
      </c>
      <c r="M938" t="str">
        <f>IF(Table1[[#This Row],[used]], _xlfn.CONCAT("🆔 ", Table1[[#This Row],[variable]], ": ",Table1[[#This Row],[alias]]), "")</f>
        <v>🆔 B04006_028E: Celtic</v>
      </c>
      <c r="O938" t="s">
        <v>3453</v>
      </c>
      <c r="P938" t="s">
        <v>3345</v>
      </c>
      <c r="Q938" t="s">
        <v>41</v>
      </c>
      <c r="R938" t="s">
        <v>3454</v>
      </c>
      <c r="S938" t="b">
        <v>1</v>
      </c>
      <c r="T938" t="b">
        <v>1</v>
      </c>
      <c r="U938" t="b">
        <v>1</v>
      </c>
      <c r="V938" t="b">
        <v>1</v>
      </c>
      <c r="W938" t="b">
        <v>1</v>
      </c>
      <c r="X938" t="b">
        <v>1</v>
      </c>
      <c r="Y938" t="b">
        <v>1</v>
      </c>
      <c r="Z938" t="b">
        <v>1</v>
      </c>
      <c r="AA938" t="b">
        <v>1</v>
      </c>
      <c r="AB938" t="b">
        <v>1</v>
      </c>
      <c r="AC938" t="b">
        <v>1</v>
      </c>
      <c r="AD938" t="b">
        <v>1</v>
      </c>
      <c r="AE938" t="b">
        <v>1</v>
      </c>
      <c r="AF938" t="b">
        <v>1</v>
      </c>
      <c r="AG938" t="b">
        <v>1</v>
      </c>
    </row>
    <row r="939" spans="1:33" x14ac:dyDescent="0.25">
      <c r="A939" t="s">
        <v>33</v>
      </c>
      <c r="B939">
        <v>15</v>
      </c>
      <c r="C939" t="b">
        <v>1</v>
      </c>
      <c r="D939" t="s">
        <v>3311</v>
      </c>
      <c r="E939" t="s">
        <v>3340</v>
      </c>
      <c r="F939" t="s">
        <v>3455</v>
      </c>
      <c r="G939" t="s">
        <v>3456</v>
      </c>
      <c r="H939">
        <v>938</v>
      </c>
      <c r="I939" t="str">
        <f>IF(ISBLANK(Table1[[#This Row],[oid]]),"FALSE","TRUE")</f>
        <v>TRUE</v>
      </c>
      <c r="J939" t="str" cm="1">
        <f t="array" ref="J939">_xlfn.SWITCH(LEFT(Table1[[#This Row],[section]],1), "D", "Demographic", "S", "Social", "E", "Economic", "H", "Housing", "")</f>
        <v>Social</v>
      </c>
      <c r="K939" s="1" t="s">
        <v>3343</v>
      </c>
      <c r="L939" s="1" t="s">
        <v>3344</v>
      </c>
      <c r="M939" t="str">
        <f>IF(Table1[[#This Row],[used]], _xlfn.CONCAT("🆔 ", Table1[[#This Row],[variable]], ": ",Table1[[#This Row],[alias]]), "")</f>
        <v>🆔 B04006_029E: Croatian</v>
      </c>
      <c r="O939" t="s">
        <v>3457</v>
      </c>
      <c r="P939" t="s">
        <v>3345</v>
      </c>
      <c r="Q939" t="s">
        <v>41</v>
      </c>
      <c r="R939" t="s">
        <v>3458</v>
      </c>
      <c r="S939" t="b">
        <v>1</v>
      </c>
      <c r="T939" t="b">
        <v>1</v>
      </c>
      <c r="U939" t="b">
        <v>1</v>
      </c>
      <c r="V939" t="b">
        <v>1</v>
      </c>
      <c r="W939" t="b">
        <v>1</v>
      </c>
      <c r="X939" t="b">
        <v>1</v>
      </c>
      <c r="Y939" t="b">
        <v>1</v>
      </c>
      <c r="Z939" t="b">
        <v>1</v>
      </c>
      <c r="AA939" t="b">
        <v>1</v>
      </c>
      <c r="AB939" t="b">
        <v>1</v>
      </c>
      <c r="AC939" t="b">
        <v>1</v>
      </c>
      <c r="AD939" t="b">
        <v>1</v>
      </c>
      <c r="AE939" t="b">
        <v>1</v>
      </c>
      <c r="AF939" t="b">
        <v>1</v>
      </c>
      <c r="AG939" t="b">
        <v>1</v>
      </c>
    </row>
    <row r="940" spans="1:33" x14ac:dyDescent="0.25">
      <c r="A940" t="s">
        <v>33</v>
      </c>
      <c r="B940">
        <v>15</v>
      </c>
      <c r="C940" t="b">
        <v>1</v>
      </c>
      <c r="D940" t="s">
        <v>3311</v>
      </c>
      <c r="E940" t="s">
        <v>3340</v>
      </c>
      <c r="F940" t="s">
        <v>3459</v>
      </c>
      <c r="G940" t="s">
        <v>3460</v>
      </c>
      <c r="H940">
        <v>939</v>
      </c>
      <c r="I940" t="str">
        <f>IF(ISBLANK(Table1[[#This Row],[oid]]),"FALSE","TRUE")</f>
        <v>TRUE</v>
      </c>
      <c r="J940" t="str" cm="1">
        <f t="array" ref="J940">_xlfn.SWITCH(LEFT(Table1[[#This Row],[section]],1), "D", "Demographic", "S", "Social", "E", "Economic", "H", "Housing", "")</f>
        <v>Social</v>
      </c>
      <c r="K940" s="1" t="s">
        <v>3343</v>
      </c>
      <c r="L940" s="1" t="s">
        <v>3344</v>
      </c>
      <c r="M940" t="str">
        <f>IF(Table1[[#This Row],[used]], _xlfn.CONCAT("🆔 ", Table1[[#This Row],[variable]], ": ",Table1[[#This Row],[alias]]), "")</f>
        <v>🆔 B04006_030E: Cypriot</v>
      </c>
      <c r="O940" t="s">
        <v>3461</v>
      </c>
      <c r="P940" t="s">
        <v>3345</v>
      </c>
      <c r="Q940" t="s">
        <v>41</v>
      </c>
      <c r="R940" t="s">
        <v>3462</v>
      </c>
      <c r="S940" t="b">
        <v>1</v>
      </c>
      <c r="T940" t="b">
        <v>1</v>
      </c>
      <c r="U940" t="b">
        <v>1</v>
      </c>
      <c r="V940" t="b">
        <v>1</v>
      </c>
      <c r="W940" t="b">
        <v>1</v>
      </c>
      <c r="X940" t="b">
        <v>1</v>
      </c>
      <c r="Y940" t="b">
        <v>1</v>
      </c>
      <c r="Z940" t="b">
        <v>1</v>
      </c>
      <c r="AA940" t="b">
        <v>1</v>
      </c>
      <c r="AB940" t="b">
        <v>1</v>
      </c>
      <c r="AC940" t="b">
        <v>1</v>
      </c>
      <c r="AD940" t="b">
        <v>1</v>
      </c>
      <c r="AE940" t="b">
        <v>1</v>
      </c>
      <c r="AF940" t="b">
        <v>1</v>
      </c>
      <c r="AG940" t="b">
        <v>1</v>
      </c>
    </row>
    <row r="941" spans="1:33" x14ac:dyDescent="0.25">
      <c r="A941" t="s">
        <v>33</v>
      </c>
      <c r="B941">
        <v>15</v>
      </c>
      <c r="C941" t="b">
        <v>1</v>
      </c>
      <c r="D941" t="s">
        <v>3311</v>
      </c>
      <c r="E941" t="s">
        <v>3340</v>
      </c>
      <c r="F941" t="s">
        <v>3463</v>
      </c>
      <c r="G941" t="s">
        <v>3464</v>
      </c>
      <c r="H941">
        <v>940</v>
      </c>
      <c r="I941" t="str">
        <f>IF(ISBLANK(Table1[[#This Row],[oid]]),"FALSE","TRUE")</f>
        <v>TRUE</v>
      </c>
      <c r="J941" t="str" cm="1">
        <f t="array" ref="J941">_xlfn.SWITCH(LEFT(Table1[[#This Row],[section]],1), "D", "Demographic", "S", "Social", "E", "Economic", "H", "Housing", "")</f>
        <v>Social</v>
      </c>
      <c r="K941" s="1" t="s">
        <v>3343</v>
      </c>
      <c r="L941" s="1" t="s">
        <v>3344</v>
      </c>
      <c r="M941" t="str">
        <f>IF(Table1[[#This Row],[used]], _xlfn.CONCAT("🆔 ", Table1[[#This Row],[variable]], ": ",Table1[[#This Row],[alias]]), "")</f>
        <v>🆔 B04006_031E: Czech</v>
      </c>
      <c r="O941" t="s">
        <v>3465</v>
      </c>
      <c r="P941" t="s">
        <v>3345</v>
      </c>
      <c r="Q941" t="s">
        <v>41</v>
      </c>
      <c r="R941" t="s">
        <v>3466</v>
      </c>
      <c r="S941" t="b">
        <v>1</v>
      </c>
      <c r="T941" t="b">
        <v>1</v>
      </c>
      <c r="U941" t="b">
        <v>1</v>
      </c>
      <c r="V941" t="b">
        <v>1</v>
      </c>
      <c r="W941" t="b">
        <v>1</v>
      </c>
      <c r="X941" t="b">
        <v>1</v>
      </c>
      <c r="Y941" t="b">
        <v>1</v>
      </c>
      <c r="Z941" t="b">
        <v>1</v>
      </c>
      <c r="AA941" t="b">
        <v>1</v>
      </c>
      <c r="AB941" t="b">
        <v>1</v>
      </c>
      <c r="AC941" t="b">
        <v>1</v>
      </c>
      <c r="AD941" t="b">
        <v>1</v>
      </c>
      <c r="AE941" t="b">
        <v>1</v>
      </c>
      <c r="AF941" t="b">
        <v>1</v>
      </c>
      <c r="AG941" t="b">
        <v>1</v>
      </c>
    </row>
    <row r="942" spans="1:33" x14ac:dyDescent="0.25">
      <c r="A942" t="s">
        <v>33</v>
      </c>
      <c r="B942">
        <v>15</v>
      </c>
      <c r="C942" t="b">
        <v>1</v>
      </c>
      <c r="D942" t="s">
        <v>3311</v>
      </c>
      <c r="E942" t="s">
        <v>3340</v>
      </c>
      <c r="F942" t="s">
        <v>3467</v>
      </c>
      <c r="G942" t="s">
        <v>3468</v>
      </c>
      <c r="H942">
        <v>941</v>
      </c>
      <c r="I942" t="str">
        <f>IF(ISBLANK(Table1[[#This Row],[oid]]),"FALSE","TRUE")</f>
        <v>TRUE</v>
      </c>
      <c r="J942" t="str" cm="1">
        <f t="array" ref="J942">_xlfn.SWITCH(LEFT(Table1[[#This Row],[section]],1), "D", "Demographic", "S", "Social", "E", "Economic", "H", "Housing", "")</f>
        <v>Social</v>
      </c>
      <c r="K942" s="1" t="s">
        <v>3343</v>
      </c>
      <c r="L942" s="1" t="s">
        <v>3344</v>
      </c>
      <c r="M942" t="str">
        <f>IF(Table1[[#This Row],[used]], _xlfn.CONCAT("🆔 ", Table1[[#This Row],[variable]], ": ",Table1[[#This Row],[alias]]), "")</f>
        <v>🆔 B04006_032E: Czechoslovakian</v>
      </c>
      <c r="O942" t="s">
        <v>3469</v>
      </c>
      <c r="P942" t="s">
        <v>3345</v>
      </c>
      <c r="Q942" t="s">
        <v>41</v>
      </c>
      <c r="R942" t="s">
        <v>3470</v>
      </c>
      <c r="S942" t="b">
        <v>1</v>
      </c>
      <c r="T942" t="b">
        <v>1</v>
      </c>
      <c r="U942" t="b">
        <v>1</v>
      </c>
      <c r="V942" t="b">
        <v>1</v>
      </c>
      <c r="W942" t="b">
        <v>1</v>
      </c>
      <c r="X942" t="b">
        <v>1</v>
      </c>
      <c r="Y942" t="b">
        <v>1</v>
      </c>
      <c r="Z942" t="b">
        <v>1</v>
      </c>
      <c r="AA942" t="b">
        <v>1</v>
      </c>
      <c r="AB942" t="b">
        <v>1</v>
      </c>
      <c r="AC942" t="b">
        <v>1</v>
      </c>
      <c r="AD942" t="b">
        <v>1</v>
      </c>
      <c r="AE942" t="b">
        <v>1</v>
      </c>
      <c r="AF942" t="b">
        <v>1</v>
      </c>
      <c r="AG942" t="b">
        <v>1</v>
      </c>
    </row>
    <row r="943" spans="1:33" x14ac:dyDescent="0.25">
      <c r="A943" t="s">
        <v>33</v>
      </c>
      <c r="B943">
        <v>15</v>
      </c>
      <c r="C943" t="b">
        <v>1</v>
      </c>
      <c r="D943" t="s">
        <v>3311</v>
      </c>
      <c r="E943" t="s">
        <v>3340</v>
      </c>
      <c r="F943" t="s">
        <v>3471</v>
      </c>
      <c r="G943" t="s">
        <v>3472</v>
      </c>
      <c r="H943">
        <v>942</v>
      </c>
      <c r="I943" t="str">
        <f>IF(ISBLANK(Table1[[#This Row],[oid]]),"FALSE","TRUE")</f>
        <v>TRUE</v>
      </c>
      <c r="J943" t="str" cm="1">
        <f t="array" ref="J943">_xlfn.SWITCH(LEFT(Table1[[#This Row],[section]],1), "D", "Demographic", "S", "Social", "E", "Economic", "H", "Housing", "")</f>
        <v>Social</v>
      </c>
      <c r="K943" s="1" t="s">
        <v>3343</v>
      </c>
      <c r="L943" s="1" t="s">
        <v>3344</v>
      </c>
      <c r="M943" t="str">
        <f>IF(Table1[[#This Row],[used]], _xlfn.CONCAT("🆔 ", Table1[[#This Row],[variable]], ": ",Table1[[#This Row],[alias]]), "")</f>
        <v>🆔 B04006_033E: Danish</v>
      </c>
      <c r="O943" t="s">
        <v>3473</v>
      </c>
      <c r="P943" t="s">
        <v>3345</v>
      </c>
      <c r="Q943" t="s">
        <v>41</v>
      </c>
      <c r="R943" t="s">
        <v>3474</v>
      </c>
      <c r="S943" t="b">
        <v>1</v>
      </c>
      <c r="T943" t="b">
        <v>1</v>
      </c>
      <c r="U943" t="b">
        <v>1</v>
      </c>
      <c r="V943" t="b">
        <v>1</v>
      </c>
      <c r="W943" t="b">
        <v>1</v>
      </c>
      <c r="X943" t="b">
        <v>1</v>
      </c>
      <c r="Y943" t="b">
        <v>1</v>
      </c>
      <c r="Z943" t="b">
        <v>1</v>
      </c>
      <c r="AA943" t="b">
        <v>1</v>
      </c>
      <c r="AB943" t="b">
        <v>1</v>
      </c>
      <c r="AC943" t="b">
        <v>1</v>
      </c>
      <c r="AD943" t="b">
        <v>1</v>
      </c>
      <c r="AE943" t="b">
        <v>1</v>
      </c>
      <c r="AF943" t="b">
        <v>1</v>
      </c>
      <c r="AG943" t="b">
        <v>1</v>
      </c>
    </row>
    <row r="944" spans="1:33" x14ac:dyDescent="0.25">
      <c r="A944" t="s">
        <v>33</v>
      </c>
      <c r="B944">
        <v>15</v>
      </c>
      <c r="C944" t="b">
        <v>1</v>
      </c>
      <c r="D944" t="s">
        <v>3311</v>
      </c>
      <c r="E944" t="s">
        <v>3340</v>
      </c>
      <c r="F944" t="s">
        <v>3475</v>
      </c>
      <c r="G944" t="s">
        <v>3476</v>
      </c>
      <c r="H944">
        <v>943</v>
      </c>
      <c r="I944" t="str">
        <f>IF(ISBLANK(Table1[[#This Row],[oid]]),"FALSE","TRUE")</f>
        <v>TRUE</v>
      </c>
      <c r="J944" t="str" cm="1">
        <f t="array" ref="J944">_xlfn.SWITCH(LEFT(Table1[[#This Row],[section]],1), "D", "Demographic", "S", "Social", "E", "Economic", "H", "Housing", "")</f>
        <v>Social</v>
      </c>
      <c r="K944" s="1" t="s">
        <v>3343</v>
      </c>
      <c r="L944" s="1" t="s">
        <v>3344</v>
      </c>
      <c r="M944" t="str">
        <f>IF(Table1[[#This Row],[used]], _xlfn.CONCAT("🆔 ", Table1[[#This Row],[variable]], ": ",Table1[[#This Row],[alias]]), "")</f>
        <v>🆔 B04006_034E: Dutch</v>
      </c>
      <c r="O944" t="s">
        <v>3477</v>
      </c>
      <c r="P944" t="s">
        <v>3345</v>
      </c>
      <c r="Q944" t="s">
        <v>41</v>
      </c>
      <c r="R944" t="s">
        <v>3478</v>
      </c>
      <c r="S944" t="b">
        <v>1</v>
      </c>
      <c r="T944" t="b">
        <v>1</v>
      </c>
      <c r="U944" t="b">
        <v>1</v>
      </c>
      <c r="V944" t="b">
        <v>1</v>
      </c>
      <c r="W944" t="b">
        <v>1</v>
      </c>
      <c r="X944" t="b">
        <v>1</v>
      </c>
      <c r="Y944" t="b">
        <v>1</v>
      </c>
      <c r="Z944" t="b">
        <v>1</v>
      </c>
      <c r="AA944" t="b">
        <v>1</v>
      </c>
      <c r="AB944" t="b">
        <v>1</v>
      </c>
      <c r="AC944" t="b">
        <v>1</v>
      </c>
      <c r="AD944" t="b">
        <v>1</v>
      </c>
      <c r="AE944" t="b">
        <v>1</v>
      </c>
      <c r="AF944" t="b">
        <v>1</v>
      </c>
      <c r="AG944" t="b">
        <v>1</v>
      </c>
    </row>
    <row r="945" spans="1:33" x14ac:dyDescent="0.25">
      <c r="A945" t="s">
        <v>33</v>
      </c>
      <c r="B945">
        <v>15</v>
      </c>
      <c r="C945" t="b">
        <v>1</v>
      </c>
      <c r="D945" t="s">
        <v>3311</v>
      </c>
      <c r="E945" t="s">
        <v>3340</v>
      </c>
      <c r="F945" t="s">
        <v>3479</v>
      </c>
      <c r="G945" t="s">
        <v>3480</v>
      </c>
      <c r="H945">
        <v>944</v>
      </c>
      <c r="I945" t="str">
        <f>IF(ISBLANK(Table1[[#This Row],[oid]]),"FALSE","TRUE")</f>
        <v>TRUE</v>
      </c>
      <c r="J945" t="str" cm="1">
        <f t="array" ref="J945">_xlfn.SWITCH(LEFT(Table1[[#This Row],[section]],1), "D", "Demographic", "S", "Social", "E", "Economic", "H", "Housing", "")</f>
        <v>Social</v>
      </c>
      <c r="K945" s="1" t="s">
        <v>3343</v>
      </c>
      <c r="L945" s="1" t="s">
        <v>3344</v>
      </c>
      <c r="M945" t="str">
        <f>IF(Table1[[#This Row],[used]], _xlfn.CONCAT("🆔 ", Table1[[#This Row],[variable]], ": ",Table1[[#This Row],[alias]]), "")</f>
        <v>🆔 B04006_035E: Eastern European</v>
      </c>
      <c r="O945" t="s">
        <v>3481</v>
      </c>
      <c r="P945" t="s">
        <v>3345</v>
      </c>
      <c r="Q945" t="s">
        <v>41</v>
      </c>
      <c r="R945" t="s">
        <v>3482</v>
      </c>
      <c r="S945" t="b">
        <v>1</v>
      </c>
      <c r="T945" t="b">
        <v>1</v>
      </c>
      <c r="U945" t="b">
        <v>1</v>
      </c>
      <c r="V945" t="b">
        <v>1</v>
      </c>
      <c r="W945" t="b">
        <v>1</v>
      </c>
      <c r="X945" t="b">
        <v>1</v>
      </c>
      <c r="Y945" t="b">
        <v>1</v>
      </c>
      <c r="Z945" t="b">
        <v>1</v>
      </c>
      <c r="AA945" t="b">
        <v>1</v>
      </c>
      <c r="AB945" t="b">
        <v>1</v>
      </c>
      <c r="AC945" t="b">
        <v>1</v>
      </c>
      <c r="AD945" t="b">
        <v>1</v>
      </c>
      <c r="AE945" t="b">
        <v>1</v>
      </c>
      <c r="AF945" t="b">
        <v>1</v>
      </c>
      <c r="AG945" t="b">
        <v>1</v>
      </c>
    </row>
    <row r="946" spans="1:33" x14ac:dyDescent="0.25">
      <c r="A946" t="s">
        <v>33</v>
      </c>
      <c r="B946">
        <v>15</v>
      </c>
      <c r="C946" t="b">
        <v>1</v>
      </c>
      <c r="D946" t="s">
        <v>3311</v>
      </c>
      <c r="E946" t="s">
        <v>3340</v>
      </c>
      <c r="F946" t="s">
        <v>3483</v>
      </c>
      <c r="G946" t="s">
        <v>3484</v>
      </c>
      <c r="H946">
        <v>945</v>
      </c>
      <c r="I946" t="str">
        <f>IF(ISBLANK(Table1[[#This Row],[oid]]),"FALSE","TRUE")</f>
        <v>TRUE</v>
      </c>
      <c r="J946" t="str" cm="1">
        <f t="array" ref="J946">_xlfn.SWITCH(LEFT(Table1[[#This Row],[section]],1), "D", "Demographic", "S", "Social", "E", "Economic", "H", "Housing", "")</f>
        <v>Social</v>
      </c>
      <c r="K946" s="1" t="s">
        <v>3343</v>
      </c>
      <c r="L946" s="1" t="s">
        <v>3344</v>
      </c>
      <c r="M946" t="str">
        <f>IF(Table1[[#This Row],[used]], _xlfn.CONCAT("🆔 ", Table1[[#This Row],[variable]], ": ",Table1[[#This Row],[alias]]), "")</f>
        <v>🆔 B04006_036E: English</v>
      </c>
      <c r="O946" t="s">
        <v>3485</v>
      </c>
      <c r="P946" t="s">
        <v>3345</v>
      </c>
      <c r="Q946" t="s">
        <v>41</v>
      </c>
      <c r="R946" t="s">
        <v>3486</v>
      </c>
      <c r="S946" t="b">
        <v>1</v>
      </c>
      <c r="T946" t="b">
        <v>1</v>
      </c>
      <c r="U946" t="b">
        <v>1</v>
      </c>
      <c r="V946" t="b">
        <v>1</v>
      </c>
      <c r="W946" t="b">
        <v>1</v>
      </c>
      <c r="X946" t="b">
        <v>1</v>
      </c>
      <c r="Y946" t="b">
        <v>1</v>
      </c>
      <c r="Z946" t="b">
        <v>1</v>
      </c>
      <c r="AA946" t="b">
        <v>1</v>
      </c>
      <c r="AB946" t="b">
        <v>1</v>
      </c>
      <c r="AC946" t="b">
        <v>1</v>
      </c>
      <c r="AD946" t="b">
        <v>1</v>
      </c>
      <c r="AE946" t="b">
        <v>1</v>
      </c>
      <c r="AF946" t="b">
        <v>1</v>
      </c>
      <c r="AG946" t="b">
        <v>1</v>
      </c>
    </row>
    <row r="947" spans="1:33" x14ac:dyDescent="0.25">
      <c r="A947" t="s">
        <v>33</v>
      </c>
      <c r="B947">
        <v>15</v>
      </c>
      <c r="C947" t="b">
        <v>1</v>
      </c>
      <c r="D947" t="s">
        <v>3311</v>
      </c>
      <c r="E947" t="s">
        <v>3340</v>
      </c>
      <c r="F947" t="s">
        <v>3487</v>
      </c>
      <c r="G947" t="s">
        <v>3488</v>
      </c>
      <c r="H947">
        <v>946</v>
      </c>
      <c r="I947" t="str">
        <f>IF(ISBLANK(Table1[[#This Row],[oid]]),"FALSE","TRUE")</f>
        <v>TRUE</v>
      </c>
      <c r="J947" t="str" cm="1">
        <f t="array" ref="J947">_xlfn.SWITCH(LEFT(Table1[[#This Row],[section]],1), "D", "Demographic", "S", "Social", "E", "Economic", "H", "Housing", "")</f>
        <v>Social</v>
      </c>
      <c r="K947" s="1" t="s">
        <v>3343</v>
      </c>
      <c r="L947" s="1" t="s">
        <v>3344</v>
      </c>
      <c r="M947" t="str">
        <f>IF(Table1[[#This Row],[used]], _xlfn.CONCAT("🆔 ", Table1[[#This Row],[variable]], ": ",Table1[[#This Row],[alias]]), "")</f>
        <v>🆔 B04006_037E: Estonian</v>
      </c>
      <c r="O947" t="s">
        <v>3489</v>
      </c>
      <c r="P947" t="s">
        <v>3345</v>
      </c>
      <c r="Q947" t="s">
        <v>41</v>
      </c>
      <c r="R947" t="s">
        <v>3490</v>
      </c>
      <c r="S947" t="b">
        <v>1</v>
      </c>
      <c r="T947" t="b">
        <v>1</v>
      </c>
      <c r="U947" t="b">
        <v>1</v>
      </c>
      <c r="V947" t="b">
        <v>1</v>
      </c>
      <c r="W947" t="b">
        <v>1</v>
      </c>
      <c r="X947" t="b">
        <v>1</v>
      </c>
      <c r="Y947" t="b">
        <v>1</v>
      </c>
      <c r="Z947" t="b">
        <v>1</v>
      </c>
      <c r="AA947" t="b">
        <v>1</v>
      </c>
      <c r="AB947" t="b">
        <v>1</v>
      </c>
      <c r="AC947" t="b">
        <v>1</v>
      </c>
      <c r="AD947" t="b">
        <v>1</v>
      </c>
      <c r="AE947" t="b">
        <v>1</v>
      </c>
      <c r="AF947" t="b">
        <v>1</v>
      </c>
      <c r="AG947" t="b">
        <v>1</v>
      </c>
    </row>
    <row r="948" spans="1:33" x14ac:dyDescent="0.25">
      <c r="A948" t="s">
        <v>33</v>
      </c>
      <c r="B948">
        <v>15</v>
      </c>
      <c r="C948" t="b">
        <v>1</v>
      </c>
      <c r="D948" t="s">
        <v>3311</v>
      </c>
      <c r="E948" t="s">
        <v>3340</v>
      </c>
      <c r="F948" t="s">
        <v>3491</v>
      </c>
      <c r="G948" t="s">
        <v>3492</v>
      </c>
      <c r="H948">
        <v>947</v>
      </c>
      <c r="I948" t="str">
        <f>IF(ISBLANK(Table1[[#This Row],[oid]]),"FALSE","TRUE")</f>
        <v>TRUE</v>
      </c>
      <c r="J948" t="str" cm="1">
        <f t="array" ref="J948">_xlfn.SWITCH(LEFT(Table1[[#This Row],[section]],1), "D", "Demographic", "S", "Social", "E", "Economic", "H", "Housing", "")</f>
        <v>Social</v>
      </c>
      <c r="K948" s="1" t="s">
        <v>3343</v>
      </c>
      <c r="L948" s="1" t="s">
        <v>3344</v>
      </c>
      <c r="M948" t="str">
        <f>IF(Table1[[#This Row],[used]], _xlfn.CONCAT("🆔 ", Table1[[#This Row],[variable]], ": ",Table1[[#This Row],[alias]]), "")</f>
        <v>🆔 B04006_038E: European</v>
      </c>
      <c r="O948" t="s">
        <v>3493</v>
      </c>
      <c r="P948" t="s">
        <v>3345</v>
      </c>
      <c r="Q948" t="s">
        <v>41</v>
      </c>
      <c r="R948" t="s">
        <v>3494</v>
      </c>
      <c r="S948" t="b">
        <v>1</v>
      </c>
      <c r="T948" t="b">
        <v>1</v>
      </c>
      <c r="U948" t="b">
        <v>1</v>
      </c>
      <c r="V948" t="b">
        <v>1</v>
      </c>
      <c r="W948" t="b">
        <v>1</v>
      </c>
      <c r="X948" t="b">
        <v>1</v>
      </c>
      <c r="Y948" t="b">
        <v>1</v>
      </c>
      <c r="Z948" t="b">
        <v>1</v>
      </c>
      <c r="AA948" t="b">
        <v>1</v>
      </c>
      <c r="AB948" t="b">
        <v>1</v>
      </c>
      <c r="AC948" t="b">
        <v>1</v>
      </c>
      <c r="AD948" t="b">
        <v>1</v>
      </c>
      <c r="AE948" t="b">
        <v>1</v>
      </c>
      <c r="AF948" t="b">
        <v>1</v>
      </c>
      <c r="AG948" t="b">
        <v>1</v>
      </c>
    </row>
    <row r="949" spans="1:33" x14ac:dyDescent="0.25">
      <c r="A949" t="s">
        <v>33</v>
      </c>
      <c r="B949">
        <v>15</v>
      </c>
      <c r="C949" t="b">
        <v>1</v>
      </c>
      <c r="D949" t="s">
        <v>3311</v>
      </c>
      <c r="E949" t="s">
        <v>3340</v>
      </c>
      <c r="F949" t="s">
        <v>3495</v>
      </c>
      <c r="G949" t="s">
        <v>3496</v>
      </c>
      <c r="H949">
        <v>948</v>
      </c>
      <c r="I949" t="str">
        <f>IF(ISBLANK(Table1[[#This Row],[oid]]),"FALSE","TRUE")</f>
        <v>TRUE</v>
      </c>
      <c r="J949" t="str" cm="1">
        <f t="array" ref="J949">_xlfn.SWITCH(LEFT(Table1[[#This Row],[section]],1), "D", "Demographic", "S", "Social", "E", "Economic", "H", "Housing", "")</f>
        <v>Social</v>
      </c>
      <c r="K949" s="1" t="s">
        <v>3343</v>
      </c>
      <c r="L949" s="1" t="s">
        <v>3344</v>
      </c>
      <c r="M949" t="str">
        <f>IF(Table1[[#This Row],[used]], _xlfn.CONCAT("🆔 ", Table1[[#This Row],[variable]], ": ",Table1[[#This Row],[alias]]), "")</f>
        <v>🆔 B04006_039E: Finnish</v>
      </c>
      <c r="O949" t="s">
        <v>3497</v>
      </c>
      <c r="P949" t="s">
        <v>3345</v>
      </c>
      <c r="Q949" t="s">
        <v>41</v>
      </c>
      <c r="R949" t="s">
        <v>3498</v>
      </c>
      <c r="S949" t="b">
        <v>1</v>
      </c>
      <c r="T949" t="b">
        <v>1</v>
      </c>
      <c r="U949" t="b">
        <v>1</v>
      </c>
      <c r="V949" t="b">
        <v>1</v>
      </c>
      <c r="W949" t="b">
        <v>1</v>
      </c>
      <c r="X949" t="b">
        <v>1</v>
      </c>
      <c r="Y949" t="b">
        <v>1</v>
      </c>
      <c r="Z949" t="b">
        <v>1</v>
      </c>
      <c r="AA949" t="b">
        <v>1</v>
      </c>
      <c r="AB949" t="b">
        <v>1</v>
      </c>
      <c r="AC949" t="b">
        <v>1</v>
      </c>
      <c r="AD949" t="b">
        <v>1</v>
      </c>
      <c r="AE949" t="b">
        <v>1</v>
      </c>
      <c r="AF949" t="b">
        <v>1</v>
      </c>
      <c r="AG949" t="b">
        <v>1</v>
      </c>
    </row>
    <row r="950" spans="1:33" x14ac:dyDescent="0.25">
      <c r="A950" t="s">
        <v>33</v>
      </c>
      <c r="B950">
        <v>15</v>
      </c>
      <c r="C950" t="b">
        <v>1</v>
      </c>
      <c r="D950" t="s">
        <v>3311</v>
      </c>
      <c r="E950" t="s">
        <v>3340</v>
      </c>
      <c r="F950" t="s">
        <v>3499</v>
      </c>
      <c r="G950" t="s">
        <v>3500</v>
      </c>
      <c r="H950">
        <v>949</v>
      </c>
      <c r="I950" t="str">
        <f>IF(ISBLANK(Table1[[#This Row],[oid]]),"FALSE","TRUE")</f>
        <v>TRUE</v>
      </c>
      <c r="J950" t="str" cm="1">
        <f t="array" ref="J950">_xlfn.SWITCH(LEFT(Table1[[#This Row],[section]],1), "D", "Demographic", "S", "Social", "E", "Economic", "H", "Housing", "")</f>
        <v>Social</v>
      </c>
      <c r="K950" s="1" t="s">
        <v>3343</v>
      </c>
      <c r="L950" s="1" t="s">
        <v>3344</v>
      </c>
      <c r="M950" t="str">
        <f>IF(Table1[[#This Row],[used]], _xlfn.CONCAT("🆔 ", Table1[[#This Row],[variable]], ": ",Table1[[#This Row],[alias]]), "")</f>
        <v>🆔 B04006_040E: French except Basque</v>
      </c>
      <c r="O950" t="s">
        <v>3501</v>
      </c>
      <c r="P950" t="s">
        <v>3345</v>
      </c>
      <c r="Q950" t="s">
        <v>41</v>
      </c>
      <c r="R950" t="s">
        <v>3502</v>
      </c>
      <c r="S950" t="b">
        <v>1</v>
      </c>
      <c r="T950" t="b">
        <v>1</v>
      </c>
      <c r="U950" t="b">
        <v>1</v>
      </c>
      <c r="V950" t="b">
        <v>1</v>
      </c>
      <c r="W950" t="b">
        <v>1</v>
      </c>
      <c r="X950" t="b">
        <v>1</v>
      </c>
      <c r="Y950" t="b">
        <v>1</v>
      </c>
      <c r="Z950" t="b">
        <v>1</v>
      </c>
      <c r="AA950" t="b">
        <v>1</v>
      </c>
      <c r="AB950" t="b">
        <v>1</v>
      </c>
      <c r="AC950" t="b">
        <v>1</v>
      </c>
      <c r="AD950" t="b">
        <v>1</v>
      </c>
      <c r="AE950" t="b">
        <v>1</v>
      </c>
      <c r="AF950" t="b">
        <v>1</v>
      </c>
      <c r="AG950" t="b">
        <v>1</v>
      </c>
    </row>
    <row r="951" spans="1:33" x14ac:dyDescent="0.25">
      <c r="A951" t="s">
        <v>33</v>
      </c>
      <c r="B951">
        <v>15</v>
      </c>
      <c r="C951" t="b">
        <v>1</v>
      </c>
      <c r="D951" t="s">
        <v>3311</v>
      </c>
      <c r="E951" t="s">
        <v>3340</v>
      </c>
      <c r="F951" t="s">
        <v>3503</v>
      </c>
      <c r="G951" t="s">
        <v>3504</v>
      </c>
      <c r="H951">
        <v>950</v>
      </c>
      <c r="I951" t="str">
        <f>IF(ISBLANK(Table1[[#This Row],[oid]]),"FALSE","TRUE")</f>
        <v>TRUE</v>
      </c>
      <c r="J951" t="str" cm="1">
        <f t="array" ref="J951">_xlfn.SWITCH(LEFT(Table1[[#This Row],[section]],1), "D", "Demographic", "S", "Social", "E", "Economic", "H", "Housing", "")</f>
        <v>Social</v>
      </c>
      <c r="K951" s="1" t="s">
        <v>3343</v>
      </c>
      <c r="L951" s="1" t="s">
        <v>3344</v>
      </c>
      <c r="M951" t="str">
        <f>IF(Table1[[#This Row],[used]], _xlfn.CONCAT("🆔 ", Table1[[#This Row],[variable]], ": ",Table1[[#This Row],[alias]]), "")</f>
        <v>🆔 B04006_041E: French Canadian</v>
      </c>
      <c r="O951" t="s">
        <v>3505</v>
      </c>
      <c r="P951" t="s">
        <v>3345</v>
      </c>
      <c r="Q951" t="s">
        <v>41</v>
      </c>
      <c r="R951" t="s">
        <v>3506</v>
      </c>
      <c r="S951" t="b">
        <v>1</v>
      </c>
      <c r="T951" t="b">
        <v>1</v>
      </c>
      <c r="U951" t="b">
        <v>1</v>
      </c>
      <c r="V951" t="b">
        <v>1</v>
      </c>
      <c r="W951" t="b">
        <v>1</v>
      </c>
      <c r="X951" t="b">
        <v>1</v>
      </c>
      <c r="Y951" t="b">
        <v>1</v>
      </c>
      <c r="Z951" t="b">
        <v>1</v>
      </c>
      <c r="AA951" t="b">
        <v>1</v>
      </c>
      <c r="AB951" t="b">
        <v>1</v>
      </c>
      <c r="AC951" t="b">
        <v>1</v>
      </c>
      <c r="AD951" t="b">
        <v>1</v>
      </c>
      <c r="AE951" t="b">
        <v>1</v>
      </c>
      <c r="AF951" t="b">
        <v>1</v>
      </c>
      <c r="AG951" t="b">
        <v>1</v>
      </c>
    </row>
    <row r="952" spans="1:33" x14ac:dyDescent="0.25">
      <c r="A952" t="s">
        <v>33</v>
      </c>
      <c r="B952">
        <v>15</v>
      </c>
      <c r="C952" t="b">
        <v>1</v>
      </c>
      <c r="D952" t="s">
        <v>3311</v>
      </c>
      <c r="E952" t="s">
        <v>3340</v>
      </c>
      <c r="F952" t="s">
        <v>3507</v>
      </c>
      <c r="G952" t="s">
        <v>3508</v>
      </c>
      <c r="H952">
        <v>951</v>
      </c>
      <c r="I952" t="str">
        <f>IF(ISBLANK(Table1[[#This Row],[oid]]),"FALSE","TRUE")</f>
        <v>TRUE</v>
      </c>
      <c r="J952" t="str" cm="1">
        <f t="array" ref="J952">_xlfn.SWITCH(LEFT(Table1[[#This Row],[section]],1), "D", "Demographic", "S", "Social", "E", "Economic", "H", "Housing", "")</f>
        <v>Social</v>
      </c>
      <c r="K952" s="1" t="s">
        <v>3343</v>
      </c>
      <c r="L952" s="1" t="s">
        <v>3344</v>
      </c>
      <c r="M952" t="str">
        <f>IF(Table1[[#This Row],[used]], _xlfn.CONCAT("🆔 ", Table1[[#This Row],[variable]], ": ",Table1[[#This Row],[alias]]), "")</f>
        <v>🆔 B04006_042E: German</v>
      </c>
      <c r="O952" t="s">
        <v>3509</v>
      </c>
      <c r="P952" t="s">
        <v>3345</v>
      </c>
      <c r="Q952" t="s">
        <v>41</v>
      </c>
      <c r="R952" t="s">
        <v>3510</v>
      </c>
      <c r="S952" t="b">
        <v>1</v>
      </c>
      <c r="T952" t="b">
        <v>1</v>
      </c>
      <c r="U952" t="b">
        <v>1</v>
      </c>
      <c r="V952" t="b">
        <v>1</v>
      </c>
      <c r="W952" t="b">
        <v>1</v>
      </c>
      <c r="X952" t="b">
        <v>1</v>
      </c>
      <c r="Y952" t="b">
        <v>1</v>
      </c>
      <c r="Z952" t="b">
        <v>1</v>
      </c>
      <c r="AA952" t="b">
        <v>1</v>
      </c>
      <c r="AB952" t="b">
        <v>1</v>
      </c>
      <c r="AC952" t="b">
        <v>1</v>
      </c>
      <c r="AD952" t="b">
        <v>1</v>
      </c>
      <c r="AE952" t="b">
        <v>1</v>
      </c>
      <c r="AF952" t="b">
        <v>1</v>
      </c>
      <c r="AG952" t="b">
        <v>1</v>
      </c>
    </row>
    <row r="953" spans="1:33" x14ac:dyDescent="0.25">
      <c r="A953" t="s">
        <v>33</v>
      </c>
      <c r="B953">
        <v>15</v>
      </c>
      <c r="C953" t="b">
        <v>1</v>
      </c>
      <c r="D953" t="s">
        <v>3311</v>
      </c>
      <c r="E953" t="s">
        <v>3340</v>
      </c>
      <c r="F953" t="s">
        <v>3511</v>
      </c>
      <c r="G953" t="s">
        <v>3512</v>
      </c>
      <c r="H953">
        <v>952</v>
      </c>
      <c r="I953" t="str">
        <f>IF(ISBLANK(Table1[[#This Row],[oid]]),"FALSE","TRUE")</f>
        <v>TRUE</v>
      </c>
      <c r="J953" t="str" cm="1">
        <f t="array" ref="J953">_xlfn.SWITCH(LEFT(Table1[[#This Row],[section]],1), "D", "Demographic", "S", "Social", "E", "Economic", "H", "Housing", "")</f>
        <v>Social</v>
      </c>
      <c r="K953" s="1" t="s">
        <v>3343</v>
      </c>
      <c r="L953" s="1" t="s">
        <v>3344</v>
      </c>
      <c r="M953" t="str">
        <f>IF(Table1[[#This Row],[used]], _xlfn.CONCAT("🆔 ", Table1[[#This Row],[variable]], ": ",Table1[[#This Row],[alias]]), "")</f>
        <v>🆔 B04006_043E: German Russian</v>
      </c>
      <c r="O953" t="s">
        <v>3513</v>
      </c>
      <c r="P953" t="s">
        <v>3345</v>
      </c>
      <c r="Q953" t="s">
        <v>41</v>
      </c>
      <c r="R953" t="s">
        <v>3514</v>
      </c>
      <c r="S953" t="b">
        <v>1</v>
      </c>
      <c r="T953" t="b">
        <v>1</v>
      </c>
      <c r="U953" t="b">
        <v>1</v>
      </c>
      <c r="V953" t="b">
        <v>1</v>
      </c>
      <c r="W953" t="b">
        <v>1</v>
      </c>
      <c r="X953" t="b">
        <v>1</v>
      </c>
      <c r="Y953" t="b">
        <v>1</v>
      </c>
      <c r="Z953" t="b">
        <v>1</v>
      </c>
      <c r="AA953" t="b">
        <v>1</v>
      </c>
      <c r="AB953" t="b">
        <v>1</v>
      </c>
      <c r="AC953" t="b">
        <v>1</v>
      </c>
      <c r="AD953" t="b">
        <v>1</v>
      </c>
      <c r="AE953" t="b">
        <v>1</v>
      </c>
      <c r="AF953" t="b">
        <v>1</v>
      </c>
      <c r="AG953" t="b">
        <v>1</v>
      </c>
    </row>
    <row r="954" spans="1:33" x14ac:dyDescent="0.25">
      <c r="A954" t="s">
        <v>33</v>
      </c>
      <c r="B954">
        <v>15</v>
      </c>
      <c r="C954" t="b">
        <v>1</v>
      </c>
      <c r="D954" t="s">
        <v>3311</v>
      </c>
      <c r="E954" t="s">
        <v>3340</v>
      </c>
      <c r="F954" t="s">
        <v>3515</v>
      </c>
      <c r="G954" t="s">
        <v>3516</v>
      </c>
      <c r="H954">
        <v>953</v>
      </c>
      <c r="I954" t="str">
        <f>IF(ISBLANK(Table1[[#This Row],[oid]]),"FALSE","TRUE")</f>
        <v>TRUE</v>
      </c>
      <c r="J954" t="str" cm="1">
        <f t="array" ref="J954">_xlfn.SWITCH(LEFT(Table1[[#This Row],[section]],1), "D", "Demographic", "S", "Social", "E", "Economic", "H", "Housing", "")</f>
        <v>Social</v>
      </c>
      <c r="K954" s="1" t="s">
        <v>3343</v>
      </c>
      <c r="L954" s="1" t="s">
        <v>3344</v>
      </c>
      <c r="M954" t="str">
        <f>IF(Table1[[#This Row],[used]], _xlfn.CONCAT("🆔 ", Table1[[#This Row],[variable]], ": ",Table1[[#This Row],[alias]]), "")</f>
        <v>🆔 B04006_044E: Greek</v>
      </c>
      <c r="O954" t="s">
        <v>3517</v>
      </c>
      <c r="P954" t="s">
        <v>3345</v>
      </c>
      <c r="Q954" t="s">
        <v>41</v>
      </c>
      <c r="R954" t="s">
        <v>3518</v>
      </c>
      <c r="S954" t="b">
        <v>1</v>
      </c>
      <c r="T954" t="b">
        <v>1</v>
      </c>
      <c r="U954" t="b">
        <v>1</v>
      </c>
      <c r="V954" t="b">
        <v>1</v>
      </c>
      <c r="W954" t="b">
        <v>1</v>
      </c>
      <c r="X954" t="b">
        <v>1</v>
      </c>
      <c r="Y954" t="b">
        <v>1</v>
      </c>
      <c r="Z954" t="b">
        <v>1</v>
      </c>
      <c r="AA954" t="b">
        <v>1</v>
      </c>
      <c r="AB954" t="b">
        <v>1</v>
      </c>
      <c r="AC954" t="b">
        <v>1</v>
      </c>
      <c r="AD954" t="b">
        <v>1</v>
      </c>
      <c r="AE954" t="b">
        <v>1</v>
      </c>
      <c r="AF954" t="b">
        <v>1</v>
      </c>
      <c r="AG954" t="b">
        <v>1</v>
      </c>
    </row>
    <row r="955" spans="1:33" x14ac:dyDescent="0.25">
      <c r="A955" t="s">
        <v>33</v>
      </c>
      <c r="B955">
        <v>15</v>
      </c>
      <c r="C955" t="b">
        <v>1</v>
      </c>
      <c r="D955" t="s">
        <v>3311</v>
      </c>
      <c r="E955" t="s">
        <v>3340</v>
      </c>
      <c r="F955" t="s">
        <v>3519</v>
      </c>
      <c r="G955" t="s">
        <v>3520</v>
      </c>
      <c r="H955">
        <v>954</v>
      </c>
      <c r="I955" t="str">
        <f>IF(ISBLANK(Table1[[#This Row],[oid]]),"FALSE","TRUE")</f>
        <v>TRUE</v>
      </c>
      <c r="J955" t="str" cm="1">
        <f t="array" ref="J955">_xlfn.SWITCH(LEFT(Table1[[#This Row],[section]],1), "D", "Demographic", "S", "Social", "E", "Economic", "H", "Housing", "")</f>
        <v>Social</v>
      </c>
      <c r="K955" s="1" t="s">
        <v>3343</v>
      </c>
      <c r="L955" s="1" t="s">
        <v>3344</v>
      </c>
      <c r="M955" t="str">
        <f>IF(Table1[[#This Row],[used]], _xlfn.CONCAT("🆔 ", Table1[[#This Row],[variable]], ": ",Table1[[#This Row],[alias]]), "")</f>
        <v>🆔 B04006_045E: Guyanese</v>
      </c>
      <c r="O955" t="s">
        <v>3521</v>
      </c>
      <c r="P955" t="s">
        <v>3345</v>
      </c>
      <c r="Q955" t="s">
        <v>41</v>
      </c>
      <c r="R955" t="s">
        <v>3522</v>
      </c>
      <c r="S955" t="b">
        <v>1</v>
      </c>
      <c r="T955" t="b">
        <v>1</v>
      </c>
      <c r="U955" t="b">
        <v>1</v>
      </c>
      <c r="V955" t="b">
        <v>1</v>
      </c>
      <c r="W955" t="b">
        <v>1</v>
      </c>
      <c r="X955" t="b">
        <v>1</v>
      </c>
      <c r="Y955" t="b">
        <v>1</v>
      </c>
      <c r="Z955" t="b">
        <v>1</v>
      </c>
      <c r="AA955" t="b">
        <v>1</v>
      </c>
      <c r="AB955" t="b">
        <v>1</v>
      </c>
      <c r="AC955" t="b">
        <v>1</v>
      </c>
      <c r="AD955" t="b">
        <v>1</v>
      </c>
      <c r="AE955" t="b">
        <v>1</v>
      </c>
      <c r="AF955" t="b">
        <v>1</v>
      </c>
      <c r="AG955" t="b">
        <v>1</v>
      </c>
    </row>
    <row r="956" spans="1:33" x14ac:dyDescent="0.25">
      <c r="A956" t="s">
        <v>33</v>
      </c>
      <c r="B956">
        <v>15</v>
      </c>
      <c r="C956" t="b">
        <v>1</v>
      </c>
      <c r="D956" t="s">
        <v>3311</v>
      </c>
      <c r="E956" t="s">
        <v>3340</v>
      </c>
      <c r="F956" t="s">
        <v>3523</v>
      </c>
      <c r="G956" t="s">
        <v>3524</v>
      </c>
      <c r="H956">
        <v>955</v>
      </c>
      <c r="I956" t="str">
        <f>IF(ISBLANK(Table1[[#This Row],[oid]]),"FALSE","TRUE")</f>
        <v>TRUE</v>
      </c>
      <c r="J956" t="str" cm="1">
        <f t="array" ref="J956">_xlfn.SWITCH(LEFT(Table1[[#This Row],[section]],1), "D", "Demographic", "S", "Social", "E", "Economic", "H", "Housing", "")</f>
        <v>Social</v>
      </c>
      <c r="K956" s="1" t="s">
        <v>3343</v>
      </c>
      <c r="L956" s="1" t="s">
        <v>3344</v>
      </c>
      <c r="M956" t="str">
        <f>IF(Table1[[#This Row],[used]], _xlfn.CONCAT("🆔 ", Table1[[#This Row],[variable]], ": ",Table1[[#This Row],[alias]]), "")</f>
        <v>🆔 B04006_046E: Hungarian</v>
      </c>
      <c r="O956" t="s">
        <v>3525</v>
      </c>
      <c r="P956" t="s">
        <v>3345</v>
      </c>
      <c r="Q956" t="s">
        <v>41</v>
      </c>
      <c r="R956" t="s">
        <v>3526</v>
      </c>
      <c r="S956" t="b">
        <v>1</v>
      </c>
      <c r="T956" t="b">
        <v>1</v>
      </c>
      <c r="U956" t="b">
        <v>1</v>
      </c>
      <c r="V956" t="b">
        <v>1</v>
      </c>
      <c r="W956" t="b">
        <v>1</v>
      </c>
      <c r="X956" t="b">
        <v>1</v>
      </c>
      <c r="Y956" t="b">
        <v>1</v>
      </c>
      <c r="Z956" t="b">
        <v>1</v>
      </c>
      <c r="AA956" t="b">
        <v>1</v>
      </c>
      <c r="AB956" t="b">
        <v>1</v>
      </c>
      <c r="AC956" t="b">
        <v>1</v>
      </c>
      <c r="AD956" t="b">
        <v>1</v>
      </c>
      <c r="AE956" t="b">
        <v>1</v>
      </c>
      <c r="AF956" t="b">
        <v>1</v>
      </c>
      <c r="AG956" t="b">
        <v>1</v>
      </c>
    </row>
    <row r="957" spans="1:33" x14ac:dyDescent="0.25">
      <c r="A957" t="s">
        <v>33</v>
      </c>
      <c r="B957">
        <v>15</v>
      </c>
      <c r="C957" t="b">
        <v>1</v>
      </c>
      <c r="D957" t="s">
        <v>3311</v>
      </c>
      <c r="E957" t="s">
        <v>3340</v>
      </c>
      <c r="F957" t="s">
        <v>3527</v>
      </c>
      <c r="G957" t="s">
        <v>3528</v>
      </c>
      <c r="H957">
        <v>956</v>
      </c>
      <c r="I957" t="str">
        <f>IF(ISBLANK(Table1[[#This Row],[oid]]),"FALSE","TRUE")</f>
        <v>TRUE</v>
      </c>
      <c r="J957" t="str" cm="1">
        <f t="array" ref="J957">_xlfn.SWITCH(LEFT(Table1[[#This Row],[section]],1), "D", "Demographic", "S", "Social", "E", "Economic", "H", "Housing", "")</f>
        <v>Social</v>
      </c>
      <c r="K957" s="1" t="s">
        <v>3343</v>
      </c>
      <c r="L957" s="1" t="s">
        <v>3344</v>
      </c>
      <c r="M957" t="str">
        <f>IF(Table1[[#This Row],[used]], _xlfn.CONCAT("🆔 ", Table1[[#This Row],[variable]], ": ",Table1[[#This Row],[alias]]), "")</f>
        <v>🆔 B04006_047E: Icelander</v>
      </c>
      <c r="O957" t="s">
        <v>3529</v>
      </c>
      <c r="P957" t="s">
        <v>3345</v>
      </c>
      <c r="Q957" t="s">
        <v>41</v>
      </c>
      <c r="R957" t="s">
        <v>3530</v>
      </c>
      <c r="S957" t="b">
        <v>1</v>
      </c>
      <c r="T957" t="b">
        <v>1</v>
      </c>
      <c r="U957" t="b">
        <v>1</v>
      </c>
      <c r="V957" t="b">
        <v>1</v>
      </c>
      <c r="W957" t="b">
        <v>1</v>
      </c>
      <c r="X957" t="b">
        <v>1</v>
      </c>
      <c r="Y957" t="b">
        <v>1</v>
      </c>
      <c r="Z957" t="b">
        <v>1</v>
      </c>
      <c r="AA957" t="b">
        <v>1</v>
      </c>
      <c r="AB957" t="b">
        <v>1</v>
      </c>
      <c r="AC957" t="b">
        <v>1</v>
      </c>
      <c r="AD957" t="b">
        <v>1</v>
      </c>
      <c r="AE957" t="b">
        <v>1</v>
      </c>
      <c r="AF957" t="b">
        <v>1</v>
      </c>
      <c r="AG957" t="b">
        <v>1</v>
      </c>
    </row>
    <row r="958" spans="1:33" x14ac:dyDescent="0.25">
      <c r="A958" t="s">
        <v>33</v>
      </c>
      <c r="B958">
        <v>15</v>
      </c>
      <c r="C958" t="b">
        <v>1</v>
      </c>
      <c r="D958" t="s">
        <v>3311</v>
      </c>
      <c r="E958" t="s">
        <v>3340</v>
      </c>
      <c r="F958" t="s">
        <v>3531</v>
      </c>
      <c r="G958" t="s">
        <v>3532</v>
      </c>
      <c r="H958">
        <v>957</v>
      </c>
      <c r="I958" t="str">
        <f>IF(ISBLANK(Table1[[#This Row],[oid]]),"FALSE","TRUE")</f>
        <v>TRUE</v>
      </c>
      <c r="J958" t="str" cm="1">
        <f t="array" ref="J958">_xlfn.SWITCH(LEFT(Table1[[#This Row],[section]],1), "D", "Demographic", "S", "Social", "E", "Economic", "H", "Housing", "")</f>
        <v>Social</v>
      </c>
      <c r="K958" s="1" t="s">
        <v>3343</v>
      </c>
      <c r="L958" s="1" t="s">
        <v>3344</v>
      </c>
      <c r="M958" t="str">
        <f>IF(Table1[[#This Row],[used]], _xlfn.CONCAT("🆔 ", Table1[[#This Row],[variable]], ": ",Table1[[#This Row],[alias]]), "")</f>
        <v>🆔 B04006_048E: Iranian</v>
      </c>
      <c r="O958" t="s">
        <v>3533</v>
      </c>
      <c r="P958" t="s">
        <v>3345</v>
      </c>
      <c r="Q958" t="s">
        <v>41</v>
      </c>
      <c r="R958" t="s">
        <v>3534</v>
      </c>
      <c r="S958" t="b">
        <v>1</v>
      </c>
      <c r="T958" t="b">
        <v>1</v>
      </c>
      <c r="U958" t="b">
        <v>1</v>
      </c>
      <c r="V958" t="b">
        <v>1</v>
      </c>
      <c r="W958" t="b">
        <v>1</v>
      </c>
      <c r="X958" t="b">
        <v>1</v>
      </c>
      <c r="Y958" t="b">
        <v>1</v>
      </c>
      <c r="Z958" t="b">
        <v>1</v>
      </c>
      <c r="AA958" t="b">
        <v>1</v>
      </c>
      <c r="AB958" t="b">
        <v>1</v>
      </c>
      <c r="AC958" t="b">
        <v>1</v>
      </c>
      <c r="AD958" t="b">
        <v>1</v>
      </c>
      <c r="AE958" t="b">
        <v>1</v>
      </c>
      <c r="AF958" t="b">
        <v>1</v>
      </c>
      <c r="AG958" t="b">
        <v>1</v>
      </c>
    </row>
    <row r="959" spans="1:33" x14ac:dyDescent="0.25">
      <c r="A959" t="s">
        <v>33</v>
      </c>
      <c r="B959">
        <v>15</v>
      </c>
      <c r="C959" t="b">
        <v>1</v>
      </c>
      <c r="D959" t="s">
        <v>3311</v>
      </c>
      <c r="E959" t="s">
        <v>3340</v>
      </c>
      <c r="F959" t="s">
        <v>3535</v>
      </c>
      <c r="G959" t="s">
        <v>3536</v>
      </c>
      <c r="H959">
        <v>958</v>
      </c>
      <c r="I959" t="str">
        <f>IF(ISBLANK(Table1[[#This Row],[oid]]),"FALSE","TRUE")</f>
        <v>TRUE</v>
      </c>
      <c r="J959" t="str" cm="1">
        <f t="array" ref="J959">_xlfn.SWITCH(LEFT(Table1[[#This Row],[section]],1), "D", "Demographic", "S", "Social", "E", "Economic", "H", "Housing", "")</f>
        <v>Social</v>
      </c>
      <c r="K959" s="1" t="s">
        <v>3343</v>
      </c>
      <c r="L959" s="1" t="s">
        <v>3344</v>
      </c>
      <c r="M959" t="str">
        <f>IF(Table1[[#This Row],[used]], _xlfn.CONCAT("🆔 ", Table1[[#This Row],[variable]], ": ",Table1[[#This Row],[alias]]), "")</f>
        <v>🆔 B04006_049E: Irish</v>
      </c>
      <c r="O959" t="s">
        <v>3537</v>
      </c>
      <c r="P959" t="s">
        <v>3345</v>
      </c>
      <c r="Q959" t="s">
        <v>41</v>
      </c>
      <c r="R959" t="s">
        <v>3538</v>
      </c>
      <c r="S959" t="b">
        <v>1</v>
      </c>
      <c r="T959" t="b">
        <v>1</v>
      </c>
      <c r="U959" t="b">
        <v>1</v>
      </c>
      <c r="V959" t="b">
        <v>1</v>
      </c>
      <c r="W959" t="b">
        <v>1</v>
      </c>
      <c r="X959" t="b">
        <v>1</v>
      </c>
      <c r="Y959" t="b">
        <v>1</v>
      </c>
      <c r="Z959" t="b">
        <v>1</v>
      </c>
      <c r="AA959" t="b">
        <v>1</v>
      </c>
      <c r="AB959" t="b">
        <v>1</v>
      </c>
      <c r="AC959" t="b">
        <v>1</v>
      </c>
      <c r="AD959" t="b">
        <v>1</v>
      </c>
      <c r="AE959" t="b">
        <v>1</v>
      </c>
      <c r="AF959" t="b">
        <v>1</v>
      </c>
      <c r="AG959" t="b">
        <v>1</v>
      </c>
    </row>
    <row r="960" spans="1:33" x14ac:dyDescent="0.25">
      <c r="A960" t="s">
        <v>33</v>
      </c>
      <c r="B960">
        <v>15</v>
      </c>
      <c r="C960" t="b">
        <v>1</v>
      </c>
      <c r="D960" t="s">
        <v>3311</v>
      </c>
      <c r="E960" t="s">
        <v>3340</v>
      </c>
      <c r="F960" t="s">
        <v>3539</v>
      </c>
      <c r="G960" t="s">
        <v>3540</v>
      </c>
      <c r="H960">
        <v>959</v>
      </c>
      <c r="I960" t="str">
        <f>IF(ISBLANK(Table1[[#This Row],[oid]]),"FALSE","TRUE")</f>
        <v>TRUE</v>
      </c>
      <c r="J960" t="str" cm="1">
        <f t="array" ref="J960">_xlfn.SWITCH(LEFT(Table1[[#This Row],[section]],1), "D", "Demographic", "S", "Social", "E", "Economic", "H", "Housing", "")</f>
        <v>Social</v>
      </c>
      <c r="K960" s="1" t="s">
        <v>3343</v>
      </c>
      <c r="L960" s="1" t="s">
        <v>3344</v>
      </c>
      <c r="M960" t="str">
        <f>IF(Table1[[#This Row],[used]], _xlfn.CONCAT("🆔 ", Table1[[#This Row],[variable]], ": ",Table1[[#This Row],[alias]]), "")</f>
        <v>🆔 B04006_050E: Israeli</v>
      </c>
      <c r="O960" t="s">
        <v>3541</v>
      </c>
      <c r="P960" t="s">
        <v>3345</v>
      </c>
      <c r="Q960" t="s">
        <v>41</v>
      </c>
      <c r="R960" t="s">
        <v>3542</v>
      </c>
      <c r="S960" t="b">
        <v>1</v>
      </c>
      <c r="T960" t="b">
        <v>1</v>
      </c>
      <c r="U960" t="b">
        <v>1</v>
      </c>
      <c r="V960" t="b">
        <v>1</v>
      </c>
      <c r="W960" t="b">
        <v>1</v>
      </c>
      <c r="X960" t="b">
        <v>1</v>
      </c>
      <c r="Y960" t="b">
        <v>1</v>
      </c>
      <c r="Z960" t="b">
        <v>1</v>
      </c>
      <c r="AA960" t="b">
        <v>1</v>
      </c>
      <c r="AB960" t="b">
        <v>1</v>
      </c>
      <c r="AC960" t="b">
        <v>1</v>
      </c>
      <c r="AD960" t="b">
        <v>1</v>
      </c>
      <c r="AE960" t="b">
        <v>1</v>
      </c>
      <c r="AF960" t="b">
        <v>1</v>
      </c>
      <c r="AG960" t="b">
        <v>1</v>
      </c>
    </row>
    <row r="961" spans="1:33" x14ac:dyDescent="0.25">
      <c r="A961" t="s">
        <v>33</v>
      </c>
      <c r="B961">
        <v>15</v>
      </c>
      <c r="C961" t="b">
        <v>1</v>
      </c>
      <c r="D961" t="s">
        <v>3311</v>
      </c>
      <c r="E961" t="s">
        <v>3340</v>
      </c>
      <c r="F961" t="s">
        <v>3543</v>
      </c>
      <c r="G961" t="s">
        <v>3544</v>
      </c>
      <c r="H961">
        <v>960</v>
      </c>
      <c r="I961" t="str">
        <f>IF(ISBLANK(Table1[[#This Row],[oid]]),"FALSE","TRUE")</f>
        <v>TRUE</v>
      </c>
      <c r="J961" t="str" cm="1">
        <f t="array" ref="J961">_xlfn.SWITCH(LEFT(Table1[[#This Row],[section]],1), "D", "Demographic", "S", "Social", "E", "Economic", "H", "Housing", "")</f>
        <v>Social</v>
      </c>
      <c r="K961" s="1" t="s">
        <v>3343</v>
      </c>
      <c r="L961" s="1" t="s">
        <v>3344</v>
      </c>
      <c r="M961" t="str">
        <f>IF(Table1[[#This Row],[used]], _xlfn.CONCAT("🆔 ", Table1[[#This Row],[variable]], ": ",Table1[[#This Row],[alias]]), "")</f>
        <v>🆔 B04006_051E: Italian</v>
      </c>
      <c r="O961" t="s">
        <v>3545</v>
      </c>
      <c r="P961" t="s">
        <v>3345</v>
      </c>
      <c r="Q961" t="s">
        <v>41</v>
      </c>
      <c r="R961" t="s">
        <v>3546</v>
      </c>
      <c r="S961" t="b">
        <v>1</v>
      </c>
      <c r="T961" t="b">
        <v>1</v>
      </c>
      <c r="U961" t="b">
        <v>1</v>
      </c>
      <c r="V961" t="b">
        <v>1</v>
      </c>
      <c r="W961" t="b">
        <v>1</v>
      </c>
      <c r="X961" t="b">
        <v>1</v>
      </c>
      <c r="Y961" t="b">
        <v>1</v>
      </c>
      <c r="Z961" t="b">
        <v>1</v>
      </c>
      <c r="AA961" t="b">
        <v>1</v>
      </c>
      <c r="AB961" t="b">
        <v>1</v>
      </c>
      <c r="AC961" t="b">
        <v>1</v>
      </c>
      <c r="AD961" t="b">
        <v>1</v>
      </c>
      <c r="AE961" t="b">
        <v>1</v>
      </c>
      <c r="AF961" t="b">
        <v>1</v>
      </c>
      <c r="AG961" t="b">
        <v>1</v>
      </c>
    </row>
    <row r="962" spans="1:33" x14ac:dyDescent="0.25">
      <c r="A962" t="s">
        <v>33</v>
      </c>
      <c r="B962">
        <v>15</v>
      </c>
      <c r="C962" t="b">
        <v>1</v>
      </c>
      <c r="D962" t="s">
        <v>3311</v>
      </c>
      <c r="E962" t="s">
        <v>3340</v>
      </c>
      <c r="F962" t="s">
        <v>3547</v>
      </c>
      <c r="G962" t="s">
        <v>3548</v>
      </c>
      <c r="H962">
        <v>961</v>
      </c>
      <c r="I962" t="str">
        <f>IF(ISBLANK(Table1[[#This Row],[oid]]),"FALSE","TRUE")</f>
        <v>TRUE</v>
      </c>
      <c r="J962" t="str" cm="1">
        <f t="array" ref="J962">_xlfn.SWITCH(LEFT(Table1[[#This Row],[section]],1), "D", "Demographic", "S", "Social", "E", "Economic", "H", "Housing", "")</f>
        <v>Social</v>
      </c>
      <c r="K962" s="1" t="s">
        <v>3343</v>
      </c>
      <c r="L962" s="1" t="s">
        <v>3344</v>
      </c>
      <c r="M962" t="str">
        <f>IF(Table1[[#This Row],[used]], _xlfn.CONCAT("🆔 ", Table1[[#This Row],[variable]], ": ",Table1[[#This Row],[alias]]), "")</f>
        <v>🆔 B04006_052E: Latvian</v>
      </c>
      <c r="O962" t="s">
        <v>3549</v>
      </c>
      <c r="P962" t="s">
        <v>3345</v>
      </c>
      <c r="Q962" t="s">
        <v>41</v>
      </c>
      <c r="R962" t="s">
        <v>3550</v>
      </c>
      <c r="S962" t="b">
        <v>1</v>
      </c>
      <c r="T962" t="b">
        <v>1</v>
      </c>
      <c r="U962" t="b">
        <v>1</v>
      </c>
      <c r="V962" t="b">
        <v>1</v>
      </c>
      <c r="W962" t="b">
        <v>1</v>
      </c>
      <c r="X962" t="b">
        <v>1</v>
      </c>
      <c r="Y962" t="b">
        <v>1</v>
      </c>
      <c r="Z962" t="b">
        <v>1</v>
      </c>
      <c r="AA962" t="b">
        <v>1</v>
      </c>
      <c r="AB962" t="b">
        <v>1</v>
      </c>
      <c r="AC962" t="b">
        <v>1</v>
      </c>
      <c r="AD962" t="b">
        <v>1</v>
      </c>
      <c r="AE962" t="b">
        <v>1</v>
      </c>
      <c r="AF962" t="b">
        <v>1</v>
      </c>
      <c r="AG962" t="b">
        <v>1</v>
      </c>
    </row>
    <row r="963" spans="1:33" x14ac:dyDescent="0.25">
      <c r="A963" t="s">
        <v>33</v>
      </c>
      <c r="B963">
        <v>15</v>
      </c>
      <c r="C963" t="b">
        <v>1</v>
      </c>
      <c r="D963" t="s">
        <v>3311</v>
      </c>
      <c r="E963" t="s">
        <v>3340</v>
      </c>
      <c r="F963" t="s">
        <v>3551</v>
      </c>
      <c r="G963" t="s">
        <v>3552</v>
      </c>
      <c r="H963">
        <v>962</v>
      </c>
      <c r="I963" t="str">
        <f>IF(ISBLANK(Table1[[#This Row],[oid]]),"FALSE","TRUE")</f>
        <v>TRUE</v>
      </c>
      <c r="J963" t="str" cm="1">
        <f t="array" ref="J963">_xlfn.SWITCH(LEFT(Table1[[#This Row],[section]],1), "D", "Demographic", "S", "Social", "E", "Economic", "H", "Housing", "")</f>
        <v>Social</v>
      </c>
      <c r="K963" s="1" t="s">
        <v>3343</v>
      </c>
      <c r="L963" s="1" t="s">
        <v>3344</v>
      </c>
      <c r="M963" t="str">
        <f>IF(Table1[[#This Row],[used]], _xlfn.CONCAT("🆔 ", Table1[[#This Row],[variable]], ": ",Table1[[#This Row],[alias]]), "")</f>
        <v>🆔 B04006_053E: Lithuanian</v>
      </c>
      <c r="O963" t="s">
        <v>3553</v>
      </c>
      <c r="P963" t="s">
        <v>3345</v>
      </c>
      <c r="Q963" t="s">
        <v>41</v>
      </c>
      <c r="R963" t="s">
        <v>3554</v>
      </c>
      <c r="S963" t="b">
        <v>1</v>
      </c>
      <c r="T963" t="b">
        <v>1</v>
      </c>
      <c r="U963" t="b">
        <v>1</v>
      </c>
      <c r="V963" t="b">
        <v>1</v>
      </c>
      <c r="W963" t="b">
        <v>1</v>
      </c>
      <c r="X963" t="b">
        <v>1</v>
      </c>
      <c r="Y963" t="b">
        <v>1</v>
      </c>
      <c r="Z963" t="b">
        <v>1</v>
      </c>
      <c r="AA963" t="b">
        <v>1</v>
      </c>
      <c r="AB963" t="b">
        <v>1</v>
      </c>
      <c r="AC963" t="b">
        <v>1</v>
      </c>
      <c r="AD963" t="b">
        <v>1</v>
      </c>
      <c r="AE963" t="b">
        <v>1</v>
      </c>
      <c r="AF963" t="b">
        <v>1</v>
      </c>
      <c r="AG963" t="b">
        <v>1</v>
      </c>
    </row>
    <row r="964" spans="1:33" x14ac:dyDescent="0.25">
      <c r="A964" t="s">
        <v>3555</v>
      </c>
      <c r="B964">
        <v>8</v>
      </c>
      <c r="C964" t="b">
        <v>0</v>
      </c>
      <c r="D964" t="s">
        <v>3311</v>
      </c>
      <c r="E964" t="s">
        <v>3340</v>
      </c>
      <c r="F964" t="s">
        <v>3556</v>
      </c>
      <c r="G964" t="s">
        <v>3557</v>
      </c>
      <c r="H964">
        <v>963</v>
      </c>
      <c r="I964" t="str">
        <f>IF(ISBLANK(Table1[[#This Row],[oid]]),"FALSE","TRUE")</f>
        <v>TRUE</v>
      </c>
      <c r="J964" t="str" cm="1">
        <f t="array" ref="J964">_xlfn.SWITCH(LEFT(Table1[[#This Row],[section]],1), "D", "Demographic", "S", "Social", "E", "Economic", "H", "Housing", "")</f>
        <v>Social</v>
      </c>
      <c r="K964" s="1" t="s">
        <v>3343</v>
      </c>
      <c r="L964" s="1" t="s">
        <v>3344</v>
      </c>
      <c r="M964" t="str">
        <f>IF(Table1[[#This Row],[used]], _xlfn.CONCAT("🆔 ", Table1[[#This Row],[variable]], ": ",Table1[[#This Row],[alias]]), "")</f>
        <v>🆔 B04006_054E: Luxemburger</v>
      </c>
      <c r="O964" t="s">
        <v>3558</v>
      </c>
      <c r="P964" t="s">
        <v>3345</v>
      </c>
      <c r="Q964" t="s">
        <v>41</v>
      </c>
      <c r="R964" t="s">
        <v>3559</v>
      </c>
      <c r="S964" t="b">
        <v>1</v>
      </c>
      <c r="T964" t="b">
        <v>1</v>
      </c>
      <c r="U964" t="b">
        <v>1</v>
      </c>
      <c r="V964" t="b">
        <v>1</v>
      </c>
      <c r="W964" t="b">
        <v>1</v>
      </c>
      <c r="X964" t="b">
        <v>1</v>
      </c>
      <c r="Y964" t="b">
        <v>1</v>
      </c>
      <c r="Z964" t="b">
        <v>1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</row>
    <row r="965" spans="1:33" x14ac:dyDescent="0.25">
      <c r="A965" t="s">
        <v>3560</v>
      </c>
      <c r="B965">
        <v>7</v>
      </c>
      <c r="C965" t="b">
        <v>0</v>
      </c>
      <c r="D965" t="s">
        <v>3311</v>
      </c>
      <c r="E965" t="s">
        <v>3340</v>
      </c>
      <c r="F965" t="s">
        <v>3556</v>
      </c>
      <c r="G965" t="s">
        <v>3561</v>
      </c>
      <c r="H965">
        <v>964</v>
      </c>
      <c r="I965" t="str">
        <f>IF(ISBLANK(Table1[[#This Row],[oid]]),"FALSE","TRUE")</f>
        <v>TRUE</v>
      </c>
      <c r="J965" t="str" cm="1">
        <f t="array" ref="J965">_xlfn.SWITCH(LEFT(Table1[[#This Row],[section]],1), "D", "Demographic", "S", "Social", "E", "Economic", "H", "Housing", "")</f>
        <v>Social</v>
      </c>
      <c r="K965" s="1" t="s">
        <v>3343</v>
      </c>
      <c r="L965" s="1" t="s">
        <v>3344</v>
      </c>
      <c r="M965" t="str">
        <f>IF(Table1[[#This Row],[used]], _xlfn.CONCAT("🆔 ", Table1[[#This Row],[variable]], ": ",Table1[[#This Row],[alias]]), "")</f>
        <v>🆔 B04006_054E: Luxembourger</v>
      </c>
      <c r="O965" t="s">
        <v>3562</v>
      </c>
      <c r="P965" t="s">
        <v>3345</v>
      </c>
      <c r="Q965" t="s">
        <v>41</v>
      </c>
      <c r="R965" t="s">
        <v>3559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1</v>
      </c>
      <c r="AB965" t="b">
        <v>1</v>
      </c>
      <c r="AC965" t="b">
        <v>1</v>
      </c>
      <c r="AD965" t="b">
        <v>1</v>
      </c>
      <c r="AE965" t="b">
        <v>1</v>
      </c>
      <c r="AF965" t="b">
        <v>1</v>
      </c>
      <c r="AG965" t="b">
        <v>1</v>
      </c>
    </row>
    <row r="966" spans="1:33" x14ac:dyDescent="0.25">
      <c r="A966" t="s">
        <v>33</v>
      </c>
      <c r="B966">
        <v>15</v>
      </c>
      <c r="C966" t="b">
        <v>1</v>
      </c>
      <c r="D966" t="s">
        <v>3311</v>
      </c>
      <c r="E966" t="s">
        <v>3340</v>
      </c>
      <c r="F966" t="s">
        <v>3563</v>
      </c>
      <c r="G966" t="s">
        <v>3564</v>
      </c>
      <c r="H966">
        <v>965</v>
      </c>
      <c r="I966" t="str">
        <f>IF(ISBLANK(Table1[[#This Row],[oid]]),"FALSE","TRUE")</f>
        <v>TRUE</v>
      </c>
      <c r="J966" t="str" cm="1">
        <f t="array" ref="J966">_xlfn.SWITCH(LEFT(Table1[[#This Row],[section]],1), "D", "Demographic", "S", "Social", "E", "Economic", "H", "Housing", "")</f>
        <v>Social</v>
      </c>
      <c r="K966" s="1" t="s">
        <v>3343</v>
      </c>
      <c r="L966" s="1" t="s">
        <v>3344</v>
      </c>
      <c r="M966" t="str">
        <f>IF(Table1[[#This Row],[used]], _xlfn.CONCAT("🆔 ", Table1[[#This Row],[variable]], ": ",Table1[[#This Row],[alias]]), "")</f>
        <v>🆔 B04006_055E: Macedonian</v>
      </c>
      <c r="O966" t="s">
        <v>3565</v>
      </c>
      <c r="P966" t="s">
        <v>3345</v>
      </c>
      <c r="Q966" t="s">
        <v>41</v>
      </c>
      <c r="R966" t="s">
        <v>3566</v>
      </c>
      <c r="S966" t="b">
        <v>1</v>
      </c>
      <c r="T966" t="b">
        <v>1</v>
      </c>
      <c r="U966" t="b">
        <v>1</v>
      </c>
      <c r="V966" t="b">
        <v>1</v>
      </c>
      <c r="W966" t="b">
        <v>1</v>
      </c>
      <c r="X966" t="b">
        <v>1</v>
      </c>
      <c r="Y966" t="b">
        <v>1</v>
      </c>
      <c r="Z966" t="b">
        <v>1</v>
      </c>
      <c r="AA966" t="b">
        <v>1</v>
      </c>
      <c r="AB966" t="b">
        <v>1</v>
      </c>
      <c r="AC966" t="b">
        <v>1</v>
      </c>
      <c r="AD966" t="b">
        <v>1</v>
      </c>
      <c r="AE966" t="b">
        <v>1</v>
      </c>
      <c r="AF966" t="b">
        <v>1</v>
      </c>
      <c r="AG966" t="b">
        <v>1</v>
      </c>
    </row>
    <row r="967" spans="1:33" x14ac:dyDescent="0.25">
      <c r="A967" t="s">
        <v>33</v>
      </c>
      <c r="B967">
        <v>15</v>
      </c>
      <c r="C967" t="b">
        <v>1</v>
      </c>
      <c r="D967" t="s">
        <v>3311</v>
      </c>
      <c r="E967" t="s">
        <v>3340</v>
      </c>
      <c r="F967" t="s">
        <v>3567</v>
      </c>
      <c r="G967" t="s">
        <v>3568</v>
      </c>
      <c r="H967">
        <v>966</v>
      </c>
      <c r="I967" t="str">
        <f>IF(ISBLANK(Table1[[#This Row],[oid]]),"FALSE","TRUE")</f>
        <v>TRUE</v>
      </c>
      <c r="J967" t="str" cm="1">
        <f t="array" ref="J967">_xlfn.SWITCH(LEFT(Table1[[#This Row],[section]],1), "D", "Demographic", "S", "Social", "E", "Economic", "H", "Housing", "")</f>
        <v>Social</v>
      </c>
      <c r="K967" s="1" t="s">
        <v>3343</v>
      </c>
      <c r="L967" s="1" t="s">
        <v>3344</v>
      </c>
      <c r="M967" t="str">
        <f>IF(Table1[[#This Row],[used]], _xlfn.CONCAT("🆔 ", Table1[[#This Row],[variable]], ": ",Table1[[#This Row],[alias]]), "")</f>
        <v>🆔 B04006_056E: Maltese</v>
      </c>
      <c r="O967" t="s">
        <v>3569</v>
      </c>
      <c r="P967" t="s">
        <v>3345</v>
      </c>
      <c r="Q967" t="s">
        <v>41</v>
      </c>
      <c r="R967" t="s">
        <v>3570</v>
      </c>
      <c r="S967" t="b">
        <v>1</v>
      </c>
      <c r="T967" t="b">
        <v>1</v>
      </c>
      <c r="U967" t="b">
        <v>1</v>
      </c>
      <c r="V967" t="b">
        <v>1</v>
      </c>
      <c r="W967" t="b">
        <v>1</v>
      </c>
      <c r="X967" t="b">
        <v>1</v>
      </c>
      <c r="Y967" t="b">
        <v>1</v>
      </c>
      <c r="Z967" t="b">
        <v>1</v>
      </c>
      <c r="AA967" t="b">
        <v>1</v>
      </c>
      <c r="AB967" t="b">
        <v>1</v>
      </c>
      <c r="AC967" t="b">
        <v>1</v>
      </c>
      <c r="AD967" t="b">
        <v>1</v>
      </c>
      <c r="AE967" t="b">
        <v>1</v>
      </c>
      <c r="AF967" t="b">
        <v>1</v>
      </c>
      <c r="AG967" t="b">
        <v>1</v>
      </c>
    </row>
    <row r="968" spans="1:33" x14ac:dyDescent="0.25">
      <c r="A968" t="s">
        <v>33</v>
      </c>
      <c r="B968">
        <v>15</v>
      </c>
      <c r="C968" t="b">
        <v>1</v>
      </c>
      <c r="D968" t="s">
        <v>3311</v>
      </c>
      <c r="E968" t="s">
        <v>3340</v>
      </c>
      <c r="F968" t="s">
        <v>3571</v>
      </c>
      <c r="G968" t="s">
        <v>3572</v>
      </c>
      <c r="H968">
        <v>967</v>
      </c>
      <c r="I968" t="str">
        <f>IF(ISBLANK(Table1[[#This Row],[oid]]),"FALSE","TRUE")</f>
        <v>TRUE</v>
      </c>
      <c r="J968" t="str" cm="1">
        <f t="array" ref="J968">_xlfn.SWITCH(LEFT(Table1[[#This Row],[section]],1), "D", "Demographic", "S", "Social", "E", "Economic", "H", "Housing", "")</f>
        <v>Social</v>
      </c>
      <c r="K968" s="1" t="s">
        <v>3343</v>
      </c>
      <c r="L968" s="1" t="s">
        <v>3344</v>
      </c>
      <c r="M968" t="str">
        <f>IF(Table1[[#This Row],[used]], _xlfn.CONCAT("🆔 ", Table1[[#This Row],[variable]], ": ",Table1[[#This Row],[alias]]), "")</f>
        <v>🆔 B04006_057E: New Zealander</v>
      </c>
      <c r="O968" t="s">
        <v>3573</v>
      </c>
      <c r="P968" t="s">
        <v>3345</v>
      </c>
      <c r="Q968" t="s">
        <v>41</v>
      </c>
      <c r="R968" t="s">
        <v>3574</v>
      </c>
      <c r="S968" t="b">
        <v>1</v>
      </c>
      <c r="T968" t="b">
        <v>1</v>
      </c>
      <c r="U968" t="b">
        <v>1</v>
      </c>
      <c r="V968" t="b">
        <v>1</v>
      </c>
      <c r="W968" t="b">
        <v>1</v>
      </c>
      <c r="X968" t="b">
        <v>1</v>
      </c>
      <c r="Y968" t="b">
        <v>1</v>
      </c>
      <c r="Z968" t="b">
        <v>1</v>
      </c>
      <c r="AA968" t="b">
        <v>1</v>
      </c>
      <c r="AB968" t="b">
        <v>1</v>
      </c>
      <c r="AC968" t="b">
        <v>1</v>
      </c>
      <c r="AD968" t="b">
        <v>1</v>
      </c>
      <c r="AE968" t="b">
        <v>1</v>
      </c>
      <c r="AF968" t="b">
        <v>1</v>
      </c>
      <c r="AG968" t="b">
        <v>1</v>
      </c>
    </row>
    <row r="969" spans="1:33" x14ac:dyDescent="0.25">
      <c r="A969" t="s">
        <v>33</v>
      </c>
      <c r="B969">
        <v>15</v>
      </c>
      <c r="C969" t="b">
        <v>1</v>
      </c>
      <c r="D969" t="s">
        <v>3311</v>
      </c>
      <c r="E969" t="s">
        <v>3340</v>
      </c>
      <c r="F969" t="s">
        <v>3575</v>
      </c>
      <c r="G969" t="s">
        <v>3576</v>
      </c>
      <c r="H969">
        <v>968</v>
      </c>
      <c r="I969" t="str">
        <f>IF(ISBLANK(Table1[[#This Row],[oid]]),"FALSE","TRUE")</f>
        <v>TRUE</v>
      </c>
      <c r="J969" t="str" cm="1">
        <f t="array" ref="J969">_xlfn.SWITCH(LEFT(Table1[[#This Row],[section]],1), "D", "Demographic", "S", "Social", "E", "Economic", "H", "Housing", "")</f>
        <v>Social</v>
      </c>
      <c r="K969" s="1" t="s">
        <v>3343</v>
      </c>
      <c r="L969" s="1" t="s">
        <v>3344</v>
      </c>
      <c r="M969" t="str">
        <f>IF(Table1[[#This Row],[used]], _xlfn.CONCAT("🆔 ", Table1[[#This Row],[variable]], ": ",Table1[[#This Row],[alias]]), "")</f>
        <v>🆔 B04006_058E: Northern European</v>
      </c>
      <c r="O969" t="s">
        <v>3577</v>
      </c>
      <c r="P969" t="s">
        <v>3345</v>
      </c>
      <c r="Q969" t="s">
        <v>41</v>
      </c>
      <c r="R969" t="s">
        <v>3578</v>
      </c>
      <c r="S969" t="b">
        <v>1</v>
      </c>
      <c r="T969" t="b">
        <v>1</v>
      </c>
      <c r="U969" t="b">
        <v>1</v>
      </c>
      <c r="V969" t="b">
        <v>1</v>
      </c>
      <c r="W969" t="b">
        <v>1</v>
      </c>
      <c r="X969" t="b">
        <v>1</v>
      </c>
      <c r="Y969" t="b">
        <v>1</v>
      </c>
      <c r="Z969" t="b">
        <v>1</v>
      </c>
      <c r="AA969" t="b">
        <v>1</v>
      </c>
      <c r="AB969" t="b">
        <v>1</v>
      </c>
      <c r="AC969" t="b">
        <v>1</v>
      </c>
      <c r="AD969" t="b">
        <v>1</v>
      </c>
      <c r="AE969" t="b">
        <v>1</v>
      </c>
      <c r="AF969" t="b">
        <v>1</v>
      </c>
      <c r="AG969" t="b">
        <v>1</v>
      </c>
    </row>
    <row r="970" spans="1:33" x14ac:dyDescent="0.25">
      <c r="A970" t="s">
        <v>33</v>
      </c>
      <c r="B970">
        <v>15</v>
      </c>
      <c r="C970" t="b">
        <v>1</v>
      </c>
      <c r="D970" t="s">
        <v>3311</v>
      </c>
      <c r="E970" t="s">
        <v>3340</v>
      </c>
      <c r="F970" t="s">
        <v>3579</v>
      </c>
      <c r="G970" t="s">
        <v>3580</v>
      </c>
      <c r="H970">
        <v>969</v>
      </c>
      <c r="I970" t="str">
        <f>IF(ISBLANK(Table1[[#This Row],[oid]]),"FALSE","TRUE")</f>
        <v>TRUE</v>
      </c>
      <c r="J970" t="str" cm="1">
        <f t="array" ref="J970">_xlfn.SWITCH(LEFT(Table1[[#This Row],[section]],1), "D", "Demographic", "S", "Social", "E", "Economic", "H", "Housing", "")</f>
        <v>Social</v>
      </c>
      <c r="K970" s="1" t="s">
        <v>3343</v>
      </c>
      <c r="L970" s="1" t="s">
        <v>3344</v>
      </c>
      <c r="M970" t="str">
        <f>IF(Table1[[#This Row],[used]], _xlfn.CONCAT("🆔 ", Table1[[#This Row],[variable]], ": ",Table1[[#This Row],[alias]]), "")</f>
        <v>🆔 B04006_059E: Norwegian</v>
      </c>
      <c r="O970" t="s">
        <v>3581</v>
      </c>
      <c r="P970" t="s">
        <v>3345</v>
      </c>
      <c r="Q970" t="s">
        <v>41</v>
      </c>
      <c r="R970" t="s">
        <v>3582</v>
      </c>
      <c r="S970" t="b">
        <v>1</v>
      </c>
      <c r="T970" t="b">
        <v>1</v>
      </c>
      <c r="U970" t="b">
        <v>1</v>
      </c>
      <c r="V970" t="b">
        <v>1</v>
      </c>
      <c r="W970" t="b">
        <v>1</v>
      </c>
      <c r="X970" t="b">
        <v>1</v>
      </c>
      <c r="Y970" t="b">
        <v>1</v>
      </c>
      <c r="Z970" t="b">
        <v>1</v>
      </c>
      <c r="AA970" t="b">
        <v>1</v>
      </c>
      <c r="AB970" t="b">
        <v>1</v>
      </c>
      <c r="AC970" t="b">
        <v>1</v>
      </c>
      <c r="AD970" t="b">
        <v>1</v>
      </c>
      <c r="AE970" t="b">
        <v>1</v>
      </c>
      <c r="AF970" t="b">
        <v>1</v>
      </c>
      <c r="AG970" t="b">
        <v>1</v>
      </c>
    </row>
    <row r="971" spans="1:33" x14ac:dyDescent="0.25">
      <c r="A971" t="s">
        <v>33</v>
      </c>
      <c r="B971">
        <v>15</v>
      </c>
      <c r="C971" t="b">
        <v>1</v>
      </c>
      <c r="D971" t="s">
        <v>3311</v>
      </c>
      <c r="E971" t="s">
        <v>3340</v>
      </c>
      <c r="F971" t="s">
        <v>3583</v>
      </c>
      <c r="G971" t="s">
        <v>3584</v>
      </c>
      <c r="H971">
        <v>970</v>
      </c>
      <c r="I971" t="str">
        <f>IF(ISBLANK(Table1[[#This Row],[oid]]),"FALSE","TRUE")</f>
        <v>TRUE</v>
      </c>
      <c r="J971" t="str" cm="1">
        <f t="array" ref="J971">_xlfn.SWITCH(LEFT(Table1[[#This Row],[section]],1), "D", "Demographic", "S", "Social", "E", "Economic", "H", "Housing", "")</f>
        <v>Social</v>
      </c>
      <c r="K971" s="1" t="s">
        <v>3343</v>
      </c>
      <c r="L971" s="1" t="s">
        <v>3344</v>
      </c>
      <c r="M971" t="str">
        <f>IF(Table1[[#This Row],[used]], _xlfn.CONCAT("🆔 ", Table1[[#This Row],[variable]], ": ",Table1[[#This Row],[alias]]), "")</f>
        <v>🆔 B04006_060E: Pennsylvania German</v>
      </c>
      <c r="O971" t="s">
        <v>3585</v>
      </c>
      <c r="P971" t="s">
        <v>3345</v>
      </c>
      <c r="Q971" t="s">
        <v>41</v>
      </c>
      <c r="R971" t="s">
        <v>3586</v>
      </c>
      <c r="S971" t="b">
        <v>1</v>
      </c>
      <c r="T971" t="b">
        <v>1</v>
      </c>
      <c r="U971" t="b">
        <v>1</v>
      </c>
      <c r="V971" t="b">
        <v>1</v>
      </c>
      <c r="W971" t="b">
        <v>1</v>
      </c>
      <c r="X971" t="b">
        <v>1</v>
      </c>
      <c r="Y971" t="b">
        <v>1</v>
      </c>
      <c r="Z971" t="b">
        <v>1</v>
      </c>
      <c r="AA971" t="b">
        <v>1</v>
      </c>
      <c r="AB971" t="b">
        <v>1</v>
      </c>
      <c r="AC971" t="b">
        <v>1</v>
      </c>
      <c r="AD971" t="b">
        <v>1</v>
      </c>
      <c r="AE971" t="b">
        <v>1</v>
      </c>
      <c r="AF971" t="b">
        <v>1</v>
      </c>
      <c r="AG971" t="b">
        <v>1</v>
      </c>
    </row>
    <row r="972" spans="1:33" x14ac:dyDescent="0.25">
      <c r="A972" t="s">
        <v>33</v>
      </c>
      <c r="B972">
        <v>15</v>
      </c>
      <c r="C972" t="b">
        <v>1</v>
      </c>
      <c r="D972" t="s">
        <v>3311</v>
      </c>
      <c r="E972" t="s">
        <v>3340</v>
      </c>
      <c r="F972" t="s">
        <v>3587</v>
      </c>
      <c r="G972" t="s">
        <v>3588</v>
      </c>
      <c r="H972">
        <v>971</v>
      </c>
      <c r="I972" t="str">
        <f>IF(ISBLANK(Table1[[#This Row],[oid]]),"FALSE","TRUE")</f>
        <v>TRUE</v>
      </c>
      <c r="J972" t="str" cm="1">
        <f t="array" ref="J972">_xlfn.SWITCH(LEFT(Table1[[#This Row],[section]],1), "D", "Demographic", "S", "Social", "E", "Economic", "H", "Housing", "")</f>
        <v>Social</v>
      </c>
      <c r="K972" s="1" t="s">
        <v>3343</v>
      </c>
      <c r="L972" s="1" t="s">
        <v>3344</v>
      </c>
      <c r="M972" t="str">
        <f>IF(Table1[[#This Row],[used]], _xlfn.CONCAT("🆔 ", Table1[[#This Row],[variable]], ": ",Table1[[#This Row],[alias]]), "")</f>
        <v>🆔 B04006_061E: Polish</v>
      </c>
      <c r="O972" t="s">
        <v>3589</v>
      </c>
      <c r="P972" t="s">
        <v>3345</v>
      </c>
      <c r="Q972" t="s">
        <v>41</v>
      </c>
      <c r="R972" t="s">
        <v>3590</v>
      </c>
      <c r="S972" t="b">
        <v>1</v>
      </c>
      <c r="T972" t="b">
        <v>1</v>
      </c>
      <c r="U972" t="b">
        <v>1</v>
      </c>
      <c r="V972" t="b">
        <v>1</v>
      </c>
      <c r="W972" t="b">
        <v>1</v>
      </c>
      <c r="X972" t="b">
        <v>1</v>
      </c>
      <c r="Y972" t="b">
        <v>1</v>
      </c>
      <c r="Z972" t="b">
        <v>1</v>
      </c>
      <c r="AA972" t="b">
        <v>1</v>
      </c>
      <c r="AB972" t="b">
        <v>1</v>
      </c>
      <c r="AC972" t="b">
        <v>1</v>
      </c>
      <c r="AD972" t="b">
        <v>1</v>
      </c>
      <c r="AE972" t="b">
        <v>1</v>
      </c>
      <c r="AF972" t="b">
        <v>1</v>
      </c>
      <c r="AG972" t="b">
        <v>1</v>
      </c>
    </row>
    <row r="973" spans="1:33" x14ac:dyDescent="0.25">
      <c r="A973" t="s">
        <v>33</v>
      </c>
      <c r="B973">
        <v>15</v>
      </c>
      <c r="C973" t="b">
        <v>1</v>
      </c>
      <c r="D973" t="s">
        <v>3311</v>
      </c>
      <c r="E973" t="s">
        <v>3340</v>
      </c>
      <c r="F973" t="s">
        <v>3591</v>
      </c>
      <c r="G973" t="s">
        <v>3592</v>
      </c>
      <c r="H973">
        <v>972</v>
      </c>
      <c r="I973" t="str">
        <f>IF(ISBLANK(Table1[[#This Row],[oid]]),"FALSE","TRUE")</f>
        <v>TRUE</v>
      </c>
      <c r="J973" t="str" cm="1">
        <f t="array" ref="J973">_xlfn.SWITCH(LEFT(Table1[[#This Row],[section]],1), "D", "Demographic", "S", "Social", "E", "Economic", "H", "Housing", "")</f>
        <v>Social</v>
      </c>
      <c r="K973" s="1" t="s">
        <v>3343</v>
      </c>
      <c r="L973" s="1" t="s">
        <v>3344</v>
      </c>
      <c r="M973" t="str">
        <f>IF(Table1[[#This Row],[used]], _xlfn.CONCAT("🆔 ", Table1[[#This Row],[variable]], ": ",Table1[[#This Row],[alias]]), "")</f>
        <v>🆔 B04006_062E: Portuguese</v>
      </c>
      <c r="O973" t="s">
        <v>3593</v>
      </c>
      <c r="P973" t="s">
        <v>3345</v>
      </c>
      <c r="Q973" t="s">
        <v>41</v>
      </c>
      <c r="R973" t="s">
        <v>3594</v>
      </c>
      <c r="S973" t="b">
        <v>1</v>
      </c>
      <c r="T973" t="b">
        <v>1</v>
      </c>
      <c r="U973" t="b">
        <v>1</v>
      </c>
      <c r="V973" t="b">
        <v>1</v>
      </c>
      <c r="W973" t="b">
        <v>1</v>
      </c>
      <c r="X973" t="b">
        <v>1</v>
      </c>
      <c r="Y973" t="b">
        <v>1</v>
      </c>
      <c r="Z973" t="b">
        <v>1</v>
      </c>
      <c r="AA973" t="b">
        <v>1</v>
      </c>
      <c r="AB973" t="b">
        <v>1</v>
      </c>
      <c r="AC973" t="b">
        <v>1</v>
      </c>
      <c r="AD973" t="b">
        <v>1</v>
      </c>
      <c r="AE973" t="b">
        <v>1</v>
      </c>
      <c r="AF973" t="b">
        <v>1</v>
      </c>
      <c r="AG973" t="b">
        <v>1</v>
      </c>
    </row>
    <row r="974" spans="1:33" x14ac:dyDescent="0.25">
      <c r="A974" t="s">
        <v>33</v>
      </c>
      <c r="B974">
        <v>15</v>
      </c>
      <c r="C974" t="b">
        <v>1</v>
      </c>
      <c r="D974" t="s">
        <v>3311</v>
      </c>
      <c r="E974" t="s">
        <v>3340</v>
      </c>
      <c r="F974" t="s">
        <v>3595</v>
      </c>
      <c r="G974" t="s">
        <v>3596</v>
      </c>
      <c r="H974">
        <v>973</v>
      </c>
      <c r="I974" t="str">
        <f>IF(ISBLANK(Table1[[#This Row],[oid]]),"FALSE","TRUE")</f>
        <v>TRUE</v>
      </c>
      <c r="J974" t="str" cm="1">
        <f t="array" ref="J974">_xlfn.SWITCH(LEFT(Table1[[#This Row],[section]],1), "D", "Demographic", "S", "Social", "E", "Economic", "H", "Housing", "")</f>
        <v>Social</v>
      </c>
      <c r="K974" s="1" t="s">
        <v>3343</v>
      </c>
      <c r="L974" s="1" t="s">
        <v>3344</v>
      </c>
      <c r="M974" t="str">
        <f>IF(Table1[[#This Row],[used]], _xlfn.CONCAT("🆔 ", Table1[[#This Row],[variable]], ": ",Table1[[#This Row],[alias]]), "")</f>
        <v>🆔 B04006_063E: Romanian</v>
      </c>
      <c r="O974" t="s">
        <v>3597</v>
      </c>
      <c r="P974" t="s">
        <v>3345</v>
      </c>
      <c r="Q974" t="s">
        <v>41</v>
      </c>
      <c r="R974" t="s">
        <v>3598</v>
      </c>
      <c r="S974" t="b">
        <v>1</v>
      </c>
      <c r="T974" t="b">
        <v>1</v>
      </c>
      <c r="U974" t="b">
        <v>1</v>
      </c>
      <c r="V974" t="b">
        <v>1</v>
      </c>
      <c r="W974" t="b">
        <v>1</v>
      </c>
      <c r="X974" t="b">
        <v>1</v>
      </c>
      <c r="Y974" t="b">
        <v>1</v>
      </c>
      <c r="Z974" t="b">
        <v>1</v>
      </c>
      <c r="AA974" t="b">
        <v>1</v>
      </c>
      <c r="AB974" t="b">
        <v>1</v>
      </c>
      <c r="AC974" t="b">
        <v>1</v>
      </c>
      <c r="AD974" t="b">
        <v>1</v>
      </c>
      <c r="AE974" t="b">
        <v>1</v>
      </c>
      <c r="AF974" t="b">
        <v>1</v>
      </c>
      <c r="AG974" t="b">
        <v>1</v>
      </c>
    </row>
    <row r="975" spans="1:33" x14ac:dyDescent="0.25">
      <c r="A975" t="s">
        <v>33</v>
      </c>
      <c r="B975">
        <v>15</v>
      </c>
      <c r="C975" t="b">
        <v>1</v>
      </c>
      <c r="D975" t="s">
        <v>3311</v>
      </c>
      <c r="E975" t="s">
        <v>3340</v>
      </c>
      <c r="F975" t="s">
        <v>3599</v>
      </c>
      <c r="G975" t="s">
        <v>3600</v>
      </c>
      <c r="H975">
        <v>974</v>
      </c>
      <c r="I975" t="str">
        <f>IF(ISBLANK(Table1[[#This Row],[oid]]),"FALSE","TRUE")</f>
        <v>TRUE</v>
      </c>
      <c r="J975" t="str" cm="1">
        <f t="array" ref="J975">_xlfn.SWITCH(LEFT(Table1[[#This Row],[section]],1), "D", "Demographic", "S", "Social", "E", "Economic", "H", "Housing", "")</f>
        <v>Social</v>
      </c>
      <c r="K975" s="1" t="s">
        <v>3343</v>
      </c>
      <c r="L975" s="1" t="s">
        <v>3344</v>
      </c>
      <c r="M975" t="str">
        <f>IF(Table1[[#This Row],[used]], _xlfn.CONCAT("🆔 ", Table1[[#This Row],[variable]], ": ",Table1[[#This Row],[alias]]), "")</f>
        <v>🆔 B04006_064E: Russian</v>
      </c>
      <c r="O975" t="s">
        <v>3601</v>
      </c>
      <c r="P975" t="s">
        <v>3345</v>
      </c>
      <c r="Q975" t="s">
        <v>41</v>
      </c>
      <c r="R975" t="s">
        <v>3602</v>
      </c>
      <c r="S975" t="b">
        <v>1</v>
      </c>
      <c r="T975" t="b">
        <v>1</v>
      </c>
      <c r="U975" t="b">
        <v>1</v>
      </c>
      <c r="V975" t="b">
        <v>1</v>
      </c>
      <c r="W975" t="b">
        <v>1</v>
      </c>
      <c r="X975" t="b">
        <v>1</v>
      </c>
      <c r="Y975" t="b">
        <v>1</v>
      </c>
      <c r="Z975" t="b">
        <v>1</v>
      </c>
      <c r="AA975" t="b">
        <v>1</v>
      </c>
      <c r="AB975" t="b">
        <v>1</v>
      </c>
      <c r="AC975" t="b">
        <v>1</v>
      </c>
      <c r="AD975" t="b">
        <v>1</v>
      </c>
      <c r="AE975" t="b">
        <v>1</v>
      </c>
      <c r="AF975" t="b">
        <v>1</v>
      </c>
      <c r="AG975" t="b">
        <v>1</v>
      </c>
    </row>
    <row r="976" spans="1:33" x14ac:dyDescent="0.25">
      <c r="A976" t="s">
        <v>33</v>
      </c>
      <c r="B976">
        <v>15</v>
      </c>
      <c r="C976" t="b">
        <v>1</v>
      </c>
      <c r="D976" t="s">
        <v>3311</v>
      </c>
      <c r="E976" t="s">
        <v>3340</v>
      </c>
      <c r="F976" t="s">
        <v>3603</v>
      </c>
      <c r="G976" t="s">
        <v>3604</v>
      </c>
      <c r="H976">
        <v>975</v>
      </c>
      <c r="I976" t="str">
        <f>IF(ISBLANK(Table1[[#This Row],[oid]]),"FALSE","TRUE")</f>
        <v>TRUE</v>
      </c>
      <c r="J976" t="str" cm="1">
        <f t="array" ref="J976">_xlfn.SWITCH(LEFT(Table1[[#This Row],[section]],1), "D", "Demographic", "S", "Social", "E", "Economic", "H", "Housing", "")</f>
        <v>Social</v>
      </c>
      <c r="K976" s="1" t="s">
        <v>3343</v>
      </c>
      <c r="L976" s="1" t="s">
        <v>3344</v>
      </c>
      <c r="M976" t="str">
        <f>IF(Table1[[#This Row],[used]], _xlfn.CONCAT("🆔 ", Table1[[#This Row],[variable]], ": ",Table1[[#This Row],[alias]]), "")</f>
        <v>🆔 B04006_065E: Scandinavian</v>
      </c>
      <c r="O976" t="s">
        <v>3605</v>
      </c>
      <c r="P976" t="s">
        <v>3345</v>
      </c>
      <c r="Q976" t="s">
        <v>41</v>
      </c>
      <c r="R976" t="s">
        <v>3606</v>
      </c>
      <c r="S976" t="b">
        <v>1</v>
      </c>
      <c r="T976" t="b">
        <v>1</v>
      </c>
      <c r="U976" t="b">
        <v>1</v>
      </c>
      <c r="V976" t="b">
        <v>1</v>
      </c>
      <c r="W976" t="b">
        <v>1</v>
      </c>
      <c r="X976" t="b">
        <v>1</v>
      </c>
      <c r="Y976" t="b">
        <v>1</v>
      </c>
      <c r="Z976" t="b">
        <v>1</v>
      </c>
      <c r="AA976" t="b">
        <v>1</v>
      </c>
      <c r="AB976" t="b">
        <v>1</v>
      </c>
      <c r="AC976" t="b">
        <v>1</v>
      </c>
      <c r="AD976" t="b">
        <v>1</v>
      </c>
      <c r="AE976" t="b">
        <v>1</v>
      </c>
      <c r="AF976" t="b">
        <v>1</v>
      </c>
      <c r="AG976" t="b">
        <v>1</v>
      </c>
    </row>
    <row r="977" spans="1:33" x14ac:dyDescent="0.25">
      <c r="A977" t="s">
        <v>33</v>
      </c>
      <c r="B977">
        <v>15</v>
      </c>
      <c r="C977" t="b">
        <v>1</v>
      </c>
      <c r="D977" t="s">
        <v>3311</v>
      </c>
      <c r="E977" t="s">
        <v>3340</v>
      </c>
      <c r="F977" t="s">
        <v>3607</v>
      </c>
      <c r="G977" t="s">
        <v>3608</v>
      </c>
      <c r="H977">
        <v>976</v>
      </c>
      <c r="I977" t="str">
        <f>IF(ISBLANK(Table1[[#This Row],[oid]]),"FALSE","TRUE")</f>
        <v>TRUE</v>
      </c>
      <c r="J977" t="str" cm="1">
        <f t="array" ref="J977">_xlfn.SWITCH(LEFT(Table1[[#This Row],[section]],1), "D", "Demographic", "S", "Social", "E", "Economic", "H", "Housing", "")</f>
        <v>Social</v>
      </c>
      <c r="K977" s="1" t="s">
        <v>3343</v>
      </c>
      <c r="L977" s="1" t="s">
        <v>3344</v>
      </c>
      <c r="M977" t="str">
        <f>IF(Table1[[#This Row],[used]], _xlfn.CONCAT("🆔 ", Table1[[#This Row],[variable]], ": ",Table1[[#This Row],[alias]]), "")</f>
        <v>🆔 B04006_066E: Scotch-Irish</v>
      </c>
      <c r="O977" t="s">
        <v>3609</v>
      </c>
      <c r="P977" t="s">
        <v>3345</v>
      </c>
      <c r="Q977" t="s">
        <v>41</v>
      </c>
      <c r="R977" t="s">
        <v>3610</v>
      </c>
      <c r="S977" t="b">
        <v>1</v>
      </c>
      <c r="T977" t="b">
        <v>1</v>
      </c>
      <c r="U977" t="b">
        <v>1</v>
      </c>
      <c r="V977" t="b">
        <v>1</v>
      </c>
      <c r="W977" t="b">
        <v>1</v>
      </c>
      <c r="X977" t="b">
        <v>1</v>
      </c>
      <c r="Y977" t="b">
        <v>1</v>
      </c>
      <c r="Z977" t="b">
        <v>1</v>
      </c>
      <c r="AA977" t="b">
        <v>1</v>
      </c>
      <c r="AB977" t="b">
        <v>1</v>
      </c>
      <c r="AC977" t="b">
        <v>1</v>
      </c>
      <c r="AD977" t="b">
        <v>1</v>
      </c>
      <c r="AE977" t="b">
        <v>1</v>
      </c>
      <c r="AF977" t="b">
        <v>1</v>
      </c>
      <c r="AG977" t="b">
        <v>1</v>
      </c>
    </row>
    <row r="978" spans="1:33" x14ac:dyDescent="0.25">
      <c r="A978" t="s">
        <v>33</v>
      </c>
      <c r="B978">
        <v>15</v>
      </c>
      <c r="C978" t="b">
        <v>1</v>
      </c>
      <c r="D978" t="s">
        <v>3311</v>
      </c>
      <c r="E978" t="s">
        <v>3340</v>
      </c>
      <c r="F978" t="s">
        <v>3611</v>
      </c>
      <c r="G978" t="s">
        <v>3612</v>
      </c>
      <c r="H978">
        <v>977</v>
      </c>
      <c r="I978" t="str">
        <f>IF(ISBLANK(Table1[[#This Row],[oid]]),"FALSE","TRUE")</f>
        <v>TRUE</v>
      </c>
      <c r="J978" t="str" cm="1">
        <f t="array" ref="J978">_xlfn.SWITCH(LEFT(Table1[[#This Row],[section]],1), "D", "Demographic", "S", "Social", "E", "Economic", "H", "Housing", "")</f>
        <v>Social</v>
      </c>
      <c r="K978" s="1" t="s">
        <v>3343</v>
      </c>
      <c r="L978" s="1" t="s">
        <v>3344</v>
      </c>
      <c r="M978" t="str">
        <f>IF(Table1[[#This Row],[used]], _xlfn.CONCAT("🆔 ", Table1[[#This Row],[variable]], ": ",Table1[[#This Row],[alias]]), "")</f>
        <v>🆔 B04006_067E: Scottish</v>
      </c>
      <c r="O978" t="s">
        <v>3613</v>
      </c>
      <c r="P978" t="s">
        <v>3345</v>
      </c>
      <c r="Q978" t="s">
        <v>41</v>
      </c>
      <c r="R978" t="s">
        <v>3614</v>
      </c>
      <c r="S978" t="b">
        <v>1</v>
      </c>
      <c r="T978" t="b">
        <v>1</v>
      </c>
      <c r="U978" t="b">
        <v>1</v>
      </c>
      <c r="V978" t="b">
        <v>1</v>
      </c>
      <c r="W978" t="b">
        <v>1</v>
      </c>
      <c r="X978" t="b">
        <v>1</v>
      </c>
      <c r="Y978" t="b">
        <v>1</v>
      </c>
      <c r="Z978" t="b">
        <v>1</v>
      </c>
      <c r="AA978" t="b">
        <v>1</v>
      </c>
      <c r="AB978" t="b">
        <v>1</v>
      </c>
      <c r="AC978" t="b">
        <v>1</v>
      </c>
      <c r="AD978" t="b">
        <v>1</v>
      </c>
      <c r="AE978" t="b">
        <v>1</v>
      </c>
      <c r="AF978" t="b">
        <v>1</v>
      </c>
      <c r="AG978" t="b">
        <v>1</v>
      </c>
    </row>
    <row r="979" spans="1:33" x14ac:dyDescent="0.25">
      <c r="A979" t="s">
        <v>33</v>
      </c>
      <c r="B979">
        <v>15</v>
      </c>
      <c r="C979" t="b">
        <v>1</v>
      </c>
      <c r="D979" t="s">
        <v>3311</v>
      </c>
      <c r="E979" t="s">
        <v>3340</v>
      </c>
      <c r="F979" t="s">
        <v>3615</v>
      </c>
      <c r="G979" t="s">
        <v>3616</v>
      </c>
      <c r="H979">
        <v>978</v>
      </c>
      <c r="I979" t="str">
        <f>IF(ISBLANK(Table1[[#This Row],[oid]]),"FALSE","TRUE")</f>
        <v>TRUE</v>
      </c>
      <c r="J979" t="str" cm="1">
        <f t="array" ref="J979">_xlfn.SWITCH(LEFT(Table1[[#This Row],[section]],1), "D", "Demographic", "S", "Social", "E", "Economic", "H", "Housing", "")</f>
        <v>Social</v>
      </c>
      <c r="K979" s="1" t="s">
        <v>3343</v>
      </c>
      <c r="L979" s="1" t="s">
        <v>3344</v>
      </c>
      <c r="M979" t="str">
        <f>IF(Table1[[#This Row],[used]], _xlfn.CONCAT("🆔 ", Table1[[#This Row],[variable]], ": ",Table1[[#This Row],[alias]]), "")</f>
        <v>🆔 B04006_068E: Serbian</v>
      </c>
      <c r="O979" t="s">
        <v>3617</v>
      </c>
      <c r="P979" t="s">
        <v>3345</v>
      </c>
      <c r="Q979" t="s">
        <v>41</v>
      </c>
      <c r="R979" t="s">
        <v>3618</v>
      </c>
      <c r="S979" t="b">
        <v>1</v>
      </c>
      <c r="T979" t="b">
        <v>1</v>
      </c>
      <c r="U979" t="b">
        <v>1</v>
      </c>
      <c r="V979" t="b">
        <v>1</v>
      </c>
      <c r="W979" t="b">
        <v>1</v>
      </c>
      <c r="X979" t="b">
        <v>1</v>
      </c>
      <c r="Y979" t="b">
        <v>1</v>
      </c>
      <c r="Z979" t="b">
        <v>1</v>
      </c>
      <c r="AA979" t="b">
        <v>1</v>
      </c>
      <c r="AB979" t="b">
        <v>1</v>
      </c>
      <c r="AC979" t="b">
        <v>1</v>
      </c>
      <c r="AD979" t="b">
        <v>1</v>
      </c>
      <c r="AE979" t="b">
        <v>1</v>
      </c>
      <c r="AF979" t="b">
        <v>1</v>
      </c>
      <c r="AG979" t="b">
        <v>1</v>
      </c>
    </row>
    <row r="980" spans="1:33" x14ac:dyDescent="0.25">
      <c r="A980" t="s">
        <v>33</v>
      </c>
      <c r="B980">
        <v>15</v>
      </c>
      <c r="C980" t="b">
        <v>1</v>
      </c>
      <c r="D980" t="s">
        <v>3311</v>
      </c>
      <c r="E980" t="s">
        <v>3340</v>
      </c>
      <c r="F980" t="s">
        <v>3619</v>
      </c>
      <c r="G980" t="s">
        <v>3620</v>
      </c>
      <c r="H980">
        <v>979</v>
      </c>
      <c r="I980" t="str">
        <f>IF(ISBLANK(Table1[[#This Row],[oid]]),"FALSE","TRUE")</f>
        <v>TRUE</v>
      </c>
      <c r="J980" t="str" cm="1">
        <f t="array" ref="J980">_xlfn.SWITCH(LEFT(Table1[[#This Row],[section]],1), "D", "Demographic", "S", "Social", "E", "Economic", "H", "Housing", "")</f>
        <v>Social</v>
      </c>
      <c r="K980" s="1" t="s">
        <v>3343</v>
      </c>
      <c r="L980" s="1" t="s">
        <v>3344</v>
      </c>
      <c r="M980" t="str">
        <f>IF(Table1[[#This Row],[used]], _xlfn.CONCAT("🆔 ", Table1[[#This Row],[variable]], ": ",Table1[[#This Row],[alias]]), "")</f>
        <v>🆔 B04006_069E: Slavic</v>
      </c>
      <c r="O980" t="s">
        <v>3621</v>
      </c>
      <c r="P980" t="s">
        <v>3345</v>
      </c>
      <c r="Q980" t="s">
        <v>41</v>
      </c>
      <c r="R980" t="s">
        <v>3622</v>
      </c>
      <c r="S980" t="b">
        <v>1</v>
      </c>
      <c r="T980" t="b">
        <v>1</v>
      </c>
      <c r="U980" t="b">
        <v>1</v>
      </c>
      <c r="V980" t="b">
        <v>1</v>
      </c>
      <c r="W980" t="b">
        <v>1</v>
      </c>
      <c r="X980" t="b">
        <v>1</v>
      </c>
      <c r="Y980" t="b">
        <v>1</v>
      </c>
      <c r="Z980" t="b">
        <v>1</v>
      </c>
      <c r="AA980" t="b">
        <v>1</v>
      </c>
      <c r="AB980" t="b">
        <v>1</v>
      </c>
      <c r="AC980" t="b">
        <v>1</v>
      </c>
      <c r="AD980" t="b">
        <v>1</v>
      </c>
      <c r="AE980" t="b">
        <v>1</v>
      </c>
      <c r="AF980" t="b">
        <v>1</v>
      </c>
      <c r="AG980" t="b">
        <v>1</v>
      </c>
    </row>
    <row r="981" spans="1:33" x14ac:dyDescent="0.25">
      <c r="A981" t="s">
        <v>33</v>
      </c>
      <c r="B981">
        <v>15</v>
      </c>
      <c r="C981" t="b">
        <v>1</v>
      </c>
      <c r="D981" t="s">
        <v>3311</v>
      </c>
      <c r="E981" t="s">
        <v>3340</v>
      </c>
      <c r="F981" t="s">
        <v>3623</v>
      </c>
      <c r="G981" t="s">
        <v>3624</v>
      </c>
      <c r="H981">
        <v>980</v>
      </c>
      <c r="I981" t="str">
        <f>IF(ISBLANK(Table1[[#This Row],[oid]]),"FALSE","TRUE")</f>
        <v>TRUE</v>
      </c>
      <c r="J981" t="str" cm="1">
        <f t="array" ref="J981">_xlfn.SWITCH(LEFT(Table1[[#This Row],[section]],1), "D", "Demographic", "S", "Social", "E", "Economic", "H", "Housing", "")</f>
        <v>Social</v>
      </c>
      <c r="K981" s="1" t="s">
        <v>3343</v>
      </c>
      <c r="L981" s="1" t="s">
        <v>3344</v>
      </c>
      <c r="M981" t="str">
        <f>IF(Table1[[#This Row],[used]], _xlfn.CONCAT("🆔 ", Table1[[#This Row],[variable]], ": ",Table1[[#This Row],[alias]]), "")</f>
        <v>🆔 B04006_070E: Slovak</v>
      </c>
      <c r="O981" t="s">
        <v>3625</v>
      </c>
      <c r="P981" t="s">
        <v>3345</v>
      </c>
      <c r="Q981" t="s">
        <v>41</v>
      </c>
      <c r="R981" t="s">
        <v>3626</v>
      </c>
      <c r="S981" t="b">
        <v>1</v>
      </c>
      <c r="T981" t="b">
        <v>1</v>
      </c>
      <c r="U981" t="b">
        <v>1</v>
      </c>
      <c r="V981" t="b">
        <v>1</v>
      </c>
      <c r="W981" t="b">
        <v>1</v>
      </c>
      <c r="X981" t="b">
        <v>1</v>
      </c>
      <c r="Y981" t="b">
        <v>1</v>
      </c>
      <c r="Z981" t="b">
        <v>1</v>
      </c>
      <c r="AA981" t="b">
        <v>1</v>
      </c>
      <c r="AB981" t="b">
        <v>1</v>
      </c>
      <c r="AC981" t="b">
        <v>1</v>
      </c>
      <c r="AD981" t="b">
        <v>1</v>
      </c>
      <c r="AE981" t="b">
        <v>1</v>
      </c>
      <c r="AF981" t="b">
        <v>1</v>
      </c>
      <c r="AG981" t="b">
        <v>1</v>
      </c>
    </row>
    <row r="982" spans="1:33" x14ac:dyDescent="0.25">
      <c r="A982" t="s">
        <v>33</v>
      </c>
      <c r="B982">
        <v>15</v>
      </c>
      <c r="C982" t="b">
        <v>1</v>
      </c>
      <c r="D982" t="s">
        <v>3311</v>
      </c>
      <c r="E982" t="s">
        <v>3340</v>
      </c>
      <c r="F982" t="s">
        <v>3627</v>
      </c>
      <c r="G982" t="s">
        <v>3628</v>
      </c>
      <c r="H982">
        <v>981</v>
      </c>
      <c r="I982" t="str">
        <f>IF(ISBLANK(Table1[[#This Row],[oid]]),"FALSE","TRUE")</f>
        <v>TRUE</v>
      </c>
      <c r="J982" t="str" cm="1">
        <f t="array" ref="J982">_xlfn.SWITCH(LEFT(Table1[[#This Row],[section]],1), "D", "Demographic", "S", "Social", "E", "Economic", "H", "Housing", "")</f>
        <v>Social</v>
      </c>
      <c r="K982" s="1" t="s">
        <v>3343</v>
      </c>
      <c r="L982" s="1" t="s">
        <v>3344</v>
      </c>
      <c r="M982" t="str">
        <f>IF(Table1[[#This Row],[used]], _xlfn.CONCAT("🆔 ", Table1[[#This Row],[variable]], ": ",Table1[[#This Row],[alias]]), "")</f>
        <v>🆔 B04006_071E: Slovene</v>
      </c>
      <c r="O982" t="s">
        <v>3629</v>
      </c>
      <c r="P982" t="s">
        <v>3345</v>
      </c>
      <c r="Q982" t="s">
        <v>41</v>
      </c>
      <c r="R982" t="s">
        <v>3630</v>
      </c>
      <c r="S982" t="b">
        <v>1</v>
      </c>
      <c r="T982" t="b">
        <v>1</v>
      </c>
      <c r="U982" t="b">
        <v>1</v>
      </c>
      <c r="V982" t="b">
        <v>1</v>
      </c>
      <c r="W982" t="b">
        <v>1</v>
      </c>
      <c r="X982" t="b">
        <v>1</v>
      </c>
      <c r="Y982" t="b">
        <v>1</v>
      </c>
      <c r="Z982" t="b">
        <v>1</v>
      </c>
      <c r="AA982" t="b">
        <v>1</v>
      </c>
      <c r="AB982" t="b">
        <v>1</v>
      </c>
      <c r="AC982" t="b">
        <v>1</v>
      </c>
      <c r="AD982" t="b">
        <v>1</v>
      </c>
      <c r="AE982" t="b">
        <v>1</v>
      </c>
      <c r="AF982" t="b">
        <v>1</v>
      </c>
      <c r="AG982" t="b">
        <v>1</v>
      </c>
    </row>
    <row r="983" spans="1:33" x14ac:dyDescent="0.25">
      <c r="A983" t="s">
        <v>33</v>
      </c>
      <c r="B983">
        <v>15</v>
      </c>
      <c r="C983" t="b">
        <v>1</v>
      </c>
      <c r="D983" t="s">
        <v>3311</v>
      </c>
      <c r="E983" t="s">
        <v>3340</v>
      </c>
      <c r="F983" t="s">
        <v>3631</v>
      </c>
      <c r="G983" t="s">
        <v>3632</v>
      </c>
      <c r="H983">
        <v>982</v>
      </c>
      <c r="I983" t="str">
        <f>IF(ISBLANK(Table1[[#This Row],[oid]]),"FALSE","TRUE")</f>
        <v>TRUE</v>
      </c>
      <c r="J983" t="str" cm="1">
        <f t="array" ref="J983">_xlfn.SWITCH(LEFT(Table1[[#This Row],[section]],1), "D", "Demographic", "S", "Social", "E", "Economic", "H", "Housing", "")</f>
        <v>Social</v>
      </c>
      <c r="K983" s="1" t="s">
        <v>3343</v>
      </c>
      <c r="L983" s="1" t="s">
        <v>3344</v>
      </c>
      <c r="M983" t="str">
        <f>IF(Table1[[#This Row],[used]], _xlfn.CONCAT("🆔 ", Table1[[#This Row],[variable]], ": ",Table1[[#This Row],[alias]]), "")</f>
        <v>🆔 B04006_072E: Soviet Union</v>
      </c>
      <c r="O983" t="s">
        <v>3633</v>
      </c>
      <c r="P983" t="s">
        <v>3345</v>
      </c>
      <c r="Q983" t="s">
        <v>41</v>
      </c>
      <c r="R983" t="s">
        <v>3634</v>
      </c>
      <c r="S983" t="b">
        <v>1</v>
      </c>
      <c r="T983" t="b">
        <v>1</v>
      </c>
      <c r="U983" t="b">
        <v>1</v>
      </c>
      <c r="V983" t="b">
        <v>1</v>
      </c>
      <c r="W983" t="b">
        <v>1</v>
      </c>
      <c r="X983" t="b">
        <v>1</v>
      </c>
      <c r="Y983" t="b">
        <v>1</v>
      </c>
      <c r="Z983" t="b">
        <v>1</v>
      </c>
      <c r="AA983" t="b">
        <v>1</v>
      </c>
      <c r="AB983" t="b">
        <v>1</v>
      </c>
      <c r="AC983" t="b">
        <v>1</v>
      </c>
      <c r="AD983" t="b">
        <v>1</v>
      </c>
      <c r="AE983" t="b">
        <v>1</v>
      </c>
      <c r="AF983" t="b">
        <v>1</v>
      </c>
      <c r="AG983" t="b">
        <v>1</v>
      </c>
    </row>
    <row r="984" spans="1:33" x14ac:dyDescent="0.25">
      <c r="A984" t="s">
        <v>33</v>
      </c>
      <c r="B984">
        <v>15</v>
      </c>
      <c r="C984" t="b">
        <v>1</v>
      </c>
      <c r="D984" t="s">
        <v>3311</v>
      </c>
      <c r="E984" t="s">
        <v>3340</v>
      </c>
      <c r="F984" t="s">
        <v>3635</v>
      </c>
      <c r="G984" t="s">
        <v>3636</v>
      </c>
      <c r="H984">
        <v>983</v>
      </c>
      <c r="I984" t="str">
        <f>IF(ISBLANK(Table1[[#This Row],[oid]]),"FALSE","TRUE")</f>
        <v>TRUE</v>
      </c>
      <c r="J984" t="str" cm="1">
        <f t="array" ref="J984">_xlfn.SWITCH(LEFT(Table1[[#This Row],[section]],1), "D", "Demographic", "S", "Social", "E", "Economic", "H", "Housing", "")</f>
        <v>Social</v>
      </c>
      <c r="K984" s="1" t="s">
        <v>3343</v>
      </c>
      <c r="L984" s="1" t="s">
        <v>3344</v>
      </c>
      <c r="M984" t="str">
        <f>IF(Table1[[#This Row],[used]], _xlfn.CONCAT("🆔 ", Table1[[#This Row],[variable]], ": ",Table1[[#This Row],[alias]]), "")</f>
        <v>🆔 B04006_073E: Subsaharan African</v>
      </c>
      <c r="O984" t="s">
        <v>3637</v>
      </c>
      <c r="P984" t="s">
        <v>3345</v>
      </c>
      <c r="Q984" t="s">
        <v>41</v>
      </c>
      <c r="R984" t="s">
        <v>3638</v>
      </c>
      <c r="S984" t="b">
        <v>1</v>
      </c>
      <c r="T984" t="b">
        <v>1</v>
      </c>
      <c r="U984" t="b">
        <v>1</v>
      </c>
      <c r="V984" t="b">
        <v>1</v>
      </c>
      <c r="W984" t="b">
        <v>1</v>
      </c>
      <c r="X984" t="b">
        <v>1</v>
      </c>
      <c r="Y984" t="b">
        <v>1</v>
      </c>
      <c r="Z984" t="b">
        <v>1</v>
      </c>
      <c r="AA984" t="b">
        <v>1</v>
      </c>
      <c r="AB984" t="b">
        <v>1</v>
      </c>
      <c r="AC984" t="b">
        <v>1</v>
      </c>
      <c r="AD984" t="b">
        <v>1</v>
      </c>
      <c r="AE984" t="b">
        <v>1</v>
      </c>
      <c r="AF984" t="b">
        <v>1</v>
      </c>
      <c r="AG984" t="b">
        <v>1</v>
      </c>
    </row>
    <row r="985" spans="1:33" x14ac:dyDescent="0.25">
      <c r="A985" t="s">
        <v>33</v>
      </c>
      <c r="B985">
        <v>15</v>
      </c>
      <c r="C985" t="b">
        <v>1</v>
      </c>
      <c r="D985" t="s">
        <v>3311</v>
      </c>
      <c r="E985" t="s">
        <v>3340</v>
      </c>
      <c r="F985" t="s">
        <v>3639</v>
      </c>
      <c r="G985" t="s">
        <v>3640</v>
      </c>
      <c r="H985">
        <v>984</v>
      </c>
      <c r="I985" t="str">
        <f>IF(ISBLANK(Table1[[#This Row],[oid]]),"FALSE","TRUE")</f>
        <v>TRUE</v>
      </c>
      <c r="J985" t="str" cm="1">
        <f t="array" ref="J985">_xlfn.SWITCH(LEFT(Table1[[#This Row],[section]],1), "D", "Demographic", "S", "Social", "E", "Economic", "H", "Housing", "")</f>
        <v>Social</v>
      </c>
      <c r="K985" s="1" t="s">
        <v>3343</v>
      </c>
      <c r="L985" s="1" t="s">
        <v>3344</v>
      </c>
      <c r="M985" t="str">
        <f>IF(Table1[[#This Row],[used]], _xlfn.CONCAT("🆔 ", Table1[[#This Row],[variable]], ": ",Table1[[#This Row],[alias]]), "")</f>
        <v>🆔 B04006_074E: Subsaharan African: Cape Verdean</v>
      </c>
      <c r="O985" t="s">
        <v>3641</v>
      </c>
      <c r="P985" t="s">
        <v>3345</v>
      </c>
      <c r="Q985" t="s">
        <v>41</v>
      </c>
      <c r="R985" t="s">
        <v>3642</v>
      </c>
      <c r="S985" t="b">
        <v>1</v>
      </c>
      <c r="T985" t="b">
        <v>1</v>
      </c>
      <c r="U985" t="b">
        <v>1</v>
      </c>
      <c r="V985" t="b">
        <v>1</v>
      </c>
      <c r="W985" t="b">
        <v>1</v>
      </c>
      <c r="X985" t="b">
        <v>1</v>
      </c>
      <c r="Y985" t="b">
        <v>1</v>
      </c>
      <c r="Z985" t="b">
        <v>1</v>
      </c>
      <c r="AA985" t="b">
        <v>1</v>
      </c>
      <c r="AB985" t="b">
        <v>1</v>
      </c>
      <c r="AC985" t="b">
        <v>1</v>
      </c>
      <c r="AD985" t="b">
        <v>1</v>
      </c>
      <c r="AE985" t="b">
        <v>1</v>
      </c>
      <c r="AF985" t="b">
        <v>1</v>
      </c>
      <c r="AG985" t="b">
        <v>1</v>
      </c>
    </row>
    <row r="986" spans="1:33" x14ac:dyDescent="0.25">
      <c r="A986" t="s">
        <v>33</v>
      </c>
      <c r="B986">
        <v>15</v>
      </c>
      <c r="C986" t="b">
        <v>1</v>
      </c>
      <c r="D986" t="s">
        <v>3311</v>
      </c>
      <c r="E986" t="s">
        <v>3340</v>
      </c>
      <c r="F986" t="s">
        <v>3643</v>
      </c>
      <c r="G986" t="s">
        <v>3644</v>
      </c>
      <c r="H986">
        <v>985</v>
      </c>
      <c r="I986" t="str">
        <f>IF(ISBLANK(Table1[[#This Row],[oid]]),"FALSE","TRUE")</f>
        <v>TRUE</v>
      </c>
      <c r="J986" t="str" cm="1">
        <f t="array" ref="J986">_xlfn.SWITCH(LEFT(Table1[[#This Row],[section]],1), "D", "Demographic", "S", "Social", "E", "Economic", "H", "Housing", "")</f>
        <v>Social</v>
      </c>
      <c r="K986" s="1" t="s">
        <v>3343</v>
      </c>
      <c r="L986" s="1" t="s">
        <v>3344</v>
      </c>
      <c r="M986" t="str">
        <f>IF(Table1[[#This Row],[used]], _xlfn.CONCAT("🆔 ", Table1[[#This Row],[variable]], ": ",Table1[[#This Row],[alias]]), "")</f>
        <v>🆔 B04006_075E: Subsaharan African: Ethiopian</v>
      </c>
      <c r="O986" t="s">
        <v>3645</v>
      </c>
      <c r="P986" t="s">
        <v>3345</v>
      </c>
      <c r="Q986" t="s">
        <v>41</v>
      </c>
      <c r="R986" t="s">
        <v>3646</v>
      </c>
      <c r="S986" t="b">
        <v>1</v>
      </c>
      <c r="T986" t="b">
        <v>1</v>
      </c>
      <c r="U986" t="b">
        <v>1</v>
      </c>
      <c r="V986" t="b">
        <v>1</v>
      </c>
      <c r="W986" t="b">
        <v>1</v>
      </c>
      <c r="X986" t="b">
        <v>1</v>
      </c>
      <c r="Y986" t="b">
        <v>1</v>
      </c>
      <c r="Z986" t="b">
        <v>1</v>
      </c>
      <c r="AA986" t="b">
        <v>1</v>
      </c>
      <c r="AB986" t="b">
        <v>1</v>
      </c>
      <c r="AC986" t="b">
        <v>1</v>
      </c>
      <c r="AD986" t="b">
        <v>1</v>
      </c>
      <c r="AE986" t="b">
        <v>1</v>
      </c>
      <c r="AF986" t="b">
        <v>1</v>
      </c>
      <c r="AG986" t="b">
        <v>1</v>
      </c>
    </row>
    <row r="987" spans="1:33" x14ac:dyDescent="0.25">
      <c r="A987" t="s">
        <v>33</v>
      </c>
      <c r="B987">
        <v>15</v>
      </c>
      <c r="C987" t="b">
        <v>1</v>
      </c>
      <c r="D987" t="s">
        <v>3311</v>
      </c>
      <c r="E987" t="s">
        <v>3340</v>
      </c>
      <c r="F987" t="s">
        <v>3647</v>
      </c>
      <c r="G987" t="s">
        <v>3648</v>
      </c>
      <c r="H987">
        <v>986</v>
      </c>
      <c r="I987" t="str">
        <f>IF(ISBLANK(Table1[[#This Row],[oid]]),"FALSE","TRUE")</f>
        <v>TRUE</v>
      </c>
      <c r="J987" t="str" cm="1">
        <f t="array" ref="J987">_xlfn.SWITCH(LEFT(Table1[[#This Row],[section]],1), "D", "Demographic", "S", "Social", "E", "Economic", "H", "Housing", "")</f>
        <v>Social</v>
      </c>
      <c r="K987" s="1" t="s">
        <v>3343</v>
      </c>
      <c r="L987" s="1" t="s">
        <v>3344</v>
      </c>
      <c r="M987" t="str">
        <f>IF(Table1[[#This Row],[used]], _xlfn.CONCAT("🆔 ", Table1[[#This Row],[variable]], ": ",Table1[[#This Row],[alias]]), "")</f>
        <v>🆔 B04006_076E: Subsaharan African: Ghanaian</v>
      </c>
      <c r="O987" t="s">
        <v>3649</v>
      </c>
      <c r="P987" t="s">
        <v>3345</v>
      </c>
      <c r="Q987" t="s">
        <v>41</v>
      </c>
      <c r="R987" t="s">
        <v>3650</v>
      </c>
      <c r="S987" t="b">
        <v>1</v>
      </c>
      <c r="T987" t="b">
        <v>1</v>
      </c>
      <c r="U987" t="b">
        <v>1</v>
      </c>
      <c r="V987" t="b">
        <v>1</v>
      </c>
      <c r="W987" t="b">
        <v>1</v>
      </c>
      <c r="X987" t="b">
        <v>1</v>
      </c>
      <c r="Y987" t="b">
        <v>1</v>
      </c>
      <c r="Z987" t="b">
        <v>1</v>
      </c>
      <c r="AA987" t="b">
        <v>1</v>
      </c>
      <c r="AB987" t="b">
        <v>1</v>
      </c>
      <c r="AC987" t="b">
        <v>1</v>
      </c>
      <c r="AD987" t="b">
        <v>1</v>
      </c>
      <c r="AE987" t="b">
        <v>1</v>
      </c>
      <c r="AF987" t="b">
        <v>1</v>
      </c>
      <c r="AG987" t="b">
        <v>1</v>
      </c>
    </row>
    <row r="988" spans="1:33" x14ac:dyDescent="0.25">
      <c r="A988" t="s">
        <v>33</v>
      </c>
      <c r="B988">
        <v>15</v>
      </c>
      <c r="C988" t="b">
        <v>1</v>
      </c>
      <c r="D988" t="s">
        <v>3311</v>
      </c>
      <c r="E988" t="s">
        <v>3340</v>
      </c>
      <c r="F988" t="s">
        <v>3651</v>
      </c>
      <c r="G988" t="s">
        <v>3652</v>
      </c>
      <c r="H988">
        <v>987</v>
      </c>
      <c r="I988" t="str">
        <f>IF(ISBLANK(Table1[[#This Row],[oid]]),"FALSE","TRUE")</f>
        <v>TRUE</v>
      </c>
      <c r="J988" t="str" cm="1">
        <f t="array" ref="J988">_xlfn.SWITCH(LEFT(Table1[[#This Row],[section]],1), "D", "Demographic", "S", "Social", "E", "Economic", "H", "Housing", "")</f>
        <v>Social</v>
      </c>
      <c r="K988" s="1" t="s">
        <v>3343</v>
      </c>
      <c r="L988" s="1" t="s">
        <v>3344</v>
      </c>
      <c r="M988" t="str">
        <f>IF(Table1[[#This Row],[used]], _xlfn.CONCAT("🆔 ", Table1[[#This Row],[variable]], ": ",Table1[[#This Row],[alias]]), "")</f>
        <v>🆔 B04006_077E: Subsaharan African: Kenyan</v>
      </c>
      <c r="O988" t="s">
        <v>3653</v>
      </c>
      <c r="P988" t="s">
        <v>3345</v>
      </c>
      <c r="Q988" t="s">
        <v>41</v>
      </c>
      <c r="R988" t="s">
        <v>3654</v>
      </c>
      <c r="S988" t="b">
        <v>1</v>
      </c>
      <c r="T988" t="b">
        <v>1</v>
      </c>
      <c r="U988" t="b">
        <v>1</v>
      </c>
      <c r="V988" t="b">
        <v>1</v>
      </c>
      <c r="W988" t="b">
        <v>1</v>
      </c>
      <c r="X988" t="b">
        <v>1</v>
      </c>
      <c r="Y988" t="b">
        <v>1</v>
      </c>
      <c r="Z988" t="b">
        <v>1</v>
      </c>
      <c r="AA988" t="b">
        <v>1</v>
      </c>
      <c r="AB988" t="b">
        <v>1</v>
      </c>
      <c r="AC988" t="b">
        <v>1</v>
      </c>
      <c r="AD988" t="b">
        <v>1</v>
      </c>
      <c r="AE988" t="b">
        <v>1</v>
      </c>
      <c r="AF988" t="b">
        <v>1</v>
      </c>
      <c r="AG988" t="b">
        <v>1</v>
      </c>
    </row>
    <row r="989" spans="1:33" x14ac:dyDescent="0.25">
      <c r="A989" t="s">
        <v>33</v>
      </c>
      <c r="B989">
        <v>15</v>
      </c>
      <c r="C989" t="b">
        <v>1</v>
      </c>
      <c r="D989" t="s">
        <v>3311</v>
      </c>
      <c r="E989" t="s">
        <v>3340</v>
      </c>
      <c r="F989" t="s">
        <v>3655</v>
      </c>
      <c r="G989" t="s">
        <v>3656</v>
      </c>
      <c r="H989">
        <v>988</v>
      </c>
      <c r="I989" t="str">
        <f>IF(ISBLANK(Table1[[#This Row],[oid]]),"FALSE","TRUE")</f>
        <v>TRUE</v>
      </c>
      <c r="J989" t="str" cm="1">
        <f t="array" ref="J989">_xlfn.SWITCH(LEFT(Table1[[#This Row],[section]],1), "D", "Demographic", "S", "Social", "E", "Economic", "H", "Housing", "")</f>
        <v>Social</v>
      </c>
      <c r="K989" s="1" t="s">
        <v>3343</v>
      </c>
      <c r="L989" s="1" t="s">
        <v>3344</v>
      </c>
      <c r="M989" t="str">
        <f>IF(Table1[[#This Row],[used]], _xlfn.CONCAT("🆔 ", Table1[[#This Row],[variable]], ": ",Table1[[#This Row],[alias]]), "")</f>
        <v>🆔 B04006_078E: Subsaharan African: Liberian</v>
      </c>
      <c r="O989" t="s">
        <v>3657</v>
      </c>
      <c r="P989" t="s">
        <v>3345</v>
      </c>
      <c r="Q989" t="s">
        <v>41</v>
      </c>
      <c r="R989" t="s">
        <v>3658</v>
      </c>
      <c r="S989" t="b">
        <v>1</v>
      </c>
      <c r="T989" t="b">
        <v>1</v>
      </c>
      <c r="U989" t="b">
        <v>1</v>
      </c>
      <c r="V989" t="b">
        <v>1</v>
      </c>
      <c r="W989" t="b">
        <v>1</v>
      </c>
      <c r="X989" t="b">
        <v>1</v>
      </c>
      <c r="Y989" t="b">
        <v>1</v>
      </c>
      <c r="Z989" t="b">
        <v>1</v>
      </c>
      <c r="AA989" t="b">
        <v>1</v>
      </c>
      <c r="AB989" t="b">
        <v>1</v>
      </c>
      <c r="AC989" t="b">
        <v>1</v>
      </c>
      <c r="AD989" t="b">
        <v>1</v>
      </c>
      <c r="AE989" t="b">
        <v>1</v>
      </c>
      <c r="AF989" t="b">
        <v>1</v>
      </c>
      <c r="AG989" t="b">
        <v>1</v>
      </c>
    </row>
    <row r="990" spans="1:33" x14ac:dyDescent="0.25">
      <c r="A990" t="s">
        <v>33</v>
      </c>
      <c r="B990">
        <v>15</v>
      </c>
      <c r="C990" t="b">
        <v>1</v>
      </c>
      <c r="D990" t="s">
        <v>3311</v>
      </c>
      <c r="E990" t="s">
        <v>3340</v>
      </c>
      <c r="F990" t="s">
        <v>3659</v>
      </c>
      <c r="G990" t="s">
        <v>3660</v>
      </c>
      <c r="H990">
        <v>989</v>
      </c>
      <c r="I990" t="str">
        <f>IF(ISBLANK(Table1[[#This Row],[oid]]),"FALSE","TRUE")</f>
        <v>TRUE</v>
      </c>
      <c r="J990" t="str" cm="1">
        <f t="array" ref="J990">_xlfn.SWITCH(LEFT(Table1[[#This Row],[section]],1), "D", "Demographic", "S", "Social", "E", "Economic", "H", "Housing", "")</f>
        <v>Social</v>
      </c>
      <c r="K990" s="1" t="s">
        <v>3343</v>
      </c>
      <c r="L990" s="1" t="s">
        <v>3344</v>
      </c>
      <c r="M990" t="str">
        <f>IF(Table1[[#This Row],[used]], _xlfn.CONCAT("🆔 ", Table1[[#This Row],[variable]], ": ",Table1[[#This Row],[alias]]), "")</f>
        <v>🆔 B04006_079E: Subsaharan African: Nigerian</v>
      </c>
      <c r="O990" t="s">
        <v>3661</v>
      </c>
      <c r="P990" t="s">
        <v>3345</v>
      </c>
      <c r="Q990" t="s">
        <v>41</v>
      </c>
      <c r="R990" t="s">
        <v>3662</v>
      </c>
      <c r="S990" t="b">
        <v>1</v>
      </c>
      <c r="T990" t="b">
        <v>1</v>
      </c>
      <c r="U990" t="b">
        <v>1</v>
      </c>
      <c r="V990" t="b">
        <v>1</v>
      </c>
      <c r="W990" t="b">
        <v>1</v>
      </c>
      <c r="X990" t="b">
        <v>1</v>
      </c>
      <c r="Y990" t="b">
        <v>1</v>
      </c>
      <c r="Z990" t="b">
        <v>1</v>
      </c>
      <c r="AA990" t="b">
        <v>1</v>
      </c>
      <c r="AB990" t="b">
        <v>1</v>
      </c>
      <c r="AC990" t="b">
        <v>1</v>
      </c>
      <c r="AD990" t="b">
        <v>1</v>
      </c>
      <c r="AE990" t="b">
        <v>1</v>
      </c>
      <c r="AF990" t="b">
        <v>1</v>
      </c>
      <c r="AG990" t="b">
        <v>1</v>
      </c>
    </row>
    <row r="991" spans="1:33" x14ac:dyDescent="0.25">
      <c r="A991" t="s">
        <v>33</v>
      </c>
      <c r="B991">
        <v>15</v>
      </c>
      <c r="C991" t="b">
        <v>1</v>
      </c>
      <c r="D991" t="s">
        <v>3311</v>
      </c>
      <c r="E991" t="s">
        <v>3340</v>
      </c>
      <c r="F991" t="s">
        <v>3663</v>
      </c>
      <c r="G991" t="s">
        <v>3664</v>
      </c>
      <c r="H991">
        <v>990</v>
      </c>
      <c r="I991" t="str">
        <f>IF(ISBLANK(Table1[[#This Row],[oid]]),"FALSE","TRUE")</f>
        <v>TRUE</v>
      </c>
      <c r="J991" t="str" cm="1">
        <f t="array" ref="J991">_xlfn.SWITCH(LEFT(Table1[[#This Row],[section]],1), "D", "Demographic", "S", "Social", "E", "Economic", "H", "Housing", "")</f>
        <v>Social</v>
      </c>
      <c r="K991" s="1" t="s">
        <v>3343</v>
      </c>
      <c r="L991" s="1" t="s">
        <v>3344</v>
      </c>
      <c r="M991" t="str">
        <f>IF(Table1[[#This Row],[used]], _xlfn.CONCAT("🆔 ", Table1[[#This Row],[variable]], ": ",Table1[[#This Row],[alias]]), "")</f>
        <v>🆔 B04006_080E: Subsaharan African: Senegalese</v>
      </c>
      <c r="O991" t="s">
        <v>3665</v>
      </c>
      <c r="P991" t="s">
        <v>3345</v>
      </c>
      <c r="Q991" t="s">
        <v>41</v>
      </c>
      <c r="R991" t="s">
        <v>3666</v>
      </c>
      <c r="S991" t="b">
        <v>1</v>
      </c>
      <c r="T991" t="b">
        <v>1</v>
      </c>
      <c r="U991" t="b">
        <v>1</v>
      </c>
      <c r="V991" t="b">
        <v>1</v>
      </c>
      <c r="W991" t="b">
        <v>1</v>
      </c>
      <c r="X991" t="b">
        <v>1</v>
      </c>
      <c r="Y991" t="b">
        <v>1</v>
      </c>
      <c r="Z991" t="b">
        <v>1</v>
      </c>
      <c r="AA991" t="b">
        <v>1</v>
      </c>
      <c r="AB991" t="b">
        <v>1</v>
      </c>
      <c r="AC991" t="b">
        <v>1</v>
      </c>
      <c r="AD991" t="b">
        <v>1</v>
      </c>
      <c r="AE991" t="b">
        <v>1</v>
      </c>
      <c r="AF991" t="b">
        <v>1</v>
      </c>
      <c r="AG991" t="b">
        <v>1</v>
      </c>
    </row>
    <row r="992" spans="1:33" x14ac:dyDescent="0.25">
      <c r="A992" t="s">
        <v>33</v>
      </c>
      <c r="B992">
        <v>15</v>
      </c>
      <c r="C992" t="b">
        <v>1</v>
      </c>
      <c r="D992" t="s">
        <v>3311</v>
      </c>
      <c r="E992" t="s">
        <v>3340</v>
      </c>
      <c r="F992" t="s">
        <v>3667</v>
      </c>
      <c r="G992" t="s">
        <v>3668</v>
      </c>
      <c r="H992">
        <v>991</v>
      </c>
      <c r="I992" t="str">
        <f>IF(ISBLANK(Table1[[#This Row],[oid]]),"FALSE","TRUE")</f>
        <v>TRUE</v>
      </c>
      <c r="J992" t="str" cm="1">
        <f t="array" ref="J992">_xlfn.SWITCH(LEFT(Table1[[#This Row],[section]],1), "D", "Demographic", "S", "Social", "E", "Economic", "H", "Housing", "")</f>
        <v>Social</v>
      </c>
      <c r="K992" s="1" t="s">
        <v>3343</v>
      </c>
      <c r="L992" s="1" t="s">
        <v>3344</v>
      </c>
      <c r="M992" t="str">
        <f>IF(Table1[[#This Row],[used]], _xlfn.CONCAT("🆔 ", Table1[[#This Row],[variable]], ": ",Table1[[#This Row],[alias]]), "")</f>
        <v>🆔 B04006_081E: Subsaharan African: Sierra Leonean</v>
      </c>
      <c r="O992" t="s">
        <v>3669</v>
      </c>
      <c r="P992" t="s">
        <v>3345</v>
      </c>
      <c r="Q992" t="s">
        <v>41</v>
      </c>
      <c r="R992" t="s">
        <v>3670</v>
      </c>
      <c r="S992" t="b">
        <v>1</v>
      </c>
      <c r="T992" t="b">
        <v>1</v>
      </c>
      <c r="U992" t="b">
        <v>1</v>
      </c>
      <c r="V992" t="b">
        <v>1</v>
      </c>
      <c r="W992" t="b">
        <v>1</v>
      </c>
      <c r="X992" t="b">
        <v>1</v>
      </c>
      <c r="Y992" t="b">
        <v>1</v>
      </c>
      <c r="Z992" t="b">
        <v>1</v>
      </c>
      <c r="AA992" t="b">
        <v>1</v>
      </c>
      <c r="AB992" t="b">
        <v>1</v>
      </c>
      <c r="AC992" t="b">
        <v>1</v>
      </c>
      <c r="AD992" t="b">
        <v>1</v>
      </c>
      <c r="AE992" t="b">
        <v>1</v>
      </c>
      <c r="AF992" t="b">
        <v>1</v>
      </c>
      <c r="AG992" t="b">
        <v>1</v>
      </c>
    </row>
    <row r="993" spans="1:33" x14ac:dyDescent="0.25">
      <c r="A993" t="s">
        <v>3671</v>
      </c>
      <c r="B993">
        <v>4</v>
      </c>
      <c r="C993" t="b">
        <v>0</v>
      </c>
      <c r="D993" t="s">
        <v>3311</v>
      </c>
      <c r="E993" t="s">
        <v>3340</v>
      </c>
      <c r="F993" t="s">
        <v>3672</v>
      </c>
      <c r="G993" t="s">
        <v>3673</v>
      </c>
      <c r="H993">
        <v>992</v>
      </c>
      <c r="I993" t="str">
        <f>IF(ISBLANK(Table1[[#This Row],[oid]]),"FALSE","TRUE")</f>
        <v>TRUE</v>
      </c>
      <c r="J993" t="str" cm="1">
        <f t="array" ref="J993">_xlfn.SWITCH(LEFT(Table1[[#This Row],[section]],1), "D", "Demographic", "S", "Social", "E", "Economic", "H", "Housing", "")</f>
        <v>Social</v>
      </c>
      <c r="K993" s="1" t="s">
        <v>3343</v>
      </c>
      <c r="L993" s="1" t="s">
        <v>3344</v>
      </c>
      <c r="M993" t="str">
        <f>IF(Table1[[#This Row],[used]], _xlfn.CONCAT("🆔 ", Table1[[#This Row],[variable]], ": ",Table1[[#This Row],[alias]]), "")</f>
        <v>🆔 B04006_082E: Subsaharan African: Somalian</v>
      </c>
      <c r="O993" t="s">
        <v>3674</v>
      </c>
      <c r="P993" t="s">
        <v>3345</v>
      </c>
      <c r="Q993" t="s">
        <v>41</v>
      </c>
      <c r="R993" t="s">
        <v>3675</v>
      </c>
      <c r="S993" t="b">
        <v>1</v>
      </c>
      <c r="T993" t="b">
        <v>1</v>
      </c>
      <c r="U993" t="b">
        <v>1</v>
      </c>
      <c r="V993" t="b">
        <v>1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</row>
    <row r="994" spans="1:33" x14ac:dyDescent="0.25">
      <c r="A994" t="s">
        <v>3676</v>
      </c>
      <c r="B994">
        <v>11</v>
      </c>
      <c r="C994" t="b">
        <v>0</v>
      </c>
      <c r="D994" t="s">
        <v>3311</v>
      </c>
      <c r="E994" t="s">
        <v>3340</v>
      </c>
      <c r="F994" t="s">
        <v>3672</v>
      </c>
      <c r="G994" t="s">
        <v>3677</v>
      </c>
      <c r="H994">
        <v>993</v>
      </c>
      <c r="I994" t="str">
        <f>IF(ISBLANK(Table1[[#This Row],[oid]]),"FALSE","TRUE")</f>
        <v>TRUE</v>
      </c>
      <c r="J994" t="str" cm="1">
        <f t="array" ref="J994">_xlfn.SWITCH(LEFT(Table1[[#This Row],[section]],1), "D", "Demographic", "S", "Social", "E", "Economic", "H", "Housing", "")</f>
        <v>Social</v>
      </c>
      <c r="K994" s="1" t="s">
        <v>3343</v>
      </c>
      <c r="L994" s="1" t="s">
        <v>3344</v>
      </c>
      <c r="M994" t="str">
        <f>IF(Table1[[#This Row],[used]], _xlfn.CONCAT("🆔 ", Table1[[#This Row],[variable]], ": ",Table1[[#This Row],[alias]]), "")</f>
        <v>🆔 B04006_082E: Subsaharan African: Somali</v>
      </c>
      <c r="O994" t="s">
        <v>3678</v>
      </c>
      <c r="P994" t="s">
        <v>3345</v>
      </c>
      <c r="Q994" t="s">
        <v>41</v>
      </c>
      <c r="R994" t="s">
        <v>3675</v>
      </c>
      <c r="S994" t="b">
        <v>0</v>
      </c>
      <c r="T994" t="b">
        <v>0</v>
      </c>
      <c r="U994" t="b">
        <v>0</v>
      </c>
      <c r="V994" t="b">
        <v>0</v>
      </c>
      <c r="W994" t="b">
        <v>1</v>
      </c>
      <c r="X994" t="b">
        <v>1</v>
      </c>
      <c r="Y994" t="b">
        <v>1</v>
      </c>
      <c r="Z994" t="b">
        <v>1</v>
      </c>
      <c r="AA994" t="b">
        <v>1</v>
      </c>
      <c r="AB994" t="b">
        <v>1</v>
      </c>
      <c r="AC994" t="b">
        <v>1</v>
      </c>
      <c r="AD994" t="b">
        <v>1</v>
      </c>
      <c r="AE994" t="b">
        <v>1</v>
      </c>
      <c r="AF994" t="b">
        <v>1</v>
      </c>
      <c r="AG994" t="b">
        <v>1</v>
      </c>
    </row>
    <row r="995" spans="1:33" x14ac:dyDescent="0.25">
      <c r="A995" t="s">
        <v>33</v>
      </c>
      <c r="B995">
        <v>15</v>
      </c>
      <c r="C995" t="b">
        <v>1</v>
      </c>
      <c r="D995" t="s">
        <v>3311</v>
      </c>
      <c r="E995" t="s">
        <v>3340</v>
      </c>
      <c r="F995" t="s">
        <v>3679</v>
      </c>
      <c r="G995" t="s">
        <v>3680</v>
      </c>
      <c r="H995">
        <v>994</v>
      </c>
      <c r="I995" t="str">
        <f>IF(ISBLANK(Table1[[#This Row],[oid]]),"FALSE","TRUE")</f>
        <v>TRUE</v>
      </c>
      <c r="J995" t="str" cm="1">
        <f t="array" ref="J995">_xlfn.SWITCH(LEFT(Table1[[#This Row],[section]],1), "D", "Demographic", "S", "Social", "E", "Economic", "H", "Housing", "")</f>
        <v>Social</v>
      </c>
      <c r="K995" s="1" t="s">
        <v>3343</v>
      </c>
      <c r="L995" s="1" t="s">
        <v>3344</v>
      </c>
      <c r="M995" t="str">
        <f>IF(Table1[[#This Row],[used]], _xlfn.CONCAT("🆔 ", Table1[[#This Row],[variable]], ": ",Table1[[#This Row],[alias]]), "")</f>
        <v>🆔 B04006_083E: Subsaharan African: South African</v>
      </c>
      <c r="O995" t="s">
        <v>3681</v>
      </c>
      <c r="P995" t="s">
        <v>3345</v>
      </c>
      <c r="Q995" t="s">
        <v>41</v>
      </c>
      <c r="R995" t="s">
        <v>3682</v>
      </c>
      <c r="S995" t="b">
        <v>1</v>
      </c>
      <c r="T995" t="b">
        <v>1</v>
      </c>
      <c r="U995" t="b">
        <v>1</v>
      </c>
      <c r="V995" t="b">
        <v>1</v>
      </c>
      <c r="W995" t="b">
        <v>1</v>
      </c>
      <c r="X995" t="b">
        <v>1</v>
      </c>
      <c r="Y995" t="b">
        <v>1</v>
      </c>
      <c r="Z995" t="b">
        <v>1</v>
      </c>
      <c r="AA995" t="b">
        <v>1</v>
      </c>
      <c r="AB995" t="b">
        <v>1</v>
      </c>
      <c r="AC995" t="b">
        <v>1</v>
      </c>
      <c r="AD995" t="b">
        <v>1</v>
      </c>
      <c r="AE995" t="b">
        <v>1</v>
      </c>
      <c r="AF995" t="b">
        <v>1</v>
      </c>
      <c r="AG995" t="b">
        <v>1</v>
      </c>
    </row>
    <row r="996" spans="1:33" x14ac:dyDescent="0.25">
      <c r="A996" t="s">
        <v>33</v>
      </c>
      <c r="B996">
        <v>15</v>
      </c>
      <c r="C996" t="b">
        <v>1</v>
      </c>
      <c r="D996" t="s">
        <v>3311</v>
      </c>
      <c r="E996" t="s">
        <v>3340</v>
      </c>
      <c r="F996" t="s">
        <v>3683</v>
      </c>
      <c r="G996" t="s">
        <v>3684</v>
      </c>
      <c r="H996">
        <v>995</v>
      </c>
      <c r="I996" t="str">
        <f>IF(ISBLANK(Table1[[#This Row],[oid]]),"FALSE","TRUE")</f>
        <v>TRUE</v>
      </c>
      <c r="J996" t="str" cm="1">
        <f t="array" ref="J996">_xlfn.SWITCH(LEFT(Table1[[#This Row],[section]],1), "D", "Demographic", "S", "Social", "E", "Economic", "H", "Housing", "")</f>
        <v>Social</v>
      </c>
      <c r="K996" s="1" t="s">
        <v>3343</v>
      </c>
      <c r="L996" s="1" t="s">
        <v>3344</v>
      </c>
      <c r="M996" t="str">
        <f>IF(Table1[[#This Row],[used]], _xlfn.CONCAT("🆔 ", Table1[[#This Row],[variable]], ": ",Table1[[#This Row],[alias]]), "")</f>
        <v>🆔 B04006_084E: Subsaharan African: Sudanese</v>
      </c>
      <c r="O996" t="s">
        <v>3685</v>
      </c>
      <c r="P996" t="s">
        <v>3345</v>
      </c>
      <c r="Q996" t="s">
        <v>41</v>
      </c>
      <c r="R996" t="s">
        <v>3686</v>
      </c>
      <c r="S996" t="b">
        <v>1</v>
      </c>
      <c r="T996" t="b">
        <v>1</v>
      </c>
      <c r="U996" t="b">
        <v>1</v>
      </c>
      <c r="V996" t="b">
        <v>1</v>
      </c>
      <c r="W996" t="b">
        <v>1</v>
      </c>
      <c r="X996" t="b">
        <v>1</v>
      </c>
      <c r="Y996" t="b">
        <v>1</v>
      </c>
      <c r="Z996" t="b">
        <v>1</v>
      </c>
      <c r="AA996" t="b">
        <v>1</v>
      </c>
      <c r="AB996" t="b">
        <v>1</v>
      </c>
      <c r="AC996" t="b">
        <v>1</v>
      </c>
      <c r="AD996" t="b">
        <v>1</v>
      </c>
      <c r="AE996" t="b">
        <v>1</v>
      </c>
      <c r="AF996" t="b">
        <v>1</v>
      </c>
      <c r="AG996" t="b">
        <v>1</v>
      </c>
    </row>
    <row r="997" spans="1:33" x14ac:dyDescent="0.25">
      <c r="A997" t="s">
        <v>33</v>
      </c>
      <c r="B997">
        <v>15</v>
      </c>
      <c r="C997" t="b">
        <v>1</v>
      </c>
      <c r="D997" t="s">
        <v>3311</v>
      </c>
      <c r="E997" t="s">
        <v>3340</v>
      </c>
      <c r="F997" t="s">
        <v>3687</v>
      </c>
      <c r="G997" t="s">
        <v>3688</v>
      </c>
      <c r="H997">
        <v>996</v>
      </c>
      <c r="I997" t="str">
        <f>IF(ISBLANK(Table1[[#This Row],[oid]]),"FALSE","TRUE")</f>
        <v>TRUE</v>
      </c>
      <c r="J997" t="str" cm="1">
        <f t="array" ref="J997">_xlfn.SWITCH(LEFT(Table1[[#This Row],[section]],1), "D", "Demographic", "S", "Social", "E", "Economic", "H", "Housing", "")</f>
        <v>Social</v>
      </c>
      <c r="K997" s="1" t="s">
        <v>3343</v>
      </c>
      <c r="L997" s="1" t="s">
        <v>3344</v>
      </c>
      <c r="M997" t="str">
        <f>IF(Table1[[#This Row],[used]], _xlfn.CONCAT("🆔 ", Table1[[#This Row],[variable]], ": ",Table1[[#This Row],[alias]]), "")</f>
        <v>🆔 B04006_085E: Subsaharan African: Ugandan</v>
      </c>
      <c r="O997" t="s">
        <v>3689</v>
      </c>
      <c r="P997" t="s">
        <v>3345</v>
      </c>
      <c r="Q997" t="s">
        <v>41</v>
      </c>
      <c r="R997" t="s">
        <v>3690</v>
      </c>
      <c r="S997" t="b">
        <v>1</v>
      </c>
      <c r="T997" t="b">
        <v>1</v>
      </c>
      <c r="U997" t="b">
        <v>1</v>
      </c>
      <c r="V997" t="b">
        <v>1</v>
      </c>
      <c r="W997" t="b">
        <v>1</v>
      </c>
      <c r="X997" t="b">
        <v>1</v>
      </c>
      <c r="Y997" t="b">
        <v>1</v>
      </c>
      <c r="Z997" t="b">
        <v>1</v>
      </c>
      <c r="AA997" t="b">
        <v>1</v>
      </c>
      <c r="AB997" t="b">
        <v>1</v>
      </c>
      <c r="AC997" t="b">
        <v>1</v>
      </c>
      <c r="AD997" t="b">
        <v>1</v>
      </c>
      <c r="AE997" t="b">
        <v>1</v>
      </c>
      <c r="AF997" t="b">
        <v>1</v>
      </c>
      <c r="AG997" t="b">
        <v>1</v>
      </c>
    </row>
    <row r="998" spans="1:33" x14ac:dyDescent="0.25">
      <c r="A998" t="s">
        <v>33</v>
      </c>
      <c r="B998">
        <v>15</v>
      </c>
      <c r="C998" t="b">
        <v>1</v>
      </c>
      <c r="D998" t="s">
        <v>3311</v>
      </c>
      <c r="E998" t="s">
        <v>3340</v>
      </c>
      <c r="F998" t="s">
        <v>3691</v>
      </c>
      <c r="G998" t="s">
        <v>3692</v>
      </c>
      <c r="H998">
        <v>997</v>
      </c>
      <c r="I998" t="str">
        <f>IF(ISBLANK(Table1[[#This Row],[oid]]),"FALSE","TRUE")</f>
        <v>TRUE</v>
      </c>
      <c r="J998" t="str" cm="1">
        <f t="array" ref="J998">_xlfn.SWITCH(LEFT(Table1[[#This Row],[section]],1), "D", "Demographic", "S", "Social", "E", "Economic", "H", "Housing", "")</f>
        <v>Social</v>
      </c>
      <c r="K998" s="1" t="s">
        <v>3343</v>
      </c>
      <c r="L998" s="1" t="s">
        <v>3344</v>
      </c>
      <c r="M998" t="str">
        <f>IF(Table1[[#This Row],[used]], _xlfn.CONCAT("🆔 ", Table1[[#This Row],[variable]], ": ",Table1[[#This Row],[alias]]), "")</f>
        <v>🆔 B04006_086E: Subsaharan African: Zimbabwean</v>
      </c>
      <c r="O998" t="s">
        <v>3693</v>
      </c>
      <c r="P998" t="s">
        <v>3345</v>
      </c>
      <c r="Q998" t="s">
        <v>41</v>
      </c>
      <c r="R998" t="s">
        <v>3694</v>
      </c>
      <c r="S998" t="b">
        <v>1</v>
      </c>
      <c r="T998" t="b">
        <v>1</v>
      </c>
      <c r="U998" t="b">
        <v>1</v>
      </c>
      <c r="V998" t="b">
        <v>1</v>
      </c>
      <c r="W998" t="b">
        <v>1</v>
      </c>
      <c r="X998" t="b">
        <v>1</v>
      </c>
      <c r="Y998" t="b">
        <v>1</v>
      </c>
      <c r="Z998" t="b">
        <v>1</v>
      </c>
      <c r="AA998" t="b">
        <v>1</v>
      </c>
      <c r="AB998" t="b">
        <v>1</v>
      </c>
      <c r="AC998" t="b">
        <v>1</v>
      </c>
      <c r="AD998" t="b">
        <v>1</v>
      </c>
      <c r="AE998" t="b">
        <v>1</v>
      </c>
      <c r="AF998" t="b">
        <v>1</v>
      </c>
      <c r="AG998" t="b">
        <v>1</v>
      </c>
    </row>
    <row r="999" spans="1:33" x14ac:dyDescent="0.25">
      <c r="A999" t="s">
        <v>33</v>
      </c>
      <c r="B999">
        <v>15</v>
      </c>
      <c r="C999" t="b">
        <v>1</v>
      </c>
      <c r="D999" t="s">
        <v>3311</v>
      </c>
      <c r="E999" t="s">
        <v>3340</v>
      </c>
      <c r="F999" t="s">
        <v>3695</v>
      </c>
      <c r="G999" t="s">
        <v>3696</v>
      </c>
      <c r="H999">
        <v>998</v>
      </c>
      <c r="I999" t="str">
        <f>IF(ISBLANK(Table1[[#This Row],[oid]]),"FALSE","TRUE")</f>
        <v>TRUE</v>
      </c>
      <c r="J999" t="str" cm="1">
        <f t="array" ref="J999">_xlfn.SWITCH(LEFT(Table1[[#This Row],[section]],1), "D", "Demographic", "S", "Social", "E", "Economic", "H", "Housing", "")</f>
        <v>Social</v>
      </c>
      <c r="K999" s="1" t="s">
        <v>3343</v>
      </c>
      <c r="L999" s="1" t="s">
        <v>3344</v>
      </c>
      <c r="M999" t="str">
        <f>IF(Table1[[#This Row],[used]], _xlfn.CONCAT("🆔 ", Table1[[#This Row],[variable]], ": ",Table1[[#This Row],[alias]]), "")</f>
        <v>🆔 B04006_087E: Subsaharan African: African</v>
      </c>
      <c r="O999" t="s">
        <v>3697</v>
      </c>
      <c r="P999" t="s">
        <v>3345</v>
      </c>
      <c r="Q999" t="s">
        <v>41</v>
      </c>
      <c r="R999" t="s">
        <v>3698</v>
      </c>
      <c r="S999" t="b">
        <v>1</v>
      </c>
      <c r="T999" t="b">
        <v>1</v>
      </c>
      <c r="U999" t="b">
        <v>1</v>
      </c>
      <c r="V999" t="b">
        <v>1</v>
      </c>
      <c r="W999" t="b">
        <v>1</v>
      </c>
      <c r="X999" t="b">
        <v>1</v>
      </c>
      <c r="Y999" t="b">
        <v>1</v>
      </c>
      <c r="Z999" t="b">
        <v>1</v>
      </c>
      <c r="AA999" t="b">
        <v>1</v>
      </c>
      <c r="AB999" t="b">
        <v>1</v>
      </c>
      <c r="AC999" t="b">
        <v>1</v>
      </c>
      <c r="AD999" t="b">
        <v>1</v>
      </c>
      <c r="AE999" t="b">
        <v>1</v>
      </c>
      <c r="AF999" t="b">
        <v>1</v>
      </c>
      <c r="AG999" t="b">
        <v>1</v>
      </c>
    </row>
    <row r="1000" spans="1:33" x14ac:dyDescent="0.25">
      <c r="A1000" t="s">
        <v>33</v>
      </c>
      <c r="B1000">
        <v>15</v>
      </c>
      <c r="C1000" t="b">
        <v>1</v>
      </c>
      <c r="D1000" t="s">
        <v>3311</v>
      </c>
      <c r="E1000" t="s">
        <v>3340</v>
      </c>
      <c r="F1000" t="s">
        <v>3699</v>
      </c>
      <c r="G1000" t="s">
        <v>3700</v>
      </c>
      <c r="H1000">
        <v>999</v>
      </c>
      <c r="I1000" t="str">
        <f>IF(ISBLANK(Table1[[#This Row],[oid]]),"FALSE","TRUE")</f>
        <v>TRUE</v>
      </c>
      <c r="J1000" t="str" cm="1">
        <f t="array" ref="J1000">_xlfn.SWITCH(LEFT(Table1[[#This Row],[section]],1), "D", "Demographic", "S", "Social", "E", "Economic", "H", "Housing", "")</f>
        <v>Social</v>
      </c>
      <c r="K1000" s="1" t="s">
        <v>3343</v>
      </c>
      <c r="L1000" s="1" t="s">
        <v>3344</v>
      </c>
      <c r="M1000" t="str">
        <f>IF(Table1[[#This Row],[used]], _xlfn.CONCAT("🆔 ", Table1[[#This Row],[variable]], ": ",Table1[[#This Row],[alias]]), "")</f>
        <v>🆔 B04006_088E: Subsaharan African: Other Subsaharan African</v>
      </c>
      <c r="O1000" t="s">
        <v>3701</v>
      </c>
      <c r="P1000" t="s">
        <v>3345</v>
      </c>
      <c r="Q1000" t="s">
        <v>41</v>
      </c>
      <c r="R1000" t="s">
        <v>3702</v>
      </c>
      <c r="S1000" t="b">
        <v>1</v>
      </c>
      <c r="T1000" t="b">
        <v>1</v>
      </c>
      <c r="U1000" t="b">
        <v>1</v>
      </c>
      <c r="V1000" t="b">
        <v>1</v>
      </c>
      <c r="W1000" t="b">
        <v>1</v>
      </c>
      <c r="X1000" t="b">
        <v>1</v>
      </c>
      <c r="Y1000" t="b">
        <v>1</v>
      </c>
      <c r="Z1000" t="b">
        <v>1</v>
      </c>
      <c r="AA1000" t="b">
        <v>1</v>
      </c>
      <c r="AB1000" t="b">
        <v>1</v>
      </c>
      <c r="AC1000" t="b">
        <v>1</v>
      </c>
      <c r="AD1000" t="b">
        <v>1</v>
      </c>
      <c r="AE1000" t="b">
        <v>1</v>
      </c>
      <c r="AF1000" t="b">
        <v>1</v>
      </c>
      <c r="AG1000" t="b">
        <v>1</v>
      </c>
    </row>
    <row r="1001" spans="1:33" x14ac:dyDescent="0.25">
      <c r="A1001" t="s">
        <v>33</v>
      </c>
      <c r="B1001">
        <v>15</v>
      </c>
      <c r="C1001" t="b">
        <v>1</v>
      </c>
      <c r="D1001" t="s">
        <v>3311</v>
      </c>
      <c r="E1001" t="s">
        <v>3340</v>
      </c>
      <c r="F1001" t="s">
        <v>3703</v>
      </c>
      <c r="G1001" t="s">
        <v>3704</v>
      </c>
      <c r="H1001">
        <v>1000</v>
      </c>
      <c r="I1001" t="str">
        <f>IF(ISBLANK(Table1[[#This Row],[oid]]),"FALSE","TRUE")</f>
        <v>TRUE</v>
      </c>
      <c r="J1001" t="str" cm="1">
        <f t="array" ref="J1001">_xlfn.SWITCH(LEFT(Table1[[#This Row],[section]],1), "D", "Demographic", "S", "Social", "E", "Economic", "H", "Housing", "")</f>
        <v>Social</v>
      </c>
      <c r="K1001" s="1" t="s">
        <v>3343</v>
      </c>
      <c r="L1001" s="1" t="s">
        <v>3344</v>
      </c>
      <c r="M1001" t="str">
        <f>IF(Table1[[#This Row],[used]], _xlfn.CONCAT("🆔 ", Table1[[#This Row],[variable]], ": ",Table1[[#This Row],[alias]]), "")</f>
        <v>🆔 B04006_089E: Swedish</v>
      </c>
      <c r="O1001" t="s">
        <v>3705</v>
      </c>
      <c r="P1001" t="s">
        <v>3345</v>
      </c>
      <c r="Q1001" t="s">
        <v>41</v>
      </c>
      <c r="R1001" t="s">
        <v>3706</v>
      </c>
      <c r="S1001" t="b">
        <v>1</v>
      </c>
      <c r="T1001" t="b">
        <v>1</v>
      </c>
      <c r="U1001" t="b">
        <v>1</v>
      </c>
      <c r="V1001" t="b">
        <v>1</v>
      </c>
      <c r="W1001" t="b">
        <v>1</v>
      </c>
      <c r="X1001" t="b">
        <v>1</v>
      </c>
      <c r="Y1001" t="b">
        <v>1</v>
      </c>
      <c r="Z1001" t="b">
        <v>1</v>
      </c>
      <c r="AA1001" t="b">
        <v>1</v>
      </c>
      <c r="AB1001" t="b">
        <v>1</v>
      </c>
      <c r="AC1001" t="b">
        <v>1</v>
      </c>
      <c r="AD1001" t="b">
        <v>1</v>
      </c>
      <c r="AE1001" t="b">
        <v>1</v>
      </c>
      <c r="AF1001" t="b">
        <v>1</v>
      </c>
      <c r="AG1001" t="b">
        <v>1</v>
      </c>
    </row>
    <row r="1002" spans="1:33" x14ac:dyDescent="0.25">
      <c r="A1002" t="s">
        <v>33</v>
      </c>
      <c r="B1002">
        <v>15</v>
      </c>
      <c r="C1002" t="b">
        <v>1</v>
      </c>
      <c r="D1002" t="s">
        <v>3311</v>
      </c>
      <c r="E1002" t="s">
        <v>3340</v>
      </c>
      <c r="F1002" t="s">
        <v>3707</v>
      </c>
      <c r="G1002" t="s">
        <v>3708</v>
      </c>
      <c r="H1002">
        <v>1001</v>
      </c>
      <c r="I1002" t="str">
        <f>IF(ISBLANK(Table1[[#This Row],[oid]]),"FALSE","TRUE")</f>
        <v>TRUE</v>
      </c>
      <c r="J1002" t="str" cm="1">
        <f t="array" ref="J1002">_xlfn.SWITCH(LEFT(Table1[[#This Row],[section]],1), "D", "Demographic", "S", "Social", "E", "Economic", "H", "Housing", "")</f>
        <v>Social</v>
      </c>
      <c r="K1002" s="1" t="s">
        <v>3343</v>
      </c>
      <c r="L1002" s="1" t="s">
        <v>3344</v>
      </c>
      <c r="M1002" t="str">
        <f>IF(Table1[[#This Row],[used]], _xlfn.CONCAT("🆔 ", Table1[[#This Row],[variable]], ": ",Table1[[#This Row],[alias]]), "")</f>
        <v>🆔 B04006_090E: Swiss</v>
      </c>
      <c r="O1002" t="s">
        <v>3709</v>
      </c>
      <c r="P1002" t="s">
        <v>3345</v>
      </c>
      <c r="Q1002" t="s">
        <v>41</v>
      </c>
      <c r="R1002" t="s">
        <v>3710</v>
      </c>
      <c r="S1002" t="b">
        <v>1</v>
      </c>
      <c r="T1002" t="b">
        <v>1</v>
      </c>
      <c r="U1002" t="b">
        <v>1</v>
      </c>
      <c r="V1002" t="b">
        <v>1</v>
      </c>
      <c r="W1002" t="b">
        <v>1</v>
      </c>
      <c r="X1002" t="b">
        <v>1</v>
      </c>
      <c r="Y1002" t="b">
        <v>1</v>
      </c>
      <c r="Z1002" t="b">
        <v>1</v>
      </c>
      <c r="AA1002" t="b">
        <v>1</v>
      </c>
      <c r="AB1002" t="b">
        <v>1</v>
      </c>
      <c r="AC1002" t="b">
        <v>1</v>
      </c>
      <c r="AD1002" t="b">
        <v>1</v>
      </c>
      <c r="AE1002" t="b">
        <v>1</v>
      </c>
      <c r="AF1002" t="b">
        <v>1</v>
      </c>
      <c r="AG1002" t="b">
        <v>1</v>
      </c>
    </row>
    <row r="1003" spans="1:33" x14ac:dyDescent="0.25">
      <c r="A1003" t="s">
        <v>33</v>
      </c>
      <c r="B1003">
        <v>15</v>
      </c>
      <c r="C1003" t="b">
        <v>1</v>
      </c>
      <c r="D1003" t="s">
        <v>3311</v>
      </c>
      <c r="E1003" t="s">
        <v>3340</v>
      </c>
      <c r="F1003" t="s">
        <v>3711</v>
      </c>
      <c r="G1003" t="s">
        <v>3712</v>
      </c>
      <c r="H1003">
        <v>1002</v>
      </c>
      <c r="I1003" t="str">
        <f>IF(ISBLANK(Table1[[#This Row],[oid]]),"FALSE","TRUE")</f>
        <v>TRUE</v>
      </c>
      <c r="J1003" t="str" cm="1">
        <f t="array" ref="J1003">_xlfn.SWITCH(LEFT(Table1[[#This Row],[section]],1), "D", "Demographic", "S", "Social", "E", "Economic", "H", "Housing", "")</f>
        <v>Social</v>
      </c>
      <c r="K1003" s="1" t="s">
        <v>3343</v>
      </c>
      <c r="L1003" s="1" t="s">
        <v>3344</v>
      </c>
      <c r="M1003" t="str">
        <f>IF(Table1[[#This Row],[used]], _xlfn.CONCAT("🆔 ", Table1[[#This Row],[variable]], ": ",Table1[[#This Row],[alias]]), "")</f>
        <v>🆔 B04006_091E: Turkish</v>
      </c>
      <c r="O1003" t="s">
        <v>3713</v>
      </c>
      <c r="P1003" t="s">
        <v>3345</v>
      </c>
      <c r="Q1003" t="s">
        <v>41</v>
      </c>
      <c r="R1003" t="s">
        <v>3714</v>
      </c>
      <c r="S1003" t="b">
        <v>1</v>
      </c>
      <c r="T1003" t="b">
        <v>1</v>
      </c>
      <c r="U1003" t="b">
        <v>1</v>
      </c>
      <c r="V1003" t="b">
        <v>1</v>
      </c>
      <c r="W1003" t="b">
        <v>1</v>
      </c>
      <c r="X1003" t="b">
        <v>1</v>
      </c>
      <c r="Y1003" t="b">
        <v>1</v>
      </c>
      <c r="Z1003" t="b">
        <v>1</v>
      </c>
      <c r="AA1003" t="b">
        <v>1</v>
      </c>
      <c r="AB1003" t="b">
        <v>1</v>
      </c>
      <c r="AC1003" t="b">
        <v>1</v>
      </c>
      <c r="AD1003" t="b">
        <v>1</v>
      </c>
      <c r="AE1003" t="b">
        <v>1</v>
      </c>
      <c r="AF1003" t="b">
        <v>1</v>
      </c>
      <c r="AG1003" t="b">
        <v>1</v>
      </c>
    </row>
    <row r="1004" spans="1:33" x14ac:dyDescent="0.25">
      <c r="A1004" t="s">
        <v>33</v>
      </c>
      <c r="B1004">
        <v>15</v>
      </c>
      <c r="C1004" t="b">
        <v>1</v>
      </c>
      <c r="D1004" t="s">
        <v>3311</v>
      </c>
      <c r="E1004" t="s">
        <v>3340</v>
      </c>
      <c r="F1004" t="s">
        <v>3715</v>
      </c>
      <c r="G1004" t="s">
        <v>3716</v>
      </c>
      <c r="H1004">
        <v>1003</v>
      </c>
      <c r="I1004" t="str">
        <f>IF(ISBLANK(Table1[[#This Row],[oid]]),"FALSE","TRUE")</f>
        <v>TRUE</v>
      </c>
      <c r="J1004" t="str" cm="1">
        <f t="array" ref="J1004">_xlfn.SWITCH(LEFT(Table1[[#This Row],[section]],1), "D", "Demographic", "S", "Social", "E", "Economic", "H", "Housing", "")</f>
        <v>Social</v>
      </c>
      <c r="K1004" s="1" t="s">
        <v>3343</v>
      </c>
      <c r="L1004" s="1" t="s">
        <v>3344</v>
      </c>
      <c r="M1004" t="str">
        <f>IF(Table1[[#This Row],[used]], _xlfn.CONCAT("🆔 ", Table1[[#This Row],[variable]], ": ",Table1[[#This Row],[alias]]), "")</f>
        <v>🆔 B04006_092E: Ukrainian</v>
      </c>
      <c r="O1004" t="s">
        <v>3717</v>
      </c>
      <c r="P1004" t="s">
        <v>3345</v>
      </c>
      <c r="Q1004" t="s">
        <v>41</v>
      </c>
      <c r="R1004" t="s">
        <v>3718</v>
      </c>
      <c r="S1004" t="b">
        <v>1</v>
      </c>
      <c r="T1004" t="b">
        <v>1</v>
      </c>
      <c r="U1004" t="b">
        <v>1</v>
      </c>
      <c r="V1004" t="b">
        <v>1</v>
      </c>
      <c r="W1004" t="b">
        <v>1</v>
      </c>
      <c r="X1004" t="b">
        <v>1</v>
      </c>
      <c r="Y1004" t="b">
        <v>1</v>
      </c>
      <c r="Z1004" t="b">
        <v>1</v>
      </c>
      <c r="AA1004" t="b">
        <v>1</v>
      </c>
      <c r="AB1004" t="b">
        <v>1</v>
      </c>
      <c r="AC1004" t="b">
        <v>1</v>
      </c>
      <c r="AD1004" t="b">
        <v>1</v>
      </c>
      <c r="AE1004" t="b">
        <v>1</v>
      </c>
      <c r="AF1004" t="b">
        <v>1</v>
      </c>
      <c r="AG1004" t="b">
        <v>1</v>
      </c>
    </row>
    <row r="1005" spans="1:33" x14ac:dyDescent="0.25">
      <c r="A1005" t="s">
        <v>33</v>
      </c>
      <c r="B1005">
        <v>15</v>
      </c>
      <c r="C1005" t="b">
        <v>1</v>
      </c>
      <c r="D1005" t="s">
        <v>3311</v>
      </c>
      <c r="E1005" t="s">
        <v>3340</v>
      </c>
      <c r="F1005" t="s">
        <v>3719</v>
      </c>
      <c r="G1005" t="s">
        <v>3720</v>
      </c>
      <c r="H1005">
        <v>1004</v>
      </c>
      <c r="I1005" t="str">
        <f>IF(ISBLANK(Table1[[#This Row],[oid]]),"FALSE","TRUE")</f>
        <v>TRUE</v>
      </c>
      <c r="J1005" t="str" cm="1">
        <f t="array" ref="J1005">_xlfn.SWITCH(LEFT(Table1[[#This Row],[section]],1), "D", "Demographic", "S", "Social", "E", "Economic", "H", "Housing", "")</f>
        <v>Social</v>
      </c>
      <c r="K1005" s="1" t="s">
        <v>3343</v>
      </c>
      <c r="L1005" s="1" t="s">
        <v>3344</v>
      </c>
      <c r="M1005" t="str">
        <f>IF(Table1[[#This Row],[used]], _xlfn.CONCAT("🆔 ", Table1[[#This Row],[variable]], ": ",Table1[[#This Row],[alias]]), "")</f>
        <v>🆔 B04006_093E: Welsh</v>
      </c>
      <c r="O1005" t="s">
        <v>3721</v>
      </c>
      <c r="P1005" t="s">
        <v>3345</v>
      </c>
      <c r="Q1005" t="s">
        <v>41</v>
      </c>
      <c r="R1005" t="s">
        <v>3722</v>
      </c>
      <c r="S1005" t="b">
        <v>1</v>
      </c>
      <c r="T1005" t="b">
        <v>1</v>
      </c>
      <c r="U1005" t="b">
        <v>1</v>
      </c>
      <c r="V1005" t="b">
        <v>1</v>
      </c>
      <c r="W1005" t="b">
        <v>1</v>
      </c>
      <c r="X1005" t="b">
        <v>1</v>
      </c>
      <c r="Y1005" t="b">
        <v>1</v>
      </c>
      <c r="Z1005" t="b">
        <v>1</v>
      </c>
      <c r="AA1005" t="b">
        <v>1</v>
      </c>
      <c r="AB1005" t="b">
        <v>1</v>
      </c>
      <c r="AC1005" t="b">
        <v>1</v>
      </c>
      <c r="AD1005" t="b">
        <v>1</v>
      </c>
      <c r="AE1005" t="b">
        <v>1</v>
      </c>
      <c r="AF1005" t="b">
        <v>1</v>
      </c>
      <c r="AG1005" t="b">
        <v>1</v>
      </c>
    </row>
    <row r="1006" spans="1:33" x14ac:dyDescent="0.25">
      <c r="A1006" t="s">
        <v>33</v>
      </c>
      <c r="B1006">
        <v>15</v>
      </c>
      <c r="C1006" t="b">
        <v>1</v>
      </c>
      <c r="D1006" t="s">
        <v>3311</v>
      </c>
      <c r="E1006" t="s">
        <v>3340</v>
      </c>
      <c r="F1006" t="s">
        <v>3723</v>
      </c>
      <c r="G1006" t="s">
        <v>3724</v>
      </c>
      <c r="H1006">
        <v>1005</v>
      </c>
      <c r="I1006" t="str">
        <f>IF(ISBLANK(Table1[[#This Row],[oid]]),"FALSE","TRUE")</f>
        <v>TRUE</v>
      </c>
      <c r="J1006" t="str" cm="1">
        <f t="array" ref="J1006">_xlfn.SWITCH(LEFT(Table1[[#This Row],[section]],1), "D", "Demographic", "S", "Social", "E", "Economic", "H", "Housing", "")</f>
        <v>Social</v>
      </c>
      <c r="K1006" s="1" t="s">
        <v>3343</v>
      </c>
      <c r="L1006" s="1" t="s">
        <v>3344</v>
      </c>
      <c r="M1006" t="str">
        <f>IF(Table1[[#This Row],[used]], _xlfn.CONCAT("🆔 ", Table1[[#This Row],[variable]], ": ",Table1[[#This Row],[alias]]), "")</f>
        <v>🆔 B04006_094E: West Indian except Hispanic groups</v>
      </c>
      <c r="O1006" t="s">
        <v>3725</v>
      </c>
      <c r="P1006" t="s">
        <v>3345</v>
      </c>
      <c r="Q1006" t="s">
        <v>41</v>
      </c>
      <c r="R1006" t="s">
        <v>3726</v>
      </c>
      <c r="S1006" t="b">
        <v>1</v>
      </c>
      <c r="T1006" t="b">
        <v>1</v>
      </c>
      <c r="U1006" t="b">
        <v>1</v>
      </c>
      <c r="V1006" t="b">
        <v>1</v>
      </c>
      <c r="W1006" t="b">
        <v>1</v>
      </c>
      <c r="X1006" t="b">
        <v>1</v>
      </c>
      <c r="Y1006" t="b">
        <v>1</v>
      </c>
      <c r="Z1006" t="b">
        <v>1</v>
      </c>
      <c r="AA1006" t="b">
        <v>1</v>
      </c>
      <c r="AB1006" t="b">
        <v>1</v>
      </c>
      <c r="AC1006" t="b">
        <v>1</v>
      </c>
      <c r="AD1006" t="b">
        <v>1</v>
      </c>
      <c r="AE1006" t="b">
        <v>1</v>
      </c>
      <c r="AF1006" t="b">
        <v>1</v>
      </c>
      <c r="AG1006" t="b">
        <v>1</v>
      </c>
    </row>
    <row r="1007" spans="1:33" x14ac:dyDescent="0.25">
      <c r="A1007" t="s">
        <v>33</v>
      </c>
      <c r="B1007">
        <v>15</v>
      </c>
      <c r="C1007" t="b">
        <v>1</v>
      </c>
      <c r="D1007" t="s">
        <v>3311</v>
      </c>
      <c r="E1007" t="s">
        <v>3340</v>
      </c>
      <c r="F1007" t="s">
        <v>3727</v>
      </c>
      <c r="G1007" t="s">
        <v>3728</v>
      </c>
      <c r="H1007">
        <v>1006</v>
      </c>
      <c r="I1007" t="str">
        <f>IF(ISBLANK(Table1[[#This Row],[oid]]),"FALSE","TRUE")</f>
        <v>TRUE</v>
      </c>
      <c r="J1007" t="str" cm="1">
        <f t="array" ref="J1007">_xlfn.SWITCH(LEFT(Table1[[#This Row],[section]],1), "D", "Demographic", "S", "Social", "E", "Economic", "H", "Housing", "")</f>
        <v>Social</v>
      </c>
      <c r="K1007" s="1" t="s">
        <v>3343</v>
      </c>
      <c r="L1007" s="1" t="s">
        <v>3344</v>
      </c>
      <c r="M1007" t="str">
        <f>IF(Table1[[#This Row],[used]], _xlfn.CONCAT("🆔 ", Table1[[#This Row],[variable]], ": ",Table1[[#This Row],[alias]]), "")</f>
        <v>🆔 B04006_095E: West Indian except Hispanic groups: Bahamian</v>
      </c>
      <c r="O1007" t="s">
        <v>3729</v>
      </c>
      <c r="P1007" t="s">
        <v>3345</v>
      </c>
      <c r="Q1007" t="s">
        <v>41</v>
      </c>
      <c r="R1007" t="s">
        <v>3730</v>
      </c>
      <c r="S1007" t="b">
        <v>1</v>
      </c>
      <c r="T1007" t="b">
        <v>1</v>
      </c>
      <c r="U1007" t="b">
        <v>1</v>
      </c>
      <c r="V1007" t="b">
        <v>1</v>
      </c>
      <c r="W1007" t="b">
        <v>1</v>
      </c>
      <c r="X1007" t="b">
        <v>1</v>
      </c>
      <c r="Y1007" t="b">
        <v>1</v>
      </c>
      <c r="Z1007" t="b">
        <v>1</v>
      </c>
      <c r="AA1007" t="b">
        <v>1</v>
      </c>
      <c r="AB1007" t="b">
        <v>1</v>
      </c>
      <c r="AC1007" t="b">
        <v>1</v>
      </c>
      <c r="AD1007" t="b">
        <v>1</v>
      </c>
      <c r="AE1007" t="b">
        <v>1</v>
      </c>
      <c r="AF1007" t="b">
        <v>1</v>
      </c>
      <c r="AG1007" t="b">
        <v>1</v>
      </c>
    </row>
    <row r="1008" spans="1:33" x14ac:dyDescent="0.25">
      <c r="A1008" t="s">
        <v>33</v>
      </c>
      <c r="B1008">
        <v>15</v>
      </c>
      <c r="C1008" t="b">
        <v>1</v>
      </c>
      <c r="D1008" t="s">
        <v>3311</v>
      </c>
      <c r="E1008" t="s">
        <v>3340</v>
      </c>
      <c r="F1008" t="s">
        <v>3731</v>
      </c>
      <c r="G1008" t="s">
        <v>3732</v>
      </c>
      <c r="H1008">
        <v>1007</v>
      </c>
      <c r="I1008" t="str">
        <f>IF(ISBLANK(Table1[[#This Row],[oid]]),"FALSE","TRUE")</f>
        <v>TRUE</v>
      </c>
      <c r="J1008" t="str" cm="1">
        <f t="array" ref="J1008">_xlfn.SWITCH(LEFT(Table1[[#This Row],[section]],1), "D", "Demographic", "S", "Social", "E", "Economic", "H", "Housing", "")</f>
        <v>Social</v>
      </c>
      <c r="K1008" s="1" t="s">
        <v>3343</v>
      </c>
      <c r="L1008" s="1" t="s">
        <v>3344</v>
      </c>
      <c r="M1008" t="str">
        <f>IF(Table1[[#This Row],[used]], _xlfn.CONCAT("🆔 ", Table1[[#This Row],[variable]], ": ",Table1[[#This Row],[alias]]), "")</f>
        <v>🆔 B04006_096E: West Indian except Hispanic groups: Barbadian</v>
      </c>
      <c r="O1008" t="s">
        <v>3733</v>
      </c>
      <c r="P1008" t="s">
        <v>3345</v>
      </c>
      <c r="Q1008" t="s">
        <v>41</v>
      </c>
      <c r="R1008" t="s">
        <v>3734</v>
      </c>
      <c r="S1008" t="b">
        <v>1</v>
      </c>
      <c r="T1008" t="b">
        <v>1</v>
      </c>
      <c r="U1008" t="b">
        <v>1</v>
      </c>
      <c r="V1008" t="b">
        <v>1</v>
      </c>
      <c r="W1008" t="b">
        <v>1</v>
      </c>
      <c r="X1008" t="b">
        <v>1</v>
      </c>
      <c r="Y1008" t="b">
        <v>1</v>
      </c>
      <c r="Z1008" t="b">
        <v>1</v>
      </c>
      <c r="AA1008" t="b">
        <v>1</v>
      </c>
      <c r="AB1008" t="b">
        <v>1</v>
      </c>
      <c r="AC1008" t="b">
        <v>1</v>
      </c>
      <c r="AD1008" t="b">
        <v>1</v>
      </c>
      <c r="AE1008" t="b">
        <v>1</v>
      </c>
      <c r="AF1008" t="b">
        <v>1</v>
      </c>
      <c r="AG1008" t="b">
        <v>1</v>
      </c>
    </row>
    <row r="1009" spans="1:33" x14ac:dyDescent="0.25">
      <c r="A1009" t="s">
        <v>33</v>
      </c>
      <c r="B1009">
        <v>15</v>
      </c>
      <c r="C1009" t="b">
        <v>1</v>
      </c>
      <c r="D1009" t="s">
        <v>3311</v>
      </c>
      <c r="E1009" t="s">
        <v>3340</v>
      </c>
      <c r="F1009" t="s">
        <v>3735</v>
      </c>
      <c r="G1009" t="s">
        <v>3736</v>
      </c>
      <c r="H1009">
        <v>1008</v>
      </c>
      <c r="I1009" t="str">
        <f>IF(ISBLANK(Table1[[#This Row],[oid]]),"FALSE","TRUE")</f>
        <v>TRUE</v>
      </c>
      <c r="J1009" t="str" cm="1">
        <f t="array" ref="J1009">_xlfn.SWITCH(LEFT(Table1[[#This Row],[section]],1), "D", "Demographic", "S", "Social", "E", "Economic", "H", "Housing", "")</f>
        <v>Social</v>
      </c>
      <c r="K1009" s="1" t="s">
        <v>3343</v>
      </c>
      <c r="L1009" s="1" t="s">
        <v>3344</v>
      </c>
      <c r="M1009" t="str">
        <f>IF(Table1[[#This Row],[used]], _xlfn.CONCAT("🆔 ", Table1[[#This Row],[variable]], ": ",Table1[[#This Row],[alias]]), "")</f>
        <v>🆔 B04006_097E: West Indian except Hispanic groups: Belizean</v>
      </c>
      <c r="O1009" t="s">
        <v>3737</v>
      </c>
      <c r="P1009" t="s">
        <v>3345</v>
      </c>
      <c r="Q1009" t="s">
        <v>41</v>
      </c>
      <c r="R1009" t="s">
        <v>3738</v>
      </c>
      <c r="S1009" t="b">
        <v>1</v>
      </c>
      <c r="T1009" t="b">
        <v>1</v>
      </c>
      <c r="U1009" t="b">
        <v>1</v>
      </c>
      <c r="V1009" t="b">
        <v>1</v>
      </c>
      <c r="W1009" t="b">
        <v>1</v>
      </c>
      <c r="X1009" t="b">
        <v>1</v>
      </c>
      <c r="Y1009" t="b">
        <v>1</v>
      </c>
      <c r="Z1009" t="b">
        <v>1</v>
      </c>
      <c r="AA1009" t="b">
        <v>1</v>
      </c>
      <c r="AB1009" t="b">
        <v>1</v>
      </c>
      <c r="AC1009" t="b">
        <v>1</v>
      </c>
      <c r="AD1009" t="b">
        <v>1</v>
      </c>
      <c r="AE1009" t="b">
        <v>1</v>
      </c>
      <c r="AF1009" t="b">
        <v>1</v>
      </c>
      <c r="AG1009" t="b">
        <v>1</v>
      </c>
    </row>
    <row r="1010" spans="1:33" x14ac:dyDescent="0.25">
      <c r="A1010" t="s">
        <v>33</v>
      </c>
      <c r="B1010">
        <v>15</v>
      </c>
      <c r="C1010" t="b">
        <v>1</v>
      </c>
      <c r="D1010" t="s">
        <v>3311</v>
      </c>
      <c r="E1010" t="s">
        <v>3340</v>
      </c>
      <c r="F1010" t="s">
        <v>3739</v>
      </c>
      <c r="G1010" t="s">
        <v>3740</v>
      </c>
      <c r="H1010">
        <v>1009</v>
      </c>
      <c r="I1010" t="str">
        <f>IF(ISBLANK(Table1[[#This Row],[oid]]),"FALSE","TRUE")</f>
        <v>TRUE</v>
      </c>
      <c r="J1010" t="str" cm="1">
        <f t="array" ref="J1010">_xlfn.SWITCH(LEFT(Table1[[#This Row],[section]],1), "D", "Demographic", "S", "Social", "E", "Economic", "H", "Housing", "")</f>
        <v>Social</v>
      </c>
      <c r="K1010" s="1" t="s">
        <v>3343</v>
      </c>
      <c r="L1010" s="1" t="s">
        <v>3344</v>
      </c>
      <c r="M1010" t="str">
        <f>IF(Table1[[#This Row],[used]], _xlfn.CONCAT("🆔 ", Table1[[#This Row],[variable]], ": ",Table1[[#This Row],[alias]]), "")</f>
        <v>🆔 B04006_098E: West Indian except Hispanic groups: Bermudan</v>
      </c>
      <c r="O1010" t="s">
        <v>3741</v>
      </c>
      <c r="P1010" t="s">
        <v>3345</v>
      </c>
      <c r="Q1010" t="s">
        <v>41</v>
      </c>
      <c r="R1010" t="s">
        <v>3742</v>
      </c>
      <c r="S1010" t="b">
        <v>1</v>
      </c>
      <c r="T1010" t="b">
        <v>1</v>
      </c>
      <c r="U1010" t="b">
        <v>1</v>
      </c>
      <c r="V1010" t="b">
        <v>1</v>
      </c>
      <c r="W1010" t="b">
        <v>1</v>
      </c>
      <c r="X1010" t="b">
        <v>1</v>
      </c>
      <c r="Y1010" t="b">
        <v>1</v>
      </c>
      <c r="Z1010" t="b">
        <v>1</v>
      </c>
      <c r="AA1010" t="b">
        <v>1</v>
      </c>
      <c r="AB1010" t="b">
        <v>1</v>
      </c>
      <c r="AC1010" t="b">
        <v>1</v>
      </c>
      <c r="AD1010" t="b">
        <v>1</v>
      </c>
      <c r="AE1010" t="b">
        <v>1</v>
      </c>
      <c r="AF1010" t="b">
        <v>1</v>
      </c>
      <c r="AG1010" t="b">
        <v>1</v>
      </c>
    </row>
    <row r="1011" spans="1:33" x14ac:dyDescent="0.25">
      <c r="A1011" t="s">
        <v>33</v>
      </c>
      <c r="B1011">
        <v>15</v>
      </c>
      <c r="C1011" t="b">
        <v>1</v>
      </c>
      <c r="D1011" t="s">
        <v>3311</v>
      </c>
      <c r="E1011" t="s">
        <v>3340</v>
      </c>
      <c r="F1011" t="s">
        <v>3743</v>
      </c>
      <c r="G1011" t="s">
        <v>3744</v>
      </c>
      <c r="H1011">
        <v>1010</v>
      </c>
      <c r="I1011" t="str">
        <f>IF(ISBLANK(Table1[[#This Row],[oid]]),"FALSE","TRUE")</f>
        <v>TRUE</v>
      </c>
      <c r="J1011" t="str" cm="1">
        <f t="array" ref="J1011">_xlfn.SWITCH(LEFT(Table1[[#This Row],[section]],1), "D", "Demographic", "S", "Social", "E", "Economic", "H", "Housing", "")</f>
        <v>Social</v>
      </c>
      <c r="K1011" s="1" t="s">
        <v>3343</v>
      </c>
      <c r="L1011" s="1" t="s">
        <v>3344</v>
      </c>
      <c r="M1011" t="str">
        <f>IF(Table1[[#This Row],[used]], _xlfn.CONCAT("🆔 ", Table1[[#This Row],[variable]], ": ",Table1[[#This Row],[alias]]), "")</f>
        <v>🆔 B04006_099E: West Indian except Hispanic groups: British West Indian</v>
      </c>
      <c r="O1011" t="s">
        <v>3745</v>
      </c>
      <c r="P1011" t="s">
        <v>3345</v>
      </c>
      <c r="Q1011" t="s">
        <v>41</v>
      </c>
      <c r="R1011" t="s">
        <v>3746</v>
      </c>
      <c r="S1011" t="b">
        <v>1</v>
      </c>
      <c r="T1011" t="b">
        <v>1</v>
      </c>
      <c r="U1011" t="b">
        <v>1</v>
      </c>
      <c r="V1011" t="b">
        <v>1</v>
      </c>
      <c r="W1011" t="b">
        <v>1</v>
      </c>
      <c r="X1011" t="b">
        <v>1</v>
      </c>
      <c r="Y1011" t="b">
        <v>1</v>
      </c>
      <c r="Z1011" t="b">
        <v>1</v>
      </c>
      <c r="AA1011" t="b">
        <v>1</v>
      </c>
      <c r="AB1011" t="b">
        <v>1</v>
      </c>
      <c r="AC1011" t="b">
        <v>1</v>
      </c>
      <c r="AD1011" t="b">
        <v>1</v>
      </c>
      <c r="AE1011" t="b">
        <v>1</v>
      </c>
      <c r="AF1011" t="b">
        <v>1</v>
      </c>
      <c r="AG1011" t="b">
        <v>1</v>
      </c>
    </row>
    <row r="1012" spans="1:33" x14ac:dyDescent="0.25">
      <c r="A1012" t="s">
        <v>33</v>
      </c>
      <c r="B1012">
        <v>15</v>
      </c>
      <c r="C1012" t="b">
        <v>1</v>
      </c>
      <c r="D1012" t="s">
        <v>3311</v>
      </c>
      <c r="E1012" t="s">
        <v>3340</v>
      </c>
      <c r="F1012" t="s">
        <v>3747</v>
      </c>
      <c r="G1012" t="s">
        <v>3748</v>
      </c>
      <c r="H1012">
        <v>1011</v>
      </c>
      <c r="I1012" t="str">
        <f>IF(ISBLANK(Table1[[#This Row],[oid]]),"FALSE","TRUE")</f>
        <v>TRUE</v>
      </c>
      <c r="J1012" t="str" cm="1">
        <f t="array" ref="J1012">_xlfn.SWITCH(LEFT(Table1[[#This Row],[section]],1), "D", "Demographic", "S", "Social", "E", "Economic", "H", "Housing", "")</f>
        <v>Social</v>
      </c>
      <c r="K1012" s="1" t="s">
        <v>3343</v>
      </c>
      <c r="L1012" s="1" t="s">
        <v>3344</v>
      </c>
      <c r="M1012" t="str">
        <f>IF(Table1[[#This Row],[used]], _xlfn.CONCAT("🆔 ", Table1[[#This Row],[variable]], ": ",Table1[[#This Row],[alias]]), "")</f>
        <v>🆔 B04006_100E: West Indian except Hispanic groups: Dutch West Indian</v>
      </c>
      <c r="O1012" t="s">
        <v>3749</v>
      </c>
      <c r="P1012" t="s">
        <v>3345</v>
      </c>
      <c r="Q1012" t="s">
        <v>41</v>
      </c>
      <c r="R1012" t="s">
        <v>3750</v>
      </c>
      <c r="S1012" t="b">
        <v>1</v>
      </c>
      <c r="T1012" t="b">
        <v>1</v>
      </c>
      <c r="U1012" t="b">
        <v>1</v>
      </c>
      <c r="V1012" t="b">
        <v>1</v>
      </c>
      <c r="W1012" t="b">
        <v>1</v>
      </c>
      <c r="X1012" t="b">
        <v>1</v>
      </c>
      <c r="Y1012" t="b">
        <v>1</v>
      </c>
      <c r="Z1012" t="b">
        <v>1</v>
      </c>
      <c r="AA1012" t="b">
        <v>1</v>
      </c>
      <c r="AB1012" t="b">
        <v>1</v>
      </c>
      <c r="AC1012" t="b">
        <v>1</v>
      </c>
      <c r="AD1012" t="b">
        <v>1</v>
      </c>
      <c r="AE1012" t="b">
        <v>1</v>
      </c>
      <c r="AF1012" t="b">
        <v>1</v>
      </c>
      <c r="AG1012" t="b">
        <v>1</v>
      </c>
    </row>
    <row r="1013" spans="1:33" x14ac:dyDescent="0.25">
      <c r="A1013" t="s">
        <v>33</v>
      </c>
      <c r="B1013">
        <v>15</v>
      </c>
      <c r="C1013" t="b">
        <v>1</v>
      </c>
      <c r="D1013" t="s">
        <v>3311</v>
      </c>
      <c r="E1013" t="s">
        <v>3340</v>
      </c>
      <c r="F1013" t="s">
        <v>3751</v>
      </c>
      <c r="G1013" t="s">
        <v>3752</v>
      </c>
      <c r="H1013">
        <v>1012</v>
      </c>
      <c r="I1013" t="str">
        <f>IF(ISBLANK(Table1[[#This Row],[oid]]),"FALSE","TRUE")</f>
        <v>TRUE</v>
      </c>
      <c r="J1013" t="str" cm="1">
        <f t="array" ref="J1013">_xlfn.SWITCH(LEFT(Table1[[#This Row],[section]],1), "D", "Demographic", "S", "Social", "E", "Economic", "H", "Housing", "")</f>
        <v>Social</v>
      </c>
      <c r="K1013" s="1" t="s">
        <v>3343</v>
      </c>
      <c r="L1013" s="1" t="s">
        <v>3344</v>
      </c>
      <c r="M1013" t="str">
        <f>IF(Table1[[#This Row],[used]], _xlfn.CONCAT("🆔 ", Table1[[#This Row],[variable]], ": ",Table1[[#This Row],[alias]]), "")</f>
        <v>🆔 B04006_101E: West Indian except Hispanic groups: Haitian</v>
      </c>
      <c r="O1013" t="s">
        <v>3753</v>
      </c>
      <c r="P1013" t="s">
        <v>3345</v>
      </c>
      <c r="Q1013" t="s">
        <v>41</v>
      </c>
      <c r="R1013" t="s">
        <v>3754</v>
      </c>
      <c r="S1013" t="b">
        <v>1</v>
      </c>
      <c r="T1013" t="b">
        <v>1</v>
      </c>
      <c r="U1013" t="b">
        <v>1</v>
      </c>
      <c r="V1013" t="b">
        <v>1</v>
      </c>
      <c r="W1013" t="b">
        <v>1</v>
      </c>
      <c r="X1013" t="b">
        <v>1</v>
      </c>
      <c r="Y1013" t="b">
        <v>1</v>
      </c>
      <c r="Z1013" t="b">
        <v>1</v>
      </c>
      <c r="AA1013" t="b">
        <v>1</v>
      </c>
      <c r="AB1013" t="b">
        <v>1</v>
      </c>
      <c r="AC1013" t="b">
        <v>1</v>
      </c>
      <c r="AD1013" t="b">
        <v>1</v>
      </c>
      <c r="AE1013" t="b">
        <v>1</v>
      </c>
      <c r="AF1013" t="b">
        <v>1</v>
      </c>
      <c r="AG1013" t="b">
        <v>1</v>
      </c>
    </row>
    <row r="1014" spans="1:33" x14ac:dyDescent="0.25">
      <c r="A1014" t="s">
        <v>33</v>
      </c>
      <c r="B1014">
        <v>15</v>
      </c>
      <c r="C1014" t="b">
        <v>1</v>
      </c>
      <c r="D1014" t="s">
        <v>3311</v>
      </c>
      <c r="E1014" t="s">
        <v>3340</v>
      </c>
      <c r="F1014" t="s">
        <v>3755</v>
      </c>
      <c r="G1014" t="s">
        <v>3756</v>
      </c>
      <c r="H1014">
        <v>1013</v>
      </c>
      <c r="I1014" t="str">
        <f>IF(ISBLANK(Table1[[#This Row],[oid]]),"FALSE","TRUE")</f>
        <v>TRUE</v>
      </c>
      <c r="J1014" t="str" cm="1">
        <f t="array" ref="J1014">_xlfn.SWITCH(LEFT(Table1[[#This Row],[section]],1), "D", "Demographic", "S", "Social", "E", "Economic", "H", "Housing", "")</f>
        <v>Social</v>
      </c>
      <c r="K1014" s="1" t="s">
        <v>3343</v>
      </c>
      <c r="L1014" s="1" t="s">
        <v>3344</v>
      </c>
      <c r="M1014" t="str">
        <f>IF(Table1[[#This Row],[used]], _xlfn.CONCAT("🆔 ", Table1[[#This Row],[variable]], ": ",Table1[[#This Row],[alias]]), "")</f>
        <v>🆔 B04006_102E: West Indian except Hispanic groups: Jamaican</v>
      </c>
      <c r="O1014" t="s">
        <v>3757</v>
      </c>
      <c r="P1014" t="s">
        <v>3345</v>
      </c>
      <c r="Q1014" t="s">
        <v>41</v>
      </c>
      <c r="R1014" t="s">
        <v>3758</v>
      </c>
      <c r="S1014" t="b">
        <v>1</v>
      </c>
      <c r="T1014" t="b">
        <v>1</v>
      </c>
      <c r="U1014" t="b">
        <v>1</v>
      </c>
      <c r="V1014" t="b">
        <v>1</v>
      </c>
      <c r="W1014" t="b">
        <v>1</v>
      </c>
      <c r="X1014" t="b">
        <v>1</v>
      </c>
      <c r="Y1014" t="b">
        <v>1</v>
      </c>
      <c r="Z1014" t="b">
        <v>1</v>
      </c>
      <c r="AA1014" t="b">
        <v>1</v>
      </c>
      <c r="AB1014" t="b">
        <v>1</v>
      </c>
      <c r="AC1014" t="b">
        <v>1</v>
      </c>
      <c r="AD1014" t="b">
        <v>1</v>
      </c>
      <c r="AE1014" t="b">
        <v>1</v>
      </c>
      <c r="AF1014" t="b">
        <v>1</v>
      </c>
      <c r="AG1014" t="b">
        <v>1</v>
      </c>
    </row>
    <row r="1015" spans="1:33" x14ac:dyDescent="0.25">
      <c r="A1015" t="s">
        <v>33</v>
      </c>
      <c r="B1015">
        <v>15</v>
      </c>
      <c r="C1015" t="b">
        <v>1</v>
      </c>
      <c r="D1015" t="s">
        <v>3311</v>
      </c>
      <c r="E1015" t="s">
        <v>3340</v>
      </c>
      <c r="F1015" t="s">
        <v>3759</v>
      </c>
      <c r="G1015" t="s">
        <v>3760</v>
      </c>
      <c r="H1015">
        <v>1014</v>
      </c>
      <c r="I1015" t="str">
        <f>IF(ISBLANK(Table1[[#This Row],[oid]]),"FALSE","TRUE")</f>
        <v>TRUE</v>
      </c>
      <c r="J1015" t="str" cm="1">
        <f t="array" ref="J1015">_xlfn.SWITCH(LEFT(Table1[[#This Row],[section]],1), "D", "Demographic", "S", "Social", "E", "Economic", "H", "Housing", "")</f>
        <v>Social</v>
      </c>
      <c r="K1015" s="1" t="s">
        <v>3343</v>
      </c>
      <c r="L1015" s="1" t="s">
        <v>3344</v>
      </c>
      <c r="M1015" t="str">
        <f>IF(Table1[[#This Row],[used]], _xlfn.CONCAT("🆔 ", Table1[[#This Row],[variable]], ": ",Table1[[#This Row],[alias]]), "")</f>
        <v>🆔 B04006_103E: West Indian except Hispanic groups: Trinidadian and Tobagonian</v>
      </c>
      <c r="O1015" t="s">
        <v>3761</v>
      </c>
      <c r="P1015" t="s">
        <v>3345</v>
      </c>
      <c r="Q1015" t="s">
        <v>41</v>
      </c>
      <c r="R1015" t="s">
        <v>3762</v>
      </c>
      <c r="S1015" t="b">
        <v>1</v>
      </c>
      <c r="T1015" t="b">
        <v>1</v>
      </c>
      <c r="U1015" t="b">
        <v>1</v>
      </c>
      <c r="V1015" t="b">
        <v>1</v>
      </c>
      <c r="W1015" t="b">
        <v>1</v>
      </c>
      <c r="X1015" t="b">
        <v>1</v>
      </c>
      <c r="Y1015" t="b">
        <v>1</v>
      </c>
      <c r="Z1015" t="b">
        <v>1</v>
      </c>
      <c r="AA1015" t="b">
        <v>1</v>
      </c>
      <c r="AB1015" t="b">
        <v>1</v>
      </c>
      <c r="AC1015" t="b">
        <v>1</v>
      </c>
      <c r="AD1015" t="b">
        <v>1</v>
      </c>
      <c r="AE1015" t="b">
        <v>1</v>
      </c>
      <c r="AF1015" t="b">
        <v>1</v>
      </c>
      <c r="AG1015" t="b">
        <v>1</v>
      </c>
    </row>
    <row r="1016" spans="1:33" x14ac:dyDescent="0.25">
      <c r="A1016" t="s">
        <v>33</v>
      </c>
      <c r="B1016">
        <v>15</v>
      </c>
      <c r="C1016" t="b">
        <v>1</v>
      </c>
      <c r="D1016" t="s">
        <v>3311</v>
      </c>
      <c r="E1016" t="s">
        <v>3340</v>
      </c>
      <c r="F1016" t="s">
        <v>3763</v>
      </c>
      <c r="G1016" t="s">
        <v>3764</v>
      </c>
      <c r="H1016">
        <v>1015</v>
      </c>
      <c r="I1016" t="str">
        <f>IF(ISBLANK(Table1[[#This Row],[oid]]),"FALSE","TRUE")</f>
        <v>TRUE</v>
      </c>
      <c r="J1016" t="str" cm="1">
        <f t="array" ref="J1016">_xlfn.SWITCH(LEFT(Table1[[#This Row],[section]],1), "D", "Demographic", "S", "Social", "E", "Economic", "H", "Housing", "")</f>
        <v>Social</v>
      </c>
      <c r="K1016" s="1" t="s">
        <v>3343</v>
      </c>
      <c r="L1016" s="1" t="s">
        <v>3344</v>
      </c>
      <c r="M1016" t="str">
        <f>IF(Table1[[#This Row],[used]], _xlfn.CONCAT("🆔 ", Table1[[#This Row],[variable]], ": ",Table1[[#This Row],[alias]]), "")</f>
        <v>🆔 B04006_104E: West Indian except Hispanic groups: US Virgin Islander</v>
      </c>
      <c r="O1016" t="s">
        <v>3765</v>
      </c>
      <c r="P1016" t="s">
        <v>3345</v>
      </c>
      <c r="Q1016" t="s">
        <v>41</v>
      </c>
      <c r="R1016" t="s">
        <v>3766</v>
      </c>
      <c r="S1016" t="b">
        <v>1</v>
      </c>
      <c r="T1016" t="b">
        <v>1</v>
      </c>
      <c r="U1016" t="b">
        <v>1</v>
      </c>
      <c r="V1016" t="b">
        <v>1</v>
      </c>
      <c r="W1016" t="b">
        <v>1</v>
      </c>
      <c r="X1016" t="b">
        <v>1</v>
      </c>
      <c r="Y1016" t="b">
        <v>1</v>
      </c>
      <c r="Z1016" t="b">
        <v>1</v>
      </c>
      <c r="AA1016" t="b">
        <v>1</v>
      </c>
      <c r="AB1016" t="b">
        <v>1</v>
      </c>
      <c r="AC1016" t="b">
        <v>1</v>
      </c>
      <c r="AD1016" t="b">
        <v>1</v>
      </c>
      <c r="AE1016" t="b">
        <v>1</v>
      </c>
      <c r="AF1016" t="b">
        <v>1</v>
      </c>
      <c r="AG1016" t="b">
        <v>1</v>
      </c>
    </row>
    <row r="1017" spans="1:33" x14ac:dyDescent="0.25">
      <c r="A1017" t="s">
        <v>33</v>
      </c>
      <c r="B1017">
        <v>15</v>
      </c>
      <c r="C1017" t="b">
        <v>1</v>
      </c>
      <c r="D1017" t="s">
        <v>3311</v>
      </c>
      <c r="E1017" t="s">
        <v>3340</v>
      </c>
      <c r="F1017" t="s">
        <v>3767</v>
      </c>
      <c r="G1017" t="s">
        <v>3768</v>
      </c>
      <c r="H1017">
        <v>1016</v>
      </c>
      <c r="I1017" t="str">
        <f>IF(ISBLANK(Table1[[#This Row],[oid]]),"FALSE","TRUE")</f>
        <v>TRUE</v>
      </c>
      <c r="J1017" t="str" cm="1">
        <f t="array" ref="J1017">_xlfn.SWITCH(LEFT(Table1[[#This Row],[section]],1), "D", "Demographic", "S", "Social", "E", "Economic", "H", "Housing", "")</f>
        <v>Social</v>
      </c>
      <c r="K1017" s="1" t="s">
        <v>3343</v>
      </c>
      <c r="L1017" s="1" t="s">
        <v>3344</v>
      </c>
      <c r="M1017" t="str">
        <f>IF(Table1[[#This Row],[used]], _xlfn.CONCAT("🆔 ", Table1[[#This Row],[variable]], ": ",Table1[[#This Row],[alias]]), "")</f>
        <v>🆔 B04006_105E: West Indian except Hispanic groups: West Indian</v>
      </c>
      <c r="O1017" t="s">
        <v>3769</v>
      </c>
      <c r="P1017" t="s">
        <v>3345</v>
      </c>
      <c r="Q1017" t="s">
        <v>41</v>
      </c>
      <c r="R1017" t="s">
        <v>3770</v>
      </c>
      <c r="S1017" t="b">
        <v>1</v>
      </c>
      <c r="T1017" t="b">
        <v>1</v>
      </c>
      <c r="U1017" t="b">
        <v>1</v>
      </c>
      <c r="V1017" t="b">
        <v>1</v>
      </c>
      <c r="W1017" t="b">
        <v>1</v>
      </c>
      <c r="X1017" t="b">
        <v>1</v>
      </c>
      <c r="Y1017" t="b">
        <v>1</v>
      </c>
      <c r="Z1017" t="b">
        <v>1</v>
      </c>
      <c r="AA1017" t="b">
        <v>1</v>
      </c>
      <c r="AB1017" t="b">
        <v>1</v>
      </c>
      <c r="AC1017" t="b">
        <v>1</v>
      </c>
      <c r="AD1017" t="b">
        <v>1</v>
      </c>
      <c r="AE1017" t="b">
        <v>1</v>
      </c>
      <c r="AF1017" t="b">
        <v>1</v>
      </c>
      <c r="AG1017" t="b">
        <v>1</v>
      </c>
    </row>
    <row r="1018" spans="1:33" x14ac:dyDescent="0.25">
      <c r="A1018" t="s">
        <v>33</v>
      </c>
      <c r="B1018">
        <v>15</v>
      </c>
      <c r="C1018" t="b">
        <v>1</v>
      </c>
      <c r="D1018" t="s">
        <v>3311</v>
      </c>
      <c r="E1018" t="s">
        <v>3340</v>
      </c>
      <c r="F1018" t="s">
        <v>3771</v>
      </c>
      <c r="G1018" t="s">
        <v>3772</v>
      </c>
      <c r="H1018">
        <v>1017</v>
      </c>
      <c r="I1018" t="str">
        <f>IF(ISBLANK(Table1[[#This Row],[oid]]),"FALSE","TRUE")</f>
        <v>TRUE</v>
      </c>
      <c r="J1018" t="str" cm="1">
        <f t="array" ref="J1018">_xlfn.SWITCH(LEFT(Table1[[#This Row],[section]],1), "D", "Demographic", "S", "Social", "E", "Economic", "H", "Housing", "")</f>
        <v>Social</v>
      </c>
      <c r="K1018" s="1" t="s">
        <v>3343</v>
      </c>
      <c r="L1018" s="1" t="s">
        <v>3344</v>
      </c>
      <c r="M1018" t="str">
        <f>IF(Table1[[#This Row],[used]], _xlfn.CONCAT("🆔 ", Table1[[#This Row],[variable]], ": ",Table1[[#This Row],[alias]]), "")</f>
        <v>🆔 B04006_106E: West Indian except Hispanic groups: Other West Indian</v>
      </c>
      <c r="O1018" t="s">
        <v>3773</v>
      </c>
      <c r="P1018" t="s">
        <v>3345</v>
      </c>
      <c r="Q1018" t="s">
        <v>41</v>
      </c>
      <c r="R1018" t="s">
        <v>3774</v>
      </c>
      <c r="S1018" t="b">
        <v>1</v>
      </c>
      <c r="T1018" t="b">
        <v>1</v>
      </c>
      <c r="U1018" t="b">
        <v>1</v>
      </c>
      <c r="V1018" t="b">
        <v>1</v>
      </c>
      <c r="W1018" t="b">
        <v>1</v>
      </c>
      <c r="X1018" t="b">
        <v>1</v>
      </c>
      <c r="Y1018" t="b">
        <v>1</v>
      </c>
      <c r="Z1018" t="b">
        <v>1</v>
      </c>
      <c r="AA1018" t="b">
        <v>1</v>
      </c>
      <c r="AB1018" t="b">
        <v>1</v>
      </c>
      <c r="AC1018" t="b">
        <v>1</v>
      </c>
      <c r="AD1018" t="b">
        <v>1</v>
      </c>
      <c r="AE1018" t="b">
        <v>1</v>
      </c>
      <c r="AF1018" t="b">
        <v>1</v>
      </c>
      <c r="AG1018" t="b">
        <v>1</v>
      </c>
    </row>
    <row r="1019" spans="1:33" x14ac:dyDescent="0.25">
      <c r="A1019" t="s">
        <v>33</v>
      </c>
      <c r="B1019">
        <v>15</v>
      </c>
      <c r="C1019" t="b">
        <v>1</v>
      </c>
      <c r="D1019" t="s">
        <v>3311</v>
      </c>
      <c r="E1019" t="s">
        <v>3340</v>
      </c>
      <c r="F1019" t="s">
        <v>3775</v>
      </c>
      <c r="G1019" t="s">
        <v>3776</v>
      </c>
      <c r="H1019">
        <v>1018</v>
      </c>
      <c r="I1019" t="str">
        <f>IF(ISBLANK(Table1[[#This Row],[oid]]),"FALSE","TRUE")</f>
        <v>TRUE</v>
      </c>
      <c r="J1019" t="str" cm="1">
        <f t="array" ref="J1019">_xlfn.SWITCH(LEFT(Table1[[#This Row],[section]],1), "D", "Demographic", "S", "Social", "E", "Economic", "H", "Housing", "")</f>
        <v>Social</v>
      </c>
      <c r="K1019" s="1" t="s">
        <v>3343</v>
      </c>
      <c r="L1019" s="1" t="s">
        <v>3344</v>
      </c>
      <c r="M1019" t="str">
        <f>IF(Table1[[#This Row],[used]], _xlfn.CONCAT("🆔 ", Table1[[#This Row],[variable]], ": ",Table1[[#This Row],[alias]]), "")</f>
        <v>🆔 B04006_107E: Yugoslavian</v>
      </c>
      <c r="O1019" t="s">
        <v>3777</v>
      </c>
      <c r="P1019" t="s">
        <v>3345</v>
      </c>
      <c r="Q1019" t="s">
        <v>41</v>
      </c>
      <c r="R1019" t="s">
        <v>3778</v>
      </c>
      <c r="S1019" t="b">
        <v>1</v>
      </c>
      <c r="T1019" t="b">
        <v>1</v>
      </c>
      <c r="U1019" t="b">
        <v>1</v>
      </c>
      <c r="V1019" t="b">
        <v>1</v>
      </c>
      <c r="W1019" t="b">
        <v>1</v>
      </c>
      <c r="X1019" t="b">
        <v>1</v>
      </c>
      <c r="Y1019" t="b">
        <v>1</v>
      </c>
      <c r="Z1019" t="b">
        <v>1</v>
      </c>
      <c r="AA1019" t="b">
        <v>1</v>
      </c>
      <c r="AB1019" t="b">
        <v>1</v>
      </c>
      <c r="AC1019" t="b">
        <v>1</v>
      </c>
      <c r="AD1019" t="b">
        <v>1</v>
      </c>
      <c r="AE1019" t="b">
        <v>1</v>
      </c>
      <c r="AF1019" t="b">
        <v>1</v>
      </c>
      <c r="AG1019" t="b">
        <v>1</v>
      </c>
    </row>
    <row r="1020" spans="1:33" x14ac:dyDescent="0.25">
      <c r="A1020" t="s">
        <v>33</v>
      </c>
      <c r="B1020">
        <v>15</v>
      </c>
      <c r="C1020" t="b">
        <v>1</v>
      </c>
      <c r="D1020" t="s">
        <v>3311</v>
      </c>
      <c r="E1020" t="s">
        <v>3340</v>
      </c>
      <c r="F1020" t="s">
        <v>3779</v>
      </c>
      <c r="G1020" t="s">
        <v>3780</v>
      </c>
      <c r="H1020">
        <v>1019</v>
      </c>
      <c r="I1020" t="str">
        <f>IF(ISBLANK(Table1[[#This Row],[oid]]),"FALSE","TRUE")</f>
        <v>TRUE</v>
      </c>
      <c r="J1020" t="str" cm="1">
        <f t="array" ref="J1020">_xlfn.SWITCH(LEFT(Table1[[#This Row],[section]],1), "D", "Demographic", "S", "Social", "E", "Economic", "H", "Housing", "")</f>
        <v>Social</v>
      </c>
      <c r="K1020" s="1" t="s">
        <v>3343</v>
      </c>
      <c r="L1020" s="1" t="s">
        <v>3344</v>
      </c>
      <c r="M1020" t="str">
        <f>IF(Table1[[#This Row],[used]], _xlfn.CONCAT("🆔 ", Table1[[#This Row],[variable]], ": ",Table1[[#This Row],[alias]]), "")</f>
        <v>🆔 B04006_108E: Other groups</v>
      </c>
      <c r="O1020" t="s">
        <v>3781</v>
      </c>
      <c r="P1020" t="s">
        <v>3345</v>
      </c>
      <c r="Q1020" t="s">
        <v>41</v>
      </c>
      <c r="R1020" t="s">
        <v>3782</v>
      </c>
      <c r="S1020" t="b">
        <v>1</v>
      </c>
      <c r="T1020" t="b">
        <v>1</v>
      </c>
      <c r="U1020" t="b">
        <v>1</v>
      </c>
      <c r="V1020" t="b">
        <v>1</v>
      </c>
      <c r="W1020" t="b">
        <v>1</v>
      </c>
      <c r="X1020" t="b">
        <v>1</v>
      </c>
      <c r="Y1020" t="b">
        <v>1</v>
      </c>
      <c r="Z1020" t="b">
        <v>1</v>
      </c>
      <c r="AA1020" t="b">
        <v>1</v>
      </c>
      <c r="AB1020" t="b">
        <v>1</v>
      </c>
      <c r="AC1020" t="b">
        <v>1</v>
      </c>
      <c r="AD1020" t="b">
        <v>1</v>
      </c>
      <c r="AE1020" t="b">
        <v>1</v>
      </c>
      <c r="AF1020" t="b">
        <v>1</v>
      </c>
      <c r="AG1020" t="b">
        <v>1</v>
      </c>
    </row>
    <row r="1021" spans="1:33" x14ac:dyDescent="0.25">
      <c r="A1021" t="s">
        <v>33</v>
      </c>
      <c r="B1021">
        <v>15</v>
      </c>
      <c r="C1021" t="b">
        <v>1</v>
      </c>
      <c r="D1021" t="s">
        <v>3311</v>
      </c>
      <c r="E1021" t="s">
        <v>3340</v>
      </c>
      <c r="F1021" t="s">
        <v>3783</v>
      </c>
      <c r="G1021" t="s">
        <v>3784</v>
      </c>
      <c r="H1021">
        <v>1020</v>
      </c>
      <c r="I1021" t="str">
        <f>IF(ISBLANK(Table1[[#This Row],[oid]]),"FALSE","TRUE")</f>
        <v>TRUE</v>
      </c>
      <c r="J1021" t="str" cm="1">
        <f t="array" ref="J1021">_xlfn.SWITCH(LEFT(Table1[[#This Row],[section]],1), "D", "Demographic", "S", "Social", "E", "Economic", "H", "Housing", "")</f>
        <v>Social</v>
      </c>
      <c r="K1021" s="1" t="s">
        <v>3343</v>
      </c>
      <c r="L1021" s="1" t="s">
        <v>3344</v>
      </c>
      <c r="M1021" t="str">
        <f>IF(Table1[[#This Row],[used]], _xlfn.CONCAT("🆔 ", Table1[[#This Row],[variable]], ": ",Table1[[#This Row],[alias]]), "")</f>
        <v>🆔 B04006_109E: Unclassified or not reported</v>
      </c>
      <c r="O1021" t="s">
        <v>3785</v>
      </c>
      <c r="P1021" t="s">
        <v>3345</v>
      </c>
      <c r="Q1021" t="s">
        <v>41</v>
      </c>
      <c r="R1021" t="s">
        <v>3786</v>
      </c>
      <c r="S1021" t="b">
        <v>1</v>
      </c>
      <c r="T1021" t="b">
        <v>1</v>
      </c>
      <c r="U1021" t="b">
        <v>1</v>
      </c>
      <c r="V1021" t="b">
        <v>1</v>
      </c>
      <c r="W1021" t="b">
        <v>1</v>
      </c>
      <c r="X1021" t="b">
        <v>1</v>
      </c>
      <c r="Y1021" t="b">
        <v>1</v>
      </c>
      <c r="Z1021" t="b">
        <v>1</v>
      </c>
      <c r="AA1021" t="b">
        <v>1</v>
      </c>
      <c r="AB1021" t="b">
        <v>1</v>
      </c>
      <c r="AC1021" t="b">
        <v>1</v>
      </c>
      <c r="AD1021" t="b">
        <v>1</v>
      </c>
      <c r="AE1021" t="b">
        <v>1</v>
      </c>
      <c r="AF1021" t="b">
        <v>1</v>
      </c>
      <c r="AG1021" t="b">
        <v>1</v>
      </c>
    </row>
    <row r="1022" spans="1:33" x14ac:dyDescent="0.25">
      <c r="A1022" t="s">
        <v>2259</v>
      </c>
      <c r="B1022">
        <v>8</v>
      </c>
      <c r="C1022" t="b">
        <v>0</v>
      </c>
      <c r="D1022" t="s">
        <v>3787</v>
      </c>
      <c r="E1022" t="s">
        <v>3788</v>
      </c>
      <c r="F1022" t="s">
        <v>3789</v>
      </c>
      <c r="G1022" t="s">
        <v>3790</v>
      </c>
      <c r="H1022">
        <v>1021</v>
      </c>
      <c r="I1022" t="str">
        <f>IF(ISBLANK(Table1[[#This Row],[oid]]),"FALSE","TRUE")</f>
        <v>TRUE</v>
      </c>
      <c r="J1022" t="str" cm="1">
        <f t="array" ref="J1022">_xlfn.SWITCH(LEFT(Table1[[#This Row],[section]],1), "D", "Demographic", "S", "Social", "E", "Economic", "H", "Housing", "")</f>
        <v>Social</v>
      </c>
      <c r="K1022" t="s">
        <v>3791</v>
      </c>
      <c r="L1022" t="s">
        <v>3792</v>
      </c>
      <c r="M1022" t="str">
        <f>IF(Table1[[#This Row],[used]], _xlfn.CONCAT("🆔 ", Table1[[#This Row],[variable]], ": ",Table1[[#This Row],[alias]]), "")</f>
        <v>🆔 B28001_001E: Households</v>
      </c>
      <c r="O1022" t="s">
        <v>39</v>
      </c>
      <c r="P1022" t="s">
        <v>3793</v>
      </c>
      <c r="Q1022" t="s">
        <v>41</v>
      </c>
      <c r="R1022" t="s">
        <v>3794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1</v>
      </c>
      <c r="AA1022" t="b">
        <v>1</v>
      </c>
      <c r="AB1022" t="b">
        <v>1</v>
      </c>
      <c r="AC1022" t="b">
        <v>1</v>
      </c>
      <c r="AD1022" t="b">
        <v>1</v>
      </c>
      <c r="AE1022" t="b">
        <v>1</v>
      </c>
      <c r="AF1022" t="b">
        <v>1</v>
      </c>
      <c r="AG1022" t="b">
        <v>1</v>
      </c>
    </row>
    <row r="1023" spans="1:33" x14ac:dyDescent="0.25">
      <c r="A1023" t="s">
        <v>2259</v>
      </c>
      <c r="B1023">
        <v>8</v>
      </c>
      <c r="C1023" t="b">
        <v>0</v>
      </c>
      <c r="D1023" t="s">
        <v>3787</v>
      </c>
      <c r="E1023" t="s">
        <v>3788</v>
      </c>
      <c r="F1023" t="s">
        <v>3795</v>
      </c>
      <c r="G1023" t="s">
        <v>3796</v>
      </c>
      <c r="H1023">
        <v>1022</v>
      </c>
      <c r="I1023" t="str">
        <f>IF(ISBLANK(Table1[[#This Row],[oid]]),"FALSE","TRUE")</f>
        <v>TRUE</v>
      </c>
      <c r="J1023" t="str" cm="1">
        <f t="array" ref="J1023">_xlfn.SWITCH(LEFT(Table1[[#This Row],[section]],1), "D", "Demographic", "S", "Social", "E", "Economic", "H", "Housing", "")</f>
        <v>Social</v>
      </c>
      <c r="K1023" t="s">
        <v>3791</v>
      </c>
      <c r="L1023" t="s">
        <v>3792</v>
      </c>
      <c r="M1023" t="str">
        <f>IF(Table1[[#This Row],[used]], _xlfn.CONCAT("🆔 ", Table1[[#This Row],[variable]], ": ",Table1[[#This Row],[alias]]), "")</f>
        <v>🆔 B28001_002E: Has one or more types of computing devices</v>
      </c>
      <c r="O1023" t="s">
        <v>3797</v>
      </c>
      <c r="P1023" t="s">
        <v>3793</v>
      </c>
      <c r="Q1023" t="s">
        <v>41</v>
      </c>
      <c r="R1023" t="s">
        <v>3798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1</v>
      </c>
      <c r="AA1023" t="b">
        <v>1</v>
      </c>
      <c r="AB1023" t="b">
        <v>1</v>
      </c>
      <c r="AC1023" t="b">
        <v>1</v>
      </c>
      <c r="AD1023" t="b">
        <v>1</v>
      </c>
      <c r="AE1023" t="b">
        <v>1</v>
      </c>
      <c r="AF1023" t="b">
        <v>1</v>
      </c>
      <c r="AG1023" t="b">
        <v>1</v>
      </c>
    </row>
    <row r="1024" spans="1:33" x14ac:dyDescent="0.25">
      <c r="A1024" t="s">
        <v>2259</v>
      </c>
      <c r="B1024">
        <v>8</v>
      </c>
      <c r="C1024" t="b">
        <v>0</v>
      </c>
      <c r="D1024" t="s">
        <v>3787</v>
      </c>
      <c r="E1024" t="s">
        <v>3788</v>
      </c>
      <c r="F1024" t="s">
        <v>3799</v>
      </c>
      <c r="G1024" t="s">
        <v>3800</v>
      </c>
      <c r="H1024">
        <v>1023</v>
      </c>
      <c r="I1024" t="str">
        <f>IF(ISBLANK(Table1[[#This Row],[oid]]),"FALSE","TRUE")</f>
        <v>TRUE</v>
      </c>
      <c r="J1024" t="str" cm="1">
        <f t="array" ref="J1024">_xlfn.SWITCH(LEFT(Table1[[#This Row],[section]],1), "D", "Demographic", "S", "Social", "E", "Economic", "H", "Housing", "")</f>
        <v>Social</v>
      </c>
      <c r="K1024" t="s">
        <v>3791</v>
      </c>
      <c r="L1024" t="s">
        <v>3792</v>
      </c>
      <c r="M1024" t="str">
        <f>IF(Table1[[#This Row],[used]], _xlfn.CONCAT("🆔 ", Table1[[#This Row],[variable]], ": ",Table1[[#This Row],[alias]]), "")</f>
        <v>🆔 B28001_003E: Has one or more types of computing devices: Desktop or laptop</v>
      </c>
      <c r="O1024" t="s">
        <v>3801</v>
      </c>
      <c r="P1024" t="s">
        <v>3793</v>
      </c>
      <c r="Q1024" t="s">
        <v>41</v>
      </c>
      <c r="R1024" t="s">
        <v>3802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1</v>
      </c>
      <c r="AA1024" t="b">
        <v>1</v>
      </c>
      <c r="AB1024" t="b">
        <v>1</v>
      </c>
      <c r="AC1024" t="b">
        <v>1</v>
      </c>
      <c r="AD1024" t="b">
        <v>1</v>
      </c>
      <c r="AE1024" t="b">
        <v>1</v>
      </c>
      <c r="AF1024" t="b">
        <v>1</v>
      </c>
      <c r="AG1024" t="b">
        <v>1</v>
      </c>
    </row>
    <row r="1025" spans="1:33" x14ac:dyDescent="0.25">
      <c r="A1025" t="s">
        <v>2259</v>
      </c>
      <c r="B1025">
        <v>8</v>
      </c>
      <c r="C1025" t="b">
        <v>0</v>
      </c>
      <c r="D1025" t="s">
        <v>3787</v>
      </c>
      <c r="E1025" t="s">
        <v>3788</v>
      </c>
      <c r="F1025" t="s">
        <v>3803</v>
      </c>
      <c r="G1025" t="s">
        <v>3804</v>
      </c>
      <c r="H1025">
        <v>1024</v>
      </c>
      <c r="I1025" t="str">
        <f>IF(ISBLANK(Table1[[#This Row],[oid]]),"FALSE","TRUE")</f>
        <v>TRUE</v>
      </c>
      <c r="J1025" t="str" cm="1">
        <f t="array" ref="J1025">_xlfn.SWITCH(LEFT(Table1[[#This Row],[section]],1), "D", "Demographic", "S", "Social", "E", "Economic", "H", "Housing", "")</f>
        <v>Social</v>
      </c>
      <c r="K1025" t="s">
        <v>3791</v>
      </c>
      <c r="L1025" t="s">
        <v>3792</v>
      </c>
      <c r="M1025" t="str">
        <f>IF(Table1[[#This Row],[used]], _xlfn.CONCAT("🆔 ", Table1[[#This Row],[variable]], ": ",Table1[[#This Row],[alias]]), "")</f>
        <v>🆔 B28001_004E: Has one or more types of computing devices: Desktop or laptop: Desktop or laptop with no other type of computing device</v>
      </c>
      <c r="O1025" t="s">
        <v>3805</v>
      </c>
      <c r="P1025" t="s">
        <v>3793</v>
      </c>
      <c r="Q1025" t="s">
        <v>41</v>
      </c>
      <c r="R1025" t="s">
        <v>3806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1</v>
      </c>
      <c r="AA1025" t="b">
        <v>1</v>
      </c>
      <c r="AB1025" t="b">
        <v>1</v>
      </c>
      <c r="AC1025" t="b">
        <v>1</v>
      </c>
      <c r="AD1025" t="b">
        <v>1</v>
      </c>
      <c r="AE1025" t="b">
        <v>1</v>
      </c>
      <c r="AF1025" t="b">
        <v>1</v>
      </c>
      <c r="AG1025" t="b">
        <v>1</v>
      </c>
    </row>
    <row r="1026" spans="1:33" x14ac:dyDescent="0.25">
      <c r="A1026" t="s">
        <v>2259</v>
      </c>
      <c r="B1026">
        <v>8</v>
      </c>
      <c r="C1026" t="b">
        <v>0</v>
      </c>
      <c r="D1026" t="s">
        <v>3787</v>
      </c>
      <c r="E1026" t="s">
        <v>3788</v>
      </c>
      <c r="F1026" t="s">
        <v>3807</v>
      </c>
      <c r="G1026" t="s">
        <v>3808</v>
      </c>
      <c r="H1026">
        <v>1025</v>
      </c>
      <c r="I1026" t="str">
        <f>IF(ISBLANK(Table1[[#This Row],[oid]]),"FALSE","TRUE")</f>
        <v>TRUE</v>
      </c>
      <c r="J1026" t="str" cm="1">
        <f t="array" ref="J1026">_xlfn.SWITCH(LEFT(Table1[[#This Row],[section]],1), "D", "Demographic", "S", "Social", "E", "Economic", "H", "Housing", "")</f>
        <v>Social</v>
      </c>
      <c r="K1026" t="s">
        <v>3791</v>
      </c>
      <c r="L1026" t="s">
        <v>3792</v>
      </c>
      <c r="M1026" t="str">
        <f>IF(Table1[[#This Row],[used]], _xlfn.CONCAT("🆔 ", Table1[[#This Row],[variable]], ": ",Table1[[#This Row],[alias]]), "")</f>
        <v>🆔 B28001_005E: Has one or more types of computing devices: Smartphone</v>
      </c>
      <c r="O1026" t="s">
        <v>3809</v>
      </c>
      <c r="P1026" t="s">
        <v>3793</v>
      </c>
      <c r="Q1026" t="s">
        <v>41</v>
      </c>
      <c r="R1026" t="s">
        <v>3810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1</v>
      </c>
      <c r="AA1026" t="b">
        <v>1</v>
      </c>
      <c r="AB1026" t="b">
        <v>1</v>
      </c>
      <c r="AC1026" t="b">
        <v>1</v>
      </c>
      <c r="AD1026" t="b">
        <v>1</v>
      </c>
      <c r="AE1026" t="b">
        <v>1</v>
      </c>
      <c r="AF1026" t="b">
        <v>1</v>
      </c>
      <c r="AG1026" t="b">
        <v>1</v>
      </c>
    </row>
    <row r="1027" spans="1:33" x14ac:dyDescent="0.25">
      <c r="A1027" t="s">
        <v>2259</v>
      </c>
      <c r="B1027">
        <v>8</v>
      </c>
      <c r="C1027" t="b">
        <v>0</v>
      </c>
      <c r="D1027" t="s">
        <v>3787</v>
      </c>
      <c r="E1027" t="s">
        <v>3788</v>
      </c>
      <c r="F1027" t="s">
        <v>3811</v>
      </c>
      <c r="G1027" t="s">
        <v>3812</v>
      </c>
      <c r="H1027">
        <v>1026</v>
      </c>
      <c r="I1027" t="str">
        <f>IF(ISBLANK(Table1[[#This Row],[oid]]),"FALSE","TRUE")</f>
        <v>TRUE</v>
      </c>
      <c r="J1027" t="str" cm="1">
        <f t="array" ref="J1027">_xlfn.SWITCH(LEFT(Table1[[#This Row],[section]],1), "D", "Demographic", "S", "Social", "E", "Economic", "H", "Housing", "")</f>
        <v>Social</v>
      </c>
      <c r="K1027" t="s">
        <v>3791</v>
      </c>
      <c r="L1027" t="s">
        <v>3792</v>
      </c>
      <c r="M1027" t="str">
        <f>IF(Table1[[#This Row],[used]], _xlfn.CONCAT("🆔 ", Table1[[#This Row],[variable]], ": ",Table1[[#This Row],[alias]]), "")</f>
        <v>🆔 B28001_006E: Has one or more types of computing devices: Smartphone: Smartphone with no other type of computing device</v>
      </c>
      <c r="O1027" t="s">
        <v>3813</v>
      </c>
      <c r="P1027" t="s">
        <v>3793</v>
      </c>
      <c r="Q1027" t="s">
        <v>41</v>
      </c>
      <c r="R1027" t="s">
        <v>3814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1</v>
      </c>
      <c r="AA1027" t="b">
        <v>1</v>
      </c>
      <c r="AB1027" t="b">
        <v>1</v>
      </c>
      <c r="AC1027" t="b">
        <v>1</v>
      </c>
      <c r="AD1027" t="b">
        <v>1</v>
      </c>
      <c r="AE1027" t="b">
        <v>1</v>
      </c>
      <c r="AF1027" t="b">
        <v>1</v>
      </c>
      <c r="AG1027" t="b">
        <v>1</v>
      </c>
    </row>
    <row r="1028" spans="1:33" x14ac:dyDescent="0.25">
      <c r="A1028" t="s">
        <v>2259</v>
      </c>
      <c r="B1028">
        <v>8</v>
      </c>
      <c r="C1028" t="b">
        <v>0</v>
      </c>
      <c r="D1028" t="s">
        <v>3787</v>
      </c>
      <c r="E1028" t="s">
        <v>3788</v>
      </c>
      <c r="F1028" t="s">
        <v>3815</v>
      </c>
      <c r="G1028" t="s">
        <v>3816</v>
      </c>
      <c r="H1028">
        <v>1027</v>
      </c>
      <c r="I1028" t="str">
        <f>IF(ISBLANK(Table1[[#This Row],[oid]]),"FALSE","TRUE")</f>
        <v>TRUE</v>
      </c>
      <c r="J1028" t="str" cm="1">
        <f t="array" ref="J1028">_xlfn.SWITCH(LEFT(Table1[[#This Row],[section]],1), "D", "Demographic", "S", "Social", "E", "Economic", "H", "Housing", "")</f>
        <v>Social</v>
      </c>
      <c r="K1028" t="s">
        <v>3791</v>
      </c>
      <c r="L1028" t="s">
        <v>3792</v>
      </c>
      <c r="M1028" t="str">
        <f>IF(Table1[[#This Row],[used]], _xlfn.CONCAT("🆔 ", Table1[[#This Row],[variable]], ": ",Table1[[#This Row],[alias]]), "")</f>
        <v>🆔 B28001_007E: Has one or more types of computing devices: Tablet or other portable wireless computer</v>
      </c>
      <c r="O1028" t="s">
        <v>3817</v>
      </c>
      <c r="P1028" t="s">
        <v>3793</v>
      </c>
      <c r="Q1028" t="s">
        <v>41</v>
      </c>
      <c r="R1028" t="s">
        <v>3818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1</v>
      </c>
      <c r="AA1028" t="b">
        <v>1</v>
      </c>
      <c r="AB1028" t="b">
        <v>1</v>
      </c>
      <c r="AC1028" t="b">
        <v>1</v>
      </c>
      <c r="AD1028" t="b">
        <v>1</v>
      </c>
      <c r="AE1028" t="b">
        <v>1</v>
      </c>
      <c r="AF1028" t="b">
        <v>1</v>
      </c>
      <c r="AG1028" t="b">
        <v>1</v>
      </c>
    </row>
    <row r="1029" spans="1:33" x14ac:dyDescent="0.25">
      <c r="A1029" t="s">
        <v>2259</v>
      </c>
      <c r="B1029">
        <v>8</v>
      </c>
      <c r="C1029" t="b">
        <v>0</v>
      </c>
      <c r="D1029" t="s">
        <v>3787</v>
      </c>
      <c r="E1029" t="s">
        <v>3788</v>
      </c>
      <c r="F1029" t="s">
        <v>3819</v>
      </c>
      <c r="G1029" t="s">
        <v>3820</v>
      </c>
      <c r="H1029">
        <v>1028</v>
      </c>
      <c r="I1029" t="str">
        <f>IF(ISBLANK(Table1[[#This Row],[oid]]),"FALSE","TRUE")</f>
        <v>TRUE</v>
      </c>
      <c r="J1029" t="str" cm="1">
        <f t="array" ref="J1029">_xlfn.SWITCH(LEFT(Table1[[#This Row],[section]],1), "D", "Demographic", "S", "Social", "E", "Economic", "H", "Housing", "")</f>
        <v>Social</v>
      </c>
      <c r="K1029" t="s">
        <v>3791</v>
      </c>
      <c r="L1029" t="s">
        <v>3792</v>
      </c>
      <c r="M1029" t="str">
        <f>IF(Table1[[#This Row],[used]], _xlfn.CONCAT("🆔 ", Table1[[#This Row],[variable]], ": ",Table1[[#This Row],[alias]]), "")</f>
        <v>🆔 B28001_008E: Has one or more types of computing devices: Tablet or other portable wireless computer: Tablet or other portable wireless computer with no other type of computing device</v>
      </c>
      <c r="O1029" t="s">
        <v>3821</v>
      </c>
      <c r="P1029" t="s">
        <v>3793</v>
      </c>
      <c r="Q1029" t="s">
        <v>41</v>
      </c>
      <c r="R1029" t="s">
        <v>3822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1</v>
      </c>
      <c r="AA1029" t="b">
        <v>1</v>
      </c>
      <c r="AB1029" t="b">
        <v>1</v>
      </c>
      <c r="AC1029" t="b">
        <v>1</v>
      </c>
      <c r="AD1029" t="b">
        <v>1</v>
      </c>
      <c r="AE1029" t="b">
        <v>1</v>
      </c>
      <c r="AF1029" t="b">
        <v>1</v>
      </c>
      <c r="AG1029" t="b">
        <v>1</v>
      </c>
    </row>
    <row r="1030" spans="1:33" x14ac:dyDescent="0.25">
      <c r="A1030" t="s">
        <v>2259</v>
      </c>
      <c r="B1030">
        <v>8</v>
      </c>
      <c r="C1030" t="b">
        <v>0</v>
      </c>
      <c r="D1030" t="s">
        <v>3787</v>
      </c>
      <c r="E1030" t="s">
        <v>3788</v>
      </c>
      <c r="F1030" t="s">
        <v>3823</v>
      </c>
      <c r="G1030" t="s">
        <v>3824</v>
      </c>
      <c r="H1030">
        <v>1029</v>
      </c>
      <c r="I1030" t="str">
        <f>IF(ISBLANK(Table1[[#This Row],[oid]]),"FALSE","TRUE")</f>
        <v>TRUE</v>
      </c>
      <c r="J1030" t="str" cm="1">
        <f t="array" ref="J1030">_xlfn.SWITCH(LEFT(Table1[[#This Row],[section]],1), "D", "Demographic", "S", "Social", "E", "Economic", "H", "Housing", "")</f>
        <v>Social</v>
      </c>
      <c r="K1030" t="s">
        <v>3791</v>
      </c>
      <c r="L1030" t="s">
        <v>3792</v>
      </c>
      <c r="M1030" t="str">
        <f>IF(Table1[[#This Row],[used]], _xlfn.CONCAT("🆔 ", Table1[[#This Row],[variable]], ": ",Table1[[#This Row],[alias]]), "")</f>
        <v>🆔 B28001_009E: Has one or more types of computing devices: Other computer</v>
      </c>
      <c r="O1030" t="s">
        <v>3825</v>
      </c>
      <c r="P1030" t="s">
        <v>3793</v>
      </c>
      <c r="Q1030" t="s">
        <v>41</v>
      </c>
      <c r="R1030" t="s">
        <v>3826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1</v>
      </c>
      <c r="AA1030" t="b">
        <v>1</v>
      </c>
      <c r="AB1030" t="b">
        <v>1</v>
      </c>
      <c r="AC1030" t="b">
        <v>1</v>
      </c>
      <c r="AD1030" t="b">
        <v>1</v>
      </c>
      <c r="AE1030" t="b">
        <v>1</v>
      </c>
      <c r="AF1030" t="b">
        <v>1</v>
      </c>
      <c r="AG1030" t="b">
        <v>1</v>
      </c>
    </row>
    <row r="1031" spans="1:33" x14ac:dyDescent="0.25">
      <c r="A1031" t="s">
        <v>2259</v>
      </c>
      <c r="B1031">
        <v>8</v>
      </c>
      <c r="C1031" t="b">
        <v>0</v>
      </c>
      <c r="D1031" t="s">
        <v>3787</v>
      </c>
      <c r="E1031" t="s">
        <v>3788</v>
      </c>
      <c r="F1031" t="s">
        <v>3827</v>
      </c>
      <c r="G1031" t="s">
        <v>3828</v>
      </c>
      <c r="H1031">
        <v>1030</v>
      </c>
      <c r="I1031" t="str">
        <f>IF(ISBLANK(Table1[[#This Row],[oid]]),"FALSE","TRUE")</f>
        <v>TRUE</v>
      </c>
      <c r="J1031" t="str" cm="1">
        <f t="array" ref="J1031">_xlfn.SWITCH(LEFT(Table1[[#This Row],[section]],1), "D", "Demographic", "S", "Social", "E", "Economic", "H", "Housing", "")</f>
        <v>Social</v>
      </c>
      <c r="K1031" t="s">
        <v>3791</v>
      </c>
      <c r="L1031" t="s">
        <v>3792</v>
      </c>
      <c r="M1031" t="str">
        <f>IF(Table1[[#This Row],[used]], _xlfn.CONCAT("🆔 ", Table1[[#This Row],[variable]], ": ",Table1[[#This Row],[alias]]), "")</f>
        <v>🆔 B28001_010E: Has one or more types of computing devices: Other computer: Other computer with no other type of computing device</v>
      </c>
      <c r="O1031" t="s">
        <v>3829</v>
      </c>
      <c r="P1031" t="s">
        <v>3793</v>
      </c>
      <c r="Q1031" t="s">
        <v>41</v>
      </c>
      <c r="R1031" t="s">
        <v>3830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1</v>
      </c>
      <c r="AA1031" t="b">
        <v>1</v>
      </c>
      <c r="AB1031" t="b">
        <v>1</v>
      </c>
      <c r="AC1031" t="b">
        <v>1</v>
      </c>
      <c r="AD1031" t="b">
        <v>1</v>
      </c>
      <c r="AE1031" t="b">
        <v>1</v>
      </c>
      <c r="AF1031" t="b">
        <v>1</v>
      </c>
      <c r="AG1031" t="b">
        <v>1</v>
      </c>
    </row>
    <row r="1032" spans="1:33" x14ac:dyDescent="0.25">
      <c r="A1032" t="s">
        <v>2259</v>
      </c>
      <c r="B1032">
        <v>8</v>
      </c>
      <c r="C1032" t="b">
        <v>0</v>
      </c>
      <c r="D1032" t="s">
        <v>3787</v>
      </c>
      <c r="E1032" t="s">
        <v>3788</v>
      </c>
      <c r="F1032" t="s">
        <v>3831</v>
      </c>
      <c r="G1032" t="s">
        <v>3832</v>
      </c>
      <c r="H1032">
        <v>1031</v>
      </c>
      <c r="I1032" t="str">
        <f>IF(ISBLANK(Table1[[#This Row],[oid]]),"FALSE","TRUE")</f>
        <v>TRUE</v>
      </c>
      <c r="J1032" t="str" cm="1">
        <f t="array" ref="J1032">_xlfn.SWITCH(LEFT(Table1[[#This Row],[section]],1), "D", "Demographic", "S", "Social", "E", "Economic", "H", "Housing", "")</f>
        <v>Social</v>
      </c>
      <c r="K1032" t="s">
        <v>3791</v>
      </c>
      <c r="L1032" t="s">
        <v>3792</v>
      </c>
      <c r="M1032" t="str">
        <f>IF(Table1[[#This Row],[used]], _xlfn.CONCAT("🆔 ", Table1[[#This Row],[variable]], ": ",Table1[[#This Row],[alias]]), "")</f>
        <v>🆔 B28001_011E: No Computer</v>
      </c>
      <c r="O1032" t="s">
        <v>3833</v>
      </c>
      <c r="P1032" t="s">
        <v>3793</v>
      </c>
      <c r="Q1032" t="s">
        <v>41</v>
      </c>
      <c r="R1032" t="s">
        <v>3834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1</v>
      </c>
      <c r="AA1032" t="b">
        <v>1</v>
      </c>
      <c r="AB1032" t="b">
        <v>1</v>
      </c>
      <c r="AC1032" t="b">
        <v>1</v>
      </c>
      <c r="AD1032" t="b">
        <v>1</v>
      </c>
      <c r="AE1032" t="b">
        <v>1</v>
      </c>
      <c r="AF1032" t="b">
        <v>1</v>
      </c>
      <c r="AG1032" t="b">
        <v>1</v>
      </c>
    </row>
    <row r="1033" spans="1:33" x14ac:dyDescent="0.25">
      <c r="A1033" t="s">
        <v>2259</v>
      </c>
      <c r="B1033">
        <v>8</v>
      </c>
      <c r="C1033" t="b">
        <v>0</v>
      </c>
      <c r="D1033" t="s">
        <v>3787</v>
      </c>
      <c r="E1033" t="s">
        <v>3835</v>
      </c>
      <c r="F1033" t="s">
        <v>3836</v>
      </c>
      <c r="G1033" t="s">
        <v>842</v>
      </c>
      <c r="H1033">
        <v>1032</v>
      </c>
      <c r="I1033" t="str">
        <f>IF(ISBLANK(Table1[[#This Row],[oid]]),"FALSE","TRUE")</f>
        <v>TRUE</v>
      </c>
      <c r="J1033" t="str" cm="1">
        <f t="array" ref="J1033">_xlfn.SWITCH(LEFT(Table1[[#This Row],[section]],1), "D", "Demographic", "S", "Social", "E", "Economic", "H", "Housing", "")</f>
        <v>Social</v>
      </c>
      <c r="K1033" t="s">
        <v>3837</v>
      </c>
      <c r="L1033" t="s">
        <v>3838</v>
      </c>
      <c r="M1033" t="str">
        <f>IF(Table1[[#This Row],[used]], _xlfn.CONCAT("🆔 ", Table1[[#This Row],[variable]], ": ",Table1[[#This Row],[alias]]), "")</f>
        <v>🆔 B28008_001E: Population in Households</v>
      </c>
      <c r="O1033" t="s">
        <v>39</v>
      </c>
      <c r="P1033" t="s">
        <v>3839</v>
      </c>
      <c r="Q1033" t="s">
        <v>41</v>
      </c>
      <c r="R1033" t="s">
        <v>3840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1</v>
      </c>
      <c r="AA1033" t="b">
        <v>1</v>
      </c>
      <c r="AB1033" t="b">
        <v>1</v>
      </c>
      <c r="AC1033" t="b">
        <v>1</v>
      </c>
      <c r="AD1033" t="b">
        <v>1</v>
      </c>
      <c r="AE1033" t="b">
        <v>1</v>
      </c>
      <c r="AF1033" t="b">
        <v>1</v>
      </c>
      <c r="AG1033" t="b">
        <v>1</v>
      </c>
    </row>
    <row r="1034" spans="1:33" x14ac:dyDescent="0.25">
      <c r="A1034" t="s">
        <v>2259</v>
      </c>
      <c r="B1034">
        <v>8</v>
      </c>
      <c r="C1034" t="b">
        <v>0</v>
      </c>
      <c r="D1034" t="s">
        <v>3787</v>
      </c>
      <c r="E1034" t="s">
        <v>3835</v>
      </c>
      <c r="F1034" t="s">
        <v>3841</v>
      </c>
      <c r="G1034" t="s">
        <v>3842</v>
      </c>
      <c r="H1034">
        <v>1033</v>
      </c>
      <c r="I1034" t="str">
        <f>IF(ISBLANK(Table1[[#This Row],[oid]]),"FALSE","TRUE")</f>
        <v>TRUE</v>
      </c>
      <c r="J1034" t="str" cm="1">
        <f t="array" ref="J1034">_xlfn.SWITCH(LEFT(Table1[[#This Row],[section]],1), "D", "Demographic", "S", "Social", "E", "Economic", "H", "Housing", "")</f>
        <v>Social</v>
      </c>
      <c r="K1034" t="s">
        <v>3837</v>
      </c>
      <c r="L1034" t="s">
        <v>3838</v>
      </c>
      <c r="M1034" t="str">
        <f>IF(Table1[[#This Row],[used]], _xlfn.CONCAT("🆔 ", Table1[[#This Row],[variable]], ": ",Table1[[#This Row],[alias]]), "")</f>
        <v>🆔 B28008_002E: Has a computer</v>
      </c>
      <c r="O1034" t="s">
        <v>3843</v>
      </c>
      <c r="P1034" t="s">
        <v>3839</v>
      </c>
      <c r="Q1034" t="s">
        <v>41</v>
      </c>
      <c r="R1034" t="s">
        <v>3844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1</v>
      </c>
      <c r="AA1034" t="b">
        <v>1</v>
      </c>
      <c r="AB1034" t="b">
        <v>1</v>
      </c>
      <c r="AC1034" t="b">
        <v>1</v>
      </c>
      <c r="AD1034" t="b">
        <v>1</v>
      </c>
      <c r="AE1034" t="b">
        <v>1</v>
      </c>
      <c r="AF1034" t="b">
        <v>1</v>
      </c>
      <c r="AG1034" t="b">
        <v>1</v>
      </c>
    </row>
    <row r="1035" spans="1:33" x14ac:dyDescent="0.25">
      <c r="A1035" t="s">
        <v>2259</v>
      </c>
      <c r="B1035">
        <v>8</v>
      </c>
      <c r="C1035" t="b">
        <v>0</v>
      </c>
      <c r="D1035" t="s">
        <v>3787</v>
      </c>
      <c r="E1035" t="s">
        <v>3835</v>
      </c>
      <c r="F1035" t="s">
        <v>3845</v>
      </c>
      <c r="G1035" t="s">
        <v>3846</v>
      </c>
      <c r="H1035">
        <v>1034</v>
      </c>
      <c r="I1035" t="str">
        <f>IF(ISBLANK(Table1[[#This Row],[oid]]),"FALSE","TRUE")</f>
        <v>TRUE</v>
      </c>
      <c r="J1035" t="str" cm="1">
        <f t="array" ref="J1035">_xlfn.SWITCH(LEFT(Table1[[#This Row],[section]],1), "D", "Demographic", "S", "Social", "E", "Economic", "H", "Housing", "")</f>
        <v>Social</v>
      </c>
      <c r="K1035" t="s">
        <v>3837</v>
      </c>
      <c r="L1035" t="s">
        <v>3838</v>
      </c>
      <c r="M1035" t="str">
        <f>IF(Table1[[#This Row],[used]], _xlfn.CONCAT("🆔 ", Table1[[#This Row],[variable]], ": ",Table1[[#This Row],[alias]]), "")</f>
        <v>🆔 B28008_003E: Has a computer: With dial-up Internet subscription alone</v>
      </c>
      <c r="O1035" t="s">
        <v>3847</v>
      </c>
      <c r="P1035" t="s">
        <v>3839</v>
      </c>
      <c r="Q1035" t="s">
        <v>41</v>
      </c>
      <c r="R1035" t="s">
        <v>3848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1</v>
      </c>
      <c r="AA1035" t="b">
        <v>1</v>
      </c>
      <c r="AB1035" t="b">
        <v>1</v>
      </c>
      <c r="AC1035" t="b">
        <v>1</v>
      </c>
      <c r="AD1035" t="b">
        <v>1</v>
      </c>
      <c r="AE1035" t="b">
        <v>1</v>
      </c>
      <c r="AF1035" t="b">
        <v>1</v>
      </c>
      <c r="AG1035" t="b">
        <v>1</v>
      </c>
    </row>
    <row r="1036" spans="1:33" x14ac:dyDescent="0.25">
      <c r="A1036" t="s">
        <v>2259</v>
      </c>
      <c r="B1036">
        <v>8</v>
      </c>
      <c r="C1036" t="b">
        <v>0</v>
      </c>
      <c r="D1036" t="s">
        <v>3787</v>
      </c>
      <c r="E1036" t="s">
        <v>3835</v>
      </c>
      <c r="F1036" t="s">
        <v>3849</v>
      </c>
      <c r="G1036" t="s">
        <v>3850</v>
      </c>
      <c r="H1036">
        <v>1035</v>
      </c>
      <c r="I1036" t="str">
        <f>IF(ISBLANK(Table1[[#This Row],[oid]]),"FALSE","TRUE")</f>
        <v>TRUE</v>
      </c>
      <c r="J1036" t="str" cm="1">
        <f t="array" ref="J1036">_xlfn.SWITCH(LEFT(Table1[[#This Row],[section]],1), "D", "Demographic", "S", "Social", "E", "Economic", "H", "Housing", "")</f>
        <v>Social</v>
      </c>
      <c r="K1036" t="s">
        <v>3837</v>
      </c>
      <c r="L1036" t="s">
        <v>3838</v>
      </c>
      <c r="M1036" t="str">
        <f>IF(Table1[[#This Row],[used]], _xlfn.CONCAT("🆔 ", Table1[[#This Row],[variable]], ": ",Table1[[#This Row],[alias]]), "")</f>
        <v>🆔 B28008_004E: Has a computer: With a broadband subscription</v>
      </c>
      <c r="O1036" t="s">
        <v>3851</v>
      </c>
      <c r="P1036" t="s">
        <v>3839</v>
      </c>
      <c r="Q1036" t="s">
        <v>41</v>
      </c>
      <c r="R1036" t="s">
        <v>3852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1</v>
      </c>
      <c r="AA1036" t="b">
        <v>1</v>
      </c>
      <c r="AB1036" t="b">
        <v>1</v>
      </c>
      <c r="AC1036" t="b">
        <v>1</v>
      </c>
      <c r="AD1036" t="b">
        <v>1</v>
      </c>
      <c r="AE1036" t="b">
        <v>1</v>
      </c>
      <c r="AF1036" t="b">
        <v>1</v>
      </c>
      <c r="AG1036" t="b">
        <v>1</v>
      </c>
    </row>
    <row r="1037" spans="1:33" x14ac:dyDescent="0.25">
      <c r="A1037" t="s">
        <v>2259</v>
      </c>
      <c r="B1037">
        <v>8</v>
      </c>
      <c r="C1037" t="b">
        <v>0</v>
      </c>
      <c r="D1037" t="s">
        <v>3787</v>
      </c>
      <c r="E1037" t="s">
        <v>3835</v>
      </c>
      <c r="F1037" t="s">
        <v>3853</v>
      </c>
      <c r="G1037" t="s">
        <v>3854</v>
      </c>
      <c r="H1037">
        <v>1036</v>
      </c>
      <c r="I1037" t="str">
        <f>IF(ISBLANK(Table1[[#This Row],[oid]]),"FALSE","TRUE")</f>
        <v>TRUE</v>
      </c>
      <c r="J1037" t="str" cm="1">
        <f t="array" ref="J1037">_xlfn.SWITCH(LEFT(Table1[[#This Row],[section]],1), "D", "Demographic", "S", "Social", "E", "Economic", "H", "Housing", "")</f>
        <v>Social</v>
      </c>
      <c r="K1037" t="s">
        <v>3837</v>
      </c>
      <c r="L1037" t="s">
        <v>3838</v>
      </c>
      <c r="M1037" t="str">
        <f>IF(Table1[[#This Row],[used]], _xlfn.CONCAT("🆔 ", Table1[[#This Row],[variable]], ": ",Table1[[#This Row],[alias]]), "")</f>
        <v>🆔 B28008_005E: Has a computer: With a broadband subscription: With a fixed broadband Internet subscription</v>
      </c>
      <c r="O1037" t="s">
        <v>3855</v>
      </c>
      <c r="P1037" t="s">
        <v>3839</v>
      </c>
      <c r="Q1037" t="s">
        <v>41</v>
      </c>
      <c r="R1037" t="s">
        <v>3856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1</v>
      </c>
      <c r="AA1037" t="b">
        <v>1</v>
      </c>
      <c r="AB1037" t="b">
        <v>1</v>
      </c>
      <c r="AC1037" t="b">
        <v>1</v>
      </c>
      <c r="AD1037" t="b">
        <v>1</v>
      </c>
      <c r="AE1037" t="b">
        <v>1</v>
      </c>
      <c r="AF1037" t="b">
        <v>1</v>
      </c>
      <c r="AG1037" t="b">
        <v>1</v>
      </c>
    </row>
    <row r="1038" spans="1:33" x14ac:dyDescent="0.25">
      <c r="A1038" t="s">
        <v>2259</v>
      </c>
      <c r="B1038">
        <v>8</v>
      </c>
      <c r="C1038" t="b">
        <v>0</v>
      </c>
      <c r="D1038" t="s">
        <v>3787</v>
      </c>
      <c r="E1038" t="s">
        <v>3835</v>
      </c>
      <c r="F1038" t="s">
        <v>3857</v>
      </c>
      <c r="G1038" t="s">
        <v>3858</v>
      </c>
      <c r="H1038">
        <v>1037</v>
      </c>
      <c r="I1038" t="str">
        <f>IF(ISBLANK(Table1[[#This Row],[oid]]),"FALSE","TRUE")</f>
        <v>TRUE</v>
      </c>
      <c r="J1038" t="str" cm="1">
        <f t="array" ref="J1038">_xlfn.SWITCH(LEFT(Table1[[#This Row],[section]],1), "D", "Demographic", "S", "Social", "E", "Economic", "H", "Housing", "")</f>
        <v>Social</v>
      </c>
      <c r="K1038" t="s">
        <v>3837</v>
      </c>
      <c r="L1038" t="s">
        <v>3838</v>
      </c>
      <c r="M1038" t="str">
        <f>IF(Table1[[#This Row],[used]], _xlfn.CONCAT("🆔 ", Table1[[#This Row],[variable]], ": ",Table1[[#This Row],[alias]]), "")</f>
        <v>🆔 B28008_006E: Has a computer: With a broadband subscription: With a fixed broadband Internet subscription: With a cellular data plan</v>
      </c>
      <c r="O1038" t="s">
        <v>3859</v>
      </c>
      <c r="P1038" t="s">
        <v>3839</v>
      </c>
      <c r="Q1038" t="s">
        <v>41</v>
      </c>
      <c r="R1038" t="s">
        <v>3860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1</v>
      </c>
      <c r="AA1038" t="b">
        <v>1</v>
      </c>
      <c r="AB1038" t="b">
        <v>1</v>
      </c>
      <c r="AC1038" t="b">
        <v>1</v>
      </c>
      <c r="AD1038" t="b">
        <v>1</v>
      </c>
      <c r="AE1038" t="b">
        <v>1</v>
      </c>
      <c r="AF1038" t="b">
        <v>1</v>
      </c>
      <c r="AG1038" t="b">
        <v>1</v>
      </c>
    </row>
    <row r="1039" spans="1:33" x14ac:dyDescent="0.25">
      <c r="A1039" t="s">
        <v>2259</v>
      </c>
      <c r="B1039">
        <v>8</v>
      </c>
      <c r="C1039" t="b">
        <v>0</v>
      </c>
      <c r="D1039" t="s">
        <v>3787</v>
      </c>
      <c r="E1039" t="s">
        <v>3835</v>
      </c>
      <c r="F1039" t="s">
        <v>3861</v>
      </c>
      <c r="G1039" t="s">
        <v>3862</v>
      </c>
      <c r="H1039">
        <v>1038</v>
      </c>
      <c r="I1039" t="str">
        <f>IF(ISBLANK(Table1[[#This Row],[oid]]),"FALSE","TRUE")</f>
        <v>TRUE</v>
      </c>
      <c r="J1039" t="str" cm="1">
        <f t="array" ref="J1039">_xlfn.SWITCH(LEFT(Table1[[#This Row],[section]],1), "D", "Demographic", "S", "Social", "E", "Economic", "H", "Housing", "")</f>
        <v>Social</v>
      </c>
      <c r="K1039" t="s">
        <v>3837</v>
      </c>
      <c r="L1039" t="s">
        <v>3838</v>
      </c>
      <c r="M1039" t="str">
        <f>IF(Table1[[#This Row],[used]], _xlfn.CONCAT("🆔 ", Table1[[#This Row],[variable]], ": ",Table1[[#This Row],[alias]]), "")</f>
        <v>🆔 B28008_007E: Has a computer: With a broadband subscription: With a fixed broadband Internet subscription: Without a cellular data plan</v>
      </c>
      <c r="O1039" t="s">
        <v>3863</v>
      </c>
      <c r="P1039" t="s">
        <v>3839</v>
      </c>
      <c r="Q1039" t="s">
        <v>41</v>
      </c>
      <c r="R1039" t="s">
        <v>3864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1</v>
      </c>
      <c r="AA1039" t="b">
        <v>1</v>
      </c>
      <c r="AB1039" t="b">
        <v>1</v>
      </c>
      <c r="AC1039" t="b">
        <v>1</v>
      </c>
      <c r="AD1039" t="b">
        <v>1</v>
      </c>
      <c r="AE1039" t="b">
        <v>1</v>
      </c>
      <c r="AF1039" t="b">
        <v>1</v>
      </c>
      <c r="AG1039" t="b">
        <v>1</v>
      </c>
    </row>
    <row r="1040" spans="1:33" x14ac:dyDescent="0.25">
      <c r="A1040" t="s">
        <v>2259</v>
      </c>
      <c r="B1040">
        <v>8</v>
      </c>
      <c r="C1040" t="b">
        <v>0</v>
      </c>
      <c r="D1040" t="s">
        <v>3787</v>
      </c>
      <c r="E1040" t="s">
        <v>3835</v>
      </c>
      <c r="F1040" t="s">
        <v>3865</v>
      </c>
      <c r="G1040" t="s">
        <v>3866</v>
      </c>
      <c r="H1040">
        <v>1039</v>
      </c>
      <c r="I1040" t="str">
        <f>IF(ISBLANK(Table1[[#This Row],[oid]]),"FALSE","TRUE")</f>
        <v>TRUE</v>
      </c>
      <c r="J1040" t="str" cm="1">
        <f t="array" ref="J1040">_xlfn.SWITCH(LEFT(Table1[[#This Row],[section]],1), "D", "Demographic", "S", "Social", "E", "Economic", "H", "Housing", "")</f>
        <v>Social</v>
      </c>
      <c r="K1040" t="s">
        <v>3837</v>
      </c>
      <c r="L1040" t="s">
        <v>3838</v>
      </c>
      <c r="M1040" t="str">
        <f>IF(Table1[[#This Row],[used]], _xlfn.CONCAT("🆔 ", Table1[[#This Row],[variable]], ": ",Table1[[#This Row],[alias]]), "")</f>
        <v>🆔 B28008_008E: Has a computer: With a broadband subscription: Cellular data plan alone or with dial-up</v>
      </c>
      <c r="O1040" t="s">
        <v>3867</v>
      </c>
      <c r="P1040" t="s">
        <v>3839</v>
      </c>
      <c r="Q1040" t="s">
        <v>41</v>
      </c>
      <c r="R1040" t="s">
        <v>3868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1</v>
      </c>
      <c r="AA1040" t="b">
        <v>1</v>
      </c>
      <c r="AB1040" t="b">
        <v>1</v>
      </c>
      <c r="AC1040" t="b">
        <v>1</v>
      </c>
      <c r="AD1040" t="b">
        <v>1</v>
      </c>
      <c r="AE1040" t="b">
        <v>1</v>
      </c>
      <c r="AF1040" t="b">
        <v>1</v>
      </c>
      <c r="AG1040" t="b">
        <v>1</v>
      </c>
    </row>
    <row r="1041" spans="1:33" x14ac:dyDescent="0.25">
      <c r="A1041" t="s">
        <v>2259</v>
      </c>
      <c r="B1041">
        <v>8</v>
      </c>
      <c r="C1041" t="b">
        <v>0</v>
      </c>
      <c r="D1041" t="s">
        <v>3787</v>
      </c>
      <c r="E1041" t="s">
        <v>3835</v>
      </c>
      <c r="F1041" t="s">
        <v>3869</v>
      </c>
      <c r="G1041" t="s">
        <v>3870</v>
      </c>
      <c r="H1041">
        <v>1040</v>
      </c>
      <c r="I1041" t="str">
        <f>IF(ISBLANK(Table1[[#This Row],[oid]]),"FALSE","TRUE")</f>
        <v>TRUE</v>
      </c>
      <c r="J1041" t="str" cm="1">
        <f t="array" ref="J1041">_xlfn.SWITCH(LEFT(Table1[[#This Row],[section]],1), "D", "Demographic", "S", "Social", "E", "Economic", "H", "Housing", "")</f>
        <v>Social</v>
      </c>
      <c r="K1041" t="s">
        <v>3837</v>
      </c>
      <c r="L1041" t="s">
        <v>3838</v>
      </c>
      <c r="M1041" t="str">
        <f>IF(Table1[[#This Row],[used]], _xlfn.CONCAT("🆔 ", Table1[[#This Row],[variable]], ": ",Table1[[#This Row],[alias]]), "")</f>
        <v>🆔 B28008_009E: Has a computer: Without Internet subscription</v>
      </c>
      <c r="O1041" t="s">
        <v>3871</v>
      </c>
      <c r="P1041" t="s">
        <v>3839</v>
      </c>
      <c r="Q1041" t="s">
        <v>41</v>
      </c>
      <c r="R1041" t="s">
        <v>3872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1</v>
      </c>
      <c r="AA1041" t="b">
        <v>1</v>
      </c>
      <c r="AB1041" t="b">
        <v>1</v>
      </c>
      <c r="AC1041" t="b">
        <v>1</v>
      </c>
      <c r="AD1041" t="b">
        <v>1</v>
      </c>
      <c r="AE1041" t="b">
        <v>1</v>
      </c>
      <c r="AF1041" t="b">
        <v>1</v>
      </c>
      <c r="AG1041" t="b">
        <v>1</v>
      </c>
    </row>
    <row r="1042" spans="1:33" x14ac:dyDescent="0.25">
      <c r="A1042" t="s">
        <v>2259</v>
      </c>
      <c r="B1042">
        <v>8</v>
      </c>
      <c r="C1042" t="b">
        <v>0</v>
      </c>
      <c r="D1042" t="s">
        <v>3787</v>
      </c>
      <c r="E1042" t="s">
        <v>3835</v>
      </c>
      <c r="F1042" t="s">
        <v>3873</v>
      </c>
      <c r="G1042" t="s">
        <v>3832</v>
      </c>
      <c r="H1042">
        <v>1041</v>
      </c>
      <c r="I1042" t="str">
        <f>IF(ISBLANK(Table1[[#This Row],[oid]]),"FALSE","TRUE")</f>
        <v>TRUE</v>
      </c>
      <c r="J1042" t="str" cm="1">
        <f t="array" ref="J1042">_xlfn.SWITCH(LEFT(Table1[[#This Row],[section]],1), "D", "Demographic", "S", "Social", "E", "Economic", "H", "Housing", "")</f>
        <v>Social</v>
      </c>
      <c r="K1042" t="s">
        <v>3837</v>
      </c>
      <c r="L1042" t="s">
        <v>3838</v>
      </c>
      <c r="M1042" t="str">
        <f>IF(Table1[[#This Row],[used]], _xlfn.CONCAT("🆔 ", Table1[[#This Row],[variable]], ": ",Table1[[#This Row],[alias]]), "")</f>
        <v>🆔 B28008_010E: No Computer</v>
      </c>
      <c r="O1042" t="s">
        <v>3833</v>
      </c>
      <c r="P1042" t="s">
        <v>3839</v>
      </c>
      <c r="Q1042" t="s">
        <v>41</v>
      </c>
      <c r="R1042" t="s">
        <v>3874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1</v>
      </c>
      <c r="AA1042" t="b">
        <v>1</v>
      </c>
      <c r="AB1042" t="b">
        <v>1</v>
      </c>
      <c r="AC1042" t="b">
        <v>1</v>
      </c>
      <c r="AD1042" t="b">
        <v>1</v>
      </c>
      <c r="AE1042" t="b">
        <v>1</v>
      </c>
      <c r="AF1042" t="b">
        <v>1</v>
      </c>
      <c r="AG1042" t="b">
        <v>1</v>
      </c>
    </row>
    <row r="1043" spans="1:33" x14ac:dyDescent="0.25">
      <c r="A1043" t="s">
        <v>2259</v>
      </c>
      <c r="B1043">
        <v>8</v>
      </c>
      <c r="C1043" t="b">
        <v>0</v>
      </c>
      <c r="D1043" t="s">
        <v>3787</v>
      </c>
      <c r="E1043" t="s">
        <v>3875</v>
      </c>
      <c r="F1043" t="s">
        <v>3876</v>
      </c>
      <c r="G1043" t="s">
        <v>3877</v>
      </c>
      <c r="H1043">
        <v>1042</v>
      </c>
      <c r="I1043" t="str">
        <f>IF(ISBLANK(Table1[[#This Row],[oid]]),"FALSE","TRUE")</f>
        <v>TRUE</v>
      </c>
      <c r="J1043" t="str" cm="1">
        <f t="array" ref="J1043">_xlfn.SWITCH(LEFT(Table1[[#This Row],[section]],1), "D", "Demographic", "S", "Social", "E", "Economic", "H", "Housing", "")</f>
        <v>Social</v>
      </c>
      <c r="K1043" t="s">
        <v>3878</v>
      </c>
      <c r="L1043" t="s">
        <v>3879</v>
      </c>
      <c r="M1043" t="str">
        <f>IF(Table1[[#This Row],[used]], _xlfn.CONCAT("🆔 ", Table1[[#This Row],[variable]], ": ",Table1[[#This Row],[alias]]), "")</f>
        <v>🆔 B28010_001E: Households (Computers)</v>
      </c>
      <c r="O1043" t="s">
        <v>39</v>
      </c>
      <c r="P1043" t="s">
        <v>3880</v>
      </c>
      <c r="Q1043" t="s">
        <v>41</v>
      </c>
      <c r="R1043" t="s">
        <v>3881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1</v>
      </c>
      <c r="AA1043" t="b">
        <v>1</v>
      </c>
      <c r="AB1043" t="b">
        <v>1</v>
      </c>
      <c r="AC1043" t="b">
        <v>1</v>
      </c>
      <c r="AD1043" t="b">
        <v>1</v>
      </c>
      <c r="AE1043" t="b">
        <v>1</v>
      </c>
      <c r="AF1043" t="b">
        <v>1</v>
      </c>
      <c r="AG1043" t="b">
        <v>1</v>
      </c>
    </row>
    <row r="1044" spans="1:33" x14ac:dyDescent="0.25">
      <c r="A1044" t="s">
        <v>2259</v>
      </c>
      <c r="B1044">
        <v>8</v>
      </c>
      <c r="C1044" t="b">
        <v>0</v>
      </c>
      <c r="D1044" t="s">
        <v>3787</v>
      </c>
      <c r="E1044" t="s">
        <v>3875</v>
      </c>
      <c r="F1044" t="s">
        <v>3882</v>
      </c>
      <c r="G1044" t="s">
        <v>3796</v>
      </c>
      <c r="H1044">
        <v>1043</v>
      </c>
      <c r="I1044" t="str">
        <f>IF(ISBLANK(Table1[[#This Row],[oid]]),"FALSE","TRUE")</f>
        <v>TRUE</v>
      </c>
      <c r="J1044" t="str" cm="1">
        <f t="array" ref="J1044">_xlfn.SWITCH(LEFT(Table1[[#This Row],[section]],1), "D", "Demographic", "S", "Social", "E", "Economic", "H", "Housing", "")</f>
        <v>Social</v>
      </c>
      <c r="K1044" t="s">
        <v>3878</v>
      </c>
      <c r="L1044" t="s">
        <v>3879</v>
      </c>
      <c r="M1044" t="str">
        <f>IF(Table1[[#This Row],[used]], _xlfn.CONCAT("🆔 ", Table1[[#This Row],[variable]], ": ",Table1[[#This Row],[alias]]), "")</f>
        <v>🆔 B28010_002E: Has one or more types of computing devices</v>
      </c>
      <c r="O1044" t="s">
        <v>3797</v>
      </c>
      <c r="P1044" t="s">
        <v>3880</v>
      </c>
      <c r="Q1044" t="s">
        <v>41</v>
      </c>
      <c r="R1044" t="s">
        <v>3883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1</v>
      </c>
      <c r="AA1044" t="b">
        <v>1</v>
      </c>
      <c r="AB1044" t="b">
        <v>1</v>
      </c>
      <c r="AC1044" t="b">
        <v>1</v>
      </c>
      <c r="AD1044" t="b">
        <v>1</v>
      </c>
      <c r="AE1044" t="b">
        <v>1</v>
      </c>
      <c r="AF1044" t="b">
        <v>1</v>
      </c>
      <c r="AG1044" t="b">
        <v>1</v>
      </c>
    </row>
    <row r="1045" spans="1:33" x14ac:dyDescent="0.25">
      <c r="A1045" t="s">
        <v>2259</v>
      </c>
      <c r="B1045">
        <v>8</v>
      </c>
      <c r="C1045" t="b">
        <v>0</v>
      </c>
      <c r="D1045" t="s">
        <v>3787</v>
      </c>
      <c r="E1045" t="s">
        <v>3875</v>
      </c>
      <c r="F1045" t="s">
        <v>3884</v>
      </c>
      <c r="G1045" t="s">
        <v>3800</v>
      </c>
      <c r="H1045">
        <v>1044</v>
      </c>
      <c r="I1045" t="str">
        <f>IF(ISBLANK(Table1[[#This Row],[oid]]),"FALSE","TRUE")</f>
        <v>TRUE</v>
      </c>
      <c r="J1045" t="str" cm="1">
        <f t="array" ref="J1045">_xlfn.SWITCH(LEFT(Table1[[#This Row],[section]],1), "D", "Demographic", "S", "Social", "E", "Economic", "H", "Housing", "")</f>
        <v>Social</v>
      </c>
      <c r="K1045" t="s">
        <v>3878</v>
      </c>
      <c r="L1045" t="s">
        <v>3879</v>
      </c>
      <c r="M1045" t="str">
        <f>IF(Table1[[#This Row],[used]], _xlfn.CONCAT("🆔 ", Table1[[#This Row],[variable]], ": ",Table1[[#This Row],[alias]]), "")</f>
        <v>🆔 B28010_003E: Has one or more types of computing devices: Desktop or laptop</v>
      </c>
      <c r="O1045" t="s">
        <v>3801</v>
      </c>
      <c r="P1045" t="s">
        <v>3880</v>
      </c>
      <c r="Q1045" t="s">
        <v>41</v>
      </c>
      <c r="R1045" t="s">
        <v>3885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1</v>
      </c>
      <c r="AA1045" t="b">
        <v>1</v>
      </c>
      <c r="AB1045" t="b">
        <v>1</v>
      </c>
      <c r="AC1045" t="b">
        <v>1</v>
      </c>
      <c r="AD1045" t="b">
        <v>1</v>
      </c>
      <c r="AE1045" t="b">
        <v>1</v>
      </c>
      <c r="AF1045" t="b">
        <v>1</v>
      </c>
      <c r="AG1045" t="b">
        <v>1</v>
      </c>
    </row>
    <row r="1046" spans="1:33" x14ac:dyDescent="0.25">
      <c r="A1046" t="s">
        <v>2259</v>
      </c>
      <c r="B1046">
        <v>8</v>
      </c>
      <c r="C1046" t="b">
        <v>0</v>
      </c>
      <c r="D1046" t="s">
        <v>3787</v>
      </c>
      <c r="E1046" t="s">
        <v>3875</v>
      </c>
      <c r="F1046" t="s">
        <v>3886</v>
      </c>
      <c r="G1046" t="s">
        <v>3887</v>
      </c>
      <c r="H1046">
        <v>1045</v>
      </c>
      <c r="I1046" t="str">
        <f>IF(ISBLANK(Table1[[#This Row],[oid]]),"FALSE","TRUE")</f>
        <v>TRUE</v>
      </c>
      <c r="J1046" t="str" cm="1">
        <f t="array" ref="J1046">_xlfn.SWITCH(LEFT(Table1[[#This Row],[section]],1), "D", "Demographic", "S", "Social", "E", "Economic", "H", "Housing", "")</f>
        <v>Social</v>
      </c>
      <c r="K1046" t="s">
        <v>3878</v>
      </c>
      <c r="L1046" t="s">
        <v>3879</v>
      </c>
      <c r="M1046" t="str">
        <f>IF(Table1[[#This Row],[used]], _xlfn.CONCAT("🆔 ", Table1[[#This Row],[variable]], ": ",Table1[[#This Row],[alias]]), "")</f>
        <v>🆔 B28010_004E: Has one or more types of computing devices: Desktop or laptop: Desktop or laptop alone</v>
      </c>
      <c r="O1046" t="s">
        <v>3888</v>
      </c>
      <c r="P1046" t="s">
        <v>3880</v>
      </c>
      <c r="Q1046" t="s">
        <v>41</v>
      </c>
      <c r="R1046" t="s">
        <v>3889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1</v>
      </c>
      <c r="AA1046" t="b">
        <v>1</v>
      </c>
      <c r="AB1046" t="b">
        <v>1</v>
      </c>
      <c r="AC1046" t="b">
        <v>1</v>
      </c>
      <c r="AD1046" t="b">
        <v>1</v>
      </c>
      <c r="AE1046" t="b">
        <v>1</v>
      </c>
      <c r="AF1046" t="b">
        <v>1</v>
      </c>
      <c r="AG1046" t="b">
        <v>1</v>
      </c>
    </row>
    <row r="1047" spans="1:33" x14ac:dyDescent="0.25">
      <c r="A1047" t="s">
        <v>2259</v>
      </c>
      <c r="B1047">
        <v>8</v>
      </c>
      <c r="C1047" t="b">
        <v>0</v>
      </c>
      <c r="D1047" t="s">
        <v>3787</v>
      </c>
      <c r="E1047" t="s">
        <v>3875</v>
      </c>
      <c r="F1047" t="s">
        <v>3890</v>
      </c>
      <c r="G1047" t="s">
        <v>3891</v>
      </c>
      <c r="H1047">
        <v>1046</v>
      </c>
      <c r="I1047" t="str">
        <f>IF(ISBLANK(Table1[[#This Row],[oid]]),"FALSE","TRUE")</f>
        <v>TRUE</v>
      </c>
      <c r="J1047" t="str" cm="1">
        <f t="array" ref="J1047">_xlfn.SWITCH(LEFT(Table1[[#This Row],[section]],1), "D", "Demographic", "S", "Social", "E", "Economic", "H", "Housing", "")</f>
        <v>Social</v>
      </c>
      <c r="K1047" t="s">
        <v>3878</v>
      </c>
      <c r="L1047" t="s">
        <v>3879</v>
      </c>
      <c r="M1047" t="str">
        <f>IF(Table1[[#This Row],[used]], _xlfn.CONCAT("🆔 ", Table1[[#This Row],[variable]], ": ",Table1[[#This Row],[alias]]), "")</f>
        <v>🆔 B28010_005E: Has one or more types of computing devices: Smartphone tablet or other portable wireless computer or other computer</v>
      </c>
      <c r="O1047" t="s">
        <v>3892</v>
      </c>
      <c r="P1047" t="s">
        <v>3880</v>
      </c>
      <c r="Q1047" t="s">
        <v>41</v>
      </c>
      <c r="R1047" t="s">
        <v>3893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1</v>
      </c>
      <c r="AA1047" t="b">
        <v>1</v>
      </c>
      <c r="AB1047" t="b">
        <v>1</v>
      </c>
      <c r="AC1047" t="b">
        <v>1</v>
      </c>
      <c r="AD1047" t="b">
        <v>1</v>
      </c>
      <c r="AE1047" t="b">
        <v>1</v>
      </c>
      <c r="AF1047" t="b">
        <v>1</v>
      </c>
      <c r="AG1047" t="b">
        <v>1</v>
      </c>
    </row>
    <row r="1048" spans="1:33" x14ac:dyDescent="0.25">
      <c r="A1048" t="s">
        <v>2259</v>
      </c>
      <c r="B1048">
        <v>8</v>
      </c>
      <c r="C1048" t="b">
        <v>0</v>
      </c>
      <c r="D1048" t="s">
        <v>3787</v>
      </c>
      <c r="E1048" t="s">
        <v>3875</v>
      </c>
      <c r="F1048" t="s">
        <v>3894</v>
      </c>
      <c r="G1048" t="s">
        <v>3895</v>
      </c>
      <c r="H1048">
        <v>1047</v>
      </c>
      <c r="I1048" t="str">
        <f>IF(ISBLANK(Table1[[#This Row],[oid]]),"FALSE","TRUE")</f>
        <v>TRUE</v>
      </c>
      <c r="J1048" t="str" cm="1">
        <f t="array" ref="J1048">_xlfn.SWITCH(LEFT(Table1[[#This Row],[section]],1), "D", "Demographic", "S", "Social", "E", "Economic", "H", "Housing", "")</f>
        <v>Social</v>
      </c>
      <c r="K1048" t="s">
        <v>3878</v>
      </c>
      <c r="L1048" t="s">
        <v>3879</v>
      </c>
      <c r="M1048" t="str">
        <f>IF(Table1[[#This Row],[used]], _xlfn.CONCAT("🆔 ", Table1[[#This Row],[variable]], ": ",Table1[[#This Row],[alias]]), "")</f>
        <v>🆔 B28010_006E: Has one or more types of computing devices: Smartphone tablet or other portable wireless computer or other computer: Smartphone tablet or other portable wireless computer or other computer no desktop or laptop</v>
      </c>
      <c r="O1048" t="s">
        <v>3896</v>
      </c>
      <c r="P1048" t="s">
        <v>3880</v>
      </c>
      <c r="Q1048" t="s">
        <v>41</v>
      </c>
      <c r="R1048" t="s">
        <v>3897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1</v>
      </c>
      <c r="AA1048" t="b">
        <v>1</v>
      </c>
      <c r="AB1048" t="b">
        <v>1</v>
      </c>
      <c r="AC1048" t="b">
        <v>1</v>
      </c>
      <c r="AD1048" t="b">
        <v>1</v>
      </c>
      <c r="AE1048" t="b">
        <v>1</v>
      </c>
      <c r="AF1048" t="b">
        <v>1</v>
      </c>
      <c r="AG1048" t="b">
        <v>1</v>
      </c>
    </row>
    <row r="1049" spans="1:33" x14ac:dyDescent="0.25">
      <c r="A1049" t="s">
        <v>2259</v>
      </c>
      <c r="B1049">
        <v>8</v>
      </c>
      <c r="C1049" t="b">
        <v>0</v>
      </c>
      <c r="D1049" t="s">
        <v>3787</v>
      </c>
      <c r="E1049" t="s">
        <v>3875</v>
      </c>
      <c r="F1049" t="s">
        <v>3898</v>
      </c>
      <c r="G1049" t="s">
        <v>3832</v>
      </c>
      <c r="H1049">
        <v>1048</v>
      </c>
      <c r="I1049" t="str">
        <f>IF(ISBLANK(Table1[[#This Row],[oid]]),"FALSE","TRUE")</f>
        <v>TRUE</v>
      </c>
      <c r="J1049" t="str" cm="1">
        <f t="array" ref="J1049">_xlfn.SWITCH(LEFT(Table1[[#This Row],[section]],1), "D", "Demographic", "S", "Social", "E", "Economic", "H", "Housing", "")</f>
        <v>Social</v>
      </c>
      <c r="K1049" t="s">
        <v>3878</v>
      </c>
      <c r="L1049" t="s">
        <v>3879</v>
      </c>
      <c r="M1049" t="str">
        <f>IF(Table1[[#This Row],[used]], _xlfn.CONCAT("🆔 ", Table1[[#This Row],[variable]], ": ",Table1[[#This Row],[alias]]), "")</f>
        <v>🆔 B28010_007E: No Computer</v>
      </c>
      <c r="O1049" t="s">
        <v>3833</v>
      </c>
      <c r="P1049" t="s">
        <v>3880</v>
      </c>
      <c r="Q1049" t="s">
        <v>41</v>
      </c>
      <c r="R1049" t="s">
        <v>3899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1</v>
      </c>
      <c r="AA1049" t="b">
        <v>1</v>
      </c>
      <c r="AB1049" t="b">
        <v>1</v>
      </c>
      <c r="AC1049" t="b">
        <v>1</v>
      </c>
      <c r="AD1049" t="b">
        <v>1</v>
      </c>
      <c r="AE1049" t="b">
        <v>1</v>
      </c>
      <c r="AF1049" t="b">
        <v>1</v>
      </c>
      <c r="AG1049" t="b">
        <v>1</v>
      </c>
    </row>
    <row r="1050" spans="1:33" x14ac:dyDescent="0.25">
      <c r="A1050" t="s">
        <v>2259</v>
      </c>
      <c r="B1050">
        <v>8</v>
      </c>
      <c r="C1050" t="b">
        <v>0</v>
      </c>
      <c r="D1050" t="s">
        <v>3787</v>
      </c>
      <c r="E1050" t="s">
        <v>3900</v>
      </c>
      <c r="F1050" t="s">
        <v>3901</v>
      </c>
      <c r="G1050" t="s">
        <v>3902</v>
      </c>
      <c r="H1050">
        <v>1049</v>
      </c>
      <c r="I1050" t="str">
        <f>IF(ISBLANK(Table1[[#This Row],[oid]]),"FALSE","TRUE")</f>
        <v>TRUE</v>
      </c>
      <c r="J1050" t="str" cm="1">
        <f t="array" ref="J1050">_xlfn.SWITCH(LEFT(Table1[[#This Row],[section]],1), "D", "Demographic", "S", "Social", "E", "Economic", "H", "Housing", "")</f>
        <v>Social</v>
      </c>
      <c r="K1050" t="s">
        <v>3903</v>
      </c>
      <c r="L1050" t="s">
        <v>3904</v>
      </c>
      <c r="M1050" t="str">
        <f>IF(Table1[[#This Row],[used]], _xlfn.CONCAT("🆔 ", Table1[[#This Row],[variable]], ": ",Table1[[#This Row],[alias]]), "")</f>
        <v>🆔 B28011_001E: Households (Subscriptions)</v>
      </c>
      <c r="O1050" t="s">
        <v>39</v>
      </c>
      <c r="P1050" t="s">
        <v>3905</v>
      </c>
      <c r="Q1050" t="s">
        <v>41</v>
      </c>
      <c r="R1050" t="s">
        <v>3906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1</v>
      </c>
      <c r="AA1050" t="b">
        <v>1</v>
      </c>
      <c r="AB1050" t="b">
        <v>1</v>
      </c>
      <c r="AC1050" t="b">
        <v>1</v>
      </c>
      <c r="AD1050" t="b">
        <v>1</v>
      </c>
      <c r="AE1050" t="b">
        <v>1</v>
      </c>
      <c r="AF1050" t="b">
        <v>1</v>
      </c>
      <c r="AG1050" t="b">
        <v>1</v>
      </c>
    </row>
    <row r="1051" spans="1:33" x14ac:dyDescent="0.25">
      <c r="A1051" t="s">
        <v>2259</v>
      </c>
      <c r="B1051">
        <v>8</v>
      </c>
      <c r="C1051" t="b">
        <v>0</v>
      </c>
      <c r="D1051" t="s">
        <v>3787</v>
      </c>
      <c r="E1051" t="s">
        <v>3900</v>
      </c>
      <c r="F1051" t="s">
        <v>3907</v>
      </c>
      <c r="G1051" t="s">
        <v>3908</v>
      </c>
      <c r="H1051">
        <v>1050</v>
      </c>
      <c r="I1051" t="str">
        <f>IF(ISBLANK(Table1[[#This Row],[oid]]),"FALSE","TRUE")</f>
        <v>TRUE</v>
      </c>
      <c r="J1051" t="str" cm="1">
        <f t="array" ref="J1051">_xlfn.SWITCH(LEFT(Table1[[#This Row],[section]],1), "D", "Demographic", "S", "Social", "E", "Economic", "H", "Housing", "")</f>
        <v>Social</v>
      </c>
      <c r="K1051" t="s">
        <v>3903</v>
      </c>
      <c r="L1051" t="s">
        <v>3904</v>
      </c>
      <c r="M1051" t="str">
        <f>IF(Table1[[#This Row],[used]], _xlfn.CONCAT("🆔 ", Table1[[#This Row],[variable]], ": ",Table1[[#This Row],[alias]]), "")</f>
        <v>🆔 B28011_002E: With an Internet subscription</v>
      </c>
      <c r="O1051" t="s">
        <v>3909</v>
      </c>
      <c r="P1051" t="s">
        <v>3905</v>
      </c>
      <c r="Q1051" t="s">
        <v>41</v>
      </c>
      <c r="R1051" t="s">
        <v>3910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1</v>
      </c>
      <c r="AA1051" t="b">
        <v>1</v>
      </c>
      <c r="AB1051" t="b">
        <v>1</v>
      </c>
      <c r="AC1051" t="b">
        <v>1</v>
      </c>
      <c r="AD1051" t="b">
        <v>1</v>
      </c>
      <c r="AE1051" t="b">
        <v>1</v>
      </c>
      <c r="AF1051" t="b">
        <v>1</v>
      </c>
      <c r="AG1051" t="b">
        <v>1</v>
      </c>
    </row>
    <row r="1052" spans="1:33" x14ac:dyDescent="0.25">
      <c r="A1052" t="s">
        <v>2259</v>
      </c>
      <c r="B1052">
        <v>8</v>
      </c>
      <c r="C1052" t="b">
        <v>0</v>
      </c>
      <c r="D1052" t="s">
        <v>3787</v>
      </c>
      <c r="E1052" t="s">
        <v>3900</v>
      </c>
      <c r="F1052" t="s">
        <v>3911</v>
      </c>
      <c r="G1052" t="s">
        <v>3912</v>
      </c>
      <c r="H1052">
        <v>1051</v>
      </c>
      <c r="I1052" t="str">
        <f>IF(ISBLANK(Table1[[#This Row],[oid]]),"FALSE","TRUE")</f>
        <v>TRUE</v>
      </c>
      <c r="J1052" t="str" cm="1">
        <f t="array" ref="J1052">_xlfn.SWITCH(LEFT(Table1[[#This Row],[section]],1), "D", "Demographic", "S", "Social", "E", "Economic", "H", "Housing", "")</f>
        <v>Social</v>
      </c>
      <c r="K1052" t="s">
        <v>3903</v>
      </c>
      <c r="L1052" t="s">
        <v>3904</v>
      </c>
      <c r="M1052" t="str">
        <f>IF(Table1[[#This Row],[used]], _xlfn.CONCAT("🆔 ", Table1[[#This Row],[variable]], ": ",Table1[[#This Row],[alias]]), "")</f>
        <v>🆔 B28011_003E: With an Internet subscription: Dial-up alone</v>
      </c>
      <c r="O1052" t="s">
        <v>3913</v>
      </c>
      <c r="P1052" t="s">
        <v>3905</v>
      </c>
      <c r="Q1052" t="s">
        <v>41</v>
      </c>
      <c r="R1052" t="s">
        <v>3914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1</v>
      </c>
      <c r="AA1052" t="b">
        <v>1</v>
      </c>
      <c r="AB1052" t="b">
        <v>1</v>
      </c>
      <c r="AC1052" t="b">
        <v>1</v>
      </c>
      <c r="AD1052" t="b">
        <v>1</v>
      </c>
      <c r="AE1052" t="b">
        <v>1</v>
      </c>
      <c r="AF1052" t="b">
        <v>1</v>
      </c>
      <c r="AG1052" t="b">
        <v>1</v>
      </c>
    </row>
    <row r="1053" spans="1:33" x14ac:dyDescent="0.25">
      <c r="A1053" t="s">
        <v>2259</v>
      </c>
      <c r="B1053">
        <v>8</v>
      </c>
      <c r="C1053" t="b">
        <v>0</v>
      </c>
      <c r="D1053" t="s">
        <v>3787</v>
      </c>
      <c r="E1053" t="s">
        <v>3900</v>
      </c>
      <c r="F1053" t="s">
        <v>3915</v>
      </c>
      <c r="G1053" t="s">
        <v>3916</v>
      </c>
      <c r="H1053">
        <v>1052</v>
      </c>
      <c r="I1053" t="str">
        <f>IF(ISBLANK(Table1[[#This Row],[oid]]),"FALSE","TRUE")</f>
        <v>TRUE</v>
      </c>
      <c r="J1053" t="str" cm="1">
        <f t="array" ref="J1053">_xlfn.SWITCH(LEFT(Table1[[#This Row],[section]],1), "D", "Demographic", "S", "Social", "E", "Economic", "H", "Housing", "")</f>
        <v>Social</v>
      </c>
      <c r="K1053" t="s">
        <v>3903</v>
      </c>
      <c r="L1053" t="s">
        <v>3904</v>
      </c>
      <c r="M1053" t="str">
        <f>IF(Table1[[#This Row],[used]], _xlfn.CONCAT("🆔 ", Table1[[#This Row],[variable]], ": ",Table1[[#This Row],[alias]]), "")</f>
        <v>🆔 B28011_004E: With an Internet subscription: Broadband such as cable fiber optic or DSL</v>
      </c>
      <c r="O1053" t="s">
        <v>3917</v>
      </c>
      <c r="P1053" t="s">
        <v>3905</v>
      </c>
      <c r="Q1053" t="s">
        <v>41</v>
      </c>
      <c r="R1053" t="s">
        <v>3918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1</v>
      </c>
      <c r="AA1053" t="b">
        <v>1</v>
      </c>
      <c r="AB1053" t="b">
        <v>1</v>
      </c>
      <c r="AC1053" t="b">
        <v>1</v>
      </c>
      <c r="AD1053" t="b">
        <v>1</v>
      </c>
      <c r="AE1053" t="b">
        <v>1</v>
      </c>
      <c r="AF1053" t="b">
        <v>1</v>
      </c>
      <c r="AG1053" t="b">
        <v>1</v>
      </c>
    </row>
    <row r="1054" spans="1:33" x14ac:dyDescent="0.25">
      <c r="A1054" t="s">
        <v>2259</v>
      </c>
      <c r="B1054">
        <v>8</v>
      </c>
      <c r="C1054" t="b">
        <v>0</v>
      </c>
      <c r="D1054" t="s">
        <v>3787</v>
      </c>
      <c r="E1054" t="s">
        <v>3900</v>
      </c>
      <c r="F1054" t="s">
        <v>3919</v>
      </c>
      <c r="G1054" t="s">
        <v>3920</v>
      </c>
      <c r="H1054">
        <v>1053</v>
      </c>
      <c r="I1054" t="str">
        <f>IF(ISBLANK(Table1[[#This Row],[oid]]),"FALSE","TRUE")</f>
        <v>TRUE</v>
      </c>
      <c r="J1054" t="str" cm="1">
        <f t="array" ref="J1054">_xlfn.SWITCH(LEFT(Table1[[#This Row],[section]],1), "D", "Demographic", "S", "Social", "E", "Economic", "H", "Housing", "")</f>
        <v>Social</v>
      </c>
      <c r="K1054" t="s">
        <v>3903</v>
      </c>
      <c r="L1054" t="s">
        <v>3904</v>
      </c>
      <c r="M1054" t="str">
        <f>IF(Table1[[#This Row],[used]], _xlfn.CONCAT("🆔 ", Table1[[#This Row],[variable]], ": ",Table1[[#This Row],[alias]]), "")</f>
        <v>🆔 B28011_005E: With an Internet subscription: Satellite Internet service</v>
      </c>
      <c r="O1054" t="s">
        <v>3921</v>
      </c>
      <c r="P1054" t="s">
        <v>3905</v>
      </c>
      <c r="Q1054" t="s">
        <v>41</v>
      </c>
      <c r="R1054" t="s">
        <v>3922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1</v>
      </c>
      <c r="AA1054" t="b">
        <v>1</v>
      </c>
      <c r="AB1054" t="b">
        <v>1</v>
      </c>
      <c r="AC1054" t="b">
        <v>1</v>
      </c>
      <c r="AD1054" t="b">
        <v>1</v>
      </c>
      <c r="AE1054" t="b">
        <v>1</v>
      </c>
      <c r="AF1054" t="b">
        <v>1</v>
      </c>
      <c r="AG1054" t="b">
        <v>1</v>
      </c>
    </row>
    <row r="1055" spans="1:33" x14ac:dyDescent="0.25">
      <c r="A1055" t="s">
        <v>2259</v>
      </c>
      <c r="B1055">
        <v>8</v>
      </c>
      <c r="C1055" t="b">
        <v>0</v>
      </c>
      <c r="D1055" t="s">
        <v>3787</v>
      </c>
      <c r="E1055" t="s">
        <v>3900</v>
      </c>
      <c r="F1055" t="s">
        <v>3923</v>
      </c>
      <c r="G1055" t="s">
        <v>3924</v>
      </c>
      <c r="H1055">
        <v>1054</v>
      </c>
      <c r="I1055" t="str">
        <f>IF(ISBLANK(Table1[[#This Row],[oid]]),"FALSE","TRUE")</f>
        <v>TRUE</v>
      </c>
      <c r="J1055" t="str" cm="1">
        <f t="array" ref="J1055">_xlfn.SWITCH(LEFT(Table1[[#This Row],[section]],1), "D", "Demographic", "S", "Social", "E", "Economic", "H", "Housing", "")</f>
        <v>Social</v>
      </c>
      <c r="K1055" t="s">
        <v>3903</v>
      </c>
      <c r="L1055" t="s">
        <v>3904</v>
      </c>
      <c r="M1055" t="str">
        <f>IF(Table1[[#This Row],[used]], _xlfn.CONCAT("🆔 ", Table1[[#This Row],[variable]], ": ",Table1[[#This Row],[alias]]), "")</f>
        <v>🆔 B28011_006E: With an Internet subscription: Other service</v>
      </c>
      <c r="O1055" t="s">
        <v>3925</v>
      </c>
      <c r="P1055" t="s">
        <v>3905</v>
      </c>
      <c r="Q1055" t="s">
        <v>41</v>
      </c>
      <c r="R1055" t="s">
        <v>3926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1</v>
      </c>
      <c r="AA1055" t="b">
        <v>1</v>
      </c>
      <c r="AB1055" t="b">
        <v>1</v>
      </c>
      <c r="AC1055" t="b">
        <v>1</v>
      </c>
      <c r="AD1055" t="b">
        <v>1</v>
      </c>
      <c r="AE1055" t="b">
        <v>1</v>
      </c>
      <c r="AF1055" t="b">
        <v>1</v>
      </c>
      <c r="AG1055" t="b">
        <v>1</v>
      </c>
    </row>
    <row r="1056" spans="1:33" x14ac:dyDescent="0.25">
      <c r="A1056" t="s">
        <v>2259</v>
      </c>
      <c r="B1056">
        <v>8</v>
      </c>
      <c r="C1056" t="b">
        <v>0</v>
      </c>
      <c r="D1056" t="s">
        <v>3787</v>
      </c>
      <c r="E1056" t="s">
        <v>3900</v>
      </c>
      <c r="F1056" t="s">
        <v>3927</v>
      </c>
      <c r="G1056" t="s">
        <v>3928</v>
      </c>
      <c r="H1056">
        <v>1055</v>
      </c>
      <c r="I1056" t="str">
        <f>IF(ISBLANK(Table1[[#This Row],[oid]]),"FALSE","TRUE")</f>
        <v>TRUE</v>
      </c>
      <c r="J1056" t="str" cm="1">
        <f t="array" ref="J1056">_xlfn.SWITCH(LEFT(Table1[[#This Row],[section]],1), "D", "Demographic", "S", "Social", "E", "Economic", "H", "Housing", "")</f>
        <v>Social</v>
      </c>
      <c r="K1056" t="s">
        <v>3903</v>
      </c>
      <c r="L1056" t="s">
        <v>3904</v>
      </c>
      <c r="M1056" t="str">
        <f>IF(Table1[[#This Row],[used]], _xlfn.CONCAT("🆔 ", Table1[[#This Row],[variable]], ": ",Table1[[#This Row],[alias]]), "")</f>
        <v>🆔 B28011_007E: Internet access without a subscription</v>
      </c>
      <c r="O1056" t="s">
        <v>3929</v>
      </c>
      <c r="P1056" t="s">
        <v>3905</v>
      </c>
      <c r="Q1056" t="s">
        <v>41</v>
      </c>
      <c r="R1056" t="s">
        <v>3930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1</v>
      </c>
      <c r="AA1056" t="b">
        <v>1</v>
      </c>
      <c r="AB1056" t="b">
        <v>1</v>
      </c>
      <c r="AC1056" t="b">
        <v>1</v>
      </c>
      <c r="AD1056" t="b">
        <v>1</v>
      </c>
      <c r="AE1056" t="b">
        <v>1</v>
      </c>
      <c r="AF1056" t="b">
        <v>1</v>
      </c>
      <c r="AG1056" t="b">
        <v>1</v>
      </c>
    </row>
    <row r="1057" spans="1:33" x14ac:dyDescent="0.25">
      <c r="A1057" t="s">
        <v>33</v>
      </c>
      <c r="B1057">
        <v>15</v>
      </c>
      <c r="C1057" t="b">
        <v>1</v>
      </c>
      <c r="D1057" t="s">
        <v>2455</v>
      </c>
      <c r="E1057" t="s">
        <v>3931</v>
      </c>
      <c r="F1057" t="s">
        <v>3932</v>
      </c>
      <c r="G1057" t="s">
        <v>3933</v>
      </c>
      <c r="H1057">
        <v>1056</v>
      </c>
      <c r="I1057" t="str">
        <f>IF(ISBLANK(Table1[[#This Row],[oid]]),"FALSE","TRUE")</f>
        <v>TRUE</v>
      </c>
      <c r="J1057" t="str" cm="1">
        <f t="array" ref="J1057">_xlfn.SWITCH(LEFT(Table1[[#This Row],[section]],1), "D", "Demographic", "S", "Social", "E", "Economic", "H", "Housing", "")</f>
        <v>Social</v>
      </c>
      <c r="K1057" t="s">
        <v>3934</v>
      </c>
      <c r="L1057" t="s">
        <v>3935</v>
      </c>
      <c r="M1057" t="str">
        <f>IF(Table1[[#This Row],[used]], _xlfn.CONCAT("🆔 ", Table1[[#This Row],[variable]], ": ",Table1[[#This Row],[alias]]), "")</f>
        <v>🆔 B07003_001E: Total US Residents</v>
      </c>
      <c r="O1057" t="s">
        <v>39</v>
      </c>
      <c r="P1057" t="s">
        <v>3936</v>
      </c>
      <c r="Q1057" t="s">
        <v>41</v>
      </c>
      <c r="R1057" t="s">
        <v>3937</v>
      </c>
      <c r="S1057" t="b">
        <v>1</v>
      </c>
      <c r="T1057" t="b">
        <v>1</v>
      </c>
      <c r="U1057" t="b">
        <v>1</v>
      </c>
      <c r="V1057" t="b">
        <v>1</v>
      </c>
      <c r="W1057" t="b">
        <v>1</v>
      </c>
      <c r="X1057" t="b">
        <v>1</v>
      </c>
      <c r="Y1057" t="b">
        <v>1</v>
      </c>
      <c r="Z1057" t="b">
        <v>1</v>
      </c>
      <c r="AA1057" t="b">
        <v>1</v>
      </c>
      <c r="AB1057" t="b">
        <v>1</v>
      </c>
      <c r="AC1057" t="b">
        <v>1</v>
      </c>
      <c r="AD1057" t="b">
        <v>1</v>
      </c>
      <c r="AE1057" t="b">
        <v>1</v>
      </c>
      <c r="AF1057" t="b">
        <v>1</v>
      </c>
      <c r="AG1057" t="b">
        <v>1</v>
      </c>
    </row>
    <row r="1058" spans="1:33" x14ac:dyDescent="0.25">
      <c r="A1058" t="s">
        <v>33</v>
      </c>
      <c r="B1058">
        <v>15</v>
      </c>
      <c r="C1058" t="b">
        <v>1</v>
      </c>
      <c r="D1058" t="s">
        <v>2455</v>
      </c>
      <c r="E1058" t="s">
        <v>3931</v>
      </c>
      <c r="F1058" t="s">
        <v>3938</v>
      </c>
      <c r="G1058" t="s">
        <v>51</v>
      </c>
      <c r="H1058">
        <v>1057</v>
      </c>
      <c r="I1058" t="str">
        <f>IF(ISBLANK(Table1[[#This Row],[oid]]),"FALSE","TRUE")</f>
        <v>TRUE</v>
      </c>
      <c r="J1058" t="str" cm="1">
        <f t="array" ref="J1058">_xlfn.SWITCH(LEFT(Table1[[#This Row],[section]],1), "D", "Demographic", "S", "Social", "E", "Economic", "H", "Housing", "")</f>
        <v>Social</v>
      </c>
      <c r="K1058" t="s">
        <v>3934</v>
      </c>
      <c r="L1058" t="s">
        <v>3935</v>
      </c>
      <c r="M1058" t="str">
        <f>IF(Table1[[#This Row],[used]], _xlfn.CONCAT("🆔 ", Table1[[#This Row],[variable]], ": ",Table1[[#This Row],[alias]]), "")</f>
        <v>🆔 B07003_002E: Male</v>
      </c>
      <c r="O1058" t="s">
        <v>52</v>
      </c>
      <c r="P1058" t="s">
        <v>3936</v>
      </c>
      <c r="Q1058" t="s">
        <v>41</v>
      </c>
      <c r="R1058" t="s">
        <v>3939</v>
      </c>
      <c r="S1058" t="b">
        <v>1</v>
      </c>
      <c r="T1058" t="b">
        <v>1</v>
      </c>
      <c r="U1058" t="b">
        <v>1</v>
      </c>
      <c r="V1058" t="b">
        <v>1</v>
      </c>
      <c r="W1058" t="b">
        <v>1</v>
      </c>
      <c r="X1058" t="b">
        <v>1</v>
      </c>
      <c r="Y1058" t="b">
        <v>1</v>
      </c>
      <c r="Z1058" t="b">
        <v>1</v>
      </c>
      <c r="AA1058" t="b">
        <v>1</v>
      </c>
      <c r="AB1058" t="b">
        <v>1</v>
      </c>
      <c r="AC1058" t="b">
        <v>1</v>
      </c>
      <c r="AD1058" t="b">
        <v>1</v>
      </c>
      <c r="AE1058" t="b">
        <v>1</v>
      </c>
      <c r="AF1058" t="b">
        <v>1</v>
      </c>
      <c r="AG1058" t="b">
        <v>1</v>
      </c>
    </row>
    <row r="1059" spans="1:33" x14ac:dyDescent="0.25">
      <c r="A1059" t="s">
        <v>33</v>
      </c>
      <c r="B1059">
        <v>15</v>
      </c>
      <c r="C1059" t="b">
        <v>1</v>
      </c>
      <c r="D1059" t="s">
        <v>2455</v>
      </c>
      <c r="E1059" t="s">
        <v>3931</v>
      </c>
      <c r="F1059" t="s">
        <v>3940</v>
      </c>
      <c r="G1059" t="s">
        <v>55</v>
      </c>
      <c r="H1059">
        <v>1058</v>
      </c>
      <c r="I1059" t="str">
        <f>IF(ISBLANK(Table1[[#This Row],[oid]]),"FALSE","TRUE")</f>
        <v>TRUE</v>
      </c>
      <c r="J1059" t="str" cm="1">
        <f t="array" ref="J1059">_xlfn.SWITCH(LEFT(Table1[[#This Row],[section]],1), "D", "Demographic", "S", "Social", "E", "Economic", "H", "Housing", "")</f>
        <v>Social</v>
      </c>
      <c r="K1059" t="s">
        <v>3934</v>
      </c>
      <c r="L1059" t="s">
        <v>3935</v>
      </c>
      <c r="M1059" t="str">
        <f>IF(Table1[[#This Row],[used]], _xlfn.CONCAT("🆔 ", Table1[[#This Row],[variable]], ": ",Table1[[#This Row],[alias]]), "")</f>
        <v>🆔 B07003_003E: Female</v>
      </c>
      <c r="O1059" t="s">
        <v>56</v>
      </c>
      <c r="P1059" t="s">
        <v>3936</v>
      </c>
      <c r="Q1059" t="s">
        <v>41</v>
      </c>
      <c r="R1059" t="s">
        <v>3941</v>
      </c>
      <c r="S1059" t="b">
        <v>1</v>
      </c>
      <c r="T1059" t="b">
        <v>1</v>
      </c>
      <c r="U1059" t="b">
        <v>1</v>
      </c>
      <c r="V1059" t="b">
        <v>1</v>
      </c>
      <c r="W1059" t="b">
        <v>1</v>
      </c>
      <c r="X1059" t="b">
        <v>1</v>
      </c>
      <c r="Y1059" t="b">
        <v>1</v>
      </c>
      <c r="Z1059" t="b">
        <v>1</v>
      </c>
      <c r="AA1059" t="b">
        <v>1</v>
      </c>
      <c r="AB1059" t="b">
        <v>1</v>
      </c>
      <c r="AC1059" t="b">
        <v>1</v>
      </c>
      <c r="AD1059" t="b">
        <v>1</v>
      </c>
      <c r="AE1059" t="b">
        <v>1</v>
      </c>
      <c r="AF1059" t="b">
        <v>1</v>
      </c>
      <c r="AG1059" t="b">
        <v>1</v>
      </c>
    </row>
    <row r="1060" spans="1:33" x14ac:dyDescent="0.25">
      <c r="A1060" t="s">
        <v>33</v>
      </c>
      <c r="B1060">
        <v>15</v>
      </c>
      <c r="C1060" t="b">
        <v>1</v>
      </c>
      <c r="D1060" t="s">
        <v>2455</v>
      </c>
      <c r="E1060" t="s">
        <v>3931</v>
      </c>
      <c r="F1060" t="s">
        <v>3942</v>
      </c>
      <c r="G1060" t="s">
        <v>3943</v>
      </c>
      <c r="H1060">
        <v>1059</v>
      </c>
      <c r="I1060" t="str">
        <f>IF(ISBLANK(Table1[[#This Row],[oid]]),"FALSE","TRUE")</f>
        <v>TRUE</v>
      </c>
      <c r="J1060" t="str" cm="1">
        <f t="array" ref="J1060">_xlfn.SWITCH(LEFT(Table1[[#This Row],[section]],1), "D", "Demographic", "S", "Social", "E", "Economic", "H", "Housing", "")</f>
        <v>Social</v>
      </c>
      <c r="K1060" t="s">
        <v>3934</v>
      </c>
      <c r="L1060" t="s">
        <v>3935</v>
      </c>
      <c r="M1060" t="str">
        <f>IF(Table1[[#This Row],[used]], _xlfn.CONCAT("🆔 ", Table1[[#This Row],[variable]], ": ",Table1[[#This Row],[alias]]), "")</f>
        <v>🆔 B07003_004E: Same house 1 year ago</v>
      </c>
      <c r="O1060" t="s">
        <v>2461</v>
      </c>
      <c r="P1060" t="s">
        <v>3936</v>
      </c>
      <c r="Q1060" t="s">
        <v>41</v>
      </c>
      <c r="R1060" t="s">
        <v>3944</v>
      </c>
      <c r="S1060" t="b">
        <v>1</v>
      </c>
      <c r="T1060" t="b">
        <v>1</v>
      </c>
      <c r="U1060" t="b">
        <v>1</v>
      </c>
      <c r="V1060" t="b">
        <v>1</v>
      </c>
      <c r="W1060" t="b">
        <v>1</v>
      </c>
      <c r="X1060" t="b">
        <v>1</v>
      </c>
      <c r="Y1060" t="b">
        <v>1</v>
      </c>
      <c r="Z1060" t="b">
        <v>1</v>
      </c>
      <c r="AA1060" t="b">
        <v>1</v>
      </c>
      <c r="AB1060" t="b">
        <v>1</v>
      </c>
      <c r="AC1060" t="b">
        <v>1</v>
      </c>
      <c r="AD1060" t="b">
        <v>1</v>
      </c>
      <c r="AE1060" t="b">
        <v>1</v>
      </c>
      <c r="AF1060" t="b">
        <v>1</v>
      </c>
      <c r="AG1060" t="b">
        <v>1</v>
      </c>
    </row>
    <row r="1061" spans="1:33" x14ac:dyDescent="0.25">
      <c r="A1061" t="s">
        <v>33</v>
      </c>
      <c r="B1061">
        <v>15</v>
      </c>
      <c r="C1061" t="b">
        <v>1</v>
      </c>
      <c r="D1061" t="s">
        <v>2455</v>
      </c>
      <c r="E1061" t="s">
        <v>3931</v>
      </c>
      <c r="F1061" t="s">
        <v>3945</v>
      </c>
      <c r="G1061" t="s">
        <v>3946</v>
      </c>
      <c r="H1061">
        <v>1060</v>
      </c>
      <c r="I1061" t="str">
        <f>IF(ISBLANK(Table1[[#This Row],[oid]]),"FALSE","TRUE")</f>
        <v>TRUE</v>
      </c>
      <c r="J1061" t="str" cm="1">
        <f t="array" ref="J1061">_xlfn.SWITCH(LEFT(Table1[[#This Row],[section]],1), "D", "Demographic", "S", "Social", "E", "Economic", "H", "Housing", "")</f>
        <v>Social</v>
      </c>
      <c r="K1061" t="s">
        <v>3934</v>
      </c>
      <c r="L1061" t="s">
        <v>3935</v>
      </c>
      <c r="M1061" t="str">
        <f>IF(Table1[[#This Row],[used]], _xlfn.CONCAT("🆔 ", Table1[[#This Row],[variable]], ": ",Table1[[#This Row],[alias]]), "")</f>
        <v>🆔 B07003_005E: Same house 1 year ago: Male</v>
      </c>
      <c r="O1061" t="s">
        <v>3947</v>
      </c>
      <c r="P1061" t="s">
        <v>3936</v>
      </c>
      <c r="Q1061" t="s">
        <v>41</v>
      </c>
      <c r="R1061" t="s">
        <v>3948</v>
      </c>
      <c r="S1061" t="b">
        <v>1</v>
      </c>
      <c r="T1061" t="b">
        <v>1</v>
      </c>
      <c r="U1061" t="b">
        <v>1</v>
      </c>
      <c r="V1061" t="b">
        <v>1</v>
      </c>
      <c r="W1061" t="b">
        <v>1</v>
      </c>
      <c r="X1061" t="b">
        <v>1</v>
      </c>
      <c r="Y1061" t="b">
        <v>1</v>
      </c>
      <c r="Z1061" t="b">
        <v>1</v>
      </c>
      <c r="AA1061" t="b">
        <v>1</v>
      </c>
      <c r="AB1061" t="b">
        <v>1</v>
      </c>
      <c r="AC1061" t="b">
        <v>1</v>
      </c>
      <c r="AD1061" t="b">
        <v>1</v>
      </c>
      <c r="AE1061" t="b">
        <v>1</v>
      </c>
      <c r="AF1061" t="b">
        <v>1</v>
      </c>
      <c r="AG1061" t="b">
        <v>1</v>
      </c>
    </row>
    <row r="1062" spans="1:33" x14ac:dyDescent="0.25">
      <c r="A1062" t="s">
        <v>33</v>
      </c>
      <c r="B1062">
        <v>15</v>
      </c>
      <c r="C1062" t="b">
        <v>1</v>
      </c>
      <c r="D1062" t="s">
        <v>2455</v>
      </c>
      <c r="E1062" t="s">
        <v>3931</v>
      </c>
      <c r="F1062" t="s">
        <v>3949</v>
      </c>
      <c r="G1062" t="s">
        <v>3950</v>
      </c>
      <c r="H1062">
        <v>1061</v>
      </c>
      <c r="I1062" t="str">
        <f>IF(ISBLANK(Table1[[#This Row],[oid]]),"FALSE","TRUE")</f>
        <v>TRUE</v>
      </c>
      <c r="J1062" t="str" cm="1">
        <f t="array" ref="J1062">_xlfn.SWITCH(LEFT(Table1[[#This Row],[section]],1), "D", "Demographic", "S", "Social", "E", "Economic", "H", "Housing", "")</f>
        <v>Social</v>
      </c>
      <c r="K1062" t="s">
        <v>3934</v>
      </c>
      <c r="L1062" t="s">
        <v>3935</v>
      </c>
      <c r="M1062" t="str">
        <f>IF(Table1[[#This Row],[used]], _xlfn.CONCAT("🆔 ", Table1[[#This Row],[variable]], ": ",Table1[[#This Row],[alias]]), "")</f>
        <v>🆔 B07003_006E: Same house 1 year ago: Female</v>
      </c>
      <c r="O1062" t="s">
        <v>3951</v>
      </c>
      <c r="P1062" t="s">
        <v>3936</v>
      </c>
      <c r="Q1062" t="s">
        <v>41</v>
      </c>
      <c r="R1062" t="s">
        <v>3952</v>
      </c>
      <c r="S1062" t="b">
        <v>1</v>
      </c>
      <c r="T1062" t="b">
        <v>1</v>
      </c>
      <c r="U1062" t="b">
        <v>1</v>
      </c>
      <c r="V1062" t="b">
        <v>1</v>
      </c>
      <c r="W1062" t="b">
        <v>1</v>
      </c>
      <c r="X1062" t="b">
        <v>1</v>
      </c>
      <c r="Y1062" t="b">
        <v>1</v>
      </c>
      <c r="Z1062" t="b">
        <v>1</v>
      </c>
      <c r="AA1062" t="b">
        <v>1</v>
      </c>
      <c r="AB1062" t="b">
        <v>1</v>
      </c>
      <c r="AC1062" t="b">
        <v>1</v>
      </c>
      <c r="AD1062" t="b">
        <v>1</v>
      </c>
      <c r="AE1062" t="b">
        <v>1</v>
      </c>
      <c r="AF1062" t="b">
        <v>1</v>
      </c>
      <c r="AG1062" t="b">
        <v>1</v>
      </c>
    </row>
    <row r="1063" spans="1:33" x14ac:dyDescent="0.25">
      <c r="A1063" t="s">
        <v>33</v>
      </c>
      <c r="B1063">
        <v>15</v>
      </c>
      <c r="C1063" t="b">
        <v>1</v>
      </c>
      <c r="D1063" t="s">
        <v>2455</v>
      </c>
      <c r="E1063" t="s">
        <v>3931</v>
      </c>
      <c r="F1063" t="s">
        <v>3953</v>
      </c>
      <c r="G1063" t="s">
        <v>3954</v>
      </c>
      <c r="H1063">
        <v>1062</v>
      </c>
      <c r="I1063" t="str">
        <f>IF(ISBLANK(Table1[[#This Row],[oid]]),"FALSE","TRUE")</f>
        <v>TRUE</v>
      </c>
      <c r="J1063" t="str" cm="1">
        <f t="array" ref="J1063">_xlfn.SWITCH(LEFT(Table1[[#This Row],[section]],1), "D", "Demographic", "S", "Social", "E", "Economic", "H", "Housing", "")</f>
        <v>Social</v>
      </c>
      <c r="K1063" t="s">
        <v>3934</v>
      </c>
      <c r="L1063" t="s">
        <v>3935</v>
      </c>
      <c r="M1063" t="str">
        <f>IF(Table1[[#This Row],[used]], _xlfn.CONCAT("🆔 ", Table1[[#This Row],[variable]], ": ",Table1[[#This Row],[alias]]), "")</f>
        <v>🆔 B07003_007E: Moved within same county</v>
      </c>
      <c r="O1063" t="s">
        <v>2466</v>
      </c>
      <c r="P1063" t="s">
        <v>3936</v>
      </c>
      <c r="Q1063" t="s">
        <v>41</v>
      </c>
      <c r="R1063" t="s">
        <v>3955</v>
      </c>
      <c r="S1063" t="b">
        <v>1</v>
      </c>
      <c r="T1063" t="b">
        <v>1</v>
      </c>
      <c r="U1063" t="b">
        <v>1</v>
      </c>
      <c r="V1063" t="b">
        <v>1</v>
      </c>
      <c r="W1063" t="b">
        <v>1</v>
      </c>
      <c r="X1063" t="b">
        <v>1</v>
      </c>
      <c r="Y1063" t="b">
        <v>1</v>
      </c>
      <c r="Z1063" t="b">
        <v>1</v>
      </c>
      <c r="AA1063" t="b">
        <v>1</v>
      </c>
      <c r="AB1063" t="b">
        <v>1</v>
      </c>
      <c r="AC1063" t="b">
        <v>1</v>
      </c>
      <c r="AD1063" t="b">
        <v>1</v>
      </c>
      <c r="AE1063" t="b">
        <v>1</v>
      </c>
      <c r="AF1063" t="b">
        <v>1</v>
      </c>
      <c r="AG1063" t="b">
        <v>1</v>
      </c>
    </row>
    <row r="1064" spans="1:33" x14ac:dyDescent="0.25">
      <c r="A1064" t="s">
        <v>33</v>
      </c>
      <c r="B1064">
        <v>15</v>
      </c>
      <c r="C1064" t="b">
        <v>1</v>
      </c>
      <c r="D1064" t="s">
        <v>2455</v>
      </c>
      <c r="E1064" t="s">
        <v>3931</v>
      </c>
      <c r="F1064" t="s">
        <v>3956</v>
      </c>
      <c r="G1064" t="s">
        <v>3957</v>
      </c>
      <c r="H1064">
        <v>1063</v>
      </c>
      <c r="I1064" t="str">
        <f>IF(ISBLANK(Table1[[#This Row],[oid]]),"FALSE","TRUE")</f>
        <v>TRUE</v>
      </c>
      <c r="J1064" t="str" cm="1">
        <f t="array" ref="J1064">_xlfn.SWITCH(LEFT(Table1[[#This Row],[section]],1), "D", "Demographic", "S", "Social", "E", "Economic", "H", "Housing", "")</f>
        <v>Social</v>
      </c>
      <c r="K1064" t="s">
        <v>3934</v>
      </c>
      <c r="L1064" t="s">
        <v>3935</v>
      </c>
      <c r="M1064" t="str">
        <f>IF(Table1[[#This Row],[used]], _xlfn.CONCAT("🆔 ", Table1[[#This Row],[variable]], ": ",Table1[[#This Row],[alias]]), "")</f>
        <v>🆔 B07003_008E: Moved within same county: Male</v>
      </c>
      <c r="O1064" t="s">
        <v>3958</v>
      </c>
      <c r="P1064" t="s">
        <v>3936</v>
      </c>
      <c r="Q1064" t="s">
        <v>41</v>
      </c>
      <c r="R1064" t="s">
        <v>3959</v>
      </c>
      <c r="S1064" t="b">
        <v>1</v>
      </c>
      <c r="T1064" t="b">
        <v>1</v>
      </c>
      <c r="U1064" t="b">
        <v>1</v>
      </c>
      <c r="V1064" t="b">
        <v>1</v>
      </c>
      <c r="W1064" t="b">
        <v>1</v>
      </c>
      <c r="X1064" t="b">
        <v>1</v>
      </c>
      <c r="Y1064" t="b">
        <v>1</v>
      </c>
      <c r="Z1064" t="b">
        <v>1</v>
      </c>
      <c r="AA1064" t="b">
        <v>1</v>
      </c>
      <c r="AB1064" t="b">
        <v>1</v>
      </c>
      <c r="AC1064" t="b">
        <v>1</v>
      </c>
      <c r="AD1064" t="b">
        <v>1</v>
      </c>
      <c r="AE1064" t="b">
        <v>1</v>
      </c>
      <c r="AF1064" t="b">
        <v>1</v>
      </c>
      <c r="AG1064" t="b">
        <v>1</v>
      </c>
    </row>
    <row r="1065" spans="1:33" x14ac:dyDescent="0.25">
      <c r="A1065" t="s">
        <v>33</v>
      </c>
      <c r="B1065">
        <v>15</v>
      </c>
      <c r="C1065" t="b">
        <v>1</v>
      </c>
      <c r="D1065" t="s">
        <v>2455</v>
      </c>
      <c r="E1065" t="s">
        <v>3931</v>
      </c>
      <c r="F1065" t="s">
        <v>3960</v>
      </c>
      <c r="G1065" t="s">
        <v>3961</v>
      </c>
      <c r="H1065">
        <v>1064</v>
      </c>
      <c r="I1065" t="str">
        <f>IF(ISBLANK(Table1[[#This Row],[oid]]),"FALSE","TRUE")</f>
        <v>TRUE</v>
      </c>
      <c r="J1065" t="str" cm="1">
        <f t="array" ref="J1065">_xlfn.SWITCH(LEFT(Table1[[#This Row],[section]],1), "D", "Demographic", "S", "Social", "E", "Economic", "H", "Housing", "")</f>
        <v>Social</v>
      </c>
      <c r="K1065" t="s">
        <v>3934</v>
      </c>
      <c r="L1065" t="s">
        <v>3935</v>
      </c>
      <c r="M1065" t="str">
        <f>IF(Table1[[#This Row],[used]], _xlfn.CONCAT("🆔 ", Table1[[#This Row],[variable]], ": ",Table1[[#This Row],[alias]]), "")</f>
        <v>🆔 B07003_009E: Moved within same county: Female</v>
      </c>
      <c r="O1065" t="s">
        <v>3962</v>
      </c>
      <c r="P1065" t="s">
        <v>3936</v>
      </c>
      <c r="Q1065" t="s">
        <v>41</v>
      </c>
      <c r="R1065" t="s">
        <v>3963</v>
      </c>
      <c r="S1065" t="b">
        <v>1</v>
      </c>
      <c r="T1065" t="b">
        <v>1</v>
      </c>
      <c r="U1065" t="b">
        <v>1</v>
      </c>
      <c r="V1065" t="b">
        <v>1</v>
      </c>
      <c r="W1065" t="b">
        <v>1</v>
      </c>
      <c r="X1065" t="b">
        <v>1</v>
      </c>
      <c r="Y1065" t="b">
        <v>1</v>
      </c>
      <c r="Z1065" t="b">
        <v>1</v>
      </c>
      <c r="AA1065" t="b">
        <v>1</v>
      </c>
      <c r="AB1065" t="b">
        <v>1</v>
      </c>
      <c r="AC1065" t="b">
        <v>1</v>
      </c>
      <c r="AD1065" t="b">
        <v>1</v>
      </c>
      <c r="AE1065" t="b">
        <v>1</v>
      </c>
      <c r="AF1065" t="b">
        <v>1</v>
      </c>
      <c r="AG1065" t="b">
        <v>1</v>
      </c>
    </row>
    <row r="1066" spans="1:33" x14ac:dyDescent="0.25">
      <c r="A1066" t="s">
        <v>33</v>
      </c>
      <c r="B1066">
        <v>15</v>
      </c>
      <c r="C1066" t="b">
        <v>1</v>
      </c>
      <c r="D1066" t="s">
        <v>2455</v>
      </c>
      <c r="E1066" t="s">
        <v>3931</v>
      </c>
      <c r="F1066" t="s">
        <v>3964</v>
      </c>
      <c r="G1066" t="s">
        <v>3965</v>
      </c>
      <c r="H1066">
        <v>1065</v>
      </c>
      <c r="I1066" t="str">
        <f>IF(ISBLANK(Table1[[#This Row],[oid]]),"FALSE","TRUE")</f>
        <v>TRUE</v>
      </c>
      <c r="J1066" t="str" cm="1">
        <f t="array" ref="J1066">_xlfn.SWITCH(LEFT(Table1[[#This Row],[section]],1), "D", "Demographic", "S", "Social", "E", "Economic", "H", "Housing", "")</f>
        <v>Social</v>
      </c>
      <c r="K1066" t="s">
        <v>3934</v>
      </c>
      <c r="L1066" t="s">
        <v>3935</v>
      </c>
      <c r="M1066" t="str">
        <f>IF(Table1[[#This Row],[used]], _xlfn.CONCAT("🆔 ", Table1[[#This Row],[variable]], ": ",Table1[[#This Row],[alias]]), "")</f>
        <v>🆔 B07003_010E: Moved from different county within same state</v>
      </c>
      <c r="O1066" t="s">
        <v>2470</v>
      </c>
      <c r="P1066" t="s">
        <v>3936</v>
      </c>
      <c r="Q1066" t="s">
        <v>41</v>
      </c>
      <c r="R1066" t="s">
        <v>3966</v>
      </c>
      <c r="S1066" t="b">
        <v>1</v>
      </c>
      <c r="T1066" t="b">
        <v>1</v>
      </c>
      <c r="U1066" t="b">
        <v>1</v>
      </c>
      <c r="V1066" t="b">
        <v>1</v>
      </c>
      <c r="W1066" t="b">
        <v>1</v>
      </c>
      <c r="X1066" t="b">
        <v>1</v>
      </c>
      <c r="Y1066" t="b">
        <v>1</v>
      </c>
      <c r="Z1066" t="b">
        <v>1</v>
      </c>
      <c r="AA1066" t="b">
        <v>1</v>
      </c>
      <c r="AB1066" t="b">
        <v>1</v>
      </c>
      <c r="AC1066" t="b">
        <v>1</v>
      </c>
      <c r="AD1066" t="b">
        <v>1</v>
      </c>
      <c r="AE1066" t="b">
        <v>1</v>
      </c>
      <c r="AF1066" t="b">
        <v>1</v>
      </c>
      <c r="AG1066" t="b">
        <v>1</v>
      </c>
    </row>
    <row r="1067" spans="1:33" x14ac:dyDescent="0.25">
      <c r="A1067" t="s">
        <v>33</v>
      </c>
      <c r="B1067">
        <v>15</v>
      </c>
      <c r="C1067" t="b">
        <v>1</v>
      </c>
      <c r="D1067" t="s">
        <v>2455</v>
      </c>
      <c r="E1067" t="s">
        <v>3931</v>
      </c>
      <c r="F1067" t="s">
        <v>3967</v>
      </c>
      <c r="G1067" t="s">
        <v>3968</v>
      </c>
      <c r="H1067">
        <v>1066</v>
      </c>
      <c r="I1067" t="str">
        <f>IF(ISBLANK(Table1[[#This Row],[oid]]),"FALSE","TRUE")</f>
        <v>TRUE</v>
      </c>
      <c r="J1067" t="str" cm="1">
        <f t="array" ref="J1067">_xlfn.SWITCH(LEFT(Table1[[#This Row],[section]],1), "D", "Demographic", "S", "Social", "E", "Economic", "H", "Housing", "")</f>
        <v>Social</v>
      </c>
      <c r="K1067" t="s">
        <v>3934</v>
      </c>
      <c r="L1067" t="s">
        <v>3935</v>
      </c>
      <c r="M1067" t="str">
        <f>IF(Table1[[#This Row],[used]], _xlfn.CONCAT("🆔 ", Table1[[#This Row],[variable]], ": ",Table1[[#This Row],[alias]]), "")</f>
        <v>🆔 B07003_011E: Moved from different county within same state: Male</v>
      </c>
      <c r="O1067" t="s">
        <v>3969</v>
      </c>
      <c r="P1067" t="s">
        <v>3936</v>
      </c>
      <c r="Q1067" t="s">
        <v>41</v>
      </c>
      <c r="R1067" t="s">
        <v>3970</v>
      </c>
      <c r="S1067" t="b">
        <v>1</v>
      </c>
      <c r="T1067" t="b">
        <v>1</v>
      </c>
      <c r="U1067" t="b">
        <v>1</v>
      </c>
      <c r="V1067" t="b">
        <v>1</v>
      </c>
      <c r="W1067" t="b">
        <v>1</v>
      </c>
      <c r="X1067" t="b">
        <v>1</v>
      </c>
      <c r="Y1067" t="b">
        <v>1</v>
      </c>
      <c r="Z1067" t="b">
        <v>1</v>
      </c>
      <c r="AA1067" t="b">
        <v>1</v>
      </c>
      <c r="AB1067" t="b">
        <v>1</v>
      </c>
      <c r="AC1067" t="b">
        <v>1</v>
      </c>
      <c r="AD1067" t="b">
        <v>1</v>
      </c>
      <c r="AE1067" t="b">
        <v>1</v>
      </c>
      <c r="AF1067" t="b">
        <v>1</v>
      </c>
      <c r="AG1067" t="b">
        <v>1</v>
      </c>
    </row>
    <row r="1068" spans="1:33" x14ac:dyDescent="0.25">
      <c r="A1068" t="s">
        <v>33</v>
      </c>
      <c r="B1068">
        <v>15</v>
      </c>
      <c r="C1068" t="b">
        <v>1</v>
      </c>
      <c r="D1068" t="s">
        <v>2455</v>
      </c>
      <c r="E1068" t="s">
        <v>3931</v>
      </c>
      <c r="F1068" t="s">
        <v>3971</v>
      </c>
      <c r="G1068" t="s">
        <v>3972</v>
      </c>
      <c r="H1068">
        <v>1067</v>
      </c>
      <c r="I1068" t="str">
        <f>IF(ISBLANK(Table1[[#This Row],[oid]]),"FALSE","TRUE")</f>
        <v>TRUE</v>
      </c>
      <c r="J1068" t="str" cm="1">
        <f t="array" ref="J1068">_xlfn.SWITCH(LEFT(Table1[[#This Row],[section]],1), "D", "Demographic", "S", "Social", "E", "Economic", "H", "Housing", "")</f>
        <v>Social</v>
      </c>
      <c r="K1068" t="s">
        <v>3934</v>
      </c>
      <c r="L1068" t="s">
        <v>3935</v>
      </c>
      <c r="M1068" t="str">
        <f>IF(Table1[[#This Row],[used]], _xlfn.CONCAT("🆔 ", Table1[[#This Row],[variable]], ": ",Table1[[#This Row],[alias]]), "")</f>
        <v>🆔 B07003_012E: Moved from different county within same state: Female</v>
      </c>
      <c r="O1068" t="s">
        <v>3973</v>
      </c>
      <c r="P1068" t="s">
        <v>3936</v>
      </c>
      <c r="Q1068" t="s">
        <v>41</v>
      </c>
      <c r="R1068" t="s">
        <v>3974</v>
      </c>
      <c r="S1068" t="b">
        <v>1</v>
      </c>
      <c r="T1068" t="b">
        <v>1</v>
      </c>
      <c r="U1068" t="b">
        <v>1</v>
      </c>
      <c r="V1068" t="b">
        <v>1</v>
      </c>
      <c r="W1068" t="b">
        <v>1</v>
      </c>
      <c r="X1068" t="b">
        <v>1</v>
      </c>
      <c r="Y1068" t="b">
        <v>1</v>
      </c>
      <c r="Z1068" t="b">
        <v>1</v>
      </c>
      <c r="AA1068" t="b">
        <v>1</v>
      </c>
      <c r="AB1068" t="b">
        <v>1</v>
      </c>
      <c r="AC1068" t="b">
        <v>1</v>
      </c>
      <c r="AD1068" t="b">
        <v>1</v>
      </c>
      <c r="AE1068" t="b">
        <v>1</v>
      </c>
      <c r="AF1068" t="b">
        <v>1</v>
      </c>
      <c r="AG1068" t="b">
        <v>1</v>
      </c>
    </row>
    <row r="1069" spans="1:33" x14ac:dyDescent="0.25">
      <c r="A1069" t="s">
        <v>33</v>
      </c>
      <c r="B1069">
        <v>15</v>
      </c>
      <c r="C1069" t="b">
        <v>1</v>
      </c>
      <c r="D1069" t="s">
        <v>2455</v>
      </c>
      <c r="E1069" t="s">
        <v>3931</v>
      </c>
      <c r="F1069" t="s">
        <v>3975</v>
      </c>
      <c r="G1069" t="s">
        <v>3976</v>
      </c>
      <c r="H1069">
        <v>1068</v>
      </c>
      <c r="I1069" t="str">
        <f>IF(ISBLANK(Table1[[#This Row],[oid]]),"FALSE","TRUE")</f>
        <v>TRUE</v>
      </c>
      <c r="J1069" t="str" cm="1">
        <f t="array" ref="J1069">_xlfn.SWITCH(LEFT(Table1[[#This Row],[section]],1), "D", "Demographic", "S", "Social", "E", "Economic", "H", "Housing", "")</f>
        <v>Social</v>
      </c>
      <c r="K1069" t="s">
        <v>3934</v>
      </c>
      <c r="L1069" t="s">
        <v>3935</v>
      </c>
      <c r="M1069" t="str">
        <f>IF(Table1[[#This Row],[used]], _xlfn.CONCAT("🆔 ", Table1[[#This Row],[variable]], ": ",Table1[[#This Row],[alias]]), "")</f>
        <v>🆔 B07003_013E: Moved from different state</v>
      </c>
      <c r="O1069" t="s">
        <v>2474</v>
      </c>
      <c r="P1069" t="s">
        <v>3936</v>
      </c>
      <c r="Q1069" t="s">
        <v>41</v>
      </c>
      <c r="R1069" t="s">
        <v>3977</v>
      </c>
      <c r="S1069" t="b">
        <v>1</v>
      </c>
      <c r="T1069" t="b">
        <v>1</v>
      </c>
      <c r="U1069" t="b">
        <v>1</v>
      </c>
      <c r="V1069" t="b">
        <v>1</v>
      </c>
      <c r="W1069" t="b">
        <v>1</v>
      </c>
      <c r="X1069" t="b">
        <v>1</v>
      </c>
      <c r="Y1069" t="b">
        <v>1</v>
      </c>
      <c r="Z1069" t="b">
        <v>1</v>
      </c>
      <c r="AA1069" t="b">
        <v>1</v>
      </c>
      <c r="AB1069" t="b">
        <v>1</v>
      </c>
      <c r="AC1069" t="b">
        <v>1</v>
      </c>
      <c r="AD1069" t="b">
        <v>1</v>
      </c>
      <c r="AE1069" t="b">
        <v>1</v>
      </c>
      <c r="AF1069" t="b">
        <v>1</v>
      </c>
      <c r="AG1069" t="b">
        <v>1</v>
      </c>
    </row>
    <row r="1070" spans="1:33" x14ac:dyDescent="0.25">
      <c r="A1070" t="s">
        <v>33</v>
      </c>
      <c r="B1070">
        <v>15</v>
      </c>
      <c r="C1070" t="b">
        <v>1</v>
      </c>
      <c r="D1070" t="s">
        <v>2455</v>
      </c>
      <c r="E1070" t="s">
        <v>3931</v>
      </c>
      <c r="F1070" t="s">
        <v>3978</v>
      </c>
      <c r="G1070" t="s">
        <v>3979</v>
      </c>
      <c r="H1070">
        <v>1069</v>
      </c>
      <c r="I1070" t="str">
        <f>IF(ISBLANK(Table1[[#This Row],[oid]]),"FALSE","TRUE")</f>
        <v>TRUE</v>
      </c>
      <c r="J1070" t="str" cm="1">
        <f t="array" ref="J1070">_xlfn.SWITCH(LEFT(Table1[[#This Row],[section]],1), "D", "Demographic", "S", "Social", "E", "Economic", "H", "Housing", "")</f>
        <v>Social</v>
      </c>
      <c r="K1070" t="s">
        <v>3934</v>
      </c>
      <c r="L1070" t="s">
        <v>3935</v>
      </c>
      <c r="M1070" t="str">
        <f>IF(Table1[[#This Row],[used]], _xlfn.CONCAT("🆔 ", Table1[[#This Row],[variable]], ": ",Table1[[#This Row],[alias]]), "")</f>
        <v>🆔 B07003_014E: Moved from different state: Male</v>
      </c>
      <c r="O1070" t="s">
        <v>3980</v>
      </c>
      <c r="P1070" t="s">
        <v>3936</v>
      </c>
      <c r="Q1070" t="s">
        <v>41</v>
      </c>
      <c r="R1070" t="s">
        <v>3981</v>
      </c>
      <c r="S1070" t="b">
        <v>1</v>
      </c>
      <c r="T1070" t="b">
        <v>1</v>
      </c>
      <c r="U1070" t="b">
        <v>1</v>
      </c>
      <c r="V1070" t="b">
        <v>1</v>
      </c>
      <c r="W1070" t="b">
        <v>1</v>
      </c>
      <c r="X1070" t="b">
        <v>1</v>
      </c>
      <c r="Y1070" t="b">
        <v>1</v>
      </c>
      <c r="Z1070" t="b">
        <v>1</v>
      </c>
      <c r="AA1070" t="b">
        <v>1</v>
      </c>
      <c r="AB1070" t="b">
        <v>1</v>
      </c>
      <c r="AC1070" t="b">
        <v>1</v>
      </c>
      <c r="AD1070" t="b">
        <v>1</v>
      </c>
      <c r="AE1070" t="b">
        <v>1</v>
      </c>
      <c r="AF1070" t="b">
        <v>1</v>
      </c>
      <c r="AG1070" t="b">
        <v>1</v>
      </c>
    </row>
    <row r="1071" spans="1:33" x14ac:dyDescent="0.25">
      <c r="A1071" t="s">
        <v>33</v>
      </c>
      <c r="B1071">
        <v>15</v>
      </c>
      <c r="C1071" t="b">
        <v>1</v>
      </c>
      <c r="D1071" t="s">
        <v>2455</v>
      </c>
      <c r="E1071" t="s">
        <v>3931</v>
      </c>
      <c r="F1071" t="s">
        <v>3982</v>
      </c>
      <c r="G1071" t="s">
        <v>3983</v>
      </c>
      <c r="H1071">
        <v>1070</v>
      </c>
      <c r="I1071" t="str">
        <f>IF(ISBLANK(Table1[[#This Row],[oid]]),"FALSE","TRUE")</f>
        <v>TRUE</v>
      </c>
      <c r="J1071" t="str" cm="1">
        <f t="array" ref="J1071">_xlfn.SWITCH(LEFT(Table1[[#This Row],[section]],1), "D", "Demographic", "S", "Social", "E", "Economic", "H", "Housing", "")</f>
        <v>Social</v>
      </c>
      <c r="K1071" t="s">
        <v>3934</v>
      </c>
      <c r="L1071" t="s">
        <v>3935</v>
      </c>
      <c r="M1071" t="str">
        <f>IF(Table1[[#This Row],[used]], _xlfn.CONCAT("🆔 ", Table1[[#This Row],[variable]], ": ",Table1[[#This Row],[alias]]), "")</f>
        <v>🆔 B07003_015E: Moved from different state: Female</v>
      </c>
      <c r="O1071" t="s">
        <v>3984</v>
      </c>
      <c r="P1071" t="s">
        <v>3936</v>
      </c>
      <c r="Q1071" t="s">
        <v>41</v>
      </c>
      <c r="R1071" t="s">
        <v>3985</v>
      </c>
      <c r="S1071" t="b">
        <v>1</v>
      </c>
      <c r="T1071" t="b">
        <v>1</v>
      </c>
      <c r="U1071" t="b">
        <v>1</v>
      </c>
      <c r="V1071" t="b">
        <v>1</v>
      </c>
      <c r="W1071" t="b">
        <v>1</v>
      </c>
      <c r="X1071" t="b">
        <v>1</v>
      </c>
      <c r="Y1071" t="b">
        <v>1</v>
      </c>
      <c r="Z1071" t="b">
        <v>1</v>
      </c>
      <c r="AA1071" t="b">
        <v>1</v>
      </c>
      <c r="AB1071" t="b">
        <v>1</v>
      </c>
      <c r="AC1071" t="b">
        <v>1</v>
      </c>
      <c r="AD1071" t="b">
        <v>1</v>
      </c>
      <c r="AE1071" t="b">
        <v>1</v>
      </c>
      <c r="AF1071" t="b">
        <v>1</v>
      </c>
      <c r="AG1071" t="b">
        <v>1</v>
      </c>
    </row>
    <row r="1072" spans="1:33" x14ac:dyDescent="0.25">
      <c r="A1072" t="s">
        <v>33</v>
      </c>
      <c r="B1072">
        <v>15</v>
      </c>
      <c r="C1072" t="b">
        <v>1</v>
      </c>
      <c r="D1072" t="s">
        <v>2455</v>
      </c>
      <c r="E1072" t="s">
        <v>3931</v>
      </c>
      <c r="F1072" t="s">
        <v>3986</v>
      </c>
      <c r="G1072" t="s">
        <v>3987</v>
      </c>
      <c r="H1072">
        <v>1071</v>
      </c>
      <c r="I1072" t="str">
        <f>IF(ISBLANK(Table1[[#This Row],[oid]]),"FALSE","TRUE")</f>
        <v>TRUE</v>
      </c>
      <c r="J1072" t="str" cm="1">
        <f t="array" ref="J1072">_xlfn.SWITCH(LEFT(Table1[[#This Row],[section]],1), "D", "Demographic", "S", "Social", "E", "Economic", "H", "Housing", "")</f>
        <v>Social</v>
      </c>
      <c r="K1072" t="s">
        <v>3934</v>
      </c>
      <c r="L1072" t="s">
        <v>3935</v>
      </c>
      <c r="M1072" t="str">
        <f>IF(Table1[[#This Row],[used]], _xlfn.CONCAT("🆔 ", Table1[[#This Row],[variable]], ": ",Table1[[#This Row],[alias]]), "")</f>
        <v>🆔 B07003_016E: Moved from abroad</v>
      </c>
      <c r="O1072" t="s">
        <v>2478</v>
      </c>
      <c r="P1072" t="s">
        <v>3936</v>
      </c>
      <c r="Q1072" t="s">
        <v>41</v>
      </c>
      <c r="R1072" t="s">
        <v>3988</v>
      </c>
      <c r="S1072" t="b">
        <v>1</v>
      </c>
      <c r="T1072" t="b">
        <v>1</v>
      </c>
      <c r="U1072" t="b">
        <v>1</v>
      </c>
      <c r="V1072" t="b">
        <v>1</v>
      </c>
      <c r="W1072" t="b">
        <v>1</v>
      </c>
      <c r="X1072" t="b">
        <v>1</v>
      </c>
      <c r="Y1072" t="b">
        <v>1</v>
      </c>
      <c r="Z1072" t="b">
        <v>1</v>
      </c>
      <c r="AA1072" t="b">
        <v>1</v>
      </c>
      <c r="AB1072" t="b">
        <v>1</v>
      </c>
      <c r="AC1072" t="b">
        <v>1</v>
      </c>
      <c r="AD1072" t="b">
        <v>1</v>
      </c>
      <c r="AE1072" t="b">
        <v>1</v>
      </c>
      <c r="AF1072" t="b">
        <v>1</v>
      </c>
      <c r="AG1072" t="b">
        <v>1</v>
      </c>
    </row>
    <row r="1073" spans="1:33" x14ac:dyDescent="0.25">
      <c r="A1073" t="s">
        <v>33</v>
      </c>
      <c r="B1073">
        <v>15</v>
      </c>
      <c r="C1073" t="b">
        <v>1</v>
      </c>
      <c r="D1073" t="s">
        <v>2455</v>
      </c>
      <c r="E1073" t="s">
        <v>3931</v>
      </c>
      <c r="F1073" t="s">
        <v>3989</v>
      </c>
      <c r="G1073" t="s">
        <v>3990</v>
      </c>
      <c r="H1073">
        <v>1072</v>
      </c>
      <c r="I1073" t="str">
        <f>IF(ISBLANK(Table1[[#This Row],[oid]]),"FALSE","TRUE")</f>
        <v>TRUE</v>
      </c>
      <c r="J1073" t="str" cm="1">
        <f t="array" ref="J1073">_xlfn.SWITCH(LEFT(Table1[[#This Row],[section]],1), "D", "Demographic", "S", "Social", "E", "Economic", "H", "Housing", "")</f>
        <v>Social</v>
      </c>
      <c r="K1073" t="s">
        <v>3934</v>
      </c>
      <c r="L1073" t="s">
        <v>3935</v>
      </c>
      <c r="M1073" t="str">
        <f>IF(Table1[[#This Row],[used]], _xlfn.CONCAT("🆔 ", Table1[[#This Row],[variable]], ": ",Table1[[#This Row],[alias]]), "")</f>
        <v>🆔 B07003_017E: Moved from abroad: Male</v>
      </c>
      <c r="O1073" t="s">
        <v>3991</v>
      </c>
      <c r="P1073" t="s">
        <v>3936</v>
      </c>
      <c r="Q1073" t="s">
        <v>41</v>
      </c>
      <c r="R1073" t="s">
        <v>3992</v>
      </c>
      <c r="S1073" t="b">
        <v>1</v>
      </c>
      <c r="T1073" t="b">
        <v>1</v>
      </c>
      <c r="U1073" t="b">
        <v>1</v>
      </c>
      <c r="V1073" t="b">
        <v>1</v>
      </c>
      <c r="W1073" t="b">
        <v>1</v>
      </c>
      <c r="X1073" t="b">
        <v>1</v>
      </c>
      <c r="Y1073" t="b">
        <v>1</v>
      </c>
      <c r="Z1073" t="b">
        <v>1</v>
      </c>
      <c r="AA1073" t="b">
        <v>1</v>
      </c>
      <c r="AB1073" t="b">
        <v>1</v>
      </c>
      <c r="AC1073" t="b">
        <v>1</v>
      </c>
      <c r="AD1073" t="b">
        <v>1</v>
      </c>
      <c r="AE1073" t="b">
        <v>1</v>
      </c>
      <c r="AF1073" t="b">
        <v>1</v>
      </c>
      <c r="AG1073" t="b">
        <v>1</v>
      </c>
    </row>
    <row r="1074" spans="1:33" x14ac:dyDescent="0.25">
      <c r="A1074" t="s">
        <v>33</v>
      </c>
      <c r="B1074">
        <v>15</v>
      </c>
      <c r="C1074" t="b">
        <v>1</v>
      </c>
      <c r="D1074" t="s">
        <v>2455</v>
      </c>
      <c r="E1074" t="s">
        <v>3931</v>
      </c>
      <c r="F1074" t="s">
        <v>3993</v>
      </c>
      <c r="G1074" t="s">
        <v>3994</v>
      </c>
      <c r="H1074">
        <v>1073</v>
      </c>
      <c r="I1074" t="str">
        <f>IF(ISBLANK(Table1[[#This Row],[oid]]),"FALSE","TRUE")</f>
        <v>TRUE</v>
      </c>
      <c r="J1074" t="str" cm="1">
        <f t="array" ref="J1074">_xlfn.SWITCH(LEFT(Table1[[#This Row],[section]],1), "D", "Demographic", "S", "Social", "E", "Economic", "H", "Housing", "")</f>
        <v>Social</v>
      </c>
      <c r="K1074" t="s">
        <v>3934</v>
      </c>
      <c r="L1074" t="s">
        <v>3935</v>
      </c>
      <c r="M1074" t="str">
        <f>IF(Table1[[#This Row],[used]], _xlfn.CONCAT("🆔 ", Table1[[#This Row],[variable]], ": ",Table1[[#This Row],[alias]]), "")</f>
        <v>🆔 B07003_018E: Moved from abroad: Female</v>
      </c>
      <c r="O1074" t="s">
        <v>3995</v>
      </c>
      <c r="P1074" t="s">
        <v>3936</v>
      </c>
      <c r="Q1074" t="s">
        <v>41</v>
      </c>
      <c r="R1074" t="s">
        <v>3996</v>
      </c>
      <c r="S1074" t="b">
        <v>1</v>
      </c>
      <c r="T1074" t="b">
        <v>1</v>
      </c>
      <c r="U1074" t="b">
        <v>1</v>
      </c>
      <c r="V1074" t="b">
        <v>1</v>
      </c>
      <c r="W1074" t="b">
        <v>1</v>
      </c>
      <c r="X1074" t="b">
        <v>1</v>
      </c>
      <c r="Y1074" t="b">
        <v>1</v>
      </c>
      <c r="Z1074" t="b">
        <v>1</v>
      </c>
      <c r="AA1074" t="b">
        <v>1</v>
      </c>
      <c r="AB1074" t="b">
        <v>1</v>
      </c>
      <c r="AC1074" t="b">
        <v>1</v>
      </c>
      <c r="AD1074" t="b">
        <v>1</v>
      </c>
      <c r="AE1074" t="b">
        <v>1</v>
      </c>
      <c r="AF1074" t="b">
        <v>1</v>
      </c>
      <c r="AG1074" t="b">
        <v>1</v>
      </c>
    </row>
    <row r="1075" spans="1:33" x14ac:dyDescent="0.25">
      <c r="A1075" t="s">
        <v>33</v>
      </c>
      <c r="B1075">
        <v>15</v>
      </c>
      <c r="C1075" t="b">
        <v>1</v>
      </c>
      <c r="D1075" t="s">
        <v>2455</v>
      </c>
      <c r="E1075" t="s">
        <v>3997</v>
      </c>
      <c r="F1075" t="s">
        <v>3998</v>
      </c>
      <c r="G1075" t="s">
        <v>3999</v>
      </c>
      <c r="H1075">
        <v>1074</v>
      </c>
      <c r="I1075" t="str">
        <f>IF(ISBLANK(Table1[[#This Row],[oid]]),"FALSE","TRUE")</f>
        <v>TRUE</v>
      </c>
      <c r="J1075" t="str" cm="1">
        <f t="array" ref="J1075">_xlfn.SWITCH(LEFT(Table1[[#This Row],[section]],1), "D", "Demographic", "S", "Social", "E", "Economic", "H", "Housing", "")</f>
        <v>Social</v>
      </c>
      <c r="K1075" t="s">
        <v>3934</v>
      </c>
      <c r="L1075" t="s">
        <v>3935</v>
      </c>
      <c r="M1075" t="str">
        <f>IF(Table1[[#This Row],[used]], _xlfn.CONCAT("🆔 ", Table1[[#This Row],[variable]], ": ",Table1[[#This Row],[alias]]), "")</f>
        <v>🆔 B07003PR_001E: Total</v>
      </c>
      <c r="O1075" t="s">
        <v>39</v>
      </c>
      <c r="P1075" t="s">
        <v>4000</v>
      </c>
      <c r="Q1075" t="s">
        <v>41</v>
      </c>
      <c r="R1075" t="s">
        <v>4001</v>
      </c>
      <c r="S1075" t="b">
        <v>1</v>
      </c>
      <c r="T1075" t="b">
        <v>1</v>
      </c>
      <c r="U1075" t="b">
        <v>1</v>
      </c>
      <c r="V1075" t="b">
        <v>1</v>
      </c>
      <c r="W1075" t="b">
        <v>1</v>
      </c>
      <c r="X1075" t="b">
        <v>1</v>
      </c>
      <c r="Y1075" t="b">
        <v>1</v>
      </c>
      <c r="Z1075" t="b">
        <v>1</v>
      </c>
      <c r="AA1075" t="b">
        <v>1</v>
      </c>
      <c r="AB1075" t="b">
        <v>1</v>
      </c>
      <c r="AC1075" t="b">
        <v>1</v>
      </c>
      <c r="AD1075" t="b">
        <v>1</v>
      </c>
      <c r="AE1075" t="b">
        <v>1</v>
      </c>
      <c r="AF1075" t="b">
        <v>1</v>
      </c>
      <c r="AG1075" t="b">
        <v>1</v>
      </c>
    </row>
    <row r="1076" spans="1:33" x14ac:dyDescent="0.25">
      <c r="A1076" t="s">
        <v>2259</v>
      </c>
      <c r="B1076">
        <v>8</v>
      </c>
      <c r="C1076" t="b">
        <v>0</v>
      </c>
      <c r="D1076" t="s">
        <v>3787</v>
      </c>
      <c r="E1076" t="s">
        <v>3900</v>
      </c>
      <c r="F1076" t="s">
        <v>4002</v>
      </c>
      <c r="G1076" t="s">
        <v>4003</v>
      </c>
      <c r="H1076">
        <v>1075</v>
      </c>
      <c r="I1076" t="str">
        <f>IF(ISBLANK(Table1[[#This Row],[oid]]),"FALSE","TRUE")</f>
        <v>TRUE</v>
      </c>
      <c r="J1076" t="str" cm="1">
        <f t="array" ref="J1076">_xlfn.SWITCH(LEFT(Table1[[#This Row],[section]],1), "D", "Demographic", "S", "Social", "E", "Economic", "H", "Housing", "")</f>
        <v>Social</v>
      </c>
      <c r="K1076" t="s">
        <v>3903</v>
      </c>
      <c r="L1076" t="s">
        <v>3904</v>
      </c>
      <c r="M1076" t="str">
        <f>IF(Table1[[#This Row],[used]], _xlfn.CONCAT("🆔 ", Table1[[#This Row],[variable]], ": ",Table1[[#This Row],[alias]]), "")</f>
        <v>🆔 B28011_008E: No Internet access</v>
      </c>
      <c r="O1076" t="s">
        <v>4004</v>
      </c>
      <c r="P1076" t="s">
        <v>3905</v>
      </c>
      <c r="Q1076" t="s">
        <v>41</v>
      </c>
      <c r="R1076" t="s">
        <v>4005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1</v>
      </c>
      <c r="AA1076" t="b">
        <v>1</v>
      </c>
      <c r="AB1076" t="b">
        <v>1</v>
      </c>
      <c r="AC1076" t="b">
        <v>1</v>
      </c>
      <c r="AD1076" t="b">
        <v>1</v>
      </c>
      <c r="AE1076" t="b">
        <v>1</v>
      </c>
      <c r="AF1076" t="b">
        <v>1</v>
      </c>
      <c r="AG1076" t="b">
        <v>1</v>
      </c>
    </row>
    <row r="1077" spans="1:33" x14ac:dyDescent="0.25">
      <c r="A1077" t="s">
        <v>4006</v>
      </c>
      <c r="B1077">
        <v>14</v>
      </c>
      <c r="C1077" t="b">
        <v>0</v>
      </c>
      <c r="D1077" t="s">
        <v>4007</v>
      </c>
      <c r="E1077" t="s">
        <v>4008</v>
      </c>
      <c r="F1077" t="s">
        <v>4009</v>
      </c>
      <c r="G1077" t="s">
        <v>4010</v>
      </c>
      <c r="H1077">
        <v>1076</v>
      </c>
      <c r="I1077" t="str">
        <f>IF(ISBLANK(Table1[[#This Row],[oid]]),"FALSE","TRUE")</f>
        <v>TRUE</v>
      </c>
      <c r="J1077" t="str" cm="1">
        <f t="array" ref="J1077">_xlfn.SWITCH(LEFT(Table1[[#This Row],[section]],1), "D", "Demographic", "S", "Social", "E", "Economic", "H", "Housing", "")</f>
        <v>Economic</v>
      </c>
      <c r="K1077" t="s">
        <v>4011</v>
      </c>
      <c r="L1077" t="s">
        <v>4012</v>
      </c>
      <c r="M1077" t="str">
        <f>IF(Table1[[#This Row],[used]], _xlfn.CONCAT("🆔 ", Table1[[#This Row],[variable]], ": ",Table1[[#This Row],[alias]]), "")</f>
        <v>🆔 B23025_001E: Total Population, 16+ years</v>
      </c>
      <c r="O1077" t="s">
        <v>39</v>
      </c>
      <c r="P1077" t="s">
        <v>4013</v>
      </c>
      <c r="Q1077" t="s">
        <v>41</v>
      </c>
      <c r="R1077" t="s">
        <v>4014</v>
      </c>
      <c r="S1077" t="b">
        <v>0</v>
      </c>
      <c r="T1077" t="b">
        <v>1</v>
      </c>
      <c r="U1077" t="b">
        <v>1</v>
      </c>
      <c r="V1077" t="b">
        <v>1</v>
      </c>
      <c r="W1077" t="b">
        <v>1</v>
      </c>
      <c r="X1077" t="b">
        <v>1</v>
      </c>
      <c r="Y1077" t="b">
        <v>1</v>
      </c>
      <c r="Z1077" t="b">
        <v>1</v>
      </c>
      <c r="AA1077" t="b">
        <v>1</v>
      </c>
      <c r="AB1077" t="b">
        <v>1</v>
      </c>
      <c r="AC1077" t="b">
        <v>1</v>
      </c>
      <c r="AD1077" t="b">
        <v>1</v>
      </c>
      <c r="AE1077" t="b">
        <v>1</v>
      </c>
      <c r="AF1077" t="b">
        <v>1</v>
      </c>
      <c r="AG1077" t="b">
        <v>1</v>
      </c>
    </row>
    <row r="1078" spans="1:33" x14ac:dyDescent="0.25">
      <c r="A1078" t="s">
        <v>4006</v>
      </c>
      <c r="B1078">
        <v>14</v>
      </c>
      <c r="C1078" t="b">
        <v>0</v>
      </c>
      <c r="D1078" t="s">
        <v>4007</v>
      </c>
      <c r="E1078" t="s">
        <v>4008</v>
      </c>
      <c r="F1078" t="s">
        <v>4015</v>
      </c>
      <c r="G1078" t="s">
        <v>4016</v>
      </c>
      <c r="H1078">
        <v>1077</v>
      </c>
      <c r="I1078" t="str">
        <f>IF(ISBLANK(Table1[[#This Row],[oid]]),"FALSE","TRUE")</f>
        <v>TRUE</v>
      </c>
      <c r="J1078" t="str" cm="1">
        <f t="array" ref="J1078">_xlfn.SWITCH(LEFT(Table1[[#This Row],[section]],1), "D", "Demographic", "S", "Social", "E", "Economic", "H", "Housing", "")</f>
        <v>Economic</v>
      </c>
      <c r="K1078" t="s">
        <v>4011</v>
      </c>
      <c r="L1078" t="s">
        <v>4012</v>
      </c>
      <c r="M1078" t="str">
        <f>IF(Table1[[#This Row],[used]], _xlfn.CONCAT("🆔 ", Table1[[#This Row],[variable]], ": ",Table1[[#This Row],[alias]]), "")</f>
        <v>🆔 B23025_002E: In labor force</v>
      </c>
      <c r="O1078" t="s">
        <v>4017</v>
      </c>
      <c r="P1078" t="s">
        <v>4013</v>
      </c>
      <c r="Q1078" t="s">
        <v>41</v>
      </c>
      <c r="R1078" t="s">
        <v>4018</v>
      </c>
      <c r="S1078" t="b">
        <v>0</v>
      </c>
      <c r="T1078" t="b">
        <v>1</v>
      </c>
      <c r="U1078" t="b">
        <v>1</v>
      </c>
      <c r="V1078" t="b">
        <v>1</v>
      </c>
      <c r="W1078" t="b">
        <v>1</v>
      </c>
      <c r="X1078" t="b">
        <v>1</v>
      </c>
      <c r="Y1078" t="b">
        <v>1</v>
      </c>
      <c r="Z1078" t="b">
        <v>1</v>
      </c>
      <c r="AA1078" t="b">
        <v>1</v>
      </c>
      <c r="AB1078" t="b">
        <v>1</v>
      </c>
      <c r="AC1078" t="b">
        <v>1</v>
      </c>
      <c r="AD1078" t="b">
        <v>1</v>
      </c>
      <c r="AE1078" t="b">
        <v>1</v>
      </c>
      <c r="AF1078" t="b">
        <v>1</v>
      </c>
      <c r="AG1078" t="b">
        <v>1</v>
      </c>
    </row>
    <row r="1079" spans="1:33" x14ac:dyDescent="0.25">
      <c r="A1079" t="s">
        <v>4006</v>
      </c>
      <c r="B1079">
        <v>14</v>
      </c>
      <c r="C1079" t="b">
        <v>0</v>
      </c>
      <c r="D1079" t="s">
        <v>4007</v>
      </c>
      <c r="E1079" t="s">
        <v>4008</v>
      </c>
      <c r="F1079" t="s">
        <v>4019</v>
      </c>
      <c r="G1079" t="s">
        <v>4020</v>
      </c>
      <c r="H1079">
        <v>1078</v>
      </c>
      <c r="I1079" t="str">
        <f>IF(ISBLANK(Table1[[#This Row],[oid]]),"FALSE","TRUE")</f>
        <v>TRUE</v>
      </c>
      <c r="J1079" t="str" cm="1">
        <f t="array" ref="J1079">_xlfn.SWITCH(LEFT(Table1[[#This Row],[section]],1), "D", "Demographic", "S", "Social", "E", "Economic", "H", "Housing", "")</f>
        <v>Economic</v>
      </c>
      <c r="K1079" t="s">
        <v>4011</v>
      </c>
      <c r="L1079" t="s">
        <v>4012</v>
      </c>
      <c r="M1079" t="str">
        <f>IF(Table1[[#This Row],[used]], _xlfn.CONCAT("🆔 ", Table1[[#This Row],[variable]], ": ",Table1[[#This Row],[alias]]), "")</f>
        <v>🆔 B23025_003E: In labor force: Civilian labor force</v>
      </c>
      <c r="O1079" t="s">
        <v>4021</v>
      </c>
      <c r="P1079" t="s">
        <v>4013</v>
      </c>
      <c r="Q1079" t="s">
        <v>41</v>
      </c>
      <c r="R1079" t="s">
        <v>4022</v>
      </c>
      <c r="S1079" t="b">
        <v>0</v>
      </c>
      <c r="T1079" t="b">
        <v>1</v>
      </c>
      <c r="U1079" t="b">
        <v>1</v>
      </c>
      <c r="V1079" t="b">
        <v>1</v>
      </c>
      <c r="W1079" t="b">
        <v>1</v>
      </c>
      <c r="X1079" t="b">
        <v>1</v>
      </c>
      <c r="Y1079" t="b">
        <v>1</v>
      </c>
      <c r="Z1079" t="b">
        <v>1</v>
      </c>
      <c r="AA1079" t="b">
        <v>1</v>
      </c>
      <c r="AB1079" t="b">
        <v>1</v>
      </c>
      <c r="AC1079" t="b">
        <v>1</v>
      </c>
      <c r="AD1079" t="b">
        <v>1</v>
      </c>
      <c r="AE1079" t="b">
        <v>1</v>
      </c>
      <c r="AF1079" t="b">
        <v>1</v>
      </c>
      <c r="AG1079" t="b">
        <v>1</v>
      </c>
    </row>
    <row r="1080" spans="1:33" x14ac:dyDescent="0.25">
      <c r="A1080" t="s">
        <v>4006</v>
      </c>
      <c r="B1080">
        <v>14</v>
      </c>
      <c r="C1080" t="b">
        <v>0</v>
      </c>
      <c r="D1080" t="s">
        <v>4007</v>
      </c>
      <c r="E1080" t="s">
        <v>4008</v>
      </c>
      <c r="F1080" t="s">
        <v>4023</v>
      </c>
      <c r="G1080" t="s">
        <v>4024</v>
      </c>
      <c r="H1080">
        <v>1079</v>
      </c>
      <c r="I1080" t="str">
        <f>IF(ISBLANK(Table1[[#This Row],[oid]]),"FALSE","TRUE")</f>
        <v>TRUE</v>
      </c>
      <c r="J1080" t="str" cm="1">
        <f t="array" ref="J1080">_xlfn.SWITCH(LEFT(Table1[[#This Row],[section]],1), "D", "Demographic", "S", "Social", "E", "Economic", "H", "Housing", "")</f>
        <v>Economic</v>
      </c>
      <c r="K1080" t="s">
        <v>4011</v>
      </c>
      <c r="L1080" t="s">
        <v>4012</v>
      </c>
      <c r="M1080" t="str">
        <f>IF(Table1[[#This Row],[used]], _xlfn.CONCAT("🆔 ", Table1[[#This Row],[variable]], ": ",Table1[[#This Row],[alias]]), "")</f>
        <v>🆔 B23025_004E: In labor force: Civilian labor force: Employed</v>
      </c>
      <c r="O1080" t="s">
        <v>4025</v>
      </c>
      <c r="P1080" t="s">
        <v>4013</v>
      </c>
      <c r="Q1080" t="s">
        <v>41</v>
      </c>
      <c r="R1080" t="s">
        <v>4026</v>
      </c>
      <c r="S1080" t="b">
        <v>0</v>
      </c>
      <c r="T1080" t="b">
        <v>1</v>
      </c>
      <c r="U1080" t="b">
        <v>1</v>
      </c>
      <c r="V1080" t="b">
        <v>1</v>
      </c>
      <c r="W1080" t="b">
        <v>1</v>
      </c>
      <c r="X1080" t="b">
        <v>1</v>
      </c>
      <c r="Y1080" t="b">
        <v>1</v>
      </c>
      <c r="Z1080" t="b">
        <v>1</v>
      </c>
      <c r="AA1080" t="b">
        <v>1</v>
      </c>
      <c r="AB1080" t="b">
        <v>1</v>
      </c>
      <c r="AC1080" t="b">
        <v>1</v>
      </c>
      <c r="AD1080" t="b">
        <v>1</v>
      </c>
      <c r="AE1080" t="b">
        <v>1</v>
      </c>
      <c r="AF1080" t="b">
        <v>1</v>
      </c>
      <c r="AG1080" t="b">
        <v>1</v>
      </c>
    </row>
    <row r="1081" spans="1:33" x14ac:dyDescent="0.25">
      <c r="A1081" t="s">
        <v>4006</v>
      </c>
      <c r="B1081">
        <v>14</v>
      </c>
      <c r="C1081" t="b">
        <v>0</v>
      </c>
      <c r="D1081" t="s">
        <v>4007</v>
      </c>
      <c r="E1081" t="s">
        <v>4008</v>
      </c>
      <c r="F1081" t="s">
        <v>4027</v>
      </c>
      <c r="G1081" t="s">
        <v>4028</v>
      </c>
      <c r="H1081">
        <v>1080</v>
      </c>
      <c r="I1081" t="str">
        <f>IF(ISBLANK(Table1[[#This Row],[oid]]),"FALSE","TRUE")</f>
        <v>TRUE</v>
      </c>
      <c r="J1081" t="str" cm="1">
        <f t="array" ref="J1081">_xlfn.SWITCH(LEFT(Table1[[#This Row],[section]],1), "D", "Demographic", "S", "Social", "E", "Economic", "H", "Housing", "")</f>
        <v>Economic</v>
      </c>
      <c r="K1081" t="s">
        <v>4011</v>
      </c>
      <c r="L1081" t="s">
        <v>4012</v>
      </c>
      <c r="M1081" t="str">
        <f>IF(Table1[[#This Row],[used]], _xlfn.CONCAT("🆔 ", Table1[[#This Row],[variable]], ": ",Table1[[#This Row],[alias]]), "")</f>
        <v>🆔 B23025_005E: In labor force: Civilian labor force: Unemployed</v>
      </c>
      <c r="O1081" t="s">
        <v>4029</v>
      </c>
      <c r="P1081" t="s">
        <v>4013</v>
      </c>
      <c r="Q1081" t="s">
        <v>41</v>
      </c>
      <c r="R1081" t="s">
        <v>4030</v>
      </c>
      <c r="S1081" t="b">
        <v>0</v>
      </c>
      <c r="T1081" t="b">
        <v>1</v>
      </c>
      <c r="U1081" t="b">
        <v>1</v>
      </c>
      <c r="V1081" t="b">
        <v>1</v>
      </c>
      <c r="W1081" t="b">
        <v>1</v>
      </c>
      <c r="X1081" t="b">
        <v>1</v>
      </c>
      <c r="Y1081" t="b">
        <v>1</v>
      </c>
      <c r="Z1081" t="b">
        <v>1</v>
      </c>
      <c r="AA1081" t="b">
        <v>1</v>
      </c>
      <c r="AB1081" t="b">
        <v>1</v>
      </c>
      <c r="AC1081" t="b">
        <v>1</v>
      </c>
      <c r="AD1081" t="b">
        <v>1</v>
      </c>
      <c r="AE1081" t="b">
        <v>1</v>
      </c>
      <c r="AF1081" t="b">
        <v>1</v>
      </c>
      <c r="AG1081" t="b">
        <v>1</v>
      </c>
    </row>
    <row r="1082" spans="1:33" x14ac:dyDescent="0.25">
      <c r="A1082" t="s">
        <v>4006</v>
      </c>
      <c r="B1082">
        <v>14</v>
      </c>
      <c r="C1082" t="b">
        <v>0</v>
      </c>
      <c r="D1082" t="s">
        <v>4007</v>
      </c>
      <c r="E1082" t="s">
        <v>4008</v>
      </c>
      <c r="F1082" t="s">
        <v>4031</v>
      </c>
      <c r="G1082" t="s">
        <v>4032</v>
      </c>
      <c r="H1082">
        <v>1081</v>
      </c>
      <c r="I1082" t="str">
        <f>IF(ISBLANK(Table1[[#This Row],[oid]]),"FALSE","TRUE")</f>
        <v>TRUE</v>
      </c>
      <c r="J1082" t="str" cm="1">
        <f t="array" ref="J1082">_xlfn.SWITCH(LEFT(Table1[[#This Row],[section]],1), "D", "Demographic", "S", "Social", "E", "Economic", "H", "Housing", "")</f>
        <v>Economic</v>
      </c>
      <c r="K1082" t="s">
        <v>4011</v>
      </c>
      <c r="L1082" t="s">
        <v>4012</v>
      </c>
      <c r="M1082" t="str">
        <f>IF(Table1[[#This Row],[used]], _xlfn.CONCAT("🆔 ", Table1[[#This Row],[variable]], ": ",Table1[[#This Row],[alias]]), "")</f>
        <v>🆔 B23025_006E: In labor force: Armed Forces</v>
      </c>
      <c r="O1082" t="s">
        <v>4033</v>
      </c>
      <c r="P1082" t="s">
        <v>4013</v>
      </c>
      <c r="Q1082" t="s">
        <v>41</v>
      </c>
      <c r="R1082" t="s">
        <v>4034</v>
      </c>
      <c r="S1082" t="b">
        <v>0</v>
      </c>
      <c r="T1082" t="b">
        <v>1</v>
      </c>
      <c r="U1082" t="b">
        <v>1</v>
      </c>
      <c r="V1082" t="b">
        <v>1</v>
      </c>
      <c r="W1082" t="b">
        <v>1</v>
      </c>
      <c r="X1082" t="b">
        <v>1</v>
      </c>
      <c r="Y1082" t="b">
        <v>1</v>
      </c>
      <c r="Z1082" t="b">
        <v>1</v>
      </c>
      <c r="AA1082" t="b">
        <v>1</v>
      </c>
      <c r="AB1082" t="b">
        <v>1</v>
      </c>
      <c r="AC1082" t="b">
        <v>1</v>
      </c>
      <c r="AD1082" t="b">
        <v>1</v>
      </c>
      <c r="AE1082" t="b">
        <v>1</v>
      </c>
      <c r="AF1082" t="b">
        <v>1</v>
      </c>
      <c r="AG1082" t="b">
        <v>1</v>
      </c>
    </row>
    <row r="1083" spans="1:33" x14ac:dyDescent="0.25">
      <c r="A1083" t="s">
        <v>4006</v>
      </c>
      <c r="B1083">
        <v>14</v>
      </c>
      <c r="C1083" t="b">
        <v>0</v>
      </c>
      <c r="D1083" t="s">
        <v>4007</v>
      </c>
      <c r="E1083" t="s">
        <v>4008</v>
      </c>
      <c r="F1083" t="s">
        <v>4035</v>
      </c>
      <c r="G1083" t="s">
        <v>4036</v>
      </c>
      <c r="H1083">
        <v>1082</v>
      </c>
      <c r="I1083" t="str">
        <f>IF(ISBLANK(Table1[[#This Row],[oid]]),"FALSE","TRUE")</f>
        <v>TRUE</v>
      </c>
      <c r="J1083" t="str" cm="1">
        <f t="array" ref="J1083">_xlfn.SWITCH(LEFT(Table1[[#This Row],[section]],1), "D", "Demographic", "S", "Social", "E", "Economic", "H", "Housing", "")</f>
        <v>Economic</v>
      </c>
      <c r="K1083" t="s">
        <v>4011</v>
      </c>
      <c r="L1083" t="s">
        <v>4012</v>
      </c>
      <c r="M1083" t="str">
        <f>IF(Table1[[#This Row],[used]], _xlfn.CONCAT("🆔 ", Table1[[#This Row],[variable]], ": ",Table1[[#This Row],[alias]]), "")</f>
        <v>🆔 B23025_007E: Not in labor force</v>
      </c>
      <c r="O1083" t="s">
        <v>4037</v>
      </c>
      <c r="P1083" t="s">
        <v>4013</v>
      </c>
      <c r="Q1083" t="s">
        <v>41</v>
      </c>
      <c r="R1083" t="s">
        <v>4038</v>
      </c>
      <c r="S1083" t="b">
        <v>0</v>
      </c>
      <c r="T1083" t="b">
        <v>1</v>
      </c>
      <c r="U1083" t="b">
        <v>1</v>
      </c>
      <c r="V1083" t="b">
        <v>1</v>
      </c>
      <c r="W1083" t="b">
        <v>1</v>
      </c>
      <c r="X1083" t="b">
        <v>1</v>
      </c>
      <c r="Y1083" t="b">
        <v>1</v>
      </c>
      <c r="Z1083" t="b">
        <v>1</v>
      </c>
      <c r="AA1083" t="b">
        <v>1</v>
      </c>
      <c r="AB1083" t="b">
        <v>1</v>
      </c>
      <c r="AC1083" t="b">
        <v>1</v>
      </c>
      <c r="AD1083" t="b">
        <v>1</v>
      </c>
      <c r="AE1083" t="b">
        <v>1</v>
      </c>
      <c r="AF1083" t="b">
        <v>1</v>
      </c>
      <c r="AG1083" t="b">
        <v>1</v>
      </c>
    </row>
    <row r="1084" spans="1:33" x14ac:dyDescent="0.25">
      <c r="A1084" t="s">
        <v>3676</v>
      </c>
      <c r="B1084">
        <v>11</v>
      </c>
      <c r="C1084" t="b">
        <v>0</v>
      </c>
      <c r="D1084" t="s">
        <v>4007</v>
      </c>
      <c r="E1084" t="s">
        <v>4039</v>
      </c>
      <c r="F1084" t="s">
        <v>4040</v>
      </c>
      <c r="G1084" t="s">
        <v>4010</v>
      </c>
      <c r="H1084">
        <v>1083</v>
      </c>
      <c r="I1084" t="str">
        <f>IF(ISBLANK(Table1[[#This Row],[oid]]),"FALSE","TRUE")</f>
        <v>TRUE</v>
      </c>
      <c r="J1084" t="str" cm="1">
        <f t="array" ref="J1084">_xlfn.SWITCH(LEFT(Table1[[#This Row],[section]],1), "D", "Demographic", "S", "Social", "E", "Economic", "H", "Housing", "")</f>
        <v>Economic</v>
      </c>
      <c r="K1084" t="s">
        <v>4041</v>
      </c>
      <c r="L1084" t="s">
        <v>4042</v>
      </c>
      <c r="M1084" t="str">
        <f>IF(Table1[[#This Row],[used]], _xlfn.CONCAT("🆔 ", Table1[[#This Row],[variable]], ": ",Table1[[#This Row],[alias]]), "")</f>
        <v>🆔 B23027_001E: Total Population, 16+ years</v>
      </c>
      <c r="O1084" t="s">
        <v>39</v>
      </c>
      <c r="P1084" t="s">
        <v>4043</v>
      </c>
      <c r="Q1084" t="s">
        <v>41</v>
      </c>
      <c r="R1084" t="s">
        <v>4044</v>
      </c>
      <c r="S1084" t="b">
        <v>0</v>
      </c>
      <c r="T1084" t="b">
        <v>0</v>
      </c>
      <c r="U1084" t="b">
        <v>0</v>
      </c>
      <c r="V1084" t="b">
        <v>0</v>
      </c>
      <c r="W1084" t="b">
        <v>1</v>
      </c>
      <c r="X1084" t="b">
        <v>1</v>
      </c>
      <c r="Y1084" t="b">
        <v>1</v>
      </c>
      <c r="Z1084" t="b">
        <v>1</v>
      </c>
      <c r="AA1084" t="b">
        <v>1</v>
      </c>
      <c r="AB1084" t="b">
        <v>1</v>
      </c>
      <c r="AC1084" t="b">
        <v>1</v>
      </c>
      <c r="AD1084" t="b">
        <v>1</v>
      </c>
      <c r="AE1084" t="b">
        <v>1</v>
      </c>
      <c r="AF1084" t="b">
        <v>1</v>
      </c>
      <c r="AG1084" t="b">
        <v>1</v>
      </c>
    </row>
    <row r="1085" spans="1:33" x14ac:dyDescent="0.25">
      <c r="A1085" t="s">
        <v>3676</v>
      </c>
      <c r="B1085">
        <v>11</v>
      </c>
      <c r="C1085" t="b">
        <v>0</v>
      </c>
      <c r="D1085" t="s">
        <v>4007</v>
      </c>
      <c r="E1085" t="s">
        <v>4039</v>
      </c>
      <c r="F1085" t="s">
        <v>4045</v>
      </c>
      <c r="G1085" t="s">
        <v>4046</v>
      </c>
      <c r="H1085">
        <v>1084</v>
      </c>
      <c r="I1085" t="str">
        <f>IF(ISBLANK(Table1[[#This Row],[oid]]),"FALSE","TRUE")</f>
        <v>TRUE</v>
      </c>
      <c r="J1085" t="str" cm="1">
        <f t="array" ref="J1085">_xlfn.SWITCH(LEFT(Table1[[#This Row],[section]],1), "D", "Demographic", "S", "Social", "E", "Economic", "H", "Housing", "")</f>
        <v>Economic</v>
      </c>
      <c r="K1085" t="s">
        <v>4041</v>
      </c>
      <c r="L1085" t="s">
        <v>4042</v>
      </c>
      <c r="M1085" t="str">
        <f>IF(Table1[[#This Row],[used]], _xlfn.CONCAT("🆔 ", Table1[[#This Row],[variable]], ": ",Table1[[#This Row],[alias]]), "")</f>
        <v>🆔 B23027_002E: 16 to 19 years</v>
      </c>
      <c r="O1085" t="s">
        <v>4047</v>
      </c>
      <c r="P1085" t="s">
        <v>4043</v>
      </c>
      <c r="Q1085" t="s">
        <v>41</v>
      </c>
      <c r="R1085" t="s">
        <v>4048</v>
      </c>
      <c r="S1085" t="b">
        <v>0</v>
      </c>
      <c r="T1085" t="b">
        <v>0</v>
      </c>
      <c r="U1085" t="b">
        <v>0</v>
      </c>
      <c r="V1085" t="b">
        <v>0</v>
      </c>
      <c r="W1085" t="b">
        <v>1</v>
      </c>
      <c r="X1085" t="b">
        <v>1</v>
      </c>
      <c r="Y1085" t="b">
        <v>1</v>
      </c>
      <c r="Z1085" t="b">
        <v>1</v>
      </c>
      <c r="AA1085" t="b">
        <v>1</v>
      </c>
      <c r="AB1085" t="b">
        <v>1</v>
      </c>
      <c r="AC1085" t="b">
        <v>1</v>
      </c>
      <c r="AD1085" t="b">
        <v>1</v>
      </c>
      <c r="AE1085" t="b">
        <v>1</v>
      </c>
      <c r="AF1085" t="b">
        <v>1</v>
      </c>
      <c r="AG1085" t="b">
        <v>1</v>
      </c>
    </row>
    <row r="1086" spans="1:33" x14ac:dyDescent="0.25">
      <c r="A1086" t="s">
        <v>3676</v>
      </c>
      <c r="B1086">
        <v>11</v>
      </c>
      <c r="C1086" t="b">
        <v>0</v>
      </c>
      <c r="D1086" t="s">
        <v>4007</v>
      </c>
      <c r="E1086" t="s">
        <v>4039</v>
      </c>
      <c r="F1086" t="s">
        <v>4049</v>
      </c>
      <c r="G1086" t="s">
        <v>4050</v>
      </c>
      <c r="H1086">
        <v>1085</v>
      </c>
      <c r="I1086" t="str">
        <f>IF(ISBLANK(Table1[[#This Row],[oid]]),"FALSE","TRUE")</f>
        <v>TRUE</v>
      </c>
      <c r="J1086" t="str" cm="1">
        <f t="array" ref="J1086">_xlfn.SWITCH(LEFT(Table1[[#This Row],[section]],1), "D", "Demographic", "S", "Social", "E", "Economic", "H", "Housing", "")</f>
        <v>Economic</v>
      </c>
      <c r="K1086" t="s">
        <v>4041</v>
      </c>
      <c r="L1086" t="s">
        <v>4042</v>
      </c>
      <c r="M1086" t="str">
        <f>IF(Table1[[#This Row],[used]], _xlfn.CONCAT("🆔 ", Table1[[#This Row],[variable]], ": ",Table1[[#This Row],[alias]]), "")</f>
        <v>🆔 B23027_003E: 16 to 19 years: Worked in the past 12 months</v>
      </c>
      <c r="O1086" t="s">
        <v>4051</v>
      </c>
      <c r="P1086" t="s">
        <v>4043</v>
      </c>
      <c r="Q1086" t="s">
        <v>41</v>
      </c>
      <c r="R1086" t="s">
        <v>4052</v>
      </c>
      <c r="S1086" t="b">
        <v>0</v>
      </c>
      <c r="T1086" t="b">
        <v>0</v>
      </c>
      <c r="U1086" t="b">
        <v>0</v>
      </c>
      <c r="V1086" t="b">
        <v>0</v>
      </c>
      <c r="W1086" t="b">
        <v>1</v>
      </c>
      <c r="X1086" t="b">
        <v>1</v>
      </c>
      <c r="Y1086" t="b">
        <v>1</v>
      </c>
      <c r="Z1086" t="b">
        <v>1</v>
      </c>
      <c r="AA1086" t="b">
        <v>1</v>
      </c>
      <c r="AB1086" t="b">
        <v>1</v>
      </c>
      <c r="AC1086" t="b">
        <v>1</v>
      </c>
      <c r="AD1086" t="b">
        <v>1</v>
      </c>
      <c r="AE1086" t="b">
        <v>1</v>
      </c>
      <c r="AF1086" t="b">
        <v>1</v>
      </c>
      <c r="AG1086" t="b">
        <v>1</v>
      </c>
    </row>
    <row r="1087" spans="1:33" x14ac:dyDescent="0.25">
      <c r="A1087" t="s">
        <v>3676</v>
      </c>
      <c r="B1087">
        <v>11</v>
      </c>
      <c r="C1087" t="b">
        <v>0</v>
      </c>
      <c r="D1087" t="s">
        <v>4007</v>
      </c>
      <c r="E1087" t="s">
        <v>4039</v>
      </c>
      <c r="F1087" t="s">
        <v>4053</v>
      </c>
      <c r="G1087" t="s">
        <v>4054</v>
      </c>
      <c r="H1087">
        <v>1086</v>
      </c>
      <c r="I1087" t="str">
        <f>IF(ISBLANK(Table1[[#This Row],[oid]]),"FALSE","TRUE")</f>
        <v>TRUE</v>
      </c>
      <c r="J1087" t="str" cm="1">
        <f t="array" ref="J1087">_xlfn.SWITCH(LEFT(Table1[[#This Row],[section]],1), "D", "Demographic", "S", "Social", "E", "Economic", "H", "Housing", "")</f>
        <v>Economic</v>
      </c>
      <c r="K1087" t="s">
        <v>4041</v>
      </c>
      <c r="L1087" t="s">
        <v>4042</v>
      </c>
      <c r="M1087" t="str">
        <f>IF(Table1[[#This Row],[used]], _xlfn.CONCAT("🆔 ", Table1[[#This Row],[variable]], ": ",Table1[[#This Row],[alias]]), "")</f>
        <v>🆔 B23027_004E: 16 to 19 years: Worked in the past 12 months: Worked full-time year-round</v>
      </c>
      <c r="O1087" t="s">
        <v>4055</v>
      </c>
      <c r="P1087" t="s">
        <v>4043</v>
      </c>
      <c r="Q1087" t="s">
        <v>41</v>
      </c>
      <c r="R1087" t="s">
        <v>4056</v>
      </c>
      <c r="S1087" t="b">
        <v>0</v>
      </c>
      <c r="T1087" t="b">
        <v>0</v>
      </c>
      <c r="U1087" t="b">
        <v>0</v>
      </c>
      <c r="V1087" t="b">
        <v>0</v>
      </c>
      <c r="W1087" t="b">
        <v>1</v>
      </c>
      <c r="X1087" t="b">
        <v>1</v>
      </c>
      <c r="Y1087" t="b">
        <v>1</v>
      </c>
      <c r="Z1087" t="b">
        <v>1</v>
      </c>
      <c r="AA1087" t="b">
        <v>1</v>
      </c>
      <c r="AB1087" t="b">
        <v>1</v>
      </c>
      <c r="AC1087" t="b">
        <v>1</v>
      </c>
      <c r="AD1087" t="b">
        <v>1</v>
      </c>
      <c r="AE1087" t="b">
        <v>1</v>
      </c>
      <c r="AF1087" t="b">
        <v>1</v>
      </c>
      <c r="AG1087" t="b">
        <v>1</v>
      </c>
    </row>
    <row r="1088" spans="1:33" x14ac:dyDescent="0.25">
      <c r="A1088" t="s">
        <v>3676</v>
      </c>
      <c r="B1088">
        <v>11</v>
      </c>
      <c r="C1088" t="b">
        <v>0</v>
      </c>
      <c r="D1088" t="s">
        <v>4007</v>
      </c>
      <c r="E1088" t="s">
        <v>4039</v>
      </c>
      <c r="F1088" t="s">
        <v>4057</v>
      </c>
      <c r="G1088" t="s">
        <v>4058</v>
      </c>
      <c r="H1088">
        <v>1087</v>
      </c>
      <c r="I1088" t="str">
        <f>IF(ISBLANK(Table1[[#This Row],[oid]]),"FALSE","TRUE")</f>
        <v>TRUE</v>
      </c>
      <c r="J1088" t="str" cm="1">
        <f t="array" ref="J1088">_xlfn.SWITCH(LEFT(Table1[[#This Row],[section]],1), "D", "Demographic", "S", "Social", "E", "Economic", "H", "Housing", "")</f>
        <v>Economic</v>
      </c>
      <c r="K1088" t="s">
        <v>4041</v>
      </c>
      <c r="L1088" t="s">
        <v>4042</v>
      </c>
      <c r="M1088" t="str">
        <f>IF(Table1[[#This Row],[used]], _xlfn.CONCAT("🆔 ", Table1[[#This Row],[variable]], ": ",Table1[[#This Row],[alias]]), "")</f>
        <v>🆔 B23027_005E: 16 to 19 years: Worked in the past 12 months: Worked less than full-time year-round</v>
      </c>
      <c r="O1088" t="s">
        <v>4059</v>
      </c>
      <c r="P1088" t="s">
        <v>4043</v>
      </c>
      <c r="Q1088" t="s">
        <v>41</v>
      </c>
      <c r="R1088" t="s">
        <v>4060</v>
      </c>
      <c r="S1088" t="b">
        <v>0</v>
      </c>
      <c r="T1088" t="b">
        <v>0</v>
      </c>
      <c r="U1088" t="b">
        <v>0</v>
      </c>
      <c r="V1088" t="b">
        <v>0</v>
      </c>
      <c r="W1088" t="b">
        <v>1</v>
      </c>
      <c r="X1088" t="b">
        <v>1</v>
      </c>
      <c r="Y1088" t="b">
        <v>1</v>
      </c>
      <c r="Z1088" t="b">
        <v>1</v>
      </c>
      <c r="AA1088" t="b">
        <v>1</v>
      </c>
      <c r="AB1088" t="b">
        <v>1</v>
      </c>
      <c r="AC1088" t="b">
        <v>1</v>
      </c>
      <c r="AD1088" t="b">
        <v>1</v>
      </c>
      <c r="AE1088" t="b">
        <v>1</v>
      </c>
      <c r="AF1088" t="b">
        <v>1</v>
      </c>
      <c r="AG1088" t="b">
        <v>1</v>
      </c>
    </row>
    <row r="1089" spans="1:33" x14ac:dyDescent="0.25">
      <c r="A1089" t="s">
        <v>3676</v>
      </c>
      <c r="B1089">
        <v>11</v>
      </c>
      <c r="C1089" t="b">
        <v>0</v>
      </c>
      <c r="D1089" t="s">
        <v>4007</v>
      </c>
      <c r="E1089" t="s">
        <v>4039</v>
      </c>
      <c r="F1089" t="s">
        <v>4061</v>
      </c>
      <c r="G1089" t="s">
        <v>4062</v>
      </c>
      <c r="H1089">
        <v>1088</v>
      </c>
      <c r="I1089" t="str">
        <f>IF(ISBLANK(Table1[[#This Row],[oid]]),"FALSE","TRUE")</f>
        <v>TRUE</v>
      </c>
      <c r="J1089" t="str" cm="1">
        <f t="array" ref="J1089">_xlfn.SWITCH(LEFT(Table1[[#This Row],[section]],1), "D", "Demographic", "S", "Social", "E", "Economic", "H", "Housing", "")</f>
        <v>Economic</v>
      </c>
      <c r="K1089" t="s">
        <v>4041</v>
      </c>
      <c r="L1089" t="s">
        <v>4042</v>
      </c>
      <c r="M1089" t="str">
        <f>IF(Table1[[#This Row],[used]], _xlfn.CONCAT("🆔 ", Table1[[#This Row],[variable]], ": ",Table1[[#This Row],[alias]]), "")</f>
        <v>🆔 B23027_006E: 16 to 19 years: Did not work in the past 12 months</v>
      </c>
      <c r="O1089" t="s">
        <v>4063</v>
      </c>
      <c r="P1089" t="s">
        <v>4043</v>
      </c>
      <c r="Q1089" t="s">
        <v>41</v>
      </c>
      <c r="R1089" t="s">
        <v>4064</v>
      </c>
      <c r="S1089" t="b">
        <v>0</v>
      </c>
      <c r="T1089" t="b">
        <v>0</v>
      </c>
      <c r="U1089" t="b">
        <v>0</v>
      </c>
      <c r="V1089" t="b">
        <v>0</v>
      </c>
      <c r="W1089" t="b">
        <v>1</v>
      </c>
      <c r="X1089" t="b">
        <v>1</v>
      </c>
      <c r="Y1089" t="b">
        <v>1</v>
      </c>
      <c r="Z1089" t="b">
        <v>1</v>
      </c>
      <c r="AA1089" t="b">
        <v>1</v>
      </c>
      <c r="AB1089" t="b">
        <v>1</v>
      </c>
      <c r="AC1089" t="b">
        <v>1</v>
      </c>
      <c r="AD1089" t="b">
        <v>1</v>
      </c>
      <c r="AE1089" t="b">
        <v>1</v>
      </c>
      <c r="AF1089" t="b">
        <v>1</v>
      </c>
      <c r="AG1089" t="b">
        <v>1</v>
      </c>
    </row>
    <row r="1090" spans="1:33" x14ac:dyDescent="0.25">
      <c r="A1090" t="s">
        <v>3676</v>
      </c>
      <c r="B1090">
        <v>11</v>
      </c>
      <c r="C1090" t="b">
        <v>0</v>
      </c>
      <c r="D1090" t="s">
        <v>4007</v>
      </c>
      <c r="E1090" t="s">
        <v>4039</v>
      </c>
      <c r="F1090" t="s">
        <v>4065</v>
      </c>
      <c r="G1090" t="s">
        <v>4066</v>
      </c>
      <c r="H1090">
        <v>1089</v>
      </c>
      <c r="I1090" t="str">
        <f>IF(ISBLANK(Table1[[#This Row],[oid]]),"FALSE","TRUE")</f>
        <v>TRUE</v>
      </c>
      <c r="J1090" t="str" cm="1">
        <f t="array" ref="J1090">_xlfn.SWITCH(LEFT(Table1[[#This Row],[section]],1), "D", "Demographic", "S", "Social", "E", "Economic", "H", "Housing", "")</f>
        <v>Economic</v>
      </c>
      <c r="K1090" t="s">
        <v>4041</v>
      </c>
      <c r="L1090" t="s">
        <v>4042</v>
      </c>
      <c r="M1090" t="str">
        <f>IF(Table1[[#This Row],[used]], _xlfn.CONCAT("🆔 ", Table1[[#This Row],[variable]], ": ",Table1[[#This Row],[alias]]), "")</f>
        <v>🆔 B23027_007E: 20 to 24 years</v>
      </c>
      <c r="O1090" t="s">
        <v>4067</v>
      </c>
      <c r="P1090" t="s">
        <v>4043</v>
      </c>
      <c r="Q1090" t="s">
        <v>41</v>
      </c>
      <c r="R1090" t="s">
        <v>4068</v>
      </c>
      <c r="S1090" t="b">
        <v>0</v>
      </c>
      <c r="T1090" t="b">
        <v>0</v>
      </c>
      <c r="U1090" t="b">
        <v>0</v>
      </c>
      <c r="V1090" t="b">
        <v>0</v>
      </c>
      <c r="W1090" t="b">
        <v>1</v>
      </c>
      <c r="X1090" t="b">
        <v>1</v>
      </c>
      <c r="Y1090" t="b">
        <v>1</v>
      </c>
      <c r="Z1090" t="b">
        <v>1</v>
      </c>
      <c r="AA1090" t="b">
        <v>1</v>
      </c>
      <c r="AB1090" t="b">
        <v>1</v>
      </c>
      <c r="AC1090" t="b">
        <v>1</v>
      </c>
      <c r="AD1090" t="b">
        <v>1</v>
      </c>
      <c r="AE1090" t="b">
        <v>1</v>
      </c>
      <c r="AF1090" t="b">
        <v>1</v>
      </c>
      <c r="AG1090" t="b">
        <v>1</v>
      </c>
    </row>
    <row r="1091" spans="1:33" x14ac:dyDescent="0.25">
      <c r="A1091" t="s">
        <v>3676</v>
      </c>
      <c r="B1091">
        <v>11</v>
      </c>
      <c r="C1091" t="b">
        <v>0</v>
      </c>
      <c r="D1091" t="s">
        <v>4007</v>
      </c>
      <c r="E1091" t="s">
        <v>4039</v>
      </c>
      <c r="F1091" t="s">
        <v>4069</v>
      </c>
      <c r="G1091" t="s">
        <v>4070</v>
      </c>
      <c r="H1091">
        <v>1090</v>
      </c>
      <c r="I1091" t="str">
        <f>IF(ISBLANK(Table1[[#This Row],[oid]]),"FALSE","TRUE")</f>
        <v>TRUE</v>
      </c>
      <c r="J1091" t="str" cm="1">
        <f t="array" ref="J1091">_xlfn.SWITCH(LEFT(Table1[[#This Row],[section]],1), "D", "Demographic", "S", "Social", "E", "Economic", "H", "Housing", "")</f>
        <v>Economic</v>
      </c>
      <c r="K1091" t="s">
        <v>4041</v>
      </c>
      <c r="L1091" t="s">
        <v>4042</v>
      </c>
      <c r="M1091" t="str">
        <f>IF(Table1[[#This Row],[used]], _xlfn.CONCAT("🆔 ", Table1[[#This Row],[variable]], ": ",Table1[[#This Row],[alias]]), "")</f>
        <v>🆔 B23027_008E: 20 to 24 years: Worked in the past 12 months</v>
      </c>
      <c r="O1091" t="s">
        <v>4071</v>
      </c>
      <c r="P1091" t="s">
        <v>4043</v>
      </c>
      <c r="Q1091" t="s">
        <v>41</v>
      </c>
      <c r="R1091" t="s">
        <v>4072</v>
      </c>
      <c r="S1091" t="b">
        <v>0</v>
      </c>
      <c r="T1091" t="b">
        <v>0</v>
      </c>
      <c r="U1091" t="b">
        <v>0</v>
      </c>
      <c r="V1091" t="b">
        <v>0</v>
      </c>
      <c r="W1091" t="b">
        <v>1</v>
      </c>
      <c r="X1091" t="b">
        <v>1</v>
      </c>
      <c r="Y1091" t="b">
        <v>1</v>
      </c>
      <c r="Z1091" t="b">
        <v>1</v>
      </c>
      <c r="AA1091" t="b">
        <v>1</v>
      </c>
      <c r="AB1091" t="b">
        <v>1</v>
      </c>
      <c r="AC1091" t="b">
        <v>1</v>
      </c>
      <c r="AD1091" t="b">
        <v>1</v>
      </c>
      <c r="AE1091" t="b">
        <v>1</v>
      </c>
      <c r="AF1091" t="b">
        <v>1</v>
      </c>
      <c r="AG1091" t="b">
        <v>1</v>
      </c>
    </row>
    <row r="1092" spans="1:33" x14ac:dyDescent="0.25">
      <c r="A1092" t="s">
        <v>3676</v>
      </c>
      <c r="B1092">
        <v>11</v>
      </c>
      <c r="C1092" t="b">
        <v>0</v>
      </c>
      <c r="D1092" t="s">
        <v>4007</v>
      </c>
      <c r="E1092" t="s">
        <v>4039</v>
      </c>
      <c r="F1092" t="s">
        <v>4073</v>
      </c>
      <c r="G1092" t="s">
        <v>4074</v>
      </c>
      <c r="H1092">
        <v>1091</v>
      </c>
      <c r="I1092" t="str">
        <f>IF(ISBLANK(Table1[[#This Row],[oid]]),"FALSE","TRUE")</f>
        <v>TRUE</v>
      </c>
      <c r="J1092" t="str" cm="1">
        <f t="array" ref="J1092">_xlfn.SWITCH(LEFT(Table1[[#This Row],[section]],1), "D", "Demographic", "S", "Social", "E", "Economic", "H", "Housing", "")</f>
        <v>Economic</v>
      </c>
      <c r="K1092" t="s">
        <v>4041</v>
      </c>
      <c r="L1092" t="s">
        <v>4042</v>
      </c>
      <c r="M1092" t="str">
        <f>IF(Table1[[#This Row],[used]], _xlfn.CONCAT("🆔 ", Table1[[#This Row],[variable]], ": ",Table1[[#This Row],[alias]]), "")</f>
        <v>🆔 B23027_009E: 20 to 24 years: Worked in the past 12 months: Worked full-time year-round</v>
      </c>
      <c r="O1092" t="s">
        <v>4075</v>
      </c>
      <c r="P1092" t="s">
        <v>4043</v>
      </c>
      <c r="Q1092" t="s">
        <v>41</v>
      </c>
      <c r="R1092" t="s">
        <v>4076</v>
      </c>
      <c r="S1092" t="b">
        <v>0</v>
      </c>
      <c r="T1092" t="b">
        <v>0</v>
      </c>
      <c r="U1092" t="b">
        <v>0</v>
      </c>
      <c r="V1092" t="b">
        <v>0</v>
      </c>
      <c r="W1092" t="b">
        <v>1</v>
      </c>
      <c r="X1092" t="b">
        <v>1</v>
      </c>
      <c r="Y1092" t="b">
        <v>1</v>
      </c>
      <c r="Z1092" t="b">
        <v>1</v>
      </c>
      <c r="AA1092" t="b">
        <v>1</v>
      </c>
      <c r="AB1092" t="b">
        <v>1</v>
      </c>
      <c r="AC1092" t="b">
        <v>1</v>
      </c>
      <c r="AD1092" t="b">
        <v>1</v>
      </c>
      <c r="AE1092" t="b">
        <v>1</v>
      </c>
      <c r="AF1092" t="b">
        <v>1</v>
      </c>
      <c r="AG1092" t="b">
        <v>1</v>
      </c>
    </row>
    <row r="1093" spans="1:33" x14ac:dyDescent="0.25">
      <c r="A1093" t="s">
        <v>3676</v>
      </c>
      <c r="B1093">
        <v>11</v>
      </c>
      <c r="C1093" t="b">
        <v>0</v>
      </c>
      <c r="D1093" t="s">
        <v>4007</v>
      </c>
      <c r="E1093" t="s">
        <v>4039</v>
      </c>
      <c r="F1093" t="s">
        <v>4077</v>
      </c>
      <c r="G1093" t="s">
        <v>4078</v>
      </c>
      <c r="H1093">
        <v>1092</v>
      </c>
      <c r="I1093" t="str">
        <f>IF(ISBLANK(Table1[[#This Row],[oid]]),"FALSE","TRUE")</f>
        <v>TRUE</v>
      </c>
      <c r="J1093" t="str" cm="1">
        <f t="array" ref="J1093">_xlfn.SWITCH(LEFT(Table1[[#This Row],[section]],1), "D", "Demographic", "S", "Social", "E", "Economic", "H", "Housing", "")</f>
        <v>Economic</v>
      </c>
      <c r="K1093" t="s">
        <v>4041</v>
      </c>
      <c r="L1093" t="s">
        <v>4042</v>
      </c>
      <c r="M1093" t="str">
        <f>IF(Table1[[#This Row],[used]], _xlfn.CONCAT("🆔 ", Table1[[#This Row],[variable]], ": ",Table1[[#This Row],[alias]]), "")</f>
        <v>🆔 B23027_010E: 20 to 24 years: Worked in the past 12 months: Worked less than full-time year-round</v>
      </c>
      <c r="O1093" t="s">
        <v>4079</v>
      </c>
      <c r="P1093" t="s">
        <v>4043</v>
      </c>
      <c r="Q1093" t="s">
        <v>41</v>
      </c>
      <c r="R1093" t="s">
        <v>4080</v>
      </c>
      <c r="S1093" t="b">
        <v>0</v>
      </c>
      <c r="T1093" t="b">
        <v>0</v>
      </c>
      <c r="U1093" t="b">
        <v>0</v>
      </c>
      <c r="V1093" t="b">
        <v>0</v>
      </c>
      <c r="W1093" t="b">
        <v>1</v>
      </c>
      <c r="X1093" t="b">
        <v>1</v>
      </c>
      <c r="Y1093" t="b">
        <v>1</v>
      </c>
      <c r="Z1093" t="b">
        <v>1</v>
      </c>
      <c r="AA1093" t="b">
        <v>1</v>
      </c>
      <c r="AB1093" t="b">
        <v>1</v>
      </c>
      <c r="AC1093" t="b">
        <v>1</v>
      </c>
      <c r="AD1093" t="b">
        <v>1</v>
      </c>
      <c r="AE1093" t="b">
        <v>1</v>
      </c>
      <c r="AF1093" t="b">
        <v>1</v>
      </c>
      <c r="AG1093" t="b">
        <v>1</v>
      </c>
    </row>
    <row r="1094" spans="1:33" x14ac:dyDescent="0.25">
      <c r="A1094" t="s">
        <v>3676</v>
      </c>
      <c r="B1094">
        <v>11</v>
      </c>
      <c r="C1094" t="b">
        <v>0</v>
      </c>
      <c r="D1094" t="s">
        <v>4007</v>
      </c>
      <c r="E1094" t="s">
        <v>4039</v>
      </c>
      <c r="F1094" t="s">
        <v>4081</v>
      </c>
      <c r="G1094" t="s">
        <v>4082</v>
      </c>
      <c r="H1094">
        <v>1093</v>
      </c>
      <c r="I1094" t="str">
        <f>IF(ISBLANK(Table1[[#This Row],[oid]]),"FALSE","TRUE")</f>
        <v>TRUE</v>
      </c>
      <c r="J1094" t="str" cm="1">
        <f t="array" ref="J1094">_xlfn.SWITCH(LEFT(Table1[[#This Row],[section]],1), "D", "Demographic", "S", "Social", "E", "Economic", "H", "Housing", "")</f>
        <v>Economic</v>
      </c>
      <c r="K1094" t="s">
        <v>4041</v>
      </c>
      <c r="L1094" t="s">
        <v>4042</v>
      </c>
      <c r="M1094" t="str">
        <f>IF(Table1[[#This Row],[used]], _xlfn.CONCAT("🆔 ", Table1[[#This Row],[variable]], ": ",Table1[[#This Row],[alias]]), "")</f>
        <v>🆔 B23027_011E: 20 to 24 years: Did not work in the past 12 months</v>
      </c>
      <c r="O1094" t="s">
        <v>4083</v>
      </c>
      <c r="P1094" t="s">
        <v>4043</v>
      </c>
      <c r="Q1094" t="s">
        <v>41</v>
      </c>
      <c r="R1094" t="s">
        <v>4084</v>
      </c>
      <c r="S1094" t="b">
        <v>0</v>
      </c>
      <c r="T1094" t="b">
        <v>0</v>
      </c>
      <c r="U1094" t="b">
        <v>0</v>
      </c>
      <c r="V1094" t="b">
        <v>0</v>
      </c>
      <c r="W1094" t="b">
        <v>1</v>
      </c>
      <c r="X1094" t="b">
        <v>1</v>
      </c>
      <c r="Y1094" t="b">
        <v>1</v>
      </c>
      <c r="Z1094" t="b">
        <v>1</v>
      </c>
      <c r="AA1094" t="b">
        <v>1</v>
      </c>
      <c r="AB1094" t="b">
        <v>1</v>
      </c>
      <c r="AC1094" t="b">
        <v>1</v>
      </c>
      <c r="AD1094" t="b">
        <v>1</v>
      </c>
      <c r="AE1094" t="b">
        <v>1</v>
      </c>
      <c r="AF1094" t="b">
        <v>1</v>
      </c>
      <c r="AG1094" t="b">
        <v>1</v>
      </c>
    </row>
    <row r="1095" spans="1:33" x14ac:dyDescent="0.25">
      <c r="A1095" t="s">
        <v>3676</v>
      </c>
      <c r="B1095">
        <v>11</v>
      </c>
      <c r="C1095" t="b">
        <v>0</v>
      </c>
      <c r="D1095" t="s">
        <v>4007</v>
      </c>
      <c r="E1095" t="s">
        <v>4039</v>
      </c>
      <c r="F1095" t="s">
        <v>4085</v>
      </c>
      <c r="G1095" t="s">
        <v>4086</v>
      </c>
      <c r="H1095">
        <v>1094</v>
      </c>
      <c r="I1095" t="str">
        <f>IF(ISBLANK(Table1[[#This Row],[oid]]),"FALSE","TRUE")</f>
        <v>TRUE</v>
      </c>
      <c r="J1095" t="str" cm="1">
        <f t="array" ref="J1095">_xlfn.SWITCH(LEFT(Table1[[#This Row],[section]],1), "D", "Demographic", "S", "Social", "E", "Economic", "H", "Housing", "")</f>
        <v>Economic</v>
      </c>
      <c r="K1095" t="s">
        <v>4041</v>
      </c>
      <c r="L1095" t="s">
        <v>4042</v>
      </c>
      <c r="M1095" t="str">
        <f>IF(Table1[[#This Row],[used]], _xlfn.CONCAT("🆔 ", Table1[[#This Row],[variable]], ": ",Table1[[#This Row],[alias]]), "")</f>
        <v>🆔 B23027_012E: 25 to 44 years</v>
      </c>
      <c r="O1095" t="s">
        <v>4087</v>
      </c>
      <c r="P1095" t="s">
        <v>4043</v>
      </c>
      <c r="Q1095" t="s">
        <v>41</v>
      </c>
      <c r="R1095" t="s">
        <v>4088</v>
      </c>
      <c r="S1095" t="b">
        <v>0</v>
      </c>
      <c r="T1095" t="b">
        <v>0</v>
      </c>
      <c r="U1095" t="b">
        <v>0</v>
      </c>
      <c r="V1095" t="b">
        <v>0</v>
      </c>
      <c r="W1095" t="b">
        <v>1</v>
      </c>
      <c r="X1095" t="b">
        <v>1</v>
      </c>
      <c r="Y1095" t="b">
        <v>1</v>
      </c>
      <c r="Z1095" t="b">
        <v>1</v>
      </c>
      <c r="AA1095" t="b">
        <v>1</v>
      </c>
      <c r="AB1095" t="b">
        <v>1</v>
      </c>
      <c r="AC1095" t="b">
        <v>1</v>
      </c>
      <c r="AD1095" t="b">
        <v>1</v>
      </c>
      <c r="AE1095" t="b">
        <v>1</v>
      </c>
      <c r="AF1095" t="b">
        <v>1</v>
      </c>
      <c r="AG1095" t="b">
        <v>1</v>
      </c>
    </row>
    <row r="1096" spans="1:33" x14ac:dyDescent="0.25">
      <c r="A1096" t="s">
        <v>3676</v>
      </c>
      <c r="B1096">
        <v>11</v>
      </c>
      <c r="C1096" t="b">
        <v>0</v>
      </c>
      <c r="D1096" t="s">
        <v>4007</v>
      </c>
      <c r="E1096" t="s">
        <v>4039</v>
      </c>
      <c r="F1096" t="s">
        <v>4089</v>
      </c>
      <c r="G1096" t="s">
        <v>4090</v>
      </c>
      <c r="H1096">
        <v>1095</v>
      </c>
      <c r="I1096" t="str">
        <f>IF(ISBLANK(Table1[[#This Row],[oid]]),"FALSE","TRUE")</f>
        <v>TRUE</v>
      </c>
      <c r="J1096" t="str" cm="1">
        <f t="array" ref="J1096">_xlfn.SWITCH(LEFT(Table1[[#This Row],[section]],1), "D", "Demographic", "S", "Social", "E", "Economic", "H", "Housing", "")</f>
        <v>Economic</v>
      </c>
      <c r="K1096" t="s">
        <v>4041</v>
      </c>
      <c r="L1096" t="s">
        <v>4042</v>
      </c>
      <c r="M1096" t="str">
        <f>IF(Table1[[#This Row],[used]], _xlfn.CONCAT("🆔 ", Table1[[#This Row],[variable]], ": ",Table1[[#This Row],[alias]]), "")</f>
        <v>🆔 B23027_013E: 25 to 44 years: Worked in the past 12 months</v>
      </c>
      <c r="O1096" t="s">
        <v>4091</v>
      </c>
      <c r="P1096" t="s">
        <v>4043</v>
      </c>
      <c r="Q1096" t="s">
        <v>41</v>
      </c>
      <c r="R1096" t="s">
        <v>4092</v>
      </c>
      <c r="S1096" t="b">
        <v>0</v>
      </c>
      <c r="T1096" t="b">
        <v>0</v>
      </c>
      <c r="U1096" t="b">
        <v>0</v>
      </c>
      <c r="V1096" t="b">
        <v>0</v>
      </c>
      <c r="W1096" t="b">
        <v>1</v>
      </c>
      <c r="X1096" t="b">
        <v>1</v>
      </c>
      <c r="Y1096" t="b">
        <v>1</v>
      </c>
      <c r="Z1096" t="b">
        <v>1</v>
      </c>
      <c r="AA1096" t="b">
        <v>1</v>
      </c>
      <c r="AB1096" t="b">
        <v>1</v>
      </c>
      <c r="AC1096" t="b">
        <v>1</v>
      </c>
      <c r="AD1096" t="b">
        <v>1</v>
      </c>
      <c r="AE1096" t="b">
        <v>1</v>
      </c>
      <c r="AF1096" t="b">
        <v>1</v>
      </c>
      <c r="AG1096" t="b">
        <v>1</v>
      </c>
    </row>
    <row r="1097" spans="1:33" x14ac:dyDescent="0.25">
      <c r="A1097" t="s">
        <v>3676</v>
      </c>
      <c r="B1097">
        <v>11</v>
      </c>
      <c r="C1097" t="b">
        <v>0</v>
      </c>
      <c r="D1097" t="s">
        <v>4007</v>
      </c>
      <c r="E1097" t="s">
        <v>4039</v>
      </c>
      <c r="F1097" t="s">
        <v>4093</v>
      </c>
      <c r="G1097" t="s">
        <v>4094</v>
      </c>
      <c r="H1097">
        <v>1096</v>
      </c>
      <c r="I1097" t="str">
        <f>IF(ISBLANK(Table1[[#This Row],[oid]]),"FALSE","TRUE")</f>
        <v>TRUE</v>
      </c>
      <c r="J1097" t="str" cm="1">
        <f t="array" ref="J1097">_xlfn.SWITCH(LEFT(Table1[[#This Row],[section]],1), "D", "Demographic", "S", "Social", "E", "Economic", "H", "Housing", "")</f>
        <v>Economic</v>
      </c>
      <c r="K1097" t="s">
        <v>4041</v>
      </c>
      <c r="L1097" t="s">
        <v>4042</v>
      </c>
      <c r="M1097" t="str">
        <f>IF(Table1[[#This Row],[used]], _xlfn.CONCAT("🆔 ", Table1[[#This Row],[variable]], ": ",Table1[[#This Row],[alias]]), "")</f>
        <v>🆔 B23027_014E: 25 to 44 years: Worked in the past 12 months: Worked full-time year-round</v>
      </c>
      <c r="O1097" t="s">
        <v>4095</v>
      </c>
      <c r="P1097" t="s">
        <v>4043</v>
      </c>
      <c r="Q1097" t="s">
        <v>41</v>
      </c>
      <c r="R1097" t="s">
        <v>4096</v>
      </c>
      <c r="S1097" t="b">
        <v>0</v>
      </c>
      <c r="T1097" t="b">
        <v>0</v>
      </c>
      <c r="U1097" t="b">
        <v>0</v>
      </c>
      <c r="V1097" t="b">
        <v>0</v>
      </c>
      <c r="W1097" t="b">
        <v>1</v>
      </c>
      <c r="X1097" t="b">
        <v>1</v>
      </c>
      <c r="Y1097" t="b">
        <v>1</v>
      </c>
      <c r="Z1097" t="b">
        <v>1</v>
      </c>
      <c r="AA1097" t="b">
        <v>1</v>
      </c>
      <c r="AB1097" t="b">
        <v>1</v>
      </c>
      <c r="AC1097" t="b">
        <v>1</v>
      </c>
      <c r="AD1097" t="b">
        <v>1</v>
      </c>
      <c r="AE1097" t="b">
        <v>1</v>
      </c>
      <c r="AF1097" t="b">
        <v>1</v>
      </c>
      <c r="AG1097" t="b">
        <v>1</v>
      </c>
    </row>
    <row r="1098" spans="1:33" x14ac:dyDescent="0.25">
      <c r="A1098" t="s">
        <v>3676</v>
      </c>
      <c r="B1098">
        <v>11</v>
      </c>
      <c r="C1098" t="b">
        <v>0</v>
      </c>
      <c r="D1098" t="s">
        <v>4007</v>
      </c>
      <c r="E1098" t="s">
        <v>4039</v>
      </c>
      <c r="F1098" t="s">
        <v>4097</v>
      </c>
      <c r="G1098" t="s">
        <v>4098</v>
      </c>
      <c r="H1098">
        <v>1097</v>
      </c>
      <c r="I1098" t="str">
        <f>IF(ISBLANK(Table1[[#This Row],[oid]]),"FALSE","TRUE")</f>
        <v>TRUE</v>
      </c>
      <c r="J1098" t="str" cm="1">
        <f t="array" ref="J1098">_xlfn.SWITCH(LEFT(Table1[[#This Row],[section]],1), "D", "Demographic", "S", "Social", "E", "Economic", "H", "Housing", "")</f>
        <v>Economic</v>
      </c>
      <c r="K1098" t="s">
        <v>4041</v>
      </c>
      <c r="L1098" t="s">
        <v>4042</v>
      </c>
      <c r="M1098" t="str">
        <f>IF(Table1[[#This Row],[used]], _xlfn.CONCAT("🆔 ", Table1[[#This Row],[variable]], ": ",Table1[[#This Row],[alias]]), "")</f>
        <v>🆔 B23027_015E: 25 to 44 years: Worked in the past 12 months: Worked less than full-time year-round</v>
      </c>
      <c r="O1098" t="s">
        <v>4099</v>
      </c>
      <c r="P1098" t="s">
        <v>4043</v>
      </c>
      <c r="Q1098" t="s">
        <v>41</v>
      </c>
      <c r="R1098" t="s">
        <v>4100</v>
      </c>
      <c r="S1098" t="b">
        <v>0</v>
      </c>
      <c r="T1098" t="b">
        <v>0</v>
      </c>
      <c r="U1098" t="b">
        <v>0</v>
      </c>
      <c r="V1098" t="b">
        <v>0</v>
      </c>
      <c r="W1098" t="b">
        <v>1</v>
      </c>
      <c r="X1098" t="b">
        <v>1</v>
      </c>
      <c r="Y1098" t="b">
        <v>1</v>
      </c>
      <c r="Z1098" t="b">
        <v>1</v>
      </c>
      <c r="AA1098" t="b">
        <v>1</v>
      </c>
      <c r="AB1098" t="b">
        <v>1</v>
      </c>
      <c r="AC1098" t="b">
        <v>1</v>
      </c>
      <c r="AD1098" t="b">
        <v>1</v>
      </c>
      <c r="AE1098" t="b">
        <v>1</v>
      </c>
      <c r="AF1098" t="b">
        <v>1</v>
      </c>
      <c r="AG1098" t="b">
        <v>1</v>
      </c>
    </row>
    <row r="1099" spans="1:33" x14ac:dyDescent="0.25">
      <c r="A1099" t="s">
        <v>3676</v>
      </c>
      <c r="B1099">
        <v>11</v>
      </c>
      <c r="C1099" t="b">
        <v>0</v>
      </c>
      <c r="D1099" t="s">
        <v>4007</v>
      </c>
      <c r="E1099" t="s">
        <v>4039</v>
      </c>
      <c r="F1099" t="s">
        <v>4101</v>
      </c>
      <c r="G1099" t="s">
        <v>4102</v>
      </c>
      <c r="H1099">
        <v>1098</v>
      </c>
      <c r="I1099" t="str">
        <f>IF(ISBLANK(Table1[[#This Row],[oid]]),"FALSE","TRUE")</f>
        <v>TRUE</v>
      </c>
      <c r="J1099" t="str" cm="1">
        <f t="array" ref="J1099">_xlfn.SWITCH(LEFT(Table1[[#This Row],[section]],1), "D", "Demographic", "S", "Social", "E", "Economic", "H", "Housing", "")</f>
        <v>Economic</v>
      </c>
      <c r="K1099" t="s">
        <v>4041</v>
      </c>
      <c r="L1099" t="s">
        <v>4042</v>
      </c>
      <c r="M1099" t="str">
        <f>IF(Table1[[#This Row],[used]], _xlfn.CONCAT("🆔 ", Table1[[#This Row],[variable]], ": ",Table1[[#This Row],[alias]]), "")</f>
        <v>🆔 B23027_016E: 25 to 44 years: Did not work in the past 12 months</v>
      </c>
      <c r="O1099" t="s">
        <v>4103</v>
      </c>
      <c r="P1099" t="s">
        <v>4043</v>
      </c>
      <c r="Q1099" t="s">
        <v>41</v>
      </c>
      <c r="R1099" t="s">
        <v>4104</v>
      </c>
      <c r="S1099" t="b">
        <v>0</v>
      </c>
      <c r="T1099" t="b">
        <v>0</v>
      </c>
      <c r="U1099" t="b">
        <v>0</v>
      </c>
      <c r="V1099" t="b">
        <v>0</v>
      </c>
      <c r="W1099" t="b">
        <v>1</v>
      </c>
      <c r="X1099" t="b">
        <v>1</v>
      </c>
      <c r="Y1099" t="b">
        <v>1</v>
      </c>
      <c r="Z1099" t="b">
        <v>1</v>
      </c>
      <c r="AA1099" t="b">
        <v>1</v>
      </c>
      <c r="AB1099" t="b">
        <v>1</v>
      </c>
      <c r="AC1099" t="b">
        <v>1</v>
      </c>
      <c r="AD1099" t="b">
        <v>1</v>
      </c>
      <c r="AE1099" t="b">
        <v>1</v>
      </c>
      <c r="AF1099" t="b">
        <v>1</v>
      </c>
      <c r="AG1099" t="b">
        <v>1</v>
      </c>
    </row>
    <row r="1100" spans="1:33" x14ac:dyDescent="0.25">
      <c r="A1100" t="s">
        <v>3676</v>
      </c>
      <c r="B1100">
        <v>11</v>
      </c>
      <c r="C1100" t="b">
        <v>0</v>
      </c>
      <c r="D1100" t="s">
        <v>4007</v>
      </c>
      <c r="E1100" t="s">
        <v>4039</v>
      </c>
      <c r="F1100" t="s">
        <v>4105</v>
      </c>
      <c r="G1100" t="s">
        <v>4106</v>
      </c>
      <c r="H1100">
        <v>1099</v>
      </c>
      <c r="I1100" t="str">
        <f>IF(ISBLANK(Table1[[#This Row],[oid]]),"FALSE","TRUE")</f>
        <v>TRUE</v>
      </c>
      <c r="J1100" t="str" cm="1">
        <f t="array" ref="J1100">_xlfn.SWITCH(LEFT(Table1[[#This Row],[section]],1), "D", "Demographic", "S", "Social", "E", "Economic", "H", "Housing", "")</f>
        <v>Economic</v>
      </c>
      <c r="K1100" t="s">
        <v>4041</v>
      </c>
      <c r="L1100" t="s">
        <v>4042</v>
      </c>
      <c r="M1100" t="str">
        <f>IF(Table1[[#This Row],[used]], _xlfn.CONCAT("🆔 ", Table1[[#This Row],[variable]], ": ",Table1[[#This Row],[alias]]), "")</f>
        <v>🆔 B23027_017E: 45 to 54 years</v>
      </c>
      <c r="O1100" t="s">
        <v>4107</v>
      </c>
      <c r="P1100" t="s">
        <v>4043</v>
      </c>
      <c r="Q1100" t="s">
        <v>41</v>
      </c>
      <c r="R1100" t="s">
        <v>4108</v>
      </c>
      <c r="S1100" t="b">
        <v>0</v>
      </c>
      <c r="T1100" t="b">
        <v>0</v>
      </c>
      <c r="U1100" t="b">
        <v>0</v>
      </c>
      <c r="V1100" t="b">
        <v>0</v>
      </c>
      <c r="W1100" t="b">
        <v>1</v>
      </c>
      <c r="X1100" t="b">
        <v>1</v>
      </c>
      <c r="Y1100" t="b">
        <v>1</v>
      </c>
      <c r="Z1100" t="b">
        <v>1</v>
      </c>
      <c r="AA1100" t="b">
        <v>1</v>
      </c>
      <c r="AB1100" t="b">
        <v>1</v>
      </c>
      <c r="AC1100" t="b">
        <v>1</v>
      </c>
      <c r="AD1100" t="b">
        <v>1</v>
      </c>
      <c r="AE1100" t="b">
        <v>1</v>
      </c>
      <c r="AF1100" t="b">
        <v>1</v>
      </c>
      <c r="AG1100" t="b">
        <v>1</v>
      </c>
    </row>
    <row r="1101" spans="1:33" x14ac:dyDescent="0.25">
      <c r="A1101" t="s">
        <v>3676</v>
      </c>
      <c r="B1101">
        <v>11</v>
      </c>
      <c r="C1101" t="b">
        <v>0</v>
      </c>
      <c r="D1101" t="s">
        <v>4007</v>
      </c>
      <c r="E1101" t="s">
        <v>4039</v>
      </c>
      <c r="F1101" t="s">
        <v>4109</v>
      </c>
      <c r="G1101" t="s">
        <v>4110</v>
      </c>
      <c r="H1101">
        <v>1100</v>
      </c>
      <c r="I1101" t="str">
        <f>IF(ISBLANK(Table1[[#This Row],[oid]]),"FALSE","TRUE")</f>
        <v>TRUE</v>
      </c>
      <c r="J1101" t="str" cm="1">
        <f t="array" ref="J1101">_xlfn.SWITCH(LEFT(Table1[[#This Row],[section]],1), "D", "Demographic", "S", "Social", "E", "Economic", "H", "Housing", "")</f>
        <v>Economic</v>
      </c>
      <c r="K1101" t="s">
        <v>4041</v>
      </c>
      <c r="L1101" t="s">
        <v>4042</v>
      </c>
      <c r="M1101" t="str">
        <f>IF(Table1[[#This Row],[used]], _xlfn.CONCAT("🆔 ", Table1[[#This Row],[variable]], ": ",Table1[[#This Row],[alias]]), "")</f>
        <v>🆔 B23027_018E: 45 to 54 years: Worked in the past 12 months</v>
      </c>
      <c r="O1101" t="s">
        <v>4111</v>
      </c>
      <c r="P1101" t="s">
        <v>4043</v>
      </c>
      <c r="Q1101" t="s">
        <v>41</v>
      </c>
      <c r="R1101" t="s">
        <v>4112</v>
      </c>
      <c r="S1101" t="b">
        <v>0</v>
      </c>
      <c r="T1101" t="b">
        <v>0</v>
      </c>
      <c r="U1101" t="b">
        <v>0</v>
      </c>
      <c r="V1101" t="b">
        <v>0</v>
      </c>
      <c r="W1101" t="b">
        <v>1</v>
      </c>
      <c r="X1101" t="b">
        <v>1</v>
      </c>
      <c r="Y1101" t="b">
        <v>1</v>
      </c>
      <c r="Z1101" t="b">
        <v>1</v>
      </c>
      <c r="AA1101" t="b">
        <v>1</v>
      </c>
      <c r="AB1101" t="b">
        <v>1</v>
      </c>
      <c r="AC1101" t="b">
        <v>1</v>
      </c>
      <c r="AD1101" t="b">
        <v>1</v>
      </c>
      <c r="AE1101" t="b">
        <v>1</v>
      </c>
      <c r="AF1101" t="b">
        <v>1</v>
      </c>
      <c r="AG1101" t="b">
        <v>1</v>
      </c>
    </row>
    <row r="1102" spans="1:33" x14ac:dyDescent="0.25">
      <c r="A1102" t="s">
        <v>3676</v>
      </c>
      <c r="B1102">
        <v>11</v>
      </c>
      <c r="C1102" t="b">
        <v>0</v>
      </c>
      <c r="D1102" t="s">
        <v>4007</v>
      </c>
      <c r="E1102" t="s">
        <v>4039</v>
      </c>
      <c r="F1102" t="s">
        <v>4113</v>
      </c>
      <c r="G1102" t="s">
        <v>4114</v>
      </c>
      <c r="H1102">
        <v>1101</v>
      </c>
      <c r="I1102" t="str">
        <f>IF(ISBLANK(Table1[[#This Row],[oid]]),"FALSE","TRUE")</f>
        <v>TRUE</v>
      </c>
      <c r="J1102" t="str" cm="1">
        <f t="array" ref="J1102">_xlfn.SWITCH(LEFT(Table1[[#This Row],[section]],1), "D", "Demographic", "S", "Social", "E", "Economic", "H", "Housing", "")</f>
        <v>Economic</v>
      </c>
      <c r="K1102" t="s">
        <v>4041</v>
      </c>
      <c r="L1102" t="s">
        <v>4042</v>
      </c>
      <c r="M1102" t="str">
        <f>IF(Table1[[#This Row],[used]], _xlfn.CONCAT("🆔 ", Table1[[#This Row],[variable]], ": ",Table1[[#This Row],[alias]]), "")</f>
        <v>🆔 B23027_019E: 45 to 54 years: Worked in the past 12 months: Worked full-time year-round</v>
      </c>
      <c r="O1102" t="s">
        <v>4115</v>
      </c>
      <c r="P1102" t="s">
        <v>4043</v>
      </c>
      <c r="Q1102" t="s">
        <v>41</v>
      </c>
      <c r="R1102" t="s">
        <v>4116</v>
      </c>
      <c r="S1102" t="b">
        <v>0</v>
      </c>
      <c r="T1102" t="b">
        <v>0</v>
      </c>
      <c r="U1102" t="b">
        <v>0</v>
      </c>
      <c r="V1102" t="b">
        <v>0</v>
      </c>
      <c r="W1102" t="b">
        <v>1</v>
      </c>
      <c r="X1102" t="b">
        <v>1</v>
      </c>
      <c r="Y1102" t="b">
        <v>1</v>
      </c>
      <c r="Z1102" t="b">
        <v>1</v>
      </c>
      <c r="AA1102" t="b">
        <v>1</v>
      </c>
      <c r="AB1102" t="b">
        <v>1</v>
      </c>
      <c r="AC1102" t="b">
        <v>1</v>
      </c>
      <c r="AD1102" t="b">
        <v>1</v>
      </c>
      <c r="AE1102" t="b">
        <v>1</v>
      </c>
      <c r="AF1102" t="b">
        <v>1</v>
      </c>
      <c r="AG1102" t="b">
        <v>1</v>
      </c>
    </row>
    <row r="1103" spans="1:33" x14ac:dyDescent="0.25">
      <c r="A1103" t="s">
        <v>3676</v>
      </c>
      <c r="B1103">
        <v>11</v>
      </c>
      <c r="C1103" t="b">
        <v>0</v>
      </c>
      <c r="D1103" t="s">
        <v>4007</v>
      </c>
      <c r="E1103" t="s">
        <v>4039</v>
      </c>
      <c r="F1103" t="s">
        <v>4117</v>
      </c>
      <c r="G1103" t="s">
        <v>4118</v>
      </c>
      <c r="H1103">
        <v>1102</v>
      </c>
      <c r="I1103" t="str">
        <f>IF(ISBLANK(Table1[[#This Row],[oid]]),"FALSE","TRUE")</f>
        <v>TRUE</v>
      </c>
      <c r="J1103" t="str" cm="1">
        <f t="array" ref="J1103">_xlfn.SWITCH(LEFT(Table1[[#This Row],[section]],1), "D", "Demographic", "S", "Social", "E", "Economic", "H", "Housing", "")</f>
        <v>Economic</v>
      </c>
      <c r="K1103" t="s">
        <v>4041</v>
      </c>
      <c r="L1103" t="s">
        <v>4042</v>
      </c>
      <c r="M1103" t="str">
        <f>IF(Table1[[#This Row],[used]], _xlfn.CONCAT("🆔 ", Table1[[#This Row],[variable]], ": ",Table1[[#This Row],[alias]]), "")</f>
        <v>🆔 B23027_020E: 45 to 54 years: Worked in the past 12 months: Worked less than full-time year-round</v>
      </c>
      <c r="O1103" t="s">
        <v>4119</v>
      </c>
      <c r="P1103" t="s">
        <v>4043</v>
      </c>
      <c r="Q1103" t="s">
        <v>41</v>
      </c>
      <c r="R1103" t="s">
        <v>4120</v>
      </c>
      <c r="S1103" t="b">
        <v>0</v>
      </c>
      <c r="T1103" t="b">
        <v>0</v>
      </c>
      <c r="U1103" t="b">
        <v>0</v>
      </c>
      <c r="V1103" t="b">
        <v>0</v>
      </c>
      <c r="W1103" t="b">
        <v>1</v>
      </c>
      <c r="X1103" t="b">
        <v>1</v>
      </c>
      <c r="Y1103" t="b">
        <v>1</v>
      </c>
      <c r="Z1103" t="b">
        <v>1</v>
      </c>
      <c r="AA1103" t="b">
        <v>1</v>
      </c>
      <c r="AB1103" t="b">
        <v>1</v>
      </c>
      <c r="AC1103" t="b">
        <v>1</v>
      </c>
      <c r="AD1103" t="b">
        <v>1</v>
      </c>
      <c r="AE1103" t="b">
        <v>1</v>
      </c>
      <c r="AF1103" t="b">
        <v>1</v>
      </c>
      <c r="AG1103" t="b">
        <v>1</v>
      </c>
    </row>
    <row r="1104" spans="1:33" x14ac:dyDescent="0.25">
      <c r="A1104" t="s">
        <v>3676</v>
      </c>
      <c r="B1104">
        <v>11</v>
      </c>
      <c r="C1104" t="b">
        <v>0</v>
      </c>
      <c r="D1104" t="s">
        <v>4007</v>
      </c>
      <c r="E1104" t="s">
        <v>4039</v>
      </c>
      <c r="F1104" t="s">
        <v>4121</v>
      </c>
      <c r="G1104" t="s">
        <v>4122</v>
      </c>
      <c r="H1104">
        <v>1103</v>
      </c>
      <c r="I1104" t="str">
        <f>IF(ISBLANK(Table1[[#This Row],[oid]]),"FALSE","TRUE")</f>
        <v>TRUE</v>
      </c>
      <c r="J1104" t="str" cm="1">
        <f t="array" ref="J1104">_xlfn.SWITCH(LEFT(Table1[[#This Row],[section]],1), "D", "Demographic", "S", "Social", "E", "Economic", "H", "Housing", "")</f>
        <v>Economic</v>
      </c>
      <c r="K1104" t="s">
        <v>4041</v>
      </c>
      <c r="L1104" t="s">
        <v>4042</v>
      </c>
      <c r="M1104" t="str">
        <f>IF(Table1[[#This Row],[used]], _xlfn.CONCAT("🆔 ", Table1[[#This Row],[variable]], ": ",Table1[[#This Row],[alias]]), "")</f>
        <v>🆔 B23027_021E: 45 to 54 years: Did not work in the past 12 months</v>
      </c>
      <c r="O1104" t="s">
        <v>4123</v>
      </c>
      <c r="P1104" t="s">
        <v>4043</v>
      </c>
      <c r="Q1104" t="s">
        <v>41</v>
      </c>
      <c r="R1104" t="s">
        <v>4124</v>
      </c>
      <c r="S1104" t="b">
        <v>0</v>
      </c>
      <c r="T1104" t="b">
        <v>0</v>
      </c>
      <c r="U1104" t="b">
        <v>0</v>
      </c>
      <c r="V1104" t="b">
        <v>0</v>
      </c>
      <c r="W1104" t="b">
        <v>1</v>
      </c>
      <c r="X1104" t="b">
        <v>1</v>
      </c>
      <c r="Y1104" t="b">
        <v>1</v>
      </c>
      <c r="Z1104" t="b">
        <v>1</v>
      </c>
      <c r="AA1104" t="b">
        <v>1</v>
      </c>
      <c r="AB1104" t="b">
        <v>1</v>
      </c>
      <c r="AC1104" t="b">
        <v>1</v>
      </c>
      <c r="AD1104" t="b">
        <v>1</v>
      </c>
      <c r="AE1104" t="b">
        <v>1</v>
      </c>
      <c r="AF1104" t="b">
        <v>1</v>
      </c>
      <c r="AG1104" t="b">
        <v>1</v>
      </c>
    </row>
    <row r="1105" spans="1:33" x14ac:dyDescent="0.25">
      <c r="A1105" t="s">
        <v>3676</v>
      </c>
      <c r="B1105">
        <v>11</v>
      </c>
      <c r="C1105" t="b">
        <v>0</v>
      </c>
      <c r="D1105" t="s">
        <v>4007</v>
      </c>
      <c r="E1105" t="s">
        <v>4039</v>
      </c>
      <c r="F1105" t="s">
        <v>4125</v>
      </c>
      <c r="G1105" t="s">
        <v>4126</v>
      </c>
      <c r="H1105">
        <v>1104</v>
      </c>
      <c r="I1105" t="str">
        <f>IF(ISBLANK(Table1[[#This Row],[oid]]),"FALSE","TRUE")</f>
        <v>TRUE</v>
      </c>
      <c r="J1105" t="str" cm="1">
        <f t="array" ref="J1105">_xlfn.SWITCH(LEFT(Table1[[#This Row],[section]],1), "D", "Demographic", "S", "Social", "E", "Economic", "H", "Housing", "")</f>
        <v>Economic</v>
      </c>
      <c r="K1105" t="s">
        <v>4041</v>
      </c>
      <c r="L1105" t="s">
        <v>4042</v>
      </c>
      <c r="M1105" t="str">
        <f>IF(Table1[[#This Row],[used]], _xlfn.CONCAT("🆔 ", Table1[[#This Row],[variable]], ": ",Table1[[#This Row],[alias]]), "")</f>
        <v>🆔 B23027_022E: 55 to 64 years</v>
      </c>
      <c r="O1105" t="s">
        <v>4127</v>
      </c>
      <c r="P1105" t="s">
        <v>4043</v>
      </c>
      <c r="Q1105" t="s">
        <v>41</v>
      </c>
      <c r="R1105" t="s">
        <v>4128</v>
      </c>
      <c r="S1105" t="b">
        <v>0</v>
      </c>
      <c r="T1105" t="b">
        <v>0</v>
      </c>
      <c r="U1105" t="b">
        <v>0</v>
      </c>
      <c r="V1105" t="b">
        <v>0</v>
      </c>
      <c r="W1105" t="b">
        <v>1</v>
      </c>
      <c r="X1105" t="b">
        <v>1</v>
      </c>
      <c r="Y1105" t="b">
        <v>1</v>
      </c>
      <c r="Z1105" t="b">
        <v>1</v>
      </c>
      <c r="AA1105" t="b">
        <v>1</v>
      </c>
      <c r="AB1105" t="b">
        <v>1</v>
      </c>
      <c r="AC1105" t="b">
        <v>1</v>
      </c>
      <c r="AD1105" t="b">
        <v>1</v>
      </c>
      <c r="AE1105" t="b">
        <v>1</v>
      </c>
      <c r="AF1105" t="b">
        <v>1</v>
      </c>
      <c r="AG1105" t="b">
        <v>1</v>
      </c>
    </row>
    <row r="1106" spans="1:33" x14ac:dyDescent="0.25">
      <c r="A1106" t="s">
        <v>3676</v>
      </c>
      <c r="B1106">
        <v>11</v>
      </c>
      <c r="C1106" t="b">
        <v>0</v>
      </c>
      <c r="D1106" t="s">
        <v>4007</v>
      </c>
      <c r="E1106" t="s">
        <v>4039</v>
      </c>
      <c r="F1106" t="s">
        <v>4129</v>
      </c>
      <c r="G1106" t="s">
        <v>4130</v>
      </c>
      <c r="H1106">
        <v>1105</v>
      </c>
      <c r="I1106" t="str">
        <f>IF(ISBLANK(Table1[[#This Row],[oid]]),"FALSE","TRUE")</f>
        <v>TRUE</v>
      </c>
      <c r="J1106" t="str" cm="1">
        <f t="array" ref="J1106">_xlfn.SWITCH(LEFT(Table1[[#This Row],[section]],1), "D", "Demographic", "S", "Social", "E", "Economic", "H", "Housing", "")</f>
        <v>Economic</v>
      </c>
      <c r="K1106" t="s">
        <v>4041</v>
      </c>
      <c r="L1106" t="s">
        <v>4042</v>
      </c>
      <c r="M1106" t="str">
        <f>IF(Table1[[#This Row],[used]], _xlfn.CONCAT("🆔 ", Table1[[#This Row],[variable]], ": ",Table1[[#This Row],[alias]]), "")</f>
        <v>🆔 B23027_023E: 55 to 64 years: Worked in the past 12 months</v>
      </c>
      <c r="O1106" t="s">
        <v>4131</v>
      </c>
      <c r="P1106" t="s">
        <v>4043</v>
      </c>
      <c r="Q1106" t="s">
        <v>41</v>
      </c>
      <c r="R1106" t="s">
        <v>4132</v>
      </c>
      <c r="S1106" t="b">
        <v>0</v>
      </c>
      <c r="T1106" t="b">
        <v>0</v>
      </c>
      <c r="U1106" t="b">
        <v>0</v>
      </c>
      <c r="V1106" t="b">
        <v>0</v>
      </c>
      <c r="W1106" t="b">
        <v>1</v>
      </c>
      <c r="X1106" t="b">
        <v>1</v>
      </c>
      <c r="Y1106" t="b">
        <v>1</v>
      </c>
      <c r="Z1106" t="b">
        <v>1</v>
      </c>
      <c r="AA1106" t="b">
        <v>1</v>
      </c>
      <c r="AB1106" t="b">
        <v>1</v>
      </c>
      <c r="AC1106" t="b">
        <v>1</v>
      </c>
      <c r="AD1106" t="b">
        <v>1</v>
      </c>
      <c r="AE1106" t="b">
        <v>1</v>
      </c>
      <c r="AF1106" t="b">
        <v>1</v>
      </c>
      <c r="AG1106" t="b">
        <v>1</v>
      </c>
    </row>
    <row r="1107" spans="1:33" x14ac:dyDescent="0.25">
      <c r="A1107" t="s">
        <v>3676</v>
      </c>
      <c r="B1107">
        <v>11</v>
      </c>
      <c r="C1107" t="b">
        <v>0</v>
      </c>
      <c r="D1107" t="s">
        <v>4007</v>
      </c>
      <c r="E1107" t="s">
        <v>4039</v>
      </c>
      <c r="F1107" t="s">
        <v>4133</v>
      </c>
      <c r="G1107" t="s">
        <v>4134</v>
      </c>
      <c r="H1107">
        <v>1106</v>
      </c>
      <c r="I1107" t="str">
        <f>IF(ISBLANK(Table1[[#This Row],[oid]]),"FALSE","TRUE")</f>
        <v>TRUE</v>
      </c>
      <c r="J1107" t="str" cm="1">
        <f t="array" ref="J1107">_xlfn.SWITCH(LEFT(Table1[[#This Row],[section]],1), "D", "Demographic", "S", "Social", "E", "Economic", "H", "Housing", "")</f>
        <v>Economic</v>
      </c>
      <c r="K1107" t="s">
        <v>4041</v>
      </c>
      <c r="L1107" t="s">
        <v>4042</v>
      </c>
      <c r="M1107" t="str">
        <f>IF(Table1[[#This Row],[used]], _xlfn.CONCAT("🆔 ", Table1[[#This Row],[variable]], ": ",Table1[[#This Row],[alias]]), "")</f>
        <v>🆔 B23027_024E: 55 to 64 years: Worked in the past 12 months: Worked full-time year-round</v>
      </c>
      <c r="O1107" t="s">
        <v>4135</v>
      </c>
      <c r="P1107" t="s">
        <v>4043</v>
      </c>
      <c r="Q1107" t="s">
        <v>41</v>
      </c>
      <c r="R1107" t="s">
        <v>4136</v>
      </c>
      <c r="S1107" t="b">
        <v>0</v>
      </c>
      <c r="T1107" t="b">
        <v>0</v>
      </c>
      <c r="U1107" t="b">
        <v>0</v>
      </c>
      <c r="V1107" t="b">
        <v>0</v>
      </c>
      <c r="W1107" t="b">
        <v>1</v>
      </c>
      <c r="X1107" t="b">
        <v>1</v>
      </c>
      <c r="Y1107" t="b">
        <v>1</v>
      </c>
      <c r="Z1107" t="b">
        <v>1</v>
      </c>
      <c r="AA1107" t="b">
        <v>1</v>
      </c>
      <c r="AB1107" t="b">
        <v>1</v>
      </c>
      <c r="AC1107" t="b">
        <v>1</v>
      </c>
      <c r="AD1107" t="b">
        <v>1</v>
      </c>
      <c r="AE1107" t="b">
        <v>1</v>
      </c>
      <c r="AF1107" t="b">
        <v>1</v>
      </c>
      <c r="AG1107" t="b">
        <v>1</v>
      </c>
    </row>
    <row r="1108" spans="1:33" x14ac:dyDescent="0.25">
      <c r="A1108" t="s">
        <v>3676</v>
      </c>
      <c r="B1108">
        <v>11</v>
      </c>
      <c r="C1108" t="b">
        <v>0</v>
      </c>
      <c r="D1108" t="s">
        <v>4007</v>
      </c>
      <c r="E1108" t="s">
        <v>4039</v>
      </c>
      <c r="F1108" t="s">
        <v>4137</v>
      </c>
      <c r="G1108" t="s">
        <v>4138</v>
      </c>
      <c r="H1108">
        <v>1107</v>
      </c>
      <c r="I1108" t="str">
        <f>IF(ISBLANK(Table1[[#This Row],[oid]]),"FALSE","TRUE")</f>
        <v>TRUE</v>
      </c>
      <c r="J1108" t="str" cm="1">
        <f t="array" ref="J1108">_xlfn.SWITCH(LEFT(Table1[[#This Row],[section]],1), "D", "Demographic", "S", "Social", "E", "Economic", "H", "Housing", "")</f>
        <v>Economic</v>
      </c>
      <c r="K1108" t="s">
        <v>4041</v>
      </c>
      <c r="L1108" t="s">
        <v>4042</v>
      </c>
      <c r="M1108" t="str">
        <f>IF(Table1[[#This Row],[used]], _xlfn.CONCAT("🆔 ", Table1[[#This Row],[variable]], ": ",Table1[[#This Row],[alias]]), "")</f>
        <v>🆔 B23027_025E: 55 to 64 years: Worked in the past 12 months: Worked less than full-time year-round</v>
      </c>
      <c r="O1108" t="s">
        <v>4139</v>
      </c>
      <c r="P1108" t="s">
        <v>4043</v>
      </c>
      <c r="Q1108" t="s">
        <v>41</v>
      </c>
      <c r="R1108" t="s">
        <v>4140</v>
      </c>
      <c r="S1108" t="b">
        <v>0</v>
      </c>
      <c r="T1108" t="b">
        <v>0</v>
      </c>
      <c r="U1108" t="b">
        <v>0</v>
      </c>
      <c r="V1108" t="b">
        <v>0</v>
      </c>
      <c r="W1108" t="b">
        <v>1</v>
      </c>
      <c r="X1108" t="b">
        <v>1</v>
      </c>
      <c r="Y1108" t="b">
        <v>1</v>
      </c>
      <c r="Z1108" t="b">
        <v>1</v>
      </c>
      <c r="AA1108" t="b">
        <v>1</v>
      </c>
      <c r="AB1108" t="b">
        <v>1</v>
      </c>
      <c r="AC1108" t="b">
        <v>1</v>
      </c>
      <c r="AD1108" t="b">
        <v>1</v>
      </c>
      <c r="AE1108" t="b">
        <v>1</v>
      </c>
      <c r="AF1108" t="b">
        <v>1</v>
      </c>
      <c r="AG1108" t="b">
        <v>1</v>
      </c>
    </row>
    <row r="1109" spans="1:33" x14ac:dyDescent="0.25">
      <c r="A1109" t="s">
        <v>3676</v>
      </c>
      <c r="B1109">
        <v>11</v>
      </c>
      <c r="C1109" t="b">
        <v>0</v>
      </c>
      <c r="D1109" t="s">
        <v>4007</v>
      </c>
      <c r="E1109" t="s">
        <v>4039</v>
      </c>
      <c r="F1109" t="s">
        <v>4141</v>
      </c>
      <c r="G1109" t="s">
        <v>4142</v>
      </c>
      <c r="H1109">
        <v>1108</v>
      </c>
      <c r="I1109" t="str">
        <f>IF(ISBLANK(Table1[[#This Row],[oid]]),"FALSE","TRUE")</f>
        <v>TRUE</v>
      </c>
      <c r="J1109" t="str" cm="1">
        <f t="array" ref="J1109">_xlfn.SWITCH(LEFT(Table1[[#This Row],[section]],1), "D", "Demographic", "S", "Social", "E", "Economic", "H", "Housing", "")</f>
        <v>Economic</v>
      </c>
      <c r="K1109" t="s">
        <v>4041</v>
      </c>
      <c r="L1109" t="s">
        <v>4042</v>
      </c>
      <c r="M1109" t="str">
        <f>IF(Table1[[#This Row],[used]], _xlfn.CONCAT("🆔 ", Table1[[#This Row],[variable]], ": ",Table1[[#This Row],[alias]]), "")</f>
        <v>🆔 B23027_026E: 55 to 64 years: Did not work in the past 12 months</v>
      </c>
      <c r="O1109" t="s">
        <v>4143</v>
      </c>
      <c r="P1109" t="s">
        <v>4043</v>
      </c>
      <c r="Q1109" t="s">
        <v>41</v>
      </c>
      <c r="R1109" t="s">
        <v>4144</v>
      </c>
      <c r="S1109" t="b">
        <v>0</v>
      </c>
      <c r="T1109" t="b">
        <v>0</v>
      </c>
      <c r="U1109" t="b">
        <v>0</v>
      </c>
      <c r="V1109" t="b">
        <v>0</v>
      </c>
      <c r="W1109" t="b">
        <v>1</v>
      </c>
      <c r="X1109" t="b">
        <v>1</v>
      </c>
      <c r="Y1109" t="b">
        <v>1</v>
      </c>
      <c r="Z1109" t="b">
        <v>1</v>
      </c>
      <c r="AA1109" t="b">
        <v>1</v>
      </c>
      <c r="AB1109" t="b">
        <v>1</v>
      </c>
      <c r="AC1109" t="b">
        <v>1</v>
      </c>
      <c r="AD1109" t="b">
        <v>1</v>
      </c>
      <c r="AE1109" t="b">
        <v>1</v>
      </c>
      <c r="AF1109" t="b">
        <v>1</v>
      </c>
      <c r="AG1109" t="b">
        <v>1</v>
      </c>
    </row>
    <row r="1110" spans="1:33" x14ac:dyDescent="0.25">
      <c r="A1110" t="s">
        <v>3676</v>
      </c>
      <c r="B1110">
        <v>11</v>
      </c>
      <c r="C1110" t="b">
        <v>0</v>
      </c>
      <c r="D1110" t="s">
        <v>4007</v>
      </c>
      <c r="E1110" t="s">
        <v>4039</v>
      </c>
      <c r="F1110" t="s">
        <v>4145</v>
      </c>
      <c r="G1110" t="s">
        <v>4146</v>
      </c>
      <c r="H1110">
        <v>1109</v>
      </c>
      <c r="I1110" t="str">
        <f>IF(ISBLANK(Table1[[#This Row],[oid]]),"FALSE","TRUE")</f>
        <v>TRUE</v>
      </c>
      <c r="J1110" t="str" cm="1">
        <f t="array" ref="J1110">_xlfn.SWITCH(LEFT(Table1[[#This Row],[section]],1), "D", "Demographic", "S", "Social", "E", "Economic", "H", "Housing", "")</f>
        <v>Economic</v>
      </c>
      <c r="K1110" t="s">
        <v>4041</v>
      </c>
      <c r="L1110" t="s">
        <v>4042</v>
      </c>
      <c r="M1110" t="str">
        <f>IF(Table1[[#This Row],[used]], _xlfn.CONCAT("🆔 ", Table1[[#This Row],[variable]], ": ",Table1[[#This Row],[alias]]), "")</f>
        <v>🆔 B23027_027E: 65 to 69 years</v>
      </c>
      <c r="O1110" t="s">
        <v>4147</v>
      </c>
      <c r="P1110" t="s">
        <v>4043</v>
      </c>
      <c r="Q1110" t="s">
        <v>41</v>
      </c>
      <c r="R1110" t="s">
        <v>4148</v>
      </c>
      <c r="S1110" t="b">
        <v>0</v>
      </c>
      <c r="T1110" t="b">
        <v>0</v>
      </c>
      <c r="U1110" t="b">
        <v>0</v>
      </c>
      <c r="V1110" t="b">
        <v>0</v>
      </c>
      <c r="W1110" t="b">
        <v>1</v>
      </c>
      <c r="X1110" t="b">
        <v>1</v>
      </c>
      <c r="Y1110" t="b">
        <v>1</v>
      </c>
      <c r="Z1110" t="b">
        <v>1</v>
      </c>
      <c r="AA1110" t="b">
        <v>1</v>
      </c>
      <c r="AB1110" t="b">
        <v>1</v>
      </c>
      <c r="AC1110" t="b">
        <v>1</v>
      </c>
      <c r="AD1110" t="b">
        <v>1</v>
      </c>
      <c r="AE1110" t="b">
        <v>1</v>
      </c>
      <c r="AF1110" t="b">
        <v>1</v>
      </c>
      <c r="AG1110" t="b">
        <v>1</v>
      </c>
    </row>
    <row r="1111" spans="1:33" x14ac:dyDescent="0.25">
      <c r="A1111" t="s">
        <v>3676</v>
      </c>
      <c r="B1111">
        <v>11</v>
      </c>
      <c r="C1111" t="b">
        <v>0</v>
      </c>
      <c r="D1111" t="s">
        <v>4007</v>
      </c>
      <c r="E1111" t="s">
        <v>4039</v>
      </c>
      <c r="F1111" t="s">
        <v>4149</v>
      </c>
      <c r="G1111" t="s">
        <v>4150</v>
      </c>
      <c r="H1111">
        <v>1110</v>
      </c>
      <c r="I1111" t="str">
        <f>IF(ISBLANK(Table1[[#This Row],[oid]]),"FALSE","TRUE")</f>
        <v>TRUE</v>
      </c>
      <c r="J1111" t="str" cm="1">
        <f t="array" ref="J1111">_xlfn.SWITCH(LEFT(Table1[[#This Row],[section]],1), "D", "Demographic", "S", "Social", "E", "Economic", "H", "Housing", "")</f>
        <v>Economic</v>
      </c>
      <c r="K1111" t="s">
        <v>4041</v>
      </c>
      <c r="L1111" t="s">
        <v>4042</v>
      </c>
      <c r="M1111" t="str">
        <f>IF(Table1[[#This Row],[used]], _xlfn.CONCAT("🆔 ", Table1[[#This Row],[variable]], ": ",Table1[[#This Row],[alias]]), "")</f>
        <v>🆔 B23027_028E: 65 to 69 years: Worked in the past 12 months</v>
      </c>
      <c r="O1111" t="s">
        <v>4151</v>
      </c>
      <c r="P1111" t="s">
        <v>4043</v>
      </c>
      <c r="Q1111" t="s">
        <v>41</v>
      </c>
      <c r="R1111" t="s">
        <v>4152</v>
      </c>
      <c r="S1111" t="b">
        <v>0</v>
      </c>
      <c r="T1111" t="b">
        <v>0</v>
      </c>
      <c r="U1111" t="b">
        <v>0</v>
      </c>
      <c r="V1111" t="b">
        <v>0</v>
      </c>
      <c r="W1111" t="b">
        <v>1</v>
      </c>
      <c r="X1111" t="b">
        <v>1</v>
      </c>
      <c r="Y1111" t="b">
        <v>1</v>
      </c>
      <c r="Z1111" t="b">
        <v>1</v>
      </c>
      <c r="AA1111" t="b">
        <v>1</v>
      </c>
      <c r="AB1111" t="b">
        <v>1</v>
      </c>
      <c r="AC1111" t="b">
        <v>1</v>
      </c>
      <c r="AD1111" t="b">
        <v>1</v>
      </c>
      <c r="AE1111" t="b">
        <v>1</v>
      </c>
      <c r="AF1111" t="b">
        <v>1</v>
      </c>
      <c r="AG1111" t="b">
        <v>1</v>
      </c>
    </row>
    <row r="1112" spans="1:33" x14ac:dyDescent="0.25">
      <c r="A1112" t="s">
        <v>3676</v>
      </c>
      <c r="B1112">
        <v>11</v>
      </c>
      <c r="C1112" t="b">
        <v>0</v>
      </c>
      <c r="D1112" t="s">
        <v>4007</v>
      </c>
      <c r="E1112" t="s">
        <v>4039</v>
      </c>
      <c r="F1112" t="s">
        <v>4153</v>
      </c>
      <c r="G1112" t="s">
        <v>4154</v>
      </c>
      <c r="H1112">
        <v>1111</v>
      </c>
      <c r="I1112" t="str">
        <f>IF(ISBLANK(Table1[[#This Row],[oid]]),"FALSE","TRUE")</f>
        <v>TRUE</v>
      </c>
      <c r="J1112" t="str" cm="1">
        <f t="array" ref="J1112">_xlfn.SWITCH(LEFT(Table1[[#This Row],[section]],1), "D", "Demographic", "S", "Social", "E", "Economic", "H", "Housing", "")</f>
        <v>Economic</v>
      </c>
      <c r="K1112" t="s">
        <v>4041</v>
      </c>
      <c r="L1112" t="s">
        <v>4042</v>
      </c>
      <c r="M1112" t="str">
        <f>IF(Table1[[#This Row],[used]], _xlfn.CONCAT("🆔 ", Table1[[#This Row],[variable]], ": ",Table1[[#This Row],[alias]]), "")</f>
        <v>🆔 B23027_029E: 65 to 69 years: Worked in the past 12 months: Worked full-time year-round</v>
      </c>
      <c r="O1112" t="s">
        <v>4155</v>
      </c>
      <c r="P1112" t="s">
        <v>4043</v>
      </c>
      <c r="Q1112" t="s">
        <v>41</v>
      </c>
      <c r="R1112" t="s">
        <v>4156</v>
      </c>
      <c r="S1112" t="b">
        <v>0</v>
      </c>
      <c r="T1112" t="b">
        <v>0</v>
      </c>
      <c r="U1112" t="b">
        <v>0</v>
      </c>
      <c r="V1112" t="b">
        <v>0</v>
      </c>
      <c r="W1112" t="b">
        <v>1</v>
      </c>
      <c r="X1112" t="b">
        <v>1</v>
      </c>
      <c r="Y1112" t="b">
        <v>1</v>
      </c>
      <c r="Z1112" t="b">
        <v>1</v>
      </c>
      <c r="AA1112" t="b">
        <v>1</v>
      </c>
      <c r="AB1112" t="b">
        <v>1</v>
      </c>
      <c r="AC1112" t="b">
        <v>1</v>
      </c>
      <c r="AD1112" t="b">
        <v>1</v>
      </c>
      <c r="AE1112" t="b">
        <v>1</v>
      </c>
      <c r="AF1112" t="b">
        <v>1</v>
      </c>
      <c r="AG1112" t="b">
        <v>1</v>
      </c>
    </row>
    <row r="1113" spans="1:33" x14ac:dyDescent="0.25">
      <c r="A1113" t="s">
        <v>3676</v>
      </c>
      <c r="B1113">
        <v>11</v>
      </c>
      <c r="C1113" t="b">
        <v>0</v>
      </c>
      <c r="D1113" t="s">
        <v>4007</v>
      </c>
      <c r="E1113" t="s">
        <v>4039</v>
      </c>
      <c r="F1113" t="s">
        <v>4157</v>
      </c>
      <c r="G1113" t="s">
        <v>4158</v>
      </c>
      <c r="H1113">
        <v>1112</v>
      </c>
      <c r="I1113" t="str">
        <f>IF(ISBLANK(Table1[[#This Row],[oid]]),"FALSE","TRUE")</f>
        <v>TRUE</v>
      </c>
      <c r="J1113" t="str" cm="1">
        <f t="array" ref="J1113">_xlfn.SWITCH(LEFT(Table1[[#This Row],[section]],1), "D", "Demographic", "S", "Social", "E", "Economic", "H", "Housing", "")</f>
        <v>Economic</v>
      </c>
      <c r="K1113" t="s">
        <v>4041</v>
      </c>
      <c r="L1113" t="s">
        <v>4042</v>
      </c>
      <c r="M1113" t="str">
        <f>IF(Table1[[#This Row],[used]], _xlfn.CONCAT("🆔 ", Table1[[#This Row],[variable]], ": ",Table1[[#This Row],[alias]]), "")</f>
        <v>🆔 B23027_030E: 65 to 69 years: Worked in the past 12 months: Worked less than full-time year-round</v>
      </c>
      <c r="O1113" t="s">
        <v>4159</v>
      </c>
      <c r="P1113" t="s">
        <v>4043</v>
      </c>
      <c r="Q1113" t="s">
        <v>41</v>
      </c>
      <c r="R1113" t="s">
        <v>4160</v>
      </c>
      <c r="S1113" t="b">
        <v>0</v>
      </c>
      <c r="T1113" t="b">
        <v>0</v>
      </c>
      <c r="U1113" t="b">
        <v>0</v>
      </c>
      <c r="V1113" t="b">
        <v>0</v>
      </c>
      <c r="W1113" t="b">
        <v>1</v>
      </c>
      <c r="X1113" t="b">
        <v>1</v>
      </c>
      <c r="Y1113" t="b">
        <v>1</v>
      </c>
      <c r="Z1113" t="b">
        <v>1</v>
      </c>
      <c r="AA1113" t="b">
        <v>1</v>
      </c>
      <c r="AB1113" t="b">
        <v>1</v>
      </c>
      <c r="AC1113" t="b">
        <v>1</v>
      </c>
      <c r="AD1113" t="b">
        <v>1</v>
      </c>
      <c r="AE1113" t="b">
        <v>1</v>
      </c>
      <c r="AF1113" t="b">
        <v>1</v>
      </c>
      <c r="AG1113" t="b">
        <v>1</v>
      </c>
    </row>
    <row r="1114" spans="1:33" x14ac:dyDescent="0.25">
      <c r="A1114" t="s">
        <v>3676</v>
      </c>
      <c r="B1114">
        <v>11</v>
      </c>
      <c r="C1114" t="b">
        <v>0</v>
      </c>
      <c r="D1114" t="s">
        <v>4007</v>
      </c>
      <c r="E1114" t="s">
        <v>4039</v>
      </c>
      <c r="F1114" t="s">
        <v>4161</v>
      </c>
      <c r="G1114" t="s">
        <v>4162</v>
      </c>
      <c r="H1114">
        <v>1113</v>
      </c>
      <c r="I1114" t="str">
        <f>IF(ISBLANK(Table1[[#This Row],[oid]]),"FALSE","TRUE")</f>
        <v>TRUE</v>
      </c>
      <c r="J1114" t="str" cm="1">
        <f t="array" ref="J1114">_xlfn.SWITCH(LEFT(Table1[[#This Row],[section]],1), "D", "Demographic", "S", "Social", "E", "Economic", "H", "Housing", "")</f>
        <v>Economic</v>
      </c>
      <c r="K1114" t="s">
        <v>4041</v>
      </c>
      <c r="L1114" t="s">
        <v>4042</v>
      </c>
      <c r="M1114" t="str">
        <f>IF(Table1[[#This Row],[used]], _xlfn.CONCAT("🆔 ", Table1[[#This Row],[variable]], ": ",Table1[[#This Row],[alias]]), "")</f>
        <v>🆔 B23027_031E: 65 to 69 years: Did not work in the past 12 months</v>
      </c>
      <c r="O1114" t="s">
        <v>4163</v>
      </c>
      <c r="P1114" t="s">
        <v>4043</v>
      </c>
      <c r="Q1114" t="s">
        <v>41</v>
      </c>
      <c r="R1114" t="s">
        <v>4164</v>
      </c>
      <c r="S1114" t="b">
        <v>0</v>
      </c>
      <c r="T1114" t="b">
        <v>0</v>
      </c>
      <c r="U1114" t="b">
        <v>0</v>
      </c>
      <c r="V1114" t="b">
        <v>0</v>
      </c>
      <c r="W1114" t="b">
        <v>1</v>
      </c>
      <c r="X1114" t="b">
        <v>1</v>
      </c>
      <c r="Y1114" t="b">
        <v>1</v>
      </c>
      <c r="Z1114" t="b">
        <v>1</v>
      </c>
      <c r="AA1114" t="b">
        <v>1</v>
      </c>
      <c r="AB1114" t="b">
        <v>1</v>
      </c>
      <c r="AC1114" t="b">
        <v>1</v>
      </c>
      <c r="AD1114" t="b">
        <v>1</v>
      </c>
      <c r="AE1114" t="b">
        <v>1</v>
      </c>
      <c r="AF1114" t="b">
        <v>1</v>
      </c>
      <c r="AG1114" t="b">
        <v>1</v>
      </c>
    </row>
    <row r="1115" spans="1:33" x14ac:dyDescent="0.25">
      <c r="A1115" t="s">
        <v>3676</v>
      </c>
      <c r="B1115">
        <v>11</v>
      </c>
      <c r="C1115" t="b">
        <v>0</v>
      </c>
      <c r="D1115" t="s">
        <v>4007</v>
      </c>
      <c r="E1115" t="s">
        <v>4039</v>
      </c>
      <c r="F1115" t="s">
        <v>4165</v>
      </c>
      <c r="G1115" t="s">
        <v>4166</v>
      </c>
      <c r="H1115">
        <v>1114</v>
      </c>
      <c r="I1115" t="str">
        <f>IF(ISBLANK(Table1[[#This Row],[oid]]),"FALSE","TRUE")</f>
        <v>TRUE</v>
      </c>
      <c r="J1115" t="str" cm="1">
        <f t="array" ref="J1115">_xlfn.SWITCH(LEFT(Table1[[#This Row],[section]],1), "D", "Demographic", "S", "Social", "E", "Economic", "H", "Housing", "")</f>
        <v>Economic</v>
      </c>
      <c r="K1115" t="s">
        <v>4041</v>
      </c>
      <c r="L1115" t="s">
        <v>4042</v>
      </c>
      <c r="M1115" t="str">
        <f>IF(Table1[[#This Row],[used]], _xlfn.CONCAT("🆔 ", Table1[[#This Row],[variable]], ": ",Table1[[#This Row],[alias]]), "")</f>
        <v>🆔 B23027_032E: 70 years and over</v>
      </c>
      <c r="O1115" t="s">
        <v>4167</v>
      </c>
      <c r="P1115" t="s">
        <v>4043</v>
      </c>
      <c r="Q1115" t="s">
        <v>41</v>
      </c>
      <c r="R1115" t="s">
        <v>4168</v>
      </c>
      <c r="S1115" t="b">
        <v>0</v>
      </c>
      <c r="T1115" t="b">
        <v>0</v>
      </c>
      <c r="U1115" t="b">
        <v>0</v>
      </c>
      <c r="V1115" t="b">
        <v>0</v>
      </c>
      <c r="W1115" t="b">
        <v>1</v>
      </c>
      <c r="X1115" t="b">
        <v>1</v>
      </c>
      <c r="Y1115" t="b">
        <v>1</v>
      </c>
      <c r="Z1115" t="b">
        <v>1</v>
      </c>
      <c r="AA1115" t="b">
        <v>1</v>
      </c>
      <c r="AB1115" t="b">
        <v>1</v>
      </c>
      <c r="AC1115" t="b">
        <v>1</v>
      </c>
      <c r="AD1115" t="b">
        <v>1</v>
      </c>
      <c r="AE1115" t="b">
        <v>1</v>
      </c>
      <c r="AF1115" t="b">
        <v>1</v>
      </c>
      <c r="AG1115" t="b">
        <v>1</v>
      </c>
    </row>
    <row r="1116" spans="1:33" x14ac:dyDescent="0.25">
      <c r="A1116" t="s">
        <v>3676</v>
      </c>
      <c r="B1116">
        <v>11</v>
      </c>
      <c r="C1116" t="b">
        <v>0</v>
      </c>
      <c r="D1116" t="s">
        <v>4007</v>
      </c>
      <c r="E1116" t="s">
        <v>4039</v>
      </c>
      <c r="F1116" t="s">
        <v>4169</v>
      </c>
      <c r="G1116" t="s">
        <v>4170</v>
      </c>
      <c r="H1116">
        <v>1115</v>
      </c>
      <c r="I1116" t="str">
        <f>IF(ISBLANK(Table1[[#This Row],[oid]]),"FALSE","TRUE")</f>
        <v>TRUE</v>
      </c>
      <c r="J1116" t="str" cm="1">
        <f t="array" ref="J1116">_xlfn.SWITCH(LEFT(Table1[[#This Row],[section]],1), "D", "Demographic", "S", "Social", "E", "Economic", "H", "Housing", "")</f>
        <v>Economic</v>
      </c>
      <c r="K1116" t="s">
        <v>4041</v>
      </c>
      <c r="L1116" t="s">
        <v>4042</v>
      </c>
      <c r="M1116" t="str">
        <f>IF(Table1[[#This Row],[used]], _xlfn.CONCAT("🆔 ", Table1[[#This Row],[variable]], ": ",Table1[[#This Row],[alias]]), "")</f>
        <v>🆔 B23027_033E: 70 years and over: Worked in the past 12 months</v>
      </c>
      <c r="O1116" t="s">
        <v>4171</v>
      </c>
      <c r="P1116" t="s">
        <v>4043</v>
      </c>
      <c r="Q1116" t="s">
        <v>41</v>
      </c>
      <c r="R1116" t="s">
        <v>4172</v>
      </c>
      <c r="S1116" t="b">
        <v>0</v>
      </c>
      <c r="T1116" t="b">
        <v>0</v>
      </c>
      <c r="U1116" t="b">
        <v>0</v>
      </c>
      <c r="V1116" t="b">
        <v>0</v>
      </c>
      <c r="W1116" t="b">
        <v>1</v>
      </c>
      <c r="X1116" t="b">
        <v>1</v>
      </c>
      <c r="Y1116" t="b">
        <v>1</v>
      </c>
      <c r="Z1116" t="b">
        <v>1</v>
      </c>
      <c r="AA1116" t="b">
        <v>1</v>
      </c>
      <c r="AB1116" t="b">
        <v>1</v>
      </c>
      <c r="AC1116" t="b">
        <v>1</v>
      </c>
      <c r="AD1116" t="b">
        <v>1</v>
      </c>
      <c r="AE1116" t="b">
        <v>1</v>
      </c>
      <c r="AF1116" t="b">
        <v>1</v>
      </c>
      <c r="AG1116" t="b">
        <v>1</v>
      </c>
    </row>
    <row r="1117" spans="1:33" x14ac:dyDescent="0.25">
      <c r="A1117" t="s">
        <v>3676</v>
      </c>
      <c r="B1117">
        <v>11</v>
      </c>
      <c r="C1117" t="b">
        <v>0</v>
      </c>
      <c r="D1117" t="s">
        <v>4007</v>
      </c>
      <c r="E1117" t="s">
        <v>4039</v>
      </c>
      <c r="F1117" t="s">
        <v>4173</v>
      </c>
      <c r="G1117" t="s">
        <v>4174</v>
      </c>
      <c r="H1117">
        <v>1116</v>
      </c>
      <c r="I1117" t="str">
        <f>IF(ISBLANK(Table1[[#This Row],[oid]]),"FALSE","TRUE")</f>
        <v>TRUE</v>
      </c>
      <c r="J1117" t="str" cm="1">
        <f t="array" ref="J1117">_xlfn.SWITCH(LEFT(Table1[[#This Row],[section]],1), "D", "Demographic", "S", "Social", "E", "Economic", "H", "Housing", "")</f>
        <v>Economic</v>
      </c>
      <c r="K1117" t="s">
        <v>4041</v>
      </c>
      <c r="L1117" t="s">
        <v>4042</v>
      </c>
      <c r="M1117" t="str">
        <f>IF(Table1[[#This Row],[used]], _xlfn.CONCAT("🆔 ", Table1[[#This Row],[variable]], ": ",Table1[[#This Row],[alias]]), "")</f>
        <v>🆔 B23027_034E: 70 years and over: Worked in the past 12 months: Worked full-time year-round</v>
      </c>
      <c r="O1117" t="s">
        <v>4175</v>
      </c>
      <c r="P1117" t="s">
        <v>4043</v>
      </c>
      <c r="Q1117" t="s">
        <v>41</v>
      </c>
      <c r="R1117" t="s">
        <v>4176</v>
      </c>
      <c r="S1117" t="b">
        <v>0</v>
      </c>
      <c r="T1117" t="b">
        <v>0</v>
      </c>
      <c r="U1117" t="b">
        <v>0</v>
      </c>
      <c r="V1117" t="b">
        <v>0</v>
      </c>
      <c r="W1117" t="b">
        <v>1</v>
      </c>
      <c r="X1117" t="b">
        <v>1</v>
      </c>
      <c r="Y1117" t="b">
        <v>1</v>
      </c>
      <c r="Z1117" t="b">
        <v>1</v>
      </c>
      <c r="AA1117" t="b">
        <v>1</v>
      </c>
      <c r="AB1117" t="b">
        <v>1</v>
      </c>
      <c r="AC1117" t="b">
        <v>1</v>
      </c>
      <c r="AD1117" t="b">
        <v>1</v>
      </c>
      <c r="AE1117" t="b">
        <v>1</v>
      </c>
      <c r="AF1117" t="b">
        <v>1</v>
      </c>
      <c r="AG1117" t="b">
        <v>1</v>
      </c>
    </row>
    <row r="1118" spans="1:33" x14ac:dyDescent="0.25">
      <c r="A1118" t="s">
        <v>3676</v>
      </c>
      <c r="B1118">
        <v>11</v>
      </c>
      <c r="C1118" t="b">
        <v>0</v>
      </c>
      <c r="D1118" t="s">
        <v>4007</v>
      </c>
      <c r="E1118" t="s">
        <v>4039</v>
      </c>
      <c r="F1118" t="s">
        <v>4177</v>
      </c>
      <c r="G1118" t="s">
        <v>4178</v>
      </c>
      <c r="H1118">
        <v>1117</v>
      </c>
      <c r="I1118" t="str">
        <f>IF(ISBLANK(Table1[[#This Row],[oid]]),"FALSE","TRUE")</f>
        <v>TRUE</v>
      </c>
      <c r="J1118" t="str" cm="1">
        <f t="array" ref="J1118">_xlfn.SWITCH(LEFT(Table1[[#This Row],[section]],1), "D", "Demographic", "S", "Social", "E", "Economic", "H", "Housing", "")</f>
        <v>Economic</v>
      </c>
      <c r="K1118" t="s">
        <v>4041</v>
      </c>
      <c r="L1118" t="s">
        <v>4042</v>
      </c>
      <c r="M1118" t="str">
        <f>IF(Table1[[#This Row],[used]], _xlfn.CONCAT("🆔 ", Table1[[#This Row],[variable]], ": ",Table1[[#This Row],[alias]]), "")</f>
        <v>🆔 B23027_035E: 70 years and over: Worked in the past 12 months: Worked less than full-time year-round</v>
      </c>
      <c r="O1118" t="s">
        <v>4179</v>
      </c>
      <c r="P1118" t="s">
        <v>4043</v>
      </c>
      <c r="Q1118" t="s">
        <v>41</v>
      </c>
      <c r="R1118" t="s">
        <v>4180</v>
      </c>
      <c r="S1118" t="b">
        <v>0</v>
      </c>
      <c r="T1118" t="b">
        <v>0</v>
      </c>
      <c r="U1118" t="b">
        <v>0</v>
      </c>
      <c r="V1118" t="b">
        <v>0</v>
      </c>
      <c r="W1118" t="b">
        <v>1</v>
      </c>
      <c r="X1118" t="b">
        <v>1</v>
      </c>
      <c r="Y1118" t="b">
        <v>1</v>
      </c>
      <c r="Z1118" t="b">
        <v>1</v>
      </c>
      <c r="AA1118" t="b">
        <v>1</v>
      </c>
      <c r="AB1118" t="b">
        <v>1</v>
      </c>
      <c r="AC1118" t="b">
        <v>1</v>
      </c>
      <c r="AD1118" t="b">
        <v>1</v>
      </c>
      <c r="AE1118" t="b">
        <v>1</v>
      </c>
      <c r="AF1118" t="b">
        <v>1</v>
      </c>
      <c r="AG1118" t="b">
        <v>1</v>
      </c>
    </row>
    <row r="1119" spans="1:33" x14ac:dyDescent="0.25">
      <c r="A1119" t="s">
        <v>3676</v>
      </c>
      <c r="B1119">
        <v>11</v>
      </c>
      <c r="C1119" t="b">
        <v>0</v>
      </c>
      <c r="D1119" t="s">
        <v>4007</v>
      </c>
      <c r="E1119" t="s">
        <v>4039</v>
      </c>
      <c r="F1119" t="s">
        <v>4181</v>
      </c>
      <c r="G1119" t="s">
        <v>4182</v>
      </c>
      <c r="H1119">
        <v>1118</v>
      </c>
      <c r="I1119" t="str">
        <f>IF(ISBLANK(Table1[[#This Row],[oid]]),"FALSE","TRUE")</f>
        <v>TRUE</v>
      </c>
      <c r="J1119" t="str" cm="1">
        <f t="array" ref="J1119">_xlfn.SWITCH(LEFT(Table1[[#This Row],[section]],1), "D", "Demographic", "S", "Social", "E", "Economic", "H", "Housing", "")</f>
        <v>Economic</v>
      </c>
      <c r="K1119" t="s">
        <v>4041</v>
      </c>
      <c r="L1119" t="s">
        <v>4042</v>
      </c>
      <c r="M1119" t="str">
        <f>IF(Table1[[#This Row],[used]], _xlfn.CONCAT("🆔 ", Table1[[#This Row],[variable]], ": ",Table1[[#This Row],[alias]]), "")</f>
        <v>🆔 B23027_036E: 70 years and over: Did not work in the past 12 months</v>
      </c>
      <c r="O1119" t="s">
        <v>4183</v>
      </c>
      <c r="P1119" t="s">
        <v>4043</v>
      </c>
      <c r="Q1119" t="s">
        <v>41</v>
      </c>
      <c r="R1119" t="s">
        <v>4184</v>
      </c>
      <c r="S1119" t="b">
        <v>0</v>
      </c>
      <c r="T1119" t="b">
        <v>0</v>
      </c>
      <c r="U1119" t="b">
        <v>0</v>
      </c>
      <c r="V1119" t="b">
        <v>0</v>
      </c>
      <c r="W1119" t="b">
        <v>1</v>
      </c>
      <c r="X1119" t="b">
        <v>1</v>
      </c>
      <c r="Y1119" t="b">
        <v>1</v>
      </c>
      <c r="Z1119" t="b">
        <v>1</v>
      </c>
      <c r="AA1119" t="b">
        <v>1</v>
      </c>
      <c r="AB1119" t="b">
        <v>1</v>
      </c>
      <c r="AC1119" t="b">
        <v>1</v>
      </c>
      <c r="AD1119" t="b">
        <v>1</v>
      </c>
      <c r="AE1119" t="b">
        <v>1</v>
      </c>
      <c r="AF1119" t="b">
        <v>1</v>
      </c>
      <c r="AG1119" t="b">
        <v>1</v>
      </c>
    </row>
    <row r="1120" spans="1:33" x14ac:dyDescent="0.25">
      <c r="A1120" t="s">
        <v>33</v>
      </c>
      <c r="B1120">
        <v>15</v>
      </c>
      <c r="C1120" t="b">
        <v>1</v>
      </c>
      <c r="D1120" t="s">
        <v>4185</v>
      </c>
      <c r="E1120" t="s">
        <v>4186</v>
      </c>
      <c r="F1120" t="s">
        <v>4187</v>
      </c>
      <c r="G1120" t="s">
        <v>4188</v>
      </c>
      <c r="H1120">
        <v>1119</v>
      </c>
      <c r="I1120" t="str">
        <f>IF(ISBLANK(Table1[[#This Row],[oid]]),"FALSE","TRUE")</f>
        <v>TRUE</v>
      </c>
      <c r="J1120" t="str" cm="1">
        <f t="array" ref="J1120">_xlfn.SWITCH(LEFT(Table1[[#This Row],[section]],1), "D", "Demographic", "S", "Social", "E", "Economic", "H", "Housing", "")</f>
        <v>Economic</v>
      </c>
      <c r="K1120" t="s">
        <v>4189</v>
      </c>
      <c r="L1120" t="s">
        <v>4190</v>
      </c>
      <c r="M1120" t="str">
        <f>IF(Table1[[#This Row],[used]], _xlfn.CONCAT("🆔 ", Table1[[#This Row],[variable]], ": ",Table1[[#This Row],[alias]]), "")</f>
        <v>🆔 B24011_001E: Median Earnings: Civilian Employed Population, 16+ years</v>
      </c>
      <c r="O1120" t="s">
        <v>39</v>
      </c>
      <c r="P1120" t="s">
        <v>4191</v>
      </c>
      <c r="Q1120" t="s">
        <v>41</v>
      </c>
      <c r="R1120" t="s">
        <v>4192</v>
      </c>
      <c r="S1120" t="b">
        <v>1</v>
      </c>
      <c r="T1120" t="b">
        <v>1</v>
      </c>
      <c r="U1120" t="b">
        <v>1</v>
      </c>
      <c r="V1120" t="b">
        <v>1</v>
      </c>
      <c r="W1120" t="b">
        <v>1</v>
      </c>
      <c r="X1120" t="b">
        <v>1</v>
      </c>
      <c r="Y1120" t="b">
        <v>1</v>
      </c>
      <c r="Z1120" t="b">
        <v>1</v>
      </c>
      <c r="AA1120" t="b">
        <v>1</v>
      </c>
      <c r="AB1120" t="b">
        <v>1</v>
      </c>
      <c r="AC1120" t="b">
        <v>1</v>
      </c>
      <c r="AD1120" t="b">
        <v>1</v>
      </c>
      <c r="AE1120" t="b">
        <v>1</v>
      </c>
      <c r="AF1120" t="b">
        <v>1</v>
      </c>
      <c r="AG1120" t="b">
        <v>1</v>
      </c>
    </row>
    <row r="1121" spans="1:33" x14ac:dyDescent="0.25">
      <c r="A1121" t="s">
        <v>33</v>
      </c>
      <c r="B1121">
        <v>15</v>
      </c>
      <c r="C1121" t="b">
        <v>1</v>
      </c>
      <c r="D1121" t="s">
        <v>4185</v>
      </c>
      <c r="E1121" t="s">
        <v>4186</v>
      </c>
      <c r="F1121" t="s">
        <v>4193</v>
      </c>
      <c r="G1121" t="s">
        <v>4194</v>
      </c>
      <c r="H1121">
        <v>1120</v>
      </c>
      <c r="I1121" t="str">
        <f>IF(ISBLANK(Table1[[#This Row],[oid]]),"FALSE","TRUE")</f>
        <v>TRUE</v>
      </c>
      <c r="J1121" t="str" cm="1">
        <f t="array" ref="J1121">_xlfn.SWITCH(LEFT(Table1[[#This Row],[section]],1), "D", "Demographic", "S", "Social", "E", "Economic", "H", "Housing", "")</f>
        <v>Economic</v>
      </c>
      <c r="K1121" t="s">
        <v>4189</v>
      </c>
      <c r="L1121" t="s">
        <v>4190</v>
      </c>
      <c r="M1121" t="str">
        <f>IF(Table1[[#This Row],[used]], _xlfn.CONCAT("🆔 ", Table1[[#This Row],[variable]], ": ",Table1[[#This Row],[alias]]), "")</f>
        <v>🆔 B24011_002E: Management business science and arts occupations</v>
      </c>
      <c r="O1121" t="s">
        <v>4195</v>
      </c>
      <c r="P1121" t="s">
        <v>4191</v>
      </c>
      <c r="Q1121" t="s">
        <v>41</v>
      </c>
      <c r="R1121" t="s">
        <v>4196</v>
      </c>
      <c r="S1121" t="b">
        <v>1</v>
      </c>
      <c r="T1121" t="b">
        <v>1</v>
      </c>
      <c r="U1121" t="b">
        <v>1</v>
      </c>
      <c r="V1121" t="b">
        <v>1</v>
      </c>
      <c r="W1121" t="b">
        <v>1</v>
      </c>
      <c r="X1121" t="b">
        <v>1</v>
      </c>
      <c r="Y1121" t="b">
        <v>1</v>
      </c>
      <c r="Z1121" t="b">
        <v>1</v>
      </c>
      <c r="AA1121" t="b">
        <v>1</v>
      </c>
      <c r="AB1121" t="b">
        <v>1</v>
      </c>
      <c r="AC1121" t="b">
        <v>1</v>
      </c>
      <c r="AD1121" t="b">
        <v>1</v>
      </c>
      <c r="AE1121" t="b">
        <v>1</v>
      </c>
      <c r="AF1121" t="b">
        <v>1</v>
      </c>
      <c r="AG1121" t="b">
        <v>1</v>
      </c>
    </row>
    <row r="1122" spans="1:33" x14ac:dyDescent="0.25">
      <c r="A1122" t="s">
        <v>33</v>
      </c>
      <c r="B1122">
        <v>15</v>
      </c>
      <c r="C1122" t="b">
        <v>1</v>
      </c>
      <c r="D1122" t="s">
        <v>4185</v>
      </c>
      <c r="E1122" t="s">
        <v>4186</v>
      </c>
      <c r="F1122" t="s">
        <v>4197</v>
      </c>
      <c r="G1122" t="s">
        <v>4198</v>
      </c>
      <c r="H1122">
        <v>1121</v>
      </c>
      <c r="I1122" t="str">
        <f>IF(ISBLANK(Table1[[#This Row],[oid]]),"FALSE","TRUE")</f>
        <v>TRUE</v>
      </c>
      <c r="J1122" t="str" cm="1">
        <f t="array" ref="J1122">_xlfn.SWITCH(LEFT(Table1[[#This Row],[section]],1), "D", "Demographic", "S", "Social", "E", "Economic", "H", "Housing", "")</f>
        <v>Economic</v>
      </c>
      <c r="K1122" t="s">
        <v>4189</v>
      </c>
      <c r="L1122" t="s">
        <v>4190</v>
      </c>
      <c r="M1122" t="str">
        <f>IF(Table1[[#This Row],[used]], _xlfn.CONCAT("🆔 ", Table1[[#This Row],[variable]], ": ",Table1[[#This Row],[alias]]), "")</f>
        <v>🆔 B24011_003E: Management business science and arts occupations: Management business and financial occupations</v>
      </c>
      <c r="O1122" t="s">
        <v>4199</v>
      </c>
      <c r="P1122" t="s">
        <v>4191</v>
      </c>
      <c r="Q1122" t="s">
        <v>41</v>
      </c>
      <c r="R1122" t="s">
        <v>4200</v>
      </c>
      <c r="S1122" t="b">
        <v>1</v>
      </c>
      <c r="T1122" t="b">
        <v>1</v>
      </c>
      <c r="U1122" t="b">
        <v>1</v>
      </c>
      <c r="V1122" t="b">
        <v>1</v>
      </c>
      <c r="W1122" t="b">
        <v>1</v>
      </c>
      <c r="X1122" t="b">
        <v>1</v>
      </c>
      <c r="Y1122" t="b">
        <v>1</v>
      </c>
      <c r="Z1122" t="b">
        <v>1</v>
      </c>
      <c r="AA1122" t="b">
        <v>1</v>
      </c>
      <c r="AB1122" t="b">
        <v>1</v>
      </c>
      <c r="AC1122" t="b">
        <v>1</v>
      </c>
      <c r="AD1122" t="b">
        <v>1</v>
      </c>
      <c r="AE1122" t="b">
        <v>1</v>
      </c>
      <c r="AF1122" t="b">
        <v>1</v>
      </c>
      <c r="AG1122" t="b">
        <v>1</v>
      </c>
    </row>
    <row r="1123" spans="1:33" x14ac:dyDescent="0.25">
      <c r="A1123" t="s">
        <v>33</v>
      </c>
      <c r="B1123">
        <v>15</v>
      </c>
      <c r="C1123" t="b">
        <v>1</v>
      </c>
      <c r="D1123" t="s">
        <v>4185</v>
      </c>
      <c r="E1123" t="s">
        <v>4186</v>
      </c>
      <c r="F1123" t="s">
        <v>4201</v>
      </c>
      <c r="G1123" t="s">
        <v>4202</v>
      </c>
      <c r="H1123">
        <v>1122</v>
      </c>
      <c r="I1123" t="str">
        <f>IF(ISBLANK(Table1[[#This Row],[oid]]),"FALSE","TRUE")</f>
        <v>TRUE</v>
      </c>
      <c r="J1123" t="str" cm="1">
        <f t="array" ref="J1123">_xlfn.SWITCH(LEFT(Table1[[#This Row],[section]],1), "D", "Demographic", "S", "Social", "E", "Economic", "H", "Housing", "")</f>
        <v>Economic</v>
      </c>
      <c r="K1123" t="s">
        <v>4189</v>
      </c>
      <c r="L1123" t="s">
        <v>4190</v>
      </c>
      <c r="M1123" t="str">
        <f>IF(Table1[[#This Row],[used]], _xlfn.CONCAT("🆔 ", Table1[[#This Row],[variable]], ": ",Table1[[#This Row],[alias]]), "")</f>
        <v>🆔 B24011_006E: Management business science and arts occupations: Computer engineering and science occupations</v>
      </c>
      <c r="O1123" t="s">
        <v>4203</v>
      </c>
      <c r="P1123" t="s">
        <v>4191</v>
      </c>
      <c r="Q1123" t="s">
        <v>41</v>
      </c>
      <c r="R1123" t="s">
        <v>4204</v>
      </c>
      <c r="S1123" t="b">
        <v>1</v>
      </c>
      <c r="T1123" t="b">
        <v>1</v>
      </c>
      <c r="U1123" t="b">
        <v>1</v>
      </c>
      <c r="V1123" t="b">
        <v>1</v>
      </c>
      <c r="W1123" t="b">
        <v>1</v>
      </c>
      <c r="X1123" t="b">
        <v>1</v>
      </c>
      <c r="Y1123" t="b">
        <v>1</v>
      </c>
      <c r="Z1123" t="b">
        <v>1</v>
      </c>
      <c r="AA1123" t="b">
        <v>1</v>
      </c>
      <c r="AB1123" t="b">
        <v>1</v>
      </c>
      <c r="AC1123" t="b">
        <v>1</v>
      </c>
      <c r="AD1123" t="b">
        <v>1</v>
      </c>
      <c r="AE1123" t="b">
        <v>1</v>
      </c>
      <c r="AF1123" t="b">
        <v>1</v>
      </c>
      <c r="AG1123" t="b">
        <v>1</v>
      </c>
    </row>
    <row r="1124" spans="1:33" x14ac:dyDescent="0.25">
      <c r="A1124" t="s">
        <v>33</v>
      </c>
      <c r="B1124">
        <v>15</v>
      </c>
      <c r="C1124" t="b">
        <v>1</v>
      </c>
      <c r="D1124" t="s">
        <v>4185</v>
      </c>
      <c r="E1124" t="s">
        <v>4186</v>
      </c>
      <c r="F1124" t="s">
        <v>4205</v>
      </c>
      <c r="G1124" t="s">
        <v>4206</v>
      </c>
      <c r="H1124">
        <v>1123</v>
      </c>
      <c r="I1124" t="str">
        <f>IF(ISBLANK(Table1[[#This Row],[oid]]),"FALSE","TRUE")</f>
        <v>TRUE</v>
      </c>
      <c r="J1124" t="str" cm="1">
        <f t="array" ref="J1124">_xlfn.SWITCH(LEFT(Table1[[#This Row],[section]],1), "D", "Demographic", "S", "Social", "E", "Economic", "H", "Housing", "")</f>
        <v>Economic</v>
      </c>
      <c r="K1124" t="s">
        <v>4189</v>
      </c>
      <c r="L1124" t="s">
        <v>4190</v>
      </c>
      <c r="M1124" t="str">
        <f>IF(Table1[[#This Row],[used]], _xlfn.CONCAT("🆔 ", Table1[[#This Row],[variable]], ": ",Table1[[#This Row],[alias]]), "")</f>
        <v>🆔 B24011_010E: Management business science and arts occupations: Education legal community service arts and media occupations</v>
      </c>
      <c r="O1124" t="s">
        <v>4207</v>
      </c>
      <c r="P1124" t="s">
        <v>4191</v>
      </c>
      <c r="Q1124" t="s">
        <v>41</v>
      </c>
      <c r="R1124" t="s">
        <v>4208</v>
      </c>
      <c r="S1124" t="b">
        <v>1</v>
      </c>
      <c r="T1124" t="b">
        <v>1</v>
      </c>
      <c r="U1124" t="b">
        <v>1</v>
      </c>
      <c r="V1124" t="b">
        <v>1</v>
      </c>
      <c r="W1124" t="b">
        <v>1</v>
      </c>
      <c r="X1124" t="b">
        <v>1</v>
      </c>
      <c r="Y1124" t="b">
        <v>1</v>
      </c>
      <c r="Z1124" t="b">
        <v>1</v>
      </c>
      <c r="AA1124" t="b">
        <v>1</v>
      </c>
      <c r="AB1124" t="b">
        <v>1</v>
      </c>
      <c r="AC1124" t="b">
        <v>1</v>
      </c>
      <c r="AD1124" t="b">
        <v>1</v>
      </c>
      <c r="AE1124" t="b">
        <v>1</v>
      </c>
      <c r="AF1124" t="b">
        <v>1</v>
      </c>
      <c r="AG1124" t="b">
        <v>1</v>
      </c>
    </row>
    <row r="1125" spans="1:33" x14ac:dyDescent="0.25">
      <c r="A1125" t="s">
        <v>33</v>
      </c>
      <c r="B1125">
        <v>15</v>
      </c>
      <c r="C1125" t="b">
        <v>1</v>
      </c>
      <c r="D1125" t="s">
        <v>4185</v>
      </c>
      <c r="E1125" t="s">
        <v>4186</v>
      </c>
      <c r="F1125" t="s">
        <v>4209</v>
      </c>
      <c r="G1125" t="s">
        <v>4210</v>
      </c>
      <c r="H1125">
        <v>1124</v>
      </c>
      <c r="I1125" t="str">
        <f>IF(ISBLANK(Table1[[#This Row],[oid]]),"FALSE","TRUE")</f>
        <v>TRUE</v>
      </c>
      <c r="J1125" t="str" cm="1">
        <f t="array" ref="J1125">_xlfn.SWITCH(LEFT(Table1[[#This Row],[section]],1), "D", "Demographic", "S", "Social", "E", "Economic", "H", "Housing", "")</f>
        <v>Economic</v>
      </c>
      <c r="K1125" t="s">
        <v>4189</v>
      </c>
      <c r="L1125" t="s">
        <v>4190</v>
      </c>
      <c r="M1125" t="str">
        <f>IF(Table1[[#This Row],[used]], _xlfn.CONCAT("🆔 ", Table1[[#This Row],[variable]], ": ",Table1[[#This Row],[alias]]), "")</f>
        <v>🆔 B24011_015E: Management business science and arts occupations: Healthcare practitioners and technical occupations</v>
      </c>
      <c r="O1125" t="s">
        <v>4211</v>
      </c>
      <c r="P1125" t="s">
        <v>4191</v>
      </c>
      <c r="Q1125" t="s">
        <v>41</v>
      </c>
      <c r="R1125" t="s">
        <v>4212</v>
      </c>
      <c r="S1125" t="b">
        <v>1</v>
      </c>
      <c r="T1125" t="b">
        <v>1</v>
      </c>
      <c r="U1125" t="b">
        <v>1</v>
      </c>
      <c r="V1125" t="b">
        <v>1</v>
      </c>
      <c r="W1125" t="b">
        <v>1</v>
      </c>
      <c r="X1125" t="b">
        <v>1</v>
      </c>
      <c r="Y1125" t="b">
        <v>1</v>
      </c>
      <c r="Z1125" t="b">
        <v>1</v>
      </c>
      <c r="AA1125" t="b">
        <v>1</v>
      </c>
      <c r="AB1125" t="b">
        <v>1</v>
      </c>
      <c r="AC1125" t="b">
        <v>1</v>
      </c>
      <c r="AD1125" t="b">
        <v>1</v>
      </c>
      <c r="AE1125" t="b">
        <v>1</v>
      </c>
      <c r="AF1125" t="b">
        <v>1</v>
      </c>
      <c r="AG1125" t="b">
        <v>1</v>
      </c>
    </row>
    <row r="1126" spans="1:33" x14ac:dyDescent="0.25">
      <c r="A1126" t="s">
        <v>33</v>
      </c>
      <c r="B1126">
        <v>15</v>
      </c>
      <c r="C1126" t="b">
        <v>1</v>
      </c>
      <c r="D1126" t="s">
        <v>4185</v>
      </c>
      <c r="E1126" t="s">
        <v>4186</v>
      </c>
      <c r="F1126" t="s">
        <v>4213</v>
      </c>
      <c r="G1126" t="s">
        <v>4214</v>
      </c>
      <c r="H1126">
        <v>1125</v>
      </c>
      <c r="I1126" t="str">
        <f>IF(ISBLANK(Table1[[#This Row],[oid]]),"FALSE","TRUE")</f>
        <v>TRUE</v>
      </c>
      <c r="J1126" t="str" cm="1">
        <f t="array" ref="J1126">_xlfn.SWITCH(LEFT(Table1[[#This Row],[section]],1), "D", "Demographic", "S", "Social", "E", "Economic", "H", "Housing", "")</f>
        <v>Economic</v>
      </c>
      <c r="K1126" t="s">
        <v>4189</v>
      </c>
      <c r="L1126" t="s">
        <v>4190</v>
      </c>
      <c r="M1126" t="str">
        <f>IF(Table1[[#This Row],[used]], _xlfn.CONCAT("🆔 ", Table1[[#This Row],[variable]], ": ",Table1[[#This Row],[alias]]), "")</f>
        <v>🆔 B24011_018E: Service occupations</v>
      </c>
      <c r="O1126" t="s">
        <v>4215</v>
      </c>
      <c r="P1126" t="s">
        <v>4191</v>
      </c>
      <c r="Q1126" t="s">
        <v>41</v>
      </c>
      <c r="R1126" t="s">
        <v>4216</v>
      </c>
      <c r="S1126" t="b">
        <v>1</v>
      </c>
      <c r="T1126" t="b">
        <v>1</v>
      </c>
      <c r="U1126" t="b">
        <v>1</v>
      </c>
      <c r="V1126" t="b">
        <v>1</v>
      </c>
      <c r="W1126" t="b">
        <v>1</v>
      </c>
      <c r="X1126" t="b">
        <v>1</v>
      </c>
      <c r="Y1126" t="b">
        <v>1</v>
      </c>
      <c r="Z1126" t="b">
        <v>1</v>
      </c>
      <c r="AA1126" t="b">
        <v>1</v>
      </c>
      <c r="AB1126" t="b">
        <v>1</v>
      </c>
      <c r="AC1126" t="b">
        <v>1</v>
      </c>
      <c r="AD1126" t="b">
        <v>1</v>
      </c>
      <c r="AE1126" t="b">
        <v>1</v>
      </c>
      <c r="AF1126" t="b">
        <v>1</v>
      </c>
      <c r="AG1126" t="b">
        <v>1</v>
      </c>
    </row>
    <row r="1127" spans="1:33" x14ac:dyDescent="0.25">
      <c r="A1127" t="s">
        <v>33</v>
      </c>
      <c r="B1127">
        <v>15</v>
      </c>
      <c r="C1127" t="b">
        <v>1</v>
      </c>
      <c r="D1127" t="s">
        <v>4185</v>
      </c>
      <c r="E1127" t="s">
        <v>4186</v>
      </c>
      <c r="F1127" t="s">
        <v>4217</v>
      </c>
      <c r="G1127" t="s">
        <v>4218</v>
      </c>
      <c r="H1127">
        <v>1126</v>
      </c>
      <c r="I1127" t="str">
        <f>IF(ISBLANK(Table1[[#This Row],[oid]]),"FALSE","TRUE")</f>
        <v>TRUE</v>
      </c>
      <c r="J1127" t="str" cm="1">
        <f t="array" ref="J1127">_xlfn.SWITCH(LEFT(Table1[[#This Row],[section]],1), "D", "Demographic", "S", "Social", "E", "Economic", "H", "Housing", "")</f>
        <v>Economic</v>
      </c>
      <c r="K1127" t="s">
        <v>4189</v>
      </c>
      <c r="L1127" t="s">
        <v>4190</v>
      </c>
      <c r="M1127" t="str">
        <f>IF(Table1[[#This Row],[used]], _xlfn.CONCAT("🆔 ", Table1[[#This Row],[variable]], ": ",Table1[[#This Row],[alias]]), "")</f>
        <v>🆔 B24011_019E: Service occupations: Healthcare support occupations</v>
      </c>
      <c r="O1127" t="s">
        <v>4219</v>
      </c>
      <c r="P1127" t="s">
        <v>4191</v>
      </c>
      <c r="Q1127" t="s">
        <v>41</v>
      </c>
      <c r="R1127" t="s">
        <v>4220</v>
      </c>
      <c r="S1127" t="b">
        <v>1</v>
      </c>
      <c r="T1127" t="b">
        <v>1</v>
      </c>
      <c r="U1127" t="b">
        <v>1</v>
      </c>
      <c r="V1127" t="b">
        <v>1</v>
      </c>
      <c r="W1127" t="b">
        <v>1</v>
      </c>
      <c r="X1127" t="b">
        <v>1</v>
      </c>
      <c r="Y1127" t="b">
        <v>1</v>
      </c>
      <c r="Z1127" t="b">
        <v>1</v>
      </c>
      <c r="AA1127" t="b">
        <v>1</v>
      </c>
      <c r="AB1127" t="b">
        <v>1</v>
      </c>
      <c r="AC1127" t="b">
        <v>1</v>
      </c>
      <c r="AD1127" t="b">
        <v>1</v>
      </c>
      <c r="AE1127" t="b">
        <v>1</v>
      </c>
      <c r="AF1127" t="b">
        <v>1</v>
      </c>
      <c r="AG1127" t="b">
        <v>1</v>
      </c>
    </row>
    <row r="1128" spans="1:33" x14ac:dyDescent="0.25">
      <c r="A1128" t="s">
        <v>33</v>
      </c>
      <c r="B1128">
        <v>15</v>
      </c>
      <c r="C1128" t="b">
        <v>1</v>
      </c>
      <c r="D1128" t="s">
        <v>4185</v>
      </c>
      <c r="E1128" t="s">
        <v>4186</v>
      </c>
      <c r="F1128" t="s">
        <v>4221</v>
      </c>
      <c r="G1128" t="s">
        <v>4222</v>
      </c>
      <c r="H1128">
        <v>1127</v>
      </c>
      <c r="I1128" t="str">
        <f>IF(ISBLANK(Table1[[#This Row],[oid]]),"FALSE","TRUE")</f>
        <v>TRUE</v>
      </c>
      <c r="J1128" t="str" cm="1">
        <f t="array" ref="J1128">_xlfn.SWITCH(LEFT(Table1[[#This Row],[section]],1), "D", "Demographic", "S", "Social", "E", "Economic", "H", "Housing", "")</f>
        <v>Economic</v>
      </c>
      <c r="K1128" t="s">
        <v>4189</v>
      </c>
      <c r="L1128" t="s">
        <v>4190</v>
      </c>
      <c r="M1128" t="str">
        <f>IF(Table1[[#This Row],[used]], _xlfn.CONCAT("🆔 ", Table1[[#This Row],[variable]], ": ",Table1[[#This Row],[alias]]), "")</f>
        <v>🆔 B24011_020E: Service occupations: Protective service occupations</v>
      </c>
      <c r="O1128" t="s">
        <v>4223</v>
      </c>
      <c r="P1128" t="s">
        <v>4191</v>
      </c>
      <c r="Q1128" t="s">
        <v>41</v>
      </c>
      <c r="R1128" t="s">
        <v>4224</v>
      </c>
      <c r="S1128" t="b">
        <v>1</v>
      </c>
      <c r="T1128" t="b">
        <v>1</v>
      </c>
      <c r="U1128" t="b">
        <v>1</v>
      </c>
      <c r="V1128" t="b">
        <v>1</v>
      </c>
      <c r="W1128" t="b">
        <v>1</v>
      </c>
      <c r="X1128" t="b">
        <v>1</v>
      </c>
      <c r="Y1128" t="b">
        <v>1</v>
      </c>
      <c r="Z1128" t="b">
        <v>1</v>
      </c>
      <c r="AA1128" t="b">
        <v>1</v>
      </c>
      <c r="AB1128" t="b">
        <v>1</v>
      </c>
      <c r="AC1128" t="b">
        <v>1</v>
      </c>
      <c r="AD1128" t="b">
        <v>1</v>
      </c>
      <c r="AE1128" t="b">
        <v>1</v>
      </c>
      <c r="AF1128" t="b">
        <v>1</v>
      </c>
      <c r="AG1128" t="b">
        <v>1</v>
      </c>
    </row>
    <row r="1129" spans="1:33" x14ac:dyDescent="0.25">
      <c r="A1129" t="s">
        <v>33</v>
      </c>
      <c r="B1129">
        <v>15</v>
      </c>
      <c r="C1129" t="b">
        <v>1</v>
      </c>
      <c r="D1129" t="s">
        <v>4185</v>
      </c>
      <c r="E1129" t="s">
        <v>4186</v>
      </c>
      <c r="F1129" t="s">
        <v>4225</v>
      </c>
      <c r="G1129" t="s">
        <v>4226</v>
      </c>
      <c r="H1129">
        <v>1128</v>
      </c>
      <c r="I1129" t="str">
        <f>IF(ISBLANK(Table1[[#This Row],[oid]]),"FALSE","TRUE")</f>
        <v>TRUE</v>
      </c>
      <c r="J1129" t="str" cm="1">
        <f t="array" ref="J1129">_xlfn.SWITCH(LEFT(Table1[[#This Row],[section]],1), "D", "Demographic", "S", "Social", "E", "Economic", "H", "Housing", "")</f>
        <v>Economic</v>
      </c>
      <c r="K1129" t="s">
        <v>4189</v>
      </c>
      <c r="L1129" t="s">
        <v>4190</v>
      </c>
      <c r="M1129" t="str">
        <f>IF(Table1[[#This Row],[used]], _xlfn.CONCAT("🆔 ", Table1[[#This Row],[variable]], ": ",Table1[[#This Row],[alias]]), "")</f>
        <v>🆔 B24011_023E: Service occupations: Food preparation and serving related occupations</v>
      </c>
      <c r="O1129" t="s">
        <v>4227</v>
      </c>
      <c r="P1129" t="s">
        <v>4191</v>
      </c>
      <c r="Q1129" t="s">
        <v>41</v>
      </c>
      <c r="R1129" t="s">
        <v>4228</v>
      </c>
      <c r="S1129" t="b">
        <v>1</v>
      </c>
      <c r="T1129" t="b">
        <v>1</v>
      </c>
      <c r="U1129" t="b">
        <v>1</v>
      </c>
      <c r="V1129" t="b">
        <v>1</v>
      </c>
      <c r="W1129" t="b">
        <v>1</v>
      </c>
      <c r="X1129" t="b">
        <v>1</v>
      </c>
      <c r="Y1129" t="b">
        <v>1</v>
      </c>
      <c r="Z1129" t="b">
        <v>1</v>
      </c>
      <c r="AA1129" t="b">
        <v>1</v>
      </c>
      <c r="AB1129" t="b">
        <v>1</v>
      </c>
      <c r="AC1129" t="b">
        <v>1</v>
      </c>
      <c r="AD1129" t="b">
        <v>1</v>
      </c>
      <c r="AE1129" t="b">
        <v>1</v>
      </c>
      <c r="AF1129" t="b">
        <v>1</v>
      </c>
      <c r="AG1129" t="b">
        <v>1</v>
      </c>
    </row>
    <row r="1130" spans="1:33" x14ac:dyDescent="0.25">
      <c r="A1130" t="s">
        <v>33</v>
      </c>
      <c r="B1130">
        <v>15</v>
      </c>
      <c r="C1130" t="b">
        <v>1</v>
      </c>
      <c r="D1130" t="s">
        <v>4185</v>
      </c>
      <c r="E1130" t="s">
        <v>4186</v>
      </c>
      <c r="F1130" t="s">
        <v>4229</v>
      </c>
      <c r="G1130" t="s">
        <v>4230</v>
      </c>
      <c r="H1130">
        <v>1129</v>
      </c>
      <c r="I1130" t="str">
        <f>IF(ISBLANK(Table1[[#This Row],[oid]]),"FALSE","TRUE")</f>
        <v>TRUE</v>
      </c>
      <c r="J1130" t="str" cm="1">
        <f t="array" ref="J1130">_xlfn.SWITCH(LEFT(Table1[[#This Row],[section]],1), "D", "Demographic", "S", "Social", "E", "Economic", "H", "Housing", "")</f>
        <v>Economic</v>
      </c>
      <c r="K1130" t="s">
        <v>4189</v>
      </c>
      <c r="L1130" t="s">
        <v>4190</v>
      </c>
      <c r="M1130" t="str">
        <f>IF(Table1[[#This Row],[used]], _xlfn.CONCAT("🆔 ", Table1[[#This Row],[variable]], ": ",Table1[[#This Row],[alias]]), "")</f>
        <v>🆔 B24011_024E: Service occupations: Building and grounds cleaning and maintenance occupations</v>
      </c>
      <c r="O1130" t="s">
        <v>4231</v>
      </c>
      <c r="P1130" t="s">
        <v>4191</v>
      </c>
      <c r="Q1130" t="s">
        <v>41</v>
      </c>
      <c r="R1130" t="s">
        <v>4232</v>
      </c>
      <c r="S1130" t="b">
        <v>1</v>
      </c>
      <c r="T1130" t="b">
        <v>1</v>
      </c>
      <c r="U1130" t="b">
        <v>1</v>
      </c>
      <c r="V1130" t="b">
        <v>1</v>
      </c>
      <c r="W1130" t="b">
        <v>1</v>
      </c>
      <c r="X1130" t="b">
        <v>1</v>
      </c>
      <c r="Y1130" t="b">
        <v>1</v>
      </c>
      <c r="Z1130" t="b">
        <v>1</v>
      </c>
      <c r="AA1130" t="b">
        <v>1</v>
      </c>
      <c r="AB1130" t="b">
        <v>1</v>
      </c>
      <c r="AC1130" t="b">
        <v>1</v>
      </c>
      <c r="AD1130" t="b">
        <v>1</v>
      </c>
      <c r="AE1130" t="b">
        <v>1</v>
      </c>
      <c r="AF1130" t="b">
        <v>1</v>
      </c>
      <c r="AG1130" t="b">
        <v>1</v>
      </c>
    </row>
    <row r="1131" spans="1:33" x14ac:dyDescent="0.25">
      <c r="A1131" t="s">
        <v>33</v>
      </c>
      <c r="B1131">
        <v>15</v>
      </c>
      <c r="C1131" t="b">
        <v>1</v>
      </c>
      <c r="D1131" t="s">
        <v>4185</v>
      </c>
      <c r="E1131" t="s">
        <v>4186</v>
      </c>
      <c r="F1131" t="s">
        <v>4233</v>
      </c>
      <c r="G1131" t="s">
        <v>4234</v>
      </c>
      <c r="H1131">
        <v>1130</v>
      </c>
      <c r="I1131" t="str">
        <f>IF(ISBLANK(Table1[[#This Row],[oid]]),"FALSE","TRUE")</f>
        <v>TRUE</v>
      </c>
      <c r="J1131" t="str" cm="1">
        <f t="array" ref="J1131">_xlfn.SWITCH(LEFT(Table1[[#This Row],[section]],1), "D", "Demographic", "S", "Social", "E", "Economic", "H", "Housing", "")</f>
        <v>Economic</v>
      </c>
      <c r="K1131" t="s">
        <v>4189</v>
      </c>
      <c r="L1131" t="s">
        <v>4190</v>
      </c>
      <c r="M1131" t="str">
        <f>IF(Table1[[#This Row],[used]], _xlfn.CONCAT("🆔 ", Table1[[#This Row],[variable]], ": ",Table1[[#This Row],[alias]]), "")</f>
        <v>🆔 B24011_025E: Service occupations: Personal care and service occupations</v>
      </c>
      <c r="O1131" t="s">
        <v>4235</v>
      </c>
      <c r="P1131" t="s">
        <v>4191</v>
      </c>
      <c r="Q1131" t="s">
        <v>41</v>
      </c>
      <c r="R1131" t="s">
        <v>4236</v>
      </c>
      <c r="S1131" t="b">
        <v>1</v>
      </c>
      <c r="T1131" t="b">
        <v>1</v>
      </c>
      <c r="U1131" t="b">
        <v>1</v>
      </c>
      <c r="V1131" t="b">
        <v>1</v>
      </c>
      <c r="W1131" t="b">
        <v>1</v>
      </c>
      <c r="X1131" t="b">
        <v>1</v>
      </c>
      <c r="Y1131" t="b">
        <v>1</v>
      </c>
      <c r="Z1131" t="b">
        <v>1</v>
      </c>
      <c r="AA1131" t="b">
        <v>1</v>
      </c>
      <c r="AB1131" t="b">
        <v>1</v>
      </c>
      <c r="AC1131" t="b">
        <v>1</v>
      </c>
      <c r="AD1131" t="b">
        <v>1</v>
      </c>
      <c r="AE1131" t="b">
        <v>1</v>
      </c>
      <c r="AF1131" t="b">
        <v>1</v>
      </c>
      <c r="AG1131" t="b">
        <v>1</v>
      </c>
    </row>
    <row r="1132" spans="1:33" x14ac:dyDescent="0.25">
      <c r="A1132" t="s">
        <v>33</v>
      </c>
      <c r="B1132">
        <v>15</v>
      </c>
      <c r="C1132" t="b">
        <v>1</v>
      </c>
      <c r="D1132" t="s">
        <v>4185</v>
      </c>
      <c r="E1132" t="s">
        <v>4186</v>
      </c>
      <c r="F1132" t="s">
        <v>4237</v>
      </c>
      <c r="G1132" t="s">
        <v>4238</v>
      </c>
      <c r="H1132">
        <v>1131</v>
      </c>
      <c r="I1132" t="str">
        <f>IF(ISBLANK(Table1[[#This Row],[oid]]),"FALSE","TRUE")</f>
        <v>TRUE</v>
      </c>
      <c r="J1132" t="str" cm="1">
        <f t="array" ref="J1132">_xlfn.SWITCH(LEFT(Table1[[#This Row],[section]],1), "D", "Demographic", "S", "Social", "E", "Economic", "H", "Housing", "")</f>
        <v>Economic</v>
      </c>
      <c r="K1132" t="s">
        <v>4189</v>
      </c>
      <c r="L1132" t="s">
        <v>4190</v>
      </c>
      <c r="M1132" t="str">
        <f>IF(Table1[[#This Row],[used]], _xlfn.CONCAT("🆔 ", Table1[[#This Row],[variable]], ": ",Table1[[#This Row],[alias]]), "")</f>
        <v>🆔 B24011_026E: Sales and office occupations</v>
      </c>
      <c r="O1132" t="s">
        <v>4239</v>
      </c>
      <c r="P1132" t="s">
        <v>4191</v>
      </c>
      <c r="Q1132" t="s">
        <v>41</v>
      </c>
      <c r="R1132" t="s">
        <v>4240</v>
      </c>
      <c r="S1132" t="b">
        <v>1</v>
      </c>
      <c r="T1132" t="b">
        <v>1</v>
      </c>
      <c r="U1132" t="b">
        <v>1</v>
      </c>
      <c r="V1132" t="b">
        <v>1</v>
      </c>
      <c r="W1132" t="b">
        <v>1</v>
      </c>
      <c r="X1132" t="b">
        <v>1</v>
      </c>
      <c r="Y1132" t="b">
        <v>1</v>
      </c>
      <c r="Z1132" t="b">
        <v>1</v>
      </c>
      <c r="AA1132" t="b">
        <v>1</v>
      </c>
      <c r="AB1132" t="b">
        <v>1</v>
      </c>
      <c r="AC1132" t="b">
        <v>1</v>
      </c>
      <c r="AD1132" t="b">
        <v>1</v>
      </c>
      <c r="AE1132" t="b">
        <v>1</v>
      </c>
      <c r="AF1132" t="b">
        <v>1</v>
      </c>
      <c r="AG1132" t="b">
        <v>1</v>
      </c>
    </row>
    <row r="1133" spans="1:33" x14ac:dyDescent="0.25">
      <c r="A1133" t="s">
        <v>33</v>
      </c>
      <c r="B1133">
        <v>15</v>
      </c>
      <c r="C1133" t="b">
        <v>1</v>
      </c>
      <c r="D1133" t="s">
        <v>4185</v>
      </c>
      <c r="E1133" t="s">
        <v>4186</v>
      </c>
      <c r="F1133" t="s">
        <v>4241</v>
      </c>
      <c r="G1133" t="s">
        <v>4242</v>
      </c>
      <c r="H1133">
        <v>1132</v>
      </c>
      <c r="I1133" t="str">
        <f>IF(ISBLANK(Table1[[#This Row],[oid]]),"FALSE","TRUE")</f>
        <v>TRUE</v>
      </c>
      <c r="J1133" t="str" cm="1">
        <f t="array" ref="J1133">_xlfn.SWITCH(LEFT(Table1[[#This Row],[section]],1), "D", "Demographic", "S", "Social", "E", "Economic", "H", "Housing", "")</f>
        <v>Economic</v>
      </c>
      <c r="K1133" t="s">
        <v>4189</v>
      </c>
      <c r="L1133" t="s">
        <v>4190</v>
      </c>
      <c r="M1133" t="str">
        <f>IF(Table1[[#This Row],[used]], _xlfn.CONCAT("🆔 ", Table1[[#This Row],[variable]], ": ",Table1[[#This Row],[alias]]), "")</f>
        <v>🆔 B24011_027E: Sales and office occupations: Sales and related occupations</v>
      </c>
      <c r="O1133" t="s">
        <v>4243</v>
      </c>
      <c r="P1133" t="s">
        <v>4191</v>
      </c>
      <c r="Q1133" t="s">
        <v>41</v>
      </c>
      <c r="R1133" t="s">
        <v>4244</v>
      </c>
      <c r="S1133" t="b">
        <v>1</v>
      </c>
      <c r="T1133" t="b">
        <v>1</v>
      </c>
      <c r="U1133" t="b">
        <v>1</v>
      </c>
      <c r="V1133" t="b">
        <v>1</v>
      </c>
      <c r="W1133" t="b">
        <v>1</v>
      </c>
      <c r="X1133" t="b">
        <v>1</v>
      </c>
      <c r="Y1133" t="b">
        <v>1</v>
      </c>
      <c r="Z1133" t="b">
        <v>1</v>
      </c>
      <c r="AA1133" t="b">
        <v>1</v>
      </c>
      <c r="AB1133" t="b">
        <v>1</v>
      </c>
      <c r="AC1133" t="b">
        <v>1</v>
      </c>
      <c r="AD1133" t="b">
        <v>1</v>
      </c>
      <c r="AE1133" t="b">
        <v>1</v>
      </c>
      <c r="AF1133" t="b">
        <v>1</v>
      </c>
      <c r="AG1133" t="b">
        <v>1</v>
      </c>
    </row>
    <row r="1134" spans="1:33" x14ac:dyDescent="0.25">
      <c r="A1134" t="s">
        <v>33</v>
      </c>
      <c r="B1134">
        <v>15</v>
      </c>
      <c r="C1134" t="b">
        <v>1</v>
      </c>
      <c r="D1134" t="s">
        <v>4185</v>
      </c>
      <c r="E1134" t="s">
        <v>4186</v>
      </c>
      <c r="F1134" t="s">
        <v>4245</v>
      </c>
      <c r="G1134" t="s">
        <v>4246</v>
      </c>
      <c r="H1134">
        <v>1133</v>
      </c>
      <c r="I1134" t="str">
        <f>IF(ISBLANK(Table1[[#This Row],[oid]]),"FALSE","TRUE")</f>
        <v>TRUE</v>
      </c>
      <c r="J1134" t="str" cm="1">
        <f t="array" ref="J1134">_xlfn.SWITCH(LEFT(Table1[[#This Row],[section]],1), "D", "Demographic", "S", "Social", "E", "Economic", "H", "Housing", "")</f>
        <v>Economic</v>
      </c>
      <c r="K1134" t="s">
        <v>4189</v>
      </c>
      <c r="L1134" t="s">
        <v>4190</v>
      </c>
      <c r="M1134" t="str">
        <f>IF(Table1[[#This Row],[used]], _xlfn.CONCAT("🆔 ", Table1[[#This Row],[variable]], ": ",Table1[[#This Row],[alias]]), "")</f>
        <v>🆔 B24011_028E: Sales and office occupations: Office and administrative support occupations</v>
      </c>
      <c r="O1134" t="s">
        <v>4247</v>
      </c>
      <c r="P1134" t="s">
        <v>4191</v>
      </c>
      <c r="Q1134" t="s">
        <v>41</v>
      </c>
      <c r="R1134" t="s">
        <v>4248</v>
      </c>
      <c r="S1134" t="b">
        <v>1</v>
      </c>
      <c r="T1134" t="b">
        <v>1</v>
      </c>
      <c r="U1134" t="b">
        <v>1</v>
      </c>
      <c r="V1134" t="b">
        <v>1</v>
      </c>
      <c r="W1134" t="b">
        <v>1</v>
      </c>
      <c r="X1134" t="b">
        <v>1</v>
      </c>
      <c r="Y1134" t="b">
        <v>1</v>
      </c>
      <c r="Z1134" t="b">
        <v>1</v>
      </c>
      <c r="AA1134" t="b">
        <v>1</v>
      </c>
      <c r="AB1134" t="b">
        <v>1</v>
      </c>
      <c r="AC1134" t="b">
        <v>1</v>
      </c>
      <c r="AD1134" t="b">
        <v>1</v>
      </c>
      <c r="AE1134" t="b">
        <v>1</v>
      </c>
      <c r="AF1134" t="b">
        <v>1</v>
      </c>
      <c r="AG1134" t="b">
        <v>1</v>
      </c>
    </row>
    <row r="1135" spans="1:33" x14ac:dyDescent="0.25">
      <c r="A1135" t="s">
        <v>33</v>
      </c>
      <c r="B1135">
        <v>15</v>
      </c>
      <c r="C1135" t="b">
        <v>1</v>
      </c>
      <c r="D1135" t="s">
        <v>4185</v>
      </c>
      <c r="E1135" t="s">
        <v>4186</v>
      </c>
      <c r="F1135" t="s">
        <v>4249</v>
      </c>
      <c r="G1135" t="s">
        <v>4250</v>
      </c>
      <c r="H1135">
        <v>1134</v>
      </c>
      <c r="I1135" t="str">
        <f>IF(ISBLANK(Table1[[#This Row],[oid]]),"FALSE","TRUE")</f>
        <v>TRUE</v>
      </c>
      <c r="J1135" t="str" cm="1">
        <f t="array" ref="J1135">_xlfn.SWITCH(LEFT(Table1[[#This Row],[section]],1), "D", "Demographic", "S", "Social", "E", "Economic", "H", "Housing", "")</f>
        <v>Economic</v>
      </c>
      <c r="K1135" t="s">
        <v>4189</v>
      </c>
      <c r="L1135" t="s">
        <v>4190</v>
      </c>
      <c r="M1135" t="str">
        <f>IF(Table1[[#This Row],[used]], _xlfn.CONCAT("🆔 ", Table1[[#This Row],[variable]], ": ",Table1[[#This Row],[alias]]), "")</f>
        <v>🆔 B24011_029E: Natural resources construction and maintenance occupations</v>
      </c>
      <c r="O1135" t="s">
        <v>4251</v>
      </c>
      <c r="P1135" t="s">
        <v>4191</v>
      </c>
      <c r="Q1135" t="s">
        <v>41</v>
      </c>
      <c r="R1135" t="s">
        <v>4252</v>
      </c>
      <c r="S1135" t="b">
        <v>1</v>
      </c>
      <c r="T1135" t="b">
        <v>1</v>
      </c>
      <c r="U1135" t="b">
        <v>1</v>
      </c>
      <c r="V1135" t="b">
        <v>1</v>
      </c>
      <c r="W1135" t="b">
        <v>1</v>
      </c>
      <c r="X1135" t="b">
        <v>1</v>
      </c>
      <c r="Y1135" t="b">
        <v>1</v>
      </c>
      <c r="Z1135" t="b">
        <v>1</v>
      </c>
      <c r="AA1135" t="b">
        <v>1</v>
      </c>
      <c r="AB1135" t="b">
        <v>1</v>
      </c>
      <c r="AC1135" t="b">
        <v>1</v>
      </c>
      <c r="AD1135" t="b">
        <v>1</v>
      </c>
      <c r="AE1135" t="b">
        <v>1</v>
      </c>
      <c r="AF1135" t="b">
        <v>1</v>
      </c>
      <c r="AG1135" t="b">
        <v>1</v>
      </c>
    </row>
    <row r="1136" spans="1:33" x14ac:dyDescent="0.25">
      <c r="A1136" t="s">
        <v>33</v>
      </c>
      <c r="B1136">
        <v>15</v>
      </c>
      <c r="C1136" t="b">
        <v>1</v>
      </c>
      <c r="D1136" t="s">
        <v>4185</v>
      </c>
      <c r="E1136" t="s">
        <v>4186</v>
      </c>
      <c r="F1136" t="s">
        <v>4253</v>
      </c>
      <c r="G1136" t="s">
        <v>4254</v>
      </c>
      <c r="H1136">
        <v>1135</v>
      </c>
      <c r="I1136" t="str">
        <f>IF(ISBLANK(Table1[[#This Row],[oid]]),"FALSE","TRUE")</f>
        <v>TRUE</v>
      </c>
      <c r="J1136" t="str" cm="1">
        <f t="array" ref="J1136">_xlfn.SWITCH(LEFT(Table1[[#This Row],[section]],1), "D", "Demographic", "S", "Social", "E", "Economic", "H", "Housing", "")</f>
        <v>Economic</v>
      </c>
      <c r="K1136" t="s">
        <v>4189</v>
      </c>
      <c r="L1136" t="s">
        <v>4190</v>
      </c>
      <c r="M1136" t="str">
        <f>IF(Table1[[#This Row],[used]], _xlfn.CONCAT("🆔 ", Table1[[#This Row],[variable]], ": ",Table1[[#This Row],[alias]]), "")</f>
        <v>🆔 B24011_030E: Natural resources construction and maintenance occupations: Farming fishing and forestry occupations</v>
      </c>
      <c r="O1136" t="s">
        <v>4255</v>
      </c>
      <c r="P1136" t="s">
        <v>4191</v>
      </c>
      <c r="Q1136" t="s">
        <v>41</v>
      </c>
      <c r="R1136" t="s">
        <v>4256</v>
      </c>
      <c r="S1136" t="b">
        <v>1</v>
      </c>
      <c r="T1136" t="b">
        <v>1</v>
      </c>
      <c r="U1136" t="b">
        <v>1</v>
      </c>
      <c r="V1136" t="b">
        <v>1</v>
      </c>
      <c r="W1136" t="b">
        <v>1</v>
      </c>
      <c r="X1136" t="b">
        <v>1</v>
      </c>
      <c r="Y1136" t="b">
        <v>1</v>
      </c>
      <c r="Z1136" t="b">
        <v>1</v>
      </c>
      <c r="AA1136" t="b">
        <v>1</v>
      </c>
      <c r="AB1136" t="b">
        <v>1</v>
      </c>
      <c r="AC1136" t="b">
        <v>1</v>
      </c>
      <c r="AD1136" t="b">
        <v>1</v>
      </c>
      <c r="AE1136" t="b">
        <v>1</v>
      </c>
      <c r="AF1136" t="b">
        <v>1</v>
      </c>
      <c r="AG1136" t="b">
        <v>1</v>
      </c>
    </row>
    <row r="1137" spans="1:33" x14ac:dyDescent="0.25">
      <c r="A1137" t="s">
        <v>33</v>
      </c>
      <c r="B1137">
        <v>15</v>
      </c>
      <c r="C1137" t="b">
        <v>1</v>
      </c>
      <c r="D1137" t="s">
        <v>4185</v>
      </c>
      <c r="E1137" t="s">
        <v>4186</v>
      </c>
      <c r="F1137" t="s">
        <v>4257</v>
      </c>
      <c r="G1137" t="s">
        <v>4258</v>
      </c>
      <c r="H1137">
        <v>1136</v>
      </c>
      <c r="I1137" t="str">
        <f>IF(ISBLANK(Table1[[#This Row],[oid]]),"FALSE","TRUE")</f>
        <v>TRUE</v>
      </c>
      <c r="J1137" t="str" cm="1">
        <f t="array" ref="J1137">_xlfn.SWITCH(LEFT(Table1[[#This Row],[section]],1), "D", "Demographic", "S", "Social", "E", "Economic", "H", "Housing", "")</f>
        <v>Economic</v>
      </c>
      <c r="K1137" t="s">
        <v>4189</v>
      </c>
      <c r="L1137" t="s">
        <v>4190</v>
      </c>
      <c r="M1137" t="str">
        <f>IF(Table1[[#This Row],[used]], _xlfn.CONCAT("🆔 ", Table1[[#This Row],[variable]], ": ",Table1[[#This Row],[alias]]), "")</f>
        <v>🆔 B24011_031E: Natural resources construction and maintenance occupations: Construction and extraction occupations</v>
      </c>
      <c r="O1137" t="s">
        <v>4259</v>
      </c>
      <c r="P1137" t="s">
        <v>4191</v>
      </c>
      <c r="Q1137" t="s">
        <v>41</v>
      </c>
      <c r="R1137" t="s">
        <v>4260</v>
      </c>
      <c r="S1137" t="b">
        <v>1</v>
      </c>
      <c r="T1137" t="b">
        <v>1</v>
      </c>
      <c r="U1137" t="b">
        <v>1</v>
      </c>
      <c r="V1137" t="b">
        <v>1</v>
      </c>
      <c r="W1137" t="b">
        <v>1</v>
      </c>
      <c r="X1137" t="b">
        <v>1</v>
      </c>
      <c r="Y1137" t="b">
        <v>1</v>
      </c>
      <c r="Z1137" t="b">
        <v>1</v>
      </c>
      <c r="AA1137" t="b">
        <v>1</v>
      </c>
      <c r="AB1137" t="b">
        <v>1</v>
      </c>
      <c r="AC1137" t="b">
        <v>1</v>
      </c>
      <c r="AD1137" t="b">
        <v>1</v>
      </c>
      <c r="AE1137" t="b">
        <v>1</v>
      </c>
      <c r="AF1137" t="b">
        <v>1</v>
      </c>
      <c r="AG1137" t="b">
        <v>1</v>
      </c>
    </row>
    <row r="1138" spans="1:33" x14ac:dyDescent="0.25">
      <c r="A1138" t="s">
        <v>33</v>
      </c>
      <c r="B1138">
        <v>15</v>
      </c>
      <c r="C1138" t="b">
        <v>1</v>
      </c>
      <c r="D1138" t="s">
        <v>4185</v>
      </c>
      <c r="E1138" t="s">
        <v>4186</v>
      </c>
      <c r="F1138" t="s">
        <v>4261</v>
      </c>
      <c r="G1138" t="s">
        <v>4262</v>
      </c>
      <c r="H1138">
        <v>1137</v>
      </c>
      <c r="I1138" t="str">
        <f>IF(ISBLANK(Table1[[#This Row],[oid]]),"FALSE","TRUE")</f>
        <v>TRUE</v>
      </c>
      <c r="J1138" t="str" cm="1">
        <f t="array" ref="J1138">_xlfn.SWITCH(LEFT(Table1[[#This Row],[section]],1), "D", "Demographic", "S", "Social", "E", "Economic", "H", "Housing", "")</f>
        <v>Economic</v>
      </c>
      <c r="K1138" t="s">
        <v>4189</v>
      </c>
      <c r="L1138" t="s">
        <v>4190</v>
      </c>
      <c r="M1138" t="str">
        <f>IF(Table1[[#This Row],[used]], _xlfn.CONCAT("🆔 ", Table1[[#This Row],[variable]], ": ",Table1[[#This Row],[alias]]), "")</f>
        <v>🆔 B24011_032E: Natural resources construction and maintenance occupations: Installation maintenance and repair occupations</v>
      </c>
      <c r="O1138" t="s">
        <v>4263</v>
      </c>
      <c r="P1138" t="s">
        <v>4191</v>
      </c>
      <c r="Q1138" t="s">
        <v>41</v>
      </c>
      <c r="R1138" t="s">
        <v>4264</v>
      </c>
      <c r="S1138" t="b">
        <v>1</v>
      </c>
      <c r="T1138" t="b">
        <v>1</v>
      </c>
      <c r="U1138" t="b">
        <v>1</v>
      </c>
      <c r="V1138" t="b">
        <v>1</v>
      </c>
      <c r="W1138" t="b">
        <v>1</v>
      </c>
      <c r="X1138" t="b">
        <v>1</v>
      </c>
      <c r="Y1138" t="b">
        <v>1</v>
      </c>
      <c r="Z1138" t="b">
        <v>1</v>
      </c>
      <c r="AA1138" t="b">
        <v>1</v>
      </c>
      <c r="AB1138" t="b">
        <v>1</v>
      </c>
      <c r="AC1138" t="b">
        <v>1</v>
      </c>
      <c r="AD1138" t="b">
        <v>1</v>
      </c>
      <c r="AE1138" t="b">
        <v>1</v>
      </c>
      <c r="AF1138" t="b">
        <v>1</v>
      </c>
      <c r="AG1138" t="b">
        <v>1</v>
      </c>
    </row>
    <row r="1139" spans="1:33" x14ac:dyDescent="0.25">
      <c r="A1139" t="s">
        <v>33</v>
      </c>
      <c r="B1139">
        <v>15</v>
      </c>
      <c r="C1139" t="b">
        <v>1</v>
      </c>
      <c r="D1139" t="s">
        <v>4185</v>
      </c>
      <c r="E1139" t="s">
        <v>4186</v>
      </c>
      <c r="F1139" t="s">
        <v>4265</v>
      </c>
      <c r="G1139" t="s">
        <v>4266</v>
      </c>
      <c r="H1139">
        <v>1138</v>
      </c>
      <c r="I1139" t="str">
        <f>IF(ISBLANK(Table1[[#This Row],[oid]]),"FALSE","TRUE")</f>
        <v>TRUE</v>
      </c>
      <c r="J1139" t="str" cm="1">
        <f t="array" ref="J1139">_xlfn.SWITCH(LEFT(Table1[[#This Row],[section]],1), "D", "Demographic", "S", "Social", "E", "Economic", "H", "Housing", "")</f>
        <v>Economic</v>
      </c>
      <c r="K1139" t="s">
        <v>4189</v>
      </c>
      <c r="L1139" t="s">
        <v>4190</v>
      </c>
      <c r="M1139" t="str">
        <f>IF(Table1[[#This Row],[used]], _xlfn.CONCAT("🆔 ", Table1[[#This Row],[variable]], ": ",Table1[[#This Row],[alias]]), "")</f>
        <v>🆔 B24011_033E: Production transportation and material moving occupations</v>
      </c>
      <c r="O1139" t="s">
        <v>4267</v>
      </c>
      <c r="P1139" t="s">
        <v>4191</v>
      </c>
      <c r="Q1139" t="s">
        <v>41</v>
      </c>
      <c r="R1139" t="s">
        <v>4268</v>
      </c>
      <c r="S1139" t="b">
        <v>1</v>
      </c>
      <c r="T1139" t="b">
        <v>1</v>
      </c>
      <c r="U1139" t="b">
        <v>1</v>
      </c>
      <c r="V1139" t="b">
        <v>1</v>
      </c>
      <c r="W1139" t="b">
        <v>1</v>
      </c>
      <c r="X1139" t="b">
        <v>1</v>
      </c>
      <c r="Y1139" t="b">
        <v>1</v>
      </c>
      <c r="Z1139" t="b">
        <v>1</v>
      </c>
      <c r="AA1139" t="b">
        <v>1</v>
      </c>
      <c r="AB1139" t="b">
        <v>1</v>
      </c>
      <c r="AC1139" t="b">
        <v>1</v>
      </c>
      <c r="AD1139" t="b">
        <v>1</v>
      </c>
      <c r="AE1139" t="b">
        <v>1</v>
      </c>
      <c r="AF1139" t="b">
        <v>1</v>
      </c>
      <c r="AG1139" t="b">
        <v>1</v>
      </c>
    </row>
    <row r="1140" spans="1:33" x14ac:dyDescent="0.25">
      <c r="A1140" t="s">
        <v>33</v>
      </c>
      <c r="B1140">
        <v>15</v>
      </c>
      <c r="C1140" t="b">
        <v>1</v>
      </c>
      <c r="D1140" t="s">
        <v>4185</v>
      </c>
      <c r="E1140" t="s">
        <v>4186</v>
      </c>
      <c r="F1140" t="s">
        <v>4269</v>
      </c>
      <c r="G1140" t="s">
        <v>4270</v>
      </c>
      <c r="H1140">
        <v>1139</v>
      </c>
      <c r="I1140" t="str">
        <f>IF(ISBLANK(Table1[[#This Row],[oid]]),"FALSE","TRUE")</f>
        <v>TRUE</v>
      </c>
      <c r="J1140" t="str" cm="1">
        <f t="array" ref="J1140">_xlfn.SWITCH(LEFT(Table1[[#This Row],[section]],1), "D", "Demographic", "S", "Social", "E", "Economic", "H", "Housing", "")</f>
        <v>Economic</v>
      </c>
      <c r="K1140" t="s">
        <v>4189</v>
      </c>
      <c r="L1140" t="s">
        <v>4190</v>
      </c>
      <c r="M1140" t="str">
        <f>IF(Table1[[#This Row],[used]], _xlfn.CONCAT("🆔 ", Table1[[#This Row],[variable]], ": ",Table1[[#This Row],[alias]]), "")</f>
        <v>🆔 B24011_034E: Production transportation and material moving occupations: Production occupations</v>
      </c>
      <c r="O1140" t="s">
        <v>4271</v>
      </c>
      <c r="P1140" t="s">
        <v>4191</v>
      </c>
      <c r="Q1140" t="s">
        <v>41</v>
      </c>
      <c r="R1140" t="s">
        <v>4272</v>
      </c>
      <c r="S1140" t="b">
        <v>1</v>
      </c>
      <c r="T1140" t="b">
        <v>1</v>
      </c>
      <c r="U1140" t="b">
        <v>1</v>
      </c>
      <c r="V1140" t="b">
        <v>1</v>
      </c>
      <c r="W1140" t="b">
        <v>1</v>
      </c>
      <c r="X1140" t="b">
        <v>1</v>
      </c>
      <c r="Y1140" t="b">
        <v>1</v>
      </c>
      <c r="Z1140" t="b">
        <v>1</v>
      </c>
      <c r="AA1140" t="b">
        <v>1</v>
      </c>
      <c r="AB1140" t="b">
        <v>1</v>
      </c>
      <c r="AC1140" t="b">
        <v>1</v>
      </c>
      <c r="AD1140" t="b">
        <v>1</v>
      </c>
      <c r="AE1140" t="b">
        <v>1</v>
      </c>
      <c r="AF1140" t="b">
        <v>1</v>
      </c>
      <c r="AG1140" t="b">
        <v>1</v>
      </c>
    </row>
    <row r="1141" spans="1:33" x14ac:dyDescent="0.25">
      <c r="A1141" t="s">
        <v>33</v>
      </c>
      <c r="B1141">
        <v>15</v>
      </c>
      <c r="C1141" t="b">
        <v>1</v>
      </c>
      <c r="D1141" t="s">
        <v>4185</v>
      </c>
      <c r="E1141" t="s">
        <v>4186</v>
      </c>
      <c r="F1141" t="s">
        <v>4273</v>
      </c>
      <c r="G1141" t="s">
        <v>4274</v>
      </c>
      <c r="H1141">
        <v>1140</v>
      </c>
      <c r="I1141" t="str">
        <f>IF(ISBLANK(Table1[[#This Row],[oid]]),"FALSE","TRUE")</f>
        <v>TRUE</v>
      </c>
      <c r="J1141" t="str" cm="1">
        <f t="array" ref="J1141">_xlfn.SWITCH(LEFT(Table1[[#This Row],[section]],1), "D", "Demographic", "S", "Social", "E", "Economic", "H", "Housing", "")</f>
        <v>Economic</v>
      </c>
      <c r="K1141" t="s">
        <v>4189</v>
      </c>
      <c r="L1141" t="s">
        <v>4190</v>
      </c>
      <c r="M1141" t="str">
        <f>IF(Table1[[#This Row],[used]], _xlfn.CONCAT("🆔 ", Table1[[#This Row],[variable]], ": ",Table1[[#This Row],[alias]]), "")</f>
        <v>🆔 B24011_035E: Production transportation and material moving occupations: Transportation occupations</v>
      </c>
      <c r="O1141" t="s">
        <v>4275</v>
      </c>
      <c r="P1141" t="s">
        <v>4191</v>
      </c>
      <c r="Q1141" t="s">
        <v>41</v>
      </c>
      <c r="R1141" t="s">
        <v>4276</v>
      </c>
      <c r="S1141" t="b">
        <v>1</v>
      </c>
      <c r="T1141" t="b">
        <v>1</v>
      </c>
      <c r="U1141" t="b">
        <v>1</v>
      </c>
      <c r="V1141" t="b">
        <v>1</v>
      </c>
      <c r="W1141" t="b">
        <v>1</v>
      </c>
      <c r="X1141" t="b">
        <v>1</v>
      </c>
      <c r="Y1141" t="b">
        <v>1</v>
      </c>
      <c r="Z1141" t="b">
        <v>1</v>
      </c>
      <c r="AA1141" t="b">
        <v>1</v>
      </c>
      <c r="AB1141" t="b">
        <v>1</v>
      </c>
      <c r="AC1141" t="b">
        <v>1</v>
      </c>
      <c r="AD1141" t="b">
        <v>1</v>
      </c>
      <c r="AE1141" t="b">
        <v>1</v>
      </c>
      <c r="AF1141" t="b">
        <v>1</v>
      </c>
      <c r="AG1141" t="b">
        <v>1</v>
      </c>
    </row>
    <row r="1142" spans="1:33" x14ac:dyDescent="0.25">
      <c r="A1142" t="s">
        <v>33</v>
      </c>
      <c r="B1142">
        <v>15</v>
      </c>
      <c r="C1142" t="b">
        <v>1</v>
      </c>
      <c r="D1142" t="s">
        <v>4185</v>
      </c>
      <c r="E1142" t="s">
        <v>4186</v>
      </c>
      <c r="F1142" t="s">
        <v>4277</v>
      </c>
      <c r="G1142" t="s">
        <v>4278</v>
      </c>
      <c r="H1142">
        <v>1141</v>
      </c>
      <c r="I1142" t="str">
        <f>IF(ISBLANK(Table1[[#This Row],[oid]]),"FALSE","TRUE")</f>
        <v>TRUE</v>
      </c>
      <c r="J1142" t="str" cm="1">
        <f t="array" ref="J1142">_xlfn.SWITCH(LEFT(Table1[[#This Row],[section]],1), "D", "Demographic", "S", "Social", "E", "Economic", "H", "Housing", "")</f>
        <v>Economic</v>
      </c>
      <c r="K1142" t="s">
        <v>4189</v>
      </c>
      <c r="L1142" t="s">
        <v>4190</v>
      </c>
      <c r="M1142" t="str">
        <f>IF(Table1[[#This Row],[used]], _xlfn.CONCAT("🆔 ", Table1[[#This Row],[variable]], ": ",Table1[[#This Row],[alias]]), "")</f>
        <v>🆔 B24011_036E: Production transportation and material moving occupations: Material moving occupations</v>
      </c>
      <c r="O1142" t="s">
        <v>4279</v>
      </c>
      <c r="P1142" t="s">
        <v>4191</v>
      </c>
      <c r="Q1142" t="s">
        <v>41</v>
      </c>
      <c r="R1142" t="s">
        <v>4280</v>
      </c>
      <c r="S1142" t="b">
        <v>1</v>
      </c>
      <c r="T1142" t="b">
        <v>1</v>
      </c>
      <c r="U1142" t="b">
        <v>1</v>
      </c>
      <c r="V1142" t="b">
        <v>1</v>
      </c>
      <c r="W1142" t="b">
        <v>1</v>
      </c>
      <c r="X1142" t="b">
        <v>1</v>
      </c>
      <c r="Y1142" t="b">
        <v>1</v>
      </c>
      <c r="Z1142" t="b">
        <v>1</v>
      </c>
      <c r="AA1142" t="b">
        <v>1</v>
      </c>
      <c r="AB1142" t="b">
        <v>1</v>
      </c>
      <c r="AC1142" t="b">
        <v>1</v>
      </c>
      <c r="AD1142" t="b">
        <v>1</v>
      </c>
      <c r="AE1142" t="b">
        <v>1</v>
      </c>
      <c r="AF1142" t="b">
        <v>1</v>
      </c>
      <c r="AG1142" t="b">
        <v>1</v>
      </c>
    </row>
    <row r="1143" spans="1:33" x14ac:dyDescent="0.25">
      <c r="A1143" t="s">
        <v>33</v>
      </c>
      <c r="B1143">
        <v>15</v>
      </c>
      <c r="C1143" t="b">
        <v>1</v>
      </c>
      <c r="D1143" t="s">
        <v>4281</v>
      </c>
      <c r="E1143" t="s">
        <v>4282</v>
      </c>
      <c r="F1143" t="s">
        <v>4283</v>
      </c>
      <c r="G1143" t="s">
        <v>4284</v>
      </c>
      <c r="H1143">
        <v>1142</v>
      </c>
      <c r="I1143" t="str">
        <f>IF(ISBLANK(Table1[[#This Row],[oid]]),"FALSE","TRUE")</f>
        <v>TRUE</v>
      </c>
      <c r="J1143" t="str" cm="1">
        <f t="array" ref="J1143">_xlfn.SWITCH(LEFT(Table1[[#This Row],[section]],1), "D", "Demographic", "S", "Social", "E", "Economic", "H", "Housing", "")</f>
        <v>Economic</v>
      </c>
      <c r="K1143" t="s">
        <v>4285</v>
      </c>
      <c r="L1143" t="s">
        <v>4286</v>
      </c>
      <c r="M1143" t="str">
        <f>IF(Table1[[#This Row],[used]], _xlfn.CONCAT("🆔 ", Table1[[#This Row],[variable]], ": ",Table1[[#This Row],[alias]]), "")</f>
        <v>🆔 B08301_001E: Workers, 16+ years</v>
      </c>
      <c r="O1143" t="s">
        <v>39</v>
      </c>
      <c r="P1143" t="s">
        <v>4287</v>
      </c>
      <c r="Q1143" t="s">
        <v>41</v>
      </c>
      <c r="R1143" t="s">
        <v>4288</v>
      </c>
      <c r="S1143" t="b">
        <v>1</v>
      </c>
      <c r="T1143" t="b">
        <v>1</v>
      </c>
      <c r="U1143" t="b">
        <v>1</v>
      </c>
      <c r="V1143" t="b">
        <v>1</v>
      </c>
      <c r="W1143" t="b">
        <v>1</v>
      </c>
      <c r="X1143" t="b">
        <v>1</v>
      </c>
      <c r="Y1143" t="b">
        <v>1</v>
      </c>
      <c r="Z1143" t="b">
        <v>1</v>
      </c>
      <c r="AA1143" t="b">
        <v>1</v>
      </c>
      <c r="AB1143" t="b">
        <v>1</v>
      </c>
      <c r="AC1143" t="b">
        <v>1</v>
      </c>
      <c r="AD1143" t="b">
        <v>1</v>
      </c>
      <c r="AE1143" t="b">
        <v>1</v>
      </c>
      <c r="AF1143" t="b">
        <v>1</v>
      </c>
      <c r="AG1143" t="b">
        <v>1</v>
      </c>
    </row>
    <row r="1144" spans="1:33" x14ac:dyDescent="0.25">
      <c r="A1144" t="s">
        <v>33</v>
      </c>
      <c r="B1144">
        <v>15</v>
      </c>
      <c r="C1144" t="b">
        <v>1</v>
      </c>
      <c r="D1144" t="s">
        <v>4281</v>
      </c>
      <c r="E1144" t="s">
        <v>4282</v>
      </c>
      <c r="F1144" t="s">
        <v>4289</v>
      </c>
      <c r="G1144" t="s">
        <v>4290</v>
      </c>
      <c r="H1144">
        <v>1143</v>
      </c>
      <c r="I1144" t="str">
        <f>IF(ISBLANK(Table1[[#This Row],[oid]]),"FALSE","TRUE")</f>
        <v>TRUE</v>
      </c>
      <c r="J1144" t="str" cm="1">
        <f t="array" ref="J1144">_xlfn.SWITCH(LEFT(Table1[[#This Row],[section]],1), "D", "Demographic", "S", "Social", "E", "Economic", "H", "Housing", "")</f>
        <v>Economic</v>
      </c>
      <c r="K1144" t="s">
        <v>4285</v>
      </c>
      <c r="L1144" t="s">
        <v>4286</v>
      </c>
      <c r="M1144" t="str">
        <f>IF(Table1[[#This Row],[used]], _xlfn.CONCAT("🆔 ", Table1[[#This Row],[variable]], ": ",Table1[[#This Row],[alias]]), "")</f>
        <v>🆔 B08301_002E: Car truck or van</v>
      </c>
      <c r="O1144" t="s">
        <v>4291</v>
      </c>
      <c r="P1144" t="s">
        <v>4287</v>
      </c>
      <c r="Q1144" t="s">
        <v>41</v>
      </c>
      <c r="R1144" t="s">
        <v>4292</v>
      </c>
      <c r="S1144" t="b">
        <v>1</v>
      </c>
      <c r="T1144" t="b">
        <v>1</v>
      </c>
      <c r="U1144" t="b">
        <v>1</v>
      </c>
      <c r="V1144" t="b">
        <v>1</v>
      </c>
      <c r="W1144" t="b">
        <v>1</v>
      </c>
      <c r="X1144" t="b">
        <v>1</v>
      </c>
      <c r="Y1144" t="b">
        <v>1</v>
      </c>
      <c r="Z1144" t="b">
        <v>1</v>
      </c>
      <c r="AA1144" t="b">
        <v>1</v>
      </c>
      <c r="AB1144" t="b">
        <v>1</v>
      </c>
      <c r="AC1144" t="b">
        <v>1</v>
      </c>
      <c r="AD1144" t="b">
        <v>1</v>
      </c>
      <c r="AE1144" t="b">
        <v>1</v>
      </c>
      <c r="AF1144" t="b">
        <v>1</v>
      </c>
      <c r="AG1144" t="b">
        <v>1</v>
      </c>
    </row>
    <row r="1145" spans="1:33" x14ac:dyDescent="0.25">
      <c r="A1145" t="s">
        <v>33</v>
      </c>
      <c r="B1145">
        <v>15</v>
      </c>
      <c r="C1145" t="b">
        <v>1</v>
      </c>
      <c r="D1145" t="s">
        <v>4281</v>
      </c>
      <c r="E1145" t="s">
        <v>4282</v>
      </c>
      <c r="F1145" t="s">
        <v>4293</v>
      </c>
      <c r="G1145" t="s">
        <v>4294</v>
      </c>
      <c r="H1145">
        <v>1144</v>
      </c>
      <c r="I1145" t="str">
        <f>IF(ISBLANK(Table1[[#This Row],[oid]]),"FALSE","TRUE")</f>
        <v>TRUE</v>
      </c>
      <c r="J1145" t="str" cm="1">
        <f t="array" ref="J1145">_xlfn.SWITCH(LEFT(Table1[[#This Row],[section]],1), "D", "Demographic", "S", "Social", "E", "Economic", "H", "Housing", "")</f>
        <v>Economic</v>
      </c>
      <c r="K1145" t="s">
        <v>4285</v>
      </c>
      <c r="L1145" t="s">
        <v>4286</v>
      </c>
      <c r="M1145" t="str">
        <f>IF(Table1[[#This Row],[used]], _xlfn.CONCAT("🆔 ", Table1[[#This Row],[variable]], ": ",Table1[[#This Row],[alias]]), "")</f>
        <v>🆔 B08301_003E: Car truck or van: Drove alone</v>
      </c>
      <c r="O1145" t="s">
        <v>4295</v>
      </c>
      <c r="P1145" t="s">
        <v>4287</v>
      </c>
      <c r="Q1145" t="s">
        <v>41</v>
      </c>
      <c r="R1145" t="s">
        <v>4296</v>
      </c>
      <c r="S1145" t="b">
        <v>1</v>
      </c>
      <c r="T1145" t="b">
        <v>1</v>
      </c>
      <c r="U1145" t="b">
        <v>1</v>
      </c>
      <c r="V1145" t="b">
        <v>1</v>
      </c>
      <c r="W1145" t="b">
        <v>1</v>
      </c>
      <c r="X1145" t="b">
        <v>1</v>
      </c>
      <c r="Y1145" t="b">
        <v>1</v>
      </c>
      <c r="Z1145" t="b">
        <v>1</v>
      </c>
      <c r="AA1145" t="b">
        <v>1</v>
      </c>
      <c r="AB1145" t="b">
        <v>1</v>
      </c>
      <c r="AC1145" t="b">
        <v>1</v>
      </c>
      <c r="AD1145" t="b">
        <v>1</v>
      </c>
      <c r="AE1145" t="b">
        <v>1</v>
      </c>
      <c r="AF1145" t="b">
        <v>1</v>
      </c>
      <c r="AG1145" t="b">
        <v>1</v>
      </c>
    </row>
    <row r="1146" spans="1:33" x14ac:dyDescent="0.25">
      <c r="A1146" t="s">
        <v>33</v>
      </c>
      <c r="B1146">
        <v>15</v>
      </c>
      <c r="C1146" t="b">
        <v>1</v>
      </c>
      <c r="D1146" t="s">
        <v>4281</v>
      </c>
      <c r="E1146" t="s">
        <v>4282</v>
      </c>
      <c r="F1146" t="s">
        <v>4297</v>
      </c>
      <c r="G1146" t="s">
        <v>4298</v>
      </c>
      <c r="H1146">
        <v>1145</v>
      </c>
      <c r="I1146" t="str">
        <f>IF(ISBLANK(Table1[[#This Row],[oid]]),"FALSE","TRUE")</f>
        <v>TRUE</v>
      </c>
      <c r="J1146" t="str" cm="1">
        <f t="array" ref="J1146">_xlfn.SWITCH(LEFT(Table1[[#This Row],[section]],1), "D", "Demographic", "S", "Social", "E", "Economic", "H", "Housing", "")</f>
        <v>Economic</v>
      </c>
      <c r="K1146" t="s">
        <v>4285</v>
      </c>
      <c r="L1146" t="s">
        <v>4286</v>
      </c>
      <c r="M1146" t="str">
        <f>IF(Table1[[#This Row],[used]], _xlfn.CONCAT("🆔 ", Table1[[#This Row],[variable]], ": ",Table1[[#This Row],[alias]]), "")</f>
        <v>🆔 B08301_004E: Car truck or van: Carpooled</v>
      </c>
      <c r="O1146" t="s">
        <v>4299</v>
      </c>
      <c r="P1146" t="s">
        <v>4287</v>
      </c>
      <c r="Q1146" t="s">
        <v>41</v>
      </c>
      <c r="R1146" t="s">
        <v>4300</v>
      </c>
      <c r="S1146" t="b">
        <v>1</v>
      </c>
      <c r="T1146" t="b">
        <v>1</v>
      </c>
      <c r="U1146" t="b">
        <v>1</v>
      </c>
      <c r="V1146" t="b">
        <v>1</v>
      </c>
      <c r="W1146" t="b">
        <v>1</v>
      </c>
      <c r="X1146" t="b">
        <v>1</v>
      </c>
      <c r="Y1146" t="b">
        <v>1</v>
      </c>
      <c r="Z1146" t="b">
        <v>1</v>
      </c>
      <c r="AA1146" t="b">
        <v>1</v>
      </c>
      <c r="AB1146" t="b">
        <v>1</v>
      </c>
      <c r="AC1146" t="b">
        <v>1</v>
      </c>
      <c r="AD1146" t="b">
        <v>1</v>
      </c>
      <c r="AE1146" t="b">
        <v>1</v>
      </c>
      <c r="AF1146" t="b">
        <v>1</v>
      </c>
      <c r="AG1146" t="b">
        <v>1</v>
      </c>
    </row>
    <row r="1147" spans="1:33" x14ac:dyDescent="0.25">
      <c r="A1147" t="s">
        <v>32</v>
      </c>
      <c r="B1147">
        <v>1</v>
      </c>
      <c r="C1147" t="b">
        <v>0</v>
      </c>
      <c r="D1147" t="s">
        <v>4281</v>
      </c>
      <c r="E1147" t="s">
        <v>4282</v>
      </c>
      <c r="F1147" t="s">
        <v>4301</v>
      </c>
      <c r="G1147" t="s">
        <v>4302</v>
      </c>
      <c r="H1147">
        <v>1146</v>
      </c>
      <c r="I1147" t="str">
        <f>IF(ISBLANK(Table1[[#This Row],[oid]]),"FALSE","TRUE")</f>
        <v>TRUE</v>
      </c>
      <c r="J1147" t="str" cm="1">
        <f t="array" ref="J1147">_xlfn.SWITCH(LEFT(Table1[[#This Row],[section]],1), "D", "Demographic", "S", "Social", "E", "Economic", "H", "Housing", "")</f>
        <v>Economic</v>
      </c>
      <c r="K1147" t="s">
        <v>4285</v>
      </c>
      <c r="L1147" t="s">
        <v>4286</v>
      </c>
      <c r="M1147" t="str">
        <f>IF(Table1[[#This Row],[used]], _xlfn.CONCAT("🆔 ", Table1[[#This Row],[variable]], ": ",Table1[[#This Row],[alias]]), "")</f>
        <v>🆔 B08301_010E: Public transportation</v>
      </c>
      <c r="O1147" t="s">
        <v>4303</v>
      </c>
      <c r="P1147" t="s">
        <v>4286</v>
      </c>
      <c r="Q1147" t="s">
        <v>41</v>
      </c>
      <c r="R1147" t="s">
        <v>4304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</row>
    <row r="1148" spans="1:33" x14ac:dyDescent="0.25">
      <c r="A1148" t="s">
        <v>32</v>
      </c>
      <c r="B1148">
        <v>1</v>
      </c>
      <c r="C1148" t="b">
        <v>0</v>
      </c>
      <c r="D1148" t="s">
        <v>4281</v>
      </c>
      <c r="E1148" t="s">
        <v>4282</v>
      </c>
      <c r="F1148" t="s">
        <v>4305</v>
      </c>
      <c r="G1148" t="s">
        <v>4306</v>
      </c>
      <c r="H1148">
        <v>1147</v>
      </c>
      <c r="I1148" t="str">
        <f>IF(ISBLANK(Table1[[#This Row],[oid]]),"FALSE","TRUE")</f>
        <v>TRUE</v>
      </c>
      <c r="J1148" t="str" cm="1">
        <f t="array" ref="J1148">_xlfn.SWITCH(LEFT(Table1[[#This Row],[section]],1), "D", "Demographic", "S", "Social", "E", "Economic", "H", "Housing", "")</f>
        <v>Economic</v>
      </c>
      <c r="K1148" t="s">
        <v>4285</v>
      </c>
      <c r="L1148" t="s">
        <v>4286</v>
      </c>
      <c r="M1148" t="str">
        <f>IF(Table1[[#This Row],[used]], _xlfn.CONCAT("🆔 ", Table1[[#This Row],[variable]], ": ",Table1[[#This Row],[alias]]), "")</f>
        <v>🆔 B08301_016E: Taxi or ride-hailing services</v>
      </c>
      <c r="O1148" t="s">
        <v>4307</v>
      </c>
      <c r="P1148" t="s">
        <v>4286</v>
      </c>
      <c r="Q1148" t="s">
        <v>41</v>
      </c>
      <c r="R1148" t="s">
        <v>4308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</row>
    <row r="1149" spans="1:33" x14ac:dyDescent="0.25">
      <c r="A1149" t="s">
        <v>4309</v>
      </c>
      <c r="B1149">
        <v>14</v>
      </c>
      <c r="C1149" t="b">
        <v>0</v>
      </c>
      <c r="D1149" t="s">
        <v>4281</v>
      </c>
      <c r="E1149" t="s">
        <v>4282</v>
      </c>
      <c r="F1149" t="s">
        <v>4305</v>
      </c>
      <c r="G1149" t="s">
        <v>4310</v>
      </c>
      <c r="H1149">
        <v>1148</v>
      </c>
      <c r="I1149" t="str">
        <f>IF(ISBLANK(Table1[[#This Row],[oid]]),"FALSE","TRUE")</f>
        <v>TRUE</v>
      </c>
      <c r="J1149" t="str" cm="1">
        <f t="array" ref="J1149">_xlfn.SWITCH(LEFT(Table1[[#This Row],[section]],1), "D", "Demographic", "S", "Social", "E", "Economic", "H", "Housing", "")</f>
        <v>Economic</v>
      </c>
      <c r="K1149" t="s">
        <v>4285</v>
      </c>
      <c r="L1149" t="s">
        <v>4286</v>
      </c>
      <c r="M1149" t="str">
        <f>IF(Table1[[#This Row],[used]], _xlfn.CONCAT("🆔 ", Table1[[#This Row],[variable]], ": ",Table1[[#This Row],[alias]]), "")</f>
        <v>🆔 B08301_016E: Taxicab</v>
      </c>
      <c r="O1149" t="s">
        <v>4311</v>
      </c>
      <c r="P1149" t="s">
        <v>4287</v>
      </c>
      <c r="Q1149" t="s">
        <v>41</v>
      </c>
      <c r="R1149" t="s">
        <v>4308</v>
      </c>
      <c r="S1149" t="b">
        <v>1</v>
      </c>
      <c r="T1149" t="b">
        <v>1</v>
      </c>
      <c r="U1149" t="b">
        <v>1</v>
      </c>
      <c r="V1149" t="b">
        <v>1</v>
      </c>
      <c r="W1149" t="b">
        <v>1</v>
      </c>
      <c r="X1149" t="b">
        <v>1</v>
      </c>
      <c r="Y1149" t="b">
        <v>1</v>
      </c>
      <c r="Z1149" t="b">
        <v>1</v>
      </c>
      <c r="AA1149" t="b">
        <v>1</v>
      </c>
      <c r="AB1149" t="b">
        <v>1</v>
      </c>
      <c r="AC1149" t="b">
        <v>1</v>
      </c>
      <c r="AD1149" t="b">
        <v>1</v>
      </c>
      <c r="AE1149" t="b">
        <v>1</v>
      </c>
      <c r="AF1149" t="b">
        <v>1</v>
      </c>
      <c r="AG1149" t="b">
        <v>0</v>
      </c>
    </row>
    <row r="1150" spans="1:33" x14ac:dyDescent="0.25">
      <c r="A1150" t="s">
        <v>33</v>
      </c>
      <c r="B1150">
        <v>15</v>
      </c>
      <c r="C1150" t="b">
        <v>1</v>
      </c>
      <c r="D1150" t="s">
        <v>4281</v>
      </c>
      <c r="E1150" t="s">
        <v>4282</v>
      </c>
      <c r="F1150" t="s">
        <v>4312</v>
      </c>
      <c r="G1150" t="s">
        <v>4313</v>
      </c>
      <c r="H1150">
        <v>1149</v>
      </c>
      <c r="I1150" t="str">
        <f>IF(ISBLANK(Table1[[#This Row],[oid]]),"FALSE","TRUE")</f>
        <v>TRUE</v>
      </c>
      <c r="J1150" t="str" cm="1">
        <f t="array" ref="J1150">_xlfn.SWITCH(LEFT(Table1[[#This Row],[section]],1), "D", "Demographic", "S", "Social", "E", "Economic", "H", "Housing", "")</f>
        <v>Economic</v>
      </c>
      <c r="K1150" t="s">
        <v>4285</v>
      </c>
      <c r="L1150" t="s">
        <v>4286</v>
      </c>
      <c r="M1150" t="str">
        <f>IF(Table1[[#This Row],[used]], _xlfn.CONCAT("🆔 ", Table1[[#This Row],[variable]], ": ",Table1[[#This Row],[alias]]), "")</f>
        <v>🆔 B08301_017E: Motorcycle</v>
      </c>
      <c r="O1150" t="s">
        <v>4314</v>
      </c>
      <c r="P1150" t="s">
        <v>4287</v>
      </c>
      <c r="Q1150" t="s">
        <v>41</v>
      </c>
      <c r="R1150" t="s">
        <v>4315</v>
      </c>
      <c r="S1150" t="b">
        <v>1</v>
      </c>
      <c r="T1150" t="b">
        <v>1</v>
      </c>
      <c r="U1150" t="b">
        <v>1</v>
      </c>
      <c r="V1150" t="b">
        <v>1</v>
      </c>
      <c r="W1150" t="b">
        <v>1</v>
      </c>
      <c r="X1150" t="b">
        <v>1</v>
      </c>
      <c r="Y1150" t="b">
        <v>1</v>
      </c>
      <c r="Z1150" t="b">
        <v>1</v>
      </c>
      <c r="AA1150" t="b">
        <v>1</v>
      </c>
      <c r="AB1150" t="b">
        <v>1</v>
      </c>
      <c r="AC1150" t="b">
        <v>1</v>
      </c>
      <c r="AD1150" t="b">
        <v>1</v>
      </c>
      <c r="AE1150" t="b">
        <v>1</v>
      </c>
      <c r="AF1150" t="b">
        <v>1</v>
      </c>
      <c r="AG1150" t="b">
        <v>1</v>
      </c>
    </row>
    <row r="1151" spans="1:33" x14ac:dyDescent="0.25">
      <c r="A1151" t="s">
        <v>33</v>
      </c>
      <c r="B1151">
        <v>15</v>
      </c>
      <c r="C1151" t="b">
        <v>1</v>
      </c>
      <c r="D1151" t="s">
        <v>4281</v>
      </c>
      <c r="E1151" t="s">
        <v>4282</v>
      </c>
      <c r="F1151" t="s">
        <v>4316</v>
      </c>
      <c r="G1151" t="s">
        <v>4317</v>
      </c>
      <c r="H1151">
        <v>1150</v>
      </c>
      <c r="I1151" t="str">
        <f>IF(ISBLANK(Table1[[#This Row],[oid]]),"FALSE","TRUE")</f>
        <v>TRUE</v>
      </c>
      <c r="J1151" t="str" cm="1">
        <f t="array" ref="J1151">_xlfn.SWITCH(LEFT(Table1[[#This Row],[section]],1), "D", "Demographic", "S", "Social", "E", "Economic", "H", "Housing", "")</f>
        <v>Economic</v>
      </c>
      <c r="K1151" t="s">
        <v>4285</v>
      </c>
      <c r="L1151" t="s">
        <v>4286</v>
      </c>
      <c r="M1151" t="str">
        <f>IF(Table1[[#This Row],[used]], _xlfn.CONCAT("🆔 ", Table1[[#This Row],[variable]], ": ",Table1[[#This Row],[alias]]), "")</f>
        <v>🆔 B08301_018E: Bicycle</v>
      </c>
      <c r="O1151" t="s">
        <v>4318</v>
      </c>
      <c r="P1151" t="s">
        <v>4287</v>
      </c>
      <c r="Q1151" t="s">
        <v>41</v>
      </c>
      <c r="R1151" t="s">
        <v>4319</v>
      </c>
      <c r="S1151" t="b">
        <v>1</v>
      </c>
      <c r="T1151" t="b">
        <v>1</v>
      </c>
      <c r="U1151" t="b">
        <v>1</v>
      </c>
      <c r="V1151" t="b">
        <v>1</v>
      </c>
      <c r="W1151" t="b">
        <v>1</v>
      </c>
      <c r="X1151" t="b">
        <v>1</v>
      </c>
      <c r="Y1151" t="b">
        <v>1</v>
      </c>
      <c r="Z1151" t="b">
        <v>1</v>
      </c>
      <c r="AA1151" t="b">
        <v>1</v>
      </c>
      <c r="AB1151" t="b">
        <v>1</v>
      </c>
      <c r="AC1151" t="b">
        <v>1</v>
      </c>
      <c r="AD1151" t="b">
        <v>1</v>
      </c>
      <c r="AE1151" t="b">
        <v>1</v>
      </c>
      <c r="AF1151" t="b">
        <v>1</v>
      </c>
      <c r="AG1151" t="b">
        <v>1</v>
      </c>
    </row>
    <row r="1152" spans="1:33" x14ac:dyDescent="0.25">
      <c r="A1152" t="s">
        <v>33</v>
      </c>
      <c r="B1152">
        <v>15</v>
      </c>
      <c r="C1152" t="b">
        <v>1</v>
      </c>
      <c r="D1152" t="s">
        <v>4281</v>
      </c>
      <c r="E1152" t="s">
        <v>4282</v>
      </c>
      <c r="F1152" t="s">
        <v>4320</v>
      </c>
      <c r="G1152" t="s">
        <v>4321</v>
      </c>
      <c r="H1152">
        <v>1151</v>
      </c>
      <c r="I1152" t="str">
        <f>IF(ISBLANK(Table1[[#This Row],[oid]]),"FALSE","TRUE")</f>
        <v>TRUE</v>
      </c>
      <c r="J1152" t="str" cm="1">
        <f t="array" ref="J1152">_xlfn.SWITCH(LEFT(Table1[[#This Row],[section]],1), "D", "Demographic", "S", "Social", "E", "Economic", "H", "Housing", "")</f>
        <v>Economic</v>
      </c>
      <c r="K1152" t="s">
        <v>4285</v>
      </c>
      <c r="L1152" t="s">
        <v>4286</v>
      </c>
      <c r="M1152" t="str">
        <f>IF(Table1[[#This Row],[used]], _xlfn.CONCAT("🆔 ", Table1[[#This Row],[variable]], ": ",Table1[[#This Row],[alias]]), "")</f>
        <v>🆔 B08301_019E: Walked</v>
      </c>
      <c r="O1152" t="s">
        <v>4322</v>
      </c>
      <c r="P1152" t="s">
        <v>4287</v>
      </c>
      <c r="Q1152" t="s">
        <v>41</v>
      </c>
      <c r="R1152" t="s">
        <v>4323</v>
      </c>
      <c r="S1152" t="b">
        <v>1</v>
      </c>
      <c r="T1152" t="b">
        <v>1</v>
      </c>
      <c r="U1152" t="b">
        <v>1</v>
      </c>
      <c r="V1152" t="b">
        <v>1</v>
      </c>
      <c r="W1152" t="b">
        <v>1</v>
      </c>
      <c r="X1152" t="b">
        <v>1</v>
      </c>
      <c r="Y1152" t="b">
        <v>1</v>
      </c>
      <c r="Z1152" t="b">
        <v>1</v>
      </c>
      <c r="AA1152" t="b">
        <v>1</v>
      </c>
      <c r="AB1152" t="b">
        <v>1</v>
      </c>
      <c r="AC1152" t="b">
        <v>1</v>
      </c>
      <c r="AD1152" t="b">
        <v>1</v>
      </c>
      <c r="AE1152" t="b">
        <v>1</v>
      </c>
      <c r="AF1152" t="b">
        <v>1</v>
      </c>
      <c r="AG1152" t="b">
        <v>1</v>
      </c>
    </row>
    <row r="1153" spans="1:33" x14ac:dyDescent="0.25">
      <c r="A1153" t="s">
        <v>33</v>
      </c>
      <c r="B1153">
        <v>15</v>
      </c>
      <c r="C1153" t="b">
        <v>1</v>
      </c>
      <c r="D1153" t="s">
        <v>4281</v>
      </c>
      <c r="E1153" t="s">
        <v>4282</v>
      </c>
      <c r="F1153" t="s">
        <v>4324</v>
      </c>
      <c r="G1153" t="s">
        <v>4325</v>
      </c>
      <c r="H1153">
        <v>1152</v>
      </c>
      <c r="I1153" t="str">
        <f>IF(ISBLANK(Table1[[#This Row],[oid]]),"FALSE","TRUE")</f>
        <v>TRUE</v>
      </c>
      <c r="J1153" t="str" cm="1">
        <f t="array" ref="J1153">_xlfn.SWITCH(LEFT(Table1[[#This Row],[section]],1), "D", "Demographic", "S", "Social", "E", "Economic", "H", "Housing", "")</f>
        <v>Economic</v>
      </c>
      <c r="K1153" t="s">
        <v>4285</v>
      </c>
      <c r="L1153" t="s">
        <v>4286</v>
      </c>
      <c r="M1153" t="str">
        <f>IF(Table1[[#This Row],[used]], _xlfn.CONCAT("🆔 ", Table1[[#This Row],[variable]], ": ",Table1[[#This Row],[alias]]), "")</f>
        <v>🆔 B08301_020E: Other means</v>
      </c>
      <c r="O1153" t="s">
        <v>4326</v>
      </c>
      <c r="P1153" t="s">
        <v>4287</v>
      </c>
      <c r="Q1153" t="s">
        <v>41</v>
      </c>
      <c r="R1153" t="s">
        <v>4327</v>
      </c>
      <c r="S1153" t="b">
        <v>1</v>
      </c>
      <c r="T1153" t="b">
        <v>1</v>
      </c>
      <c r="U1153" t="b">
        <v>1</v>
      </c>
      <c r="V1153" t="b">
        <v>1</v>
      </c>
      <c r="W1153" t="b">
        <v>1</v>
      </c>
      <c r="X1153" t="b">
        <v>1</v>
      </c>
      <c r="Y1153" t="b">
        <v>1</v>
      </c>
      <c r="Z1153" t="b">
        <v>1</v>
      </c>
      <c r="AA1153" t="b">
        <v>1</v>
      </c>
      <c r="AB1153" t="b">
        <v>1</v>
      </c>
      <c r="AC1153" t="b">
        <v>1</v>
      </c>
      <c r="AD1153" t="b">
        <v>1</v>
      </c>
      <c r="AE1153" t="b">
        <v>1</v>
      </c>
      <c r="AF1153" t="b">
        <v>1</v>
      </c>
      <c r="AG1153" t="b">
        <v>1</v>
      </c>
    </row>
    <row r="1154" spans="1:33" x14ac:dyDescent="0.25">
      <c r="A1154" t="s">
        <v>676</v>
      </c>
      <c r="B1154">
        <v>9</v>
      </c>
      <c r="C1154" t="b">
        <v>0</v>
      </c>
      <c r="D1154" t="s">
        <v>4281</v>
      </c>
      <c r="E1154" t="s">
        <v>4282</v>
      </c>
      <c r="F1154" t="s">
        <v>4328</v>
      </c>
      <c r="G1154" t="s">
        <v>4329</v>
      </c>
      <c r="H1154">
        <v>1153</v>
      </c>
      <c r="I1154" t="str">
        <f>IF(ISBLANK(Table1[[#This Row],[oid]]),"FALSE","TRUE")</f>
        <v>TRUE</v>
      </c>
      <c r="J1154" t="str" cm="1">
        <f t="array" ref="J1154">_xlfn.SWITCH(LEFT(Table1[[#This Row],[section]],1), "D", "Demographic", "S", "Social", "E", "Economic", "H", "Housing", "")</f>
        <v>Economic</v>
      </c>
      <c r="K1154" t="s">
        <v>4285</v>
      </c>
      <c r="L1154" t="s">
        <v>4286</v>
      </c>
      <c r="M1154" t="str">
        <f>IF(Table1[[#This Row],[used]], _xlfn.CONCAT("🆔 ", Table1[[#This Row],[variable]], ": ",Table1[[#This Row],[alias]]), "")</f>
        <v>🆔 B08301_021E: Worked at home</v>
      </c>
      <c r="O1154" t="s">
        <v>4330</v>
      </c>
      <c r="P1154" t="s">
        <v>4287</v>
      </c>
      <c r="Q1154" t="s">
        <v>41</v>
      </c>
      <c r="R1154" t="s">
        <v>4331</v>
      </c>
      <c r="S1154" t="b">
        <v>1</v>
      </c>
      <c r="T1154" t="b">
        <v>1</v>
      </c>
      <c r="U1154" t="b">
        <v>1</v>
      </c>
      <c r="V1154" t="b">
        <v>1</v>
      </c>
      <c r="W1154" t="b">
        <v>1</v>
      </c>
      <c r="X1154" t="b">
        <v>1</v>
      </c>
      <c r="Y1154" t="b">
        <v>1</v>
      </c>
      <c r="Z1154" t="b">
        <v>1</v>
      </c>
      <c r="AA1154" t="b">
        <v>1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</row>
    <row r="1155" spans="1:33" x14ac:dyDescent="0.25">
      <c r="A1155" t="s">
        <v>681</v>
      </c>
      <c r="B1155">
        <v>6</v>
      </c>
      <c r="C1155" t="b">
        <v>0</v>
      </c>
      <c r="D1155" t="s">
        <v>4281</v>
      </c>
      <c r="E1155" t="s">
        <v>4282</v>
      </c>
      <c r="F1155" t="s">
        <v>4328</v>
      </c>
      <c r="G1155" t="s">
        <v>4332</v>
      </c>
      <c r="H1155">
        <v>1154</v>
      </c>
      <c r="I1155" t="str">
        <f>IF(ISBLANK(Table1[[#This Row],[oid]]),"FALSE","TRUE")</f>
        <v>TRUE</v>
      </c>
      <c r="J1155" t="str" cm="1">
        <f t="array" ref="J1155">_xlfn.SWITCH(LEFT(Table1[[#This Row],[section]],1), "D", "Demographic", "S", "Social", "E", "Economic", "H", "Housing", "")</f>
        <v>Economic</v>
      </c>
      <c r="K1155" t="s">
        <v>4285</v>
      </c>
      <c r="L1155" t="s">
        <v>4286</v>
      </c>
      <c r="M1155" t="str">
        <f>IF(Table1[[#This Row],[used]], _xlfn.CONCAT("🆔 ", Table1[[#This Row],[variable]], ": ",Table1[[#This Row],[alias]]), "")</f>
        <v>🆔 B08301_021E: Worked from home</v>
      </c>
      <c r="O1155" t="s">
        <v>4333</v>
      </c>
      <c r="P1155" t="s">
        <v>4287</v>
      </c>
      <c r="Q1155" t="s">
        <v>41</v>
      </c>
      <c r="R1155" t="s">
        <v>4331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1</v>
      </c>
      <c r="AC1155" t="b">
        <v>1</v>
      </c>
      <c r="AD1155" t="b">
        <v>1</v>
      </c>
      <c r="AE1155" t="b">
        <v>1</v>
      </c>
      <c r="AF1155" t="b">
        <v>1</v>
      </c>
      <c r="AG1155" t="b">
        <v>1</v>
      </c>
    </row>
    <row r="1156" spans="1:33" x14ac:dyDescent="0.25">
      <c r="A1156" t="s">
        <v>33</v>
      </c>
      <c r="B1156">
        <v>15</v>
      </c>
      <c r="C1156" t="b">
        <v>1</v>
      </c>
      <c r="D1156" t="s">
        <v>4281</v>
      </c>
      <c r="E1156" t="s">
        <v>4334</v>
      </c>
      <c r="F1156" t="s">
        <v>4335</v>
      </c>
      <c r="G1156" t="s">
        <v>4336</v>
      </c>
      <c r="H1156">
        <v>1155</v>
      </c>
      <c r="I1156" t="str">
        <f>IF(ISBLANK(Table1[[#This Row],[oid]]),"FALSE","TRUE")</f>
        <v>TRUE</v>
      </c>
      <c r="J1156" t="str" cm="1">
        <f t="array" ref="J1156">_xlfn.SWITCH(LEFT(Table1[[#This Row],[section]],1), "D", "Demographic", "S", "Social", "E", "Economic", "H", "Housing", "")</f>
        <v>Economic</v>
      </c>
      <c r="K1156" t="s">
        <v>4337</v>
      </c>
      <c r="L1156" t="s">
        <v>4338</v>
      </c>
      <c r="M1156" t="str">
        <f>IF(Table1[[#This Row],[used]], _xlfn.CONCAT("🆔 ", Table1[[#This Row],[variable]], ": ",Table1[[#This Row],[alias]]), "")</f>
        <v>🆔 B08012_001E: Total Workers 16+ years who did not work at home</v>
      </c>
      <c r="O1156" t="s">
        <v>39</v>
      </c>
      <c r="P1156" t="s">
        <v>4339</v>
      </c>
      <c r="Q1156" t="s">
        <v>41</v>
      </c>
      <c r="R1156" t="s">
        <v>4340</v>
      </c>
      <c r="S1156" t="b">
        <v>1</v>
      </c>
      <c r="T1156" t="b">
        <v>1</v>
      </c>
      <c r="U1156" t="b">
        <v>1</v>
      </c>
      <c r="V1156" t="b">
        <v>1</v>
      </c>
      <c r="W1156" t="b">
        <v>1</v>
      </c>
      <c r="X1156" t="b">
        <v>1</v>
      </c>
      <c r="Y1156" t="b">
        <v>1</v>
      </c>
      <c r="Z1156" t="b">
        <v>1</v>
      </c>
      <c r="AA1156" t="b">
        <v>1</v>
      </c>
      <c r="AB1156" t="b">
        <v>1</v>
      </c>
      <c r="AC1156" t="b">
        <v>1</v>
      </c>
      <c r="AD1156" t="b">
        <v>1</v>
      </c>
      <c r="AE1156" t="b">
        <v>1</v>
      </c>
      <c r="AF1156" t="b">
        <v>1</v>
      </c>
      <c r="AG1156" t="b">
        <v>1</v>
      </c>
    </row>
    <row r="1157" spans="1:33" x14ac:dyDescent="0.25">
      <c r="A1157" t="s">
        <v>33</v>
      </c>
      <c r="B1157">
        <v>15</v>
      </c>
      <c r="C1157" t="b">
        <v>1</v>
      </c>
      <c r="D1157" t="s">
        <v>4281</v>
      </c>
      <c r="E1157" t="s">
        <v>4334</v>
      </c>
      <c r="F1157" t="s">
        <v>4341</v>
      </c>
      <c r="G1157" t="s">
        <v>4342</v>
      </c>
      <c r="H1157">
        <v>1156</v>
      </c>
      <c r="I1157" t="str">
        <f>IF(ISBLANK(Table1[[#This Row],[oid]]),"FALSE","TRUE")</f>
        <v>TRUE</v>
      </c>
      <c r="J1157" t="str" cm="1">
        <f t="array" ref="J1157">_xlfn.SWITCH(LEFT(Table1[[#This Row],[section]],1), "D", "Demographic", "S", "Social", "E", "Economic", "H", "Housing", "")</f>
        <v>Economic</v>
      </c>
      <c r="K1157" t="s">
        <v>4337</v>
      </c>
      <c r="L1157" t="s">
        <v>4338</v>
      </c>
      <c r="M1157" t="str">
        <f>IF(Table1[[#This Row],[used]], _xlfn.CONCAT("🆔 ", Table1[[#This Row],[variable]], ": ",Table1[[#This Row],[alias]]), "")</f>
        <v>🆔 B08012_002E: Less than 5 minutes</v>
      </c>
      <c r="O1157" t="s">
        <v>4343</v>
      </c>
      <c r="P1157" t="s">
        <v>4339</v>
      </c>
      <c r="Q1157" t="s">
        <v>41</v>
      </c>
      <c r="R1157" t="s">
        <v>4344</v>
      </c>
      <c r="S1157" t="b">
        <v>1</v>
      </c>
      <c r="T1157" t="b">
        <v>1</v>
      </c>
      <c r="U1157" t="b">
        <v>1</v>
      </c>
      <c r="V1157" t="b">
        <v>1</v>
      </c>
      <c r="W1157" t="b">
        <v>1</v>
      </c>
      <c r="X1157" t="b">
        <v>1</v>
      </c>
      <c r="Y1157" t="b">
        <v>1</v>
      </c>
      <c r="Z1157" t="b">
        <v>1</v>
      </c>
      <c r="AA1157" t="b">
        <v>1</v>
      </c>
      <c r="AB1157" t="b">
        <v>1</v>
      </c>
      <c r="AC1157" t="b">
        <v>1</v>
      </c>
      <c r="AD1157" t="b">
        <v>1</v>
      </c>
      <c r="AE1157" t="b">
        <v>1</v>
      </c>
      <c r="AF1157" t="b">
        <v>1</v>
      </c>
      <c r="AG1157" t="b">
        <v>1</v>
      </c>
    </row>
    <row r="1158" spans="1:33" x14ac:dyDescent="0.25">
      <c r="A1158" t="s">
        <v>33</v>
      </c>
      <c r="B1158">
        <v>15</v>
      </c>
      <c r="C1158" t="b">
        <v>1</v>
      </c>
      <c r="D1158" t="s">
        <v>4281</v>
      </c>
      <c r="E1158" t="s">
        <v>4334</v>
      </c>
      <c r="F1158" t="s">
        <v>4345</v>
      </c>
      <c r="G1158" t="s">
        <v>4346</v>
      </c>
      <c r="H1158">
        <v>1157</v>
      </c>
      <c r="I1158" t="str">
        <f>IF(ISBLANK(Table1[[#This Row],[oid]]),"FALSE","TRUE")</f>
        <v>TRUE</v>
      </c>
      <c r="J1158" t="str" cm="1">
        <f t="array" ref="J1158">_xlfn.SWITCH(LEFT(Table1[[#This Row],[section]],1), "D", "Demographic", "S", "Social", "E", "Economic", "H", "Housing", "")</f>
        <v>Economic</v>
      </c>
      <c r="K1158" t="s">
        <v>4337</v>
      </c>
      <c r="L1158" t="s">
        <v>4338</v>
      </c>
      <c r="M1158" t="str">
        <f>IF(Table1[[#This Row],[used]], _xlfn.CONCAT("🆔 ", Table1[[#This Row],[variable]], ": ",Table1[[#This Row],[alias]]), "")</f>
        <v>🆔 B08012_003E: 5 to 9 minutes</v>
      </c>
      <c r="O1158" t="s">
        <v>4347</v>
      </c>
      <c r="P1158" t="s">
        <v>4339</v>
      </c>
      <c r="Q1158" t="s">
        <v>41</v>
      </c>
      <c r="R1158" t="s">
        <v>4348</v>
      </c>
      <c r="S1158" t="b">
        <v>1</v>
      </c>
      <c r="T1158" t="b">
        <v>1</v>
      </c>
      <c r="U1158" t="b">
        <v>1</v>
      </c>
      <c r="V1158" t="b">
        <v>1</v>
      </c>
      <c r="W1158" t="b">
        <v>1</v>
      </c>
      <c r="X1158" t="b">
        <v>1</v>
      </c>
      <c r="Y1158" t="b">
        <v>1</v>
      </c>
      <c r="Z1158" t="b">
        <v>1</v>
      </c>
      <c r="AA1158" t="b">
        <v>1</v>
      </c>
      <c r="AB1158" t="b">
        <v>1</v>
      </c>
      <c r="AC1158" t="b">
        <v>1</v>
      </c>
      <c r="AD1158" t="b">
        <v>1</v>
      </c>
      <c r="AE1158" t="b">
        <v>1</v>
      </c>
      <c r="AF1158" t="b">
        <v>1</v>
      </c>
      <c r="AG1158" t="b">
        <v>1</v>
      </c>
    </row>
    <row r="1159" spans="1:33" x14ac:dyDescent="0.25">
      <c r="A1159" t="s">
        <v>33</v>
      </c>
      <c r="B1159">
        <v>15</v>
      </c>
      <c r="C1159" t="b">
        <v>1</v>
      </c>
      <c r="D1159" t="s">
        <v>4281</v>
      </c>
      <c r="E1159" t="s">
        <v>4334</v>
      </c>
      <c r="F1159" t="s">
        <v>4349</v>
      </c>
      <c r="G1159" t="s">
        <v>4350</v>
      </c>
      <c r="H1159">
        <v>1158</v>
      </c>
      <c r="I1159" t="str">
        <f>IF(ISBLANK(Table1[[#This Row],[oid]]),"FALSE","TRUE")</f>
        <v>TRUE</v>
      </c>
      <c r="J1159" t="str" cm="1">
        <f t="array" ref="J1159">_xlfn.SWITCH(LEFT(Table1[[#This Row],[section]],1), "D", "Demographic", "S", "Social", "E", "Economic", "H", "Housing", "")</f>
        <v>Economic</v>
      </c>
      <c r="K1159" t="s">
        <v>4337</v>
      </c>
      <c r="L1159" t="s">
        <v>4338</v>
      </c>
      <c r="M1159" t="str">
        <f>IF(Table1[[#This Row],[used]], _xlfn.CONCAT("🆔 ", Table1[[#This Row],[variable]], ": ",Table1[[#This Row],[alias]]), "")</f>
        <v>🆔 B08012_004E: 10 to 14 minutes</v>
      </c>
      <c r="O1159" t="s">
        <v>4351</v>
      </c>
      <c r="P1159" t="s">
        <v>4339</v>
      </c>
      <c r="Q1159" t="s">
        <v>41</v>
      </c>
      <c r="R1159" t="s">
        <v>4352</v>
      </c>
      <c r="S1159" t="b">
        <v>1</v>
      </c>
      <c r="T1159" t="b">
        <v>1</v>
      </c>
      <c r="U1159" t="b">
        <v>1</v>
      </c>
      <c r="V1159" t="b">
        <v>1</v>
      </c>
      <c r="W1159" t="b">
        <v>1</v>
      </c>
      <c r="X1159" t="b">
        <v>1</v>
      </c>
      <c r="Y1159" t="b">
        <v>1</v>
      </c>
      <c r="Z1159" t="b">
        <v>1</v>
      </c>
      <c r="AA1159" t="b">
        <v>1</v>
      </c>
      <c r="AB1159" t="b">
        <v>1</v>
      </c>
      <c r="AC1159" t="b">
        <v>1</v>
      </c>
      <c r="AD1159" t="b">
        <v>1</v>
      </c>
      <c r="AE1159" t="b">
        <v>1</v>
      </c>
      <c r="AF1159" t="b">
        <v>1</v>
      </c>
      <c r="AG1159" t="b">
        <v>1</v>
      </c>
    </row>
    <row r="1160" spans="1:33" x14ac:dyDescent="0.25">
      <c r="A1160" t="s">
        <v>33</v>
      </c>
      <c r="B1160">
        <v>15</v>
      </c>
      <c r="C1160" t="b">
        <v>1</v>
      </c>
      <c r="D1160" t="s">
        <v>4281</v>
      </c>
      <c r="E1160" t="s">
        <v>4334</v>
      </c>
      <c r="F1160" t="s">
        <v>4353</v>
      </c>
      <c r="G1160" t="s">
        <v>4354</v>
      </c>
      <c r="H1160">
        <v>1159</v>
      </c>
      <c r="I1160" t="str">
        <f>IF(ISBLANK(Table1[[#This Row],[oid]]),"FALSE","TRUE")</f>
        <v>TRUE</v>
      </c>
      <c r="J1160" t="str" cm="1">
        <f t="array" ref="J1160">_xlfn.SWITCH(LEFT(Table1[[#This Row],[section]],1), "D", "Demographic", "S", "Social", "E", "Economic", "H", "Housing", "")</f>
        <v>Economic</v>
      </c>
      <c r="K1160" t="s">
        <v>4337</v>
      </c>
      <c r="L1160" t="s">
        <v>4338</v>
      </c>
      <c r="M1160" t="str">
        <f>IF(Table1[[#This Row],[used]], _xlfn.CONCAT("🆔 ", Table1[[#This Row],[variable]], ": ",Table1[[#This Row],[alias]]), "")</f>
        <v>🆔 B08012_005E: 15 to 19 minutes</v>
      </c>
      <c r="O1160" t="s">
        <v>4355</v>
      </c>
      <c r="P1160" t="s">
        <v>4339</v>
      </c>
      <c r="Q1160" t="s">
        <v>41</v>
      </c>
      <c r="R1160" t="s">
        <v>4356</v>
      </c>
      <c r="S1160" t="b">
        <v>1</v>
      </c>
      <c r="T1160" t="b">
        <v>1</v>
      </c>
      <c r="U1160" t="b">
        <v>1</v>
      </c>
      <c r="V1160" t="b">
        <v>1</v>
      </c>
      <c r="W1160" t="b">
        <v>1</v>
      </c>
      <c r="X1160" t="b">
        <v>1</v>
      </c>
      <c r="Y1160" t="b">
        <v>1</v>
      </c>
      <c r="Z1160" t="b">
        <v>1</v>
      </c>
      <c r="AA1160" t="b">
        <v>1</v>
      </c>
      <c r="AB1160" t="b">
        <v>1</v>
      </c>
      <c r="AC1160" t="b">
        <v>1</v>
      </c>
      <c r="AD1160" t="b">
        <v>1</v>
      </c>
      <c r="AE1160" t="b">
        <v>1</v>
      </c>
      <c r="AF1160" t="b">
        <v>1</v>
      </c>
      <c r="AG1160" t="b">
        <v>1</v>
      </c>
    </row>
    <row r="1161" spans="1:33" x14ac:dyDescent="0.25">
      <c r="A1161" t="s">
        <v>33</v>
      </c>
      <c r="B1161">
        <v>15</v>
      </c>
      <c r="C1161" t="b">
        <v>1</v>
      </c>
      <c r="D1161" t="s">
        <v>4281</v>
      </c>
      <c r="E1161" t="s">
        <v>4334</v>
      </c>
      <c r="F1161" t="s">
        <v>4357</v>
      </c>
      <c r="G1161" t="s">
        <v>4358</v>
      </c>
      <c r="H1161">
        <v>1160</v>
      </c>
      <c r="I1161" t="str">
        <f>IF(ISBLANK(Table1[[#This Row],[oid]]),"FALSE","TRUE")</f>
        <v>TRUE</v>
      </c>
      <c r="J1161" t="str" cm="1">
        <f t="array" ref="J1161">_xlfn.SWITCH(LEFT(Table1[[#This Row],[section]],1), "D", "Demographic", "S", "Social", "E", "Economic", "H", "Housing", "")</f>
        <v>Economic</v>
      </c>
      <c r="K1161" t="s">
        <v>4337</v>
      </c>
      <c r="L1161" t="s">
        <v>4338</v>
      </c>
      <c r="M1161" t="str">
        <f>IF(Table1[[#This Row],[used]], _xlfn.CONCAT("🆔 ", Table1[[#This Row],[variable]], ": ",Table1[[#This Row],[alias]]), "")</f>
        <v>🆔 B08012_006E: 20 to 24 minutes</v>
      </c>
      <c r="O1161" t="s">
        <v>4359</v>
      </c>
      <c r="P1161" t="s">
        <v>4339</v>
      </c>
      <c r="Q1161" t="s">
        <v>41</v>
      </c>
      <c r="R1161" t="s">
        <v>4360</v>
      </c>
      <c r="S1161" t="b">
        <v>1</v>
      </c>
      <c r="T1161" t="b">
        <v>1</v>
      </c>
      <c r="U1161" t="b">
        <v>1</v>
      </c>
      <c r="V1161" t="b">
        <v>1</v>
      </c>
      <c r="W1161" t="b">
        <v>1</v>
      </c>
      <c r="X1161" t="b">
        <v>1</v>
      </c>
      <c r="Y1161" t="b">
        <v>1</v>
      </c>
      <c r="Z1161" t="b">
        <v>1</v>
      </c>
      <c r="AA1161" t="b">
        <v>1</v>
      </c>
      <c r="AB1161" t="b">
        <v>1</v>
      </c>
      <c r="AC1161" t="b">
        <v>1</v>
      </c>
      <c r="AD1161" t="b">
        <v>1</v>
      </c>
      <c r="AE1161" t="b">
        <v>1</v>
      </c>
      <c r="AF1161" t="b">
        <v>1</v>
      </c>
      <c r="AG1161" t="b">
        <v>1</v>
      </c>
    </row>
    <row r="1162" spans="1:33" x14ac:dyDescent="0.25">
      <c r="A1162" t="s">
        <v>33</v>
      </c>
      <c r="B1162">
        <v>15</v>
      </c>
      <c r="C1162" t="b">
        <v>1</v>
      </c>
      <c r="D1162" t="s">
        <v>4281</v>
      </c>
      <c r="E1162" t="s">
        <v>4334</v>
      </c>
      <c r="F1162" t="s">
        <v>4361</v>
      </c>
      <c r="G1162" t="s">
        <v>4362</v>
      </c>
      <c r="H1162">
        <v>1161</v>
      </c>
      <c r="I1162" t="str">
        <f>IF(ISBLANK(Table1[[#This Row],[oid]]),"FALSE","TRUE")</f>
        <v>TRUE</v>
      </c>
      <c r="J1162" t="str" cm="1">
        <f t="array" ref="J1162">_xlfn.SWITCH(LEFT(Table1[[#This Row],[section]],1), "D", "Demographic", "S", "Social", "E", "Economic", "H", "Housing", "")</f>
        <v>Economic</v>
      </c>
      <c r="K1162" t="s">
        <v>4337</v>
      </c>
      <c r="L1162" t="s">
        <v>4338</v>
      </c>
      <c r="M1162" t="str">
        <f>IF(Table1[[#This Row],[used]], _xlfn.CONCAT("🆔 ", Table1[[#This Row],[variable]], ": ",Table1[[#This Row],[alias]]), "")</f>
        <v>🆔 B08012_007E: 25 to 29 minutes</v>
      </c>
      <c r="O1162" t="s">
        <v>4363</v>
      </c>
      <c r="P1162" t="s">
        <v>4339</v>
      </c>
      <c r="Q1162" t="s">
        <v>41</v>
      </c>
      <c r="R1162" t="s">
        <v>4364</v>
      </c>
      <c r="S1162" t="b">
        <v>1</v>
      </c>
      <c r="T1162" t="b">
        <v>1</v>
      </c>
      <c r="U1162" t="b">
        <v>1</v>
      </c>
      <c r="V1162" t="b">
        <v>1</v>
      </c>
      <c r="W1162" t="b">
        <v>1</v>
      </c>
      <c r="X1162" t="b">
        <v>1</v>
      </c>
      <c r="Y1162" t="b">
        <v>1</v>
      </c>
      <c r="Z1162" t="b">
        <v>1</v>
      </c>
      <c r="AA1162" t="b">
        <v>1</v>
      </c>
      <c r="AB1162" t="b">
        <v>1</v>
      </c>
      <c r="AC1162" t="b">
        <v>1</v>
      </c>
      <c r="AD1162" t="b">
        <v>1</v>
      </c>
      <c r="AE1162" t="b">
        <v>1</v>
      </c>
      <c r="AF1162" t="b">
        <v>1</v>
      </c>
      <c r="AG1162" t="b">
        <v>1</v>
      </c>
    </row>
    <row r="1163" spans="1:33" x14ac:dyDescent="0.25">
      <c r="A1163" t="s">
        <v>33</v>
      </c>
      <c r="B1163">
        <v>15</v>
      </c>
      <c r="C1163" t="b">
        <v>1</v>
      </c>
      <c r="D1163" t="s">
        <v>4281</v>
      </c>
      <c r="E1163" t="s">
        <v>4334</v>
      </c>
      <c r="F1163" t="s">
        <v>4365</v>
      </c>
      <c r="G1163" t="s">
        <v>4366</v>
      </c>
      <c r="H1163">
        <v>1162</v>
      </c>
      <c r="I1163" t="str">
        <f>IF(ISBLANK(Table1[[#This Row],[oid]]),"FALSE","TRUE")</f>
        <v>TRUE</v>
      </c>
      <c r="J1163" t="str" cm="1">
        <f t="array" ref="J1163">_xlfn.SWITCH(LEFT(Table1[[#This Row],[section]],1), "D", "Demographic", "S", "Social", "E", "Economic", "H", "Housing", "")</f>
        <v>Economic</v>
      </c>
      <c r="K1163" t="s">
        <v>4337</v>
      </c>
      <c r="L1163" t="s">
        <v>4338</v>
      </c>
      <c r="M1163" t="str">
        <f>IF(Table1[[#This Row],[used]], _xlfn.CONCAT("🆔 ", Table1[[#This Row],[variable]], ": ",Table1[[#This Row],[alias]]), "")</f>
        <v>🆔 B08012_008E: 30 to 34 minutes</v>
      </c>
      <c r="O1163" t="s">
        <v>4367</v>
      </c>
      <c r="P1163" t="s">
        <v>4339</v>
      </c>
      <c r="Q1163" t="s">
        <v>41</v>
      </c>
      <c r="R1163" t="s">
        <v>4368</v>
      </c>
      <c r="S1163" t="b">
        <v>1</v>
      </c>
      <c r="T1163" t="b">
        <v>1</v>
      </c>
      <c r="U1163" t="b">
        <v>1</v>
      </c>
      <c r="V1163" t="b">
        <v>1</v>
      </c>
      <c r="W1163" t="b">
        <v>1</v>
      </c>
      <c r="X1163" t="b">
        <v>1</v>
      </c>
      <c r="Y1163" t="b">
        <v>1</v>
      </c>
      <c r="Z1163" t="b">
        <v>1</v>
      </c>
      <c r="AA1163" t="b">
        <v>1</v>
      </c>
      <c r="AB1163" t="b">
        <v>1</v>
      </c>
      <c r="AC1163" t="b">
        <v>1</v>
      </c>
      <c r="AD1163" t="b">
        <v>1</v>
      </c>
      <c r="AE1163" t="b">
        <v>1</v>
      </c>
      <c r="AF1163" t="b">
        <v>1</v>
      </c>
      <c r="AG1163" t="b">
        <v>1</v>
      </c>
    </row>
    <row r="1164" spans="1:33" x14ac:dyDescent="0.25">
      <c r="A1164" t="s">
        <v>33</v>
      </c>
      <c r="B1164">
        <v>15</v>
      </c>
      <c r="C1164" t="b">
        <v>1</v>
      </c>
      <c r="D1164" t="s">
        <v>4281</v>
      </c>
      <c r="E1164" t="s">
        <v>4334</v>
      </c>
      <c r="F1164" t="s">
        <v>4369</v>
      </c>
      <c r="G1164" t="s">
        <v>4370</v>
      </c>
      <c r="H1164">
        <v>1163</v>
      </c>
      <c r="I1164" t="str">
        <f>IF(ISBLANK(Table1[[#This Row],[oid]]),"FALSE","TRUE")</f>
        <v>TRUE</v>
      </c>
      <c r="J1164" t="str" cm="1">
        <f t="array" ref="J1164">_xlfn.SWITCH(LEFT(Table1[[#This Row],[section]],1), "D", "Demographic", "S", "Social", "E", "Economic", "H", "Housing", "")</f>
        <v>Economic</v>
      </c>
      <c r="K1164" t="s">
        <v>4337</v>
      </c>
      <c r="L1164" t="s">
        <v>4338</v>
      </c>
      <c r="M1164" t="str">
        <f>IF(Table1[[#This Row],[used]], _xlfn.CONCAT("🆔 ", Table1[[#This Row],[variable]], ": ",Table1[[#This Row],[alias]]), "")</f>
        <v>🆔 B08012_009E: 35 to 39 minutes</v>
      </c>
      <c r="O1164" t="s">
        <v>4371</v>
      </c>
      <c r="P1164" t="s">
        <v>4339</v>
      </c>
      <c r="Q1164" t="s">
        <v>41</v>
      </c>
      <c r="R1164" t="s">
        <v>4372</v>
      </c>
      <c r="S1164" t="b">
        <v>1</v>
      </c>
      <c r="T1164" t="b">
        <v>1</v>
      </c>
      <c r="U1164" t="b">
        <v>1</v>
      </c>
      <c r="V1164" t="b">
        <v>1</v>
      </c>
      <c r="W1164" t="b">
        <v>1</v>
      </c>
      <c r="X1164" t="b">
        <v>1</v>
      </c>
      <c r="Y1164" t="b">
        <v>1</v>
      </c>
      <c r="Z1164" t="b">
        <v>1</v>
      </c>
      <c r="AA1164" t="b">
        <v>1</v>
      </c>
      <c r="AB1164" t="b">
        <v>1</v>
      </c>
      <c r="AC1164" t="b">
        <v>1</v>
      </c>
      <c r="AD1164" t="b">
        <v>1</v>
      </c>
      <c r="AE1164" t="b">
        <v>1</v>
      </c>
      <c r="AF1164" t="b">
        <v>1</v>
      </c>
      <c r="AG1164" t="b">
        <v>1</v>
      </c>
    </row>
    <row r="1165" spans="1:33" x14ac:dyDescent="0.25">
      <c r="A1165" t="s">
        <v>33</v>
      </c>
      <c r="B1165">
        <v>15</v>
      </c>
      <c r="C1165" t="b">
        <v>1</v>
      </c>
      <c r="D1165" t="s">
        <v>4281</v>
      </c>
      <c r="E1165" t="s">
        <v>4334</v>
      </c>
      <c r="F1165" t="s">
        <v>4373</v>
      </c>
      <c r="G1165" t="s">
        <v>4374</v>
      </c>
      <c r="H1165">
        <v>1164</v>
      </c>
      <c r="I1165" t="str">
        <f>IF(ISBLANK(Table1[[#This Row],[oid]]),"FALSE","TRUE")</f>
        <v>TRUE</v>
      </c>
      <c r="J1165" t="str" cm="1">
        <f t="array" ref="J1165">_xlfn.SWITCH(LEFT(Table1[[#This Row],[section]],1), "D", "Demographic", "S", "Social", "E", "Economic", "H", "Housing", "")</f>
        <v>Economic</v>
      </c>
      <c r="K1165" t="s">
        <v>4337</v>
      </c>
      <c r="L1165" t="s">
        <v>4338</v>
      </c>
      <c r="M1165" t="str">
        <f>IF(Table1[[#This Row],[used]], _xlfn.CONCAT("🆔 ", Table1[[#This Row],[variable]], ": ",Table1[[#This Row],[alias]]), "")</f>
        <v>🆔 B08012_010E: 40 to 44 minutes</v>
      </c>
      <c r="O1165" t="s">
        <v>4375</v>
      </c>
      <c r="P1165" t="s">
        <v>4339</v>
      </c>
      <c r="Q1165" t="s">
        <v>41</v>
      </c>
      <c r="R1165" t="s">
        <v>4376</v>
      </c>
      <c r="S1165" t="b">
        <v>1</v>
      </c>
      <c r="T1165" t="b">
        <v>1</v>
      </c>
      <c r="U1165" t="b">
        <v>1</v>
      </c>
      <c r="V1165" t="b">
        <v>1</v>
      </c>
      <c r="W1165" t="b">
        <v>1</v>
      </c>
      <c r="X1165" t="b">
        <v>1</v>
      </c>
      <c r="Y1165" t="b">
        <v>1</v>
      </c>
      <c r="Z1165" t="b">
        <v>1</v>
      </c>
      <c r="AA1165" t="b">
        <v>1</v>
      </c>
      <c r="AB1165" t="b">
        <v>1</v>
      </c>
      <c r="AC1165" t="b">
        <v>1</v>
      </c>
      <c r="AD1165" t="b">
        <v>1</v>
      </c>
      <c r="AE1165" t="b">
        <v>1</v>
      </c>
      <c r="AF1165" t="b">
        <v>1</v>
      </c>
      <c r="AG1165" t="b">
        <v>1</v>
      </c>
    </row>
    <row r="1166" spans="1:33" x14ac:dyDescent="0.25">
      <c r="A1166" t="s">
        <v>33</v>
      </c>
      <c r="B1166">
        <v>15</v>
      </c>
      <c r="C1166" t="b">
        <v>1</v>
      </c>
      <c r="D1166" t="s">
        <v>4281</v>
      </c>
      <c r="E1166" t="s">
        <v>4334</v>
      </c>
      <c r="F1166" t="s">
        <v>4377</v>
      </c>
      <c r="G1166" t="s">
        <v>4378</v>
      </c>
      <c r="H1166">
        <v>1165</v>
      </c>
      <c r="I1166" t="str">
        <f>IF(ISBLANK(Table1[[#This Row],[oid]]),"FALSE","TRUE")</f>
        <v>TRUE</v>
      </c>
      <c r="J1166" t="str" cm="1">
        <f t="array" ref="J1166">_xlfn.SWITCH(LEFT(Table1[[#This Row],[section]],1), "D", "Demographic", "S", "Social", "E", "Economic", "H", "Housing", "")</f>
        <v>Economic</v>
      </c>
      <c r="K1166" t="s">
        <v>4337</v>
      </c>
      <c r="L1166" t="s">
        <v>4338</v>
      </c>
      <c r="M1166" t="str">
        <f>IF(Table1[[#This Row],[used]], _xlfn.CONCAT("🆔 ", Table1[[#This Row],[variable]], ": ",Table1[[#This Row],[alias]]), "")</f>
        <v>🆔 B08012_011E: 45 to 59 minutes</v>
      </c>
      <c r="O1166" t="s">
        <v>4379</v>
      </c>
      <c r="P1166" t="s">
        <v>4339</v>
      </c>
      <c r="Q1166" t="s">
        <v>41</v>
      </c>
      <c r="R1166" t="s">
        <v>4380</v>
      </c>
      <c r="S1166" t="b">
        <v>1</v>
      </c>
      <c r="T1166" t="b">
        <v>1</v>
      </c>
      <c r="U1166" t="b">
        <v>1</v>
      </c>
      <c r="V1166" t="b">
        <v>1</v>
      </c>
      <c r="W1166" t="b">
        <v>1</v>
      </c>
      <c r="X1166" t="b">
        <v>1</v>
      </c>
      <c r="Y1166" t="b">
        <v>1</v>
      </c>
      <c r="Z1166" t="b">
        <v>1</v>
      </c>
      <c r="AA1166" t="b">
        <v>1</v>
      </c>
      <c r="AB1166" t="b">
        <v>1</v>
      </c>
      <c r="AC1166" t="b">
        <v>1</v>
      </c>
      <c r="AD1166" t="b">
        <v>1</v>
      </c>
      <c r="AE1166" t="b">
        <v>1</v>
      </c>
      <c r="AF1166" t="b">
        <v>1</v>
      </c>
      <c r="AG1166" t="b">
        <v>1</v>
      </c>
    </row>
    <row r="1167" spans="1:33" x14ac:dyDescent="0.25">
      <c r="A1167" t="s">
        <v>33</v>
      </c>
      <c r="B1167">
        <v>15</v>
      </c>
      <c r="C1167" t="b">
        <v>1</v>
      </c>
      <c r="D1167" t="s">
        <v>4281</v>
      </c>
      <c r="E1167" t="s">
        <v>4334</v>
      </c>
      <c r="F1167" t="s">
        <v>4381</v>
      </c>
      <c r="G1167" t="s">
        <v>4382</v>
      </c>
      <c r="H1167">
        <v>1166</v>
      </c>
      <c r="I1167" t="str">
        <f>IF(ISBLANK(Table1[[#This Row],[oid]]),"FALSE","TRUE")</f>
        <v>TRUE</v>
      </c>
      <c r="J1167" t="str" cm="1">
        <f t="array" ref="J1167">_xlfn.SWITCH(LEFT(Table1[[#This Row],[section]],1), "D", "Demographic", "S", "Social", "E", "Economic", "H", "Housing", "")</f>
        <v>Economic</v>
      </c>
      <c r="K1167" t="s">
        <v>4337</v>
      </c>
      <c r="L1167" t="s">
        <v>4338</v>
      </c>
      <c r="M1167" t="str">
        <f>IF(Table1[[#This Row],[used]], _xlfn.CONCAT("🆔 ", Table1[[#This Row],[variable]], ": ",Table1[[#This Row],[alias]]), "")</f>
        <v>🆔 B08012_012E: 60 to 89 minutes</v>
      </c>
      <c r="O1167" t="s">
        <v>4383</v>
      </c>
      <c r="P1167" t="s">
        <v>4339</v>
      </c>
      <c r="Q1167" t="s">
        <v>41</v>
      </c>
      <c r="R1167" t="s">
        <v>4384</v>
      </c>
      <c r="S1167" t="b">
        <v>1</v>
      </c>
      <c r="T1167" t="b">
        <v>1</v>
      </c>
      <c r="U1167" t="b">
        <v>1</v>
      </c>
      <c r="V1167" t="b">
        <v>1</v>
      </c>
      <c r="W1167" t="b">
        <v>1</v>
      </c>
      <c r="X1167" t="b">
        <v>1</v>
      </c>
      <c r="Y1167" t="b">
        <v>1</v>
      </c>
      <c r="Z1167" t="b">
        <v>1</v>
      </c>
      <c r="AA1167" t="b">
        <v>1</v>
      </c>
      <c r="AB1167" t="b">
        <v>1</v>
      </c>
      <c r="AC1167" t="b">
        <v>1</v>
      </c>
      <c r="AD1167" t="b">
        <v>1</v>
      </c>
      <c r="AE1167" t="b">
        <v>1</v>
      </c>
      <c r="AF1167" t="b">
        <v>1</v>
      </c>
      <c r="AG1167" t="b">
        <v>1</v>
      </c>
    </row>
    <row r="1168" spans="1:33" x14ac:dyDescent="0.25">
      <c r="A1168" t="s">
        <v>33</v>
      </c>
      <c r="B1168">
        <v>15</v>
      </c>
      <c r="C1168" t="b">
        <v>1</v>
      </c>
      <c r="D1168" t="s">
        <v>4281</v>
      </c>
      <c r="E1168" t="s">
        <v>4334</v>
      </c>
      <c r="F1168" t="s">
        <v>4385</v>
      </c>
      <c r="G1168" t="s">
        <v>4386</v>
      </c>
      <c r="H1168">
        <v>1167</v>
      </c>
      <c r="I1168" t="str">
        <f>IF(ISBLANK(Table1[[#This Row],[oid]]),"FALSE","TRUE")</f>
        <v>TRUE</v>
      </c>
      <c r="J1168" t="str" cm="1">
        <f t="array" ref="J1168">_xlfn.SWITCH(LEFT(Table1[[#This Row],[section]],1), "D", "Demographic", "S", "Social", "E", "Economic", "H", "Housing", "")</f>
        <v>Economic</v>
      </c>
      <c r="K1168" t="s">
        <v>4337</v>
      </c>
      <c r="L1168" t="s">
        <v>4338</v>
      </c>
      <c r="M1168" t="str">
        <f>IF(Table1[[#This Row],[used]], _xlfn.CONCAT("🆔 ", Table1[[#This Row],[variable]], ": ",Table1[[#This Row],[alias]]), "")</f>
        <v>🆔 B08012_013E: 90 or more minutes</v>
      </c>
      <c r="O1168" t="s">
        <v>4387</v>
      </c>
      <c r="P1168" t="s">
        <v>4339</v>
      </c>
      <c r="Q1168" t="s">
        <v>41</v>
      </c>
      <c r="R1168" t="s">
        <v>4388</v>
      </c>
      <c r="S1168" t="b">
        <v>1</v>
      </c>
      <c r="T1168" t="b">
        <v>1</v>
      </c>
      <c r="U1168" t="b">
        <v>1</v>
      </c>
      <c r="V1168" t="b">
        <v>1</v>
      </c>
      <c r="W1168" t="b">
        <v>1</v>
      </c>
      <c r="X1168" t="b">
        <v>1</v>
      </c>
      <c r="Y1168" t="b">
        <v>1</v>
      </c>
      <c r="Z1168" t="b">
        <v>1</v>
      </c>
      <c r="AA1168" t="b">
        <v>1</v>
      </c>
      <c r="AB1168" t="b">
        <v>1</v>
      </c>
      <c r="AC1168" t="b">
        <v>1</v>
      </c>
      <c r="AD1168" t="b">
        <v>1</v>
      </c>
      <c r="AE1168" t="b">
        <v>1</v>
      </c>
      <c r="AF1168" t="b">
        <v>1</v>
      </c>
      <c r="AG1168" t="b">
        <v>1</v>
      </c>
    </row>
    <row r="1169" spans="1:33" x14ac:dyDescent="0.25">
      <c r="A1169" t="s">
        <v>33</v>
      </c>
      <c r="B1169">
        <v>15</v>
      </c>
      <c r="C1169" t="b">
        <v>1</v>
      </c>
      <c r="D1169" t="s">
        <v>4281</v>
      </c>
      <c r="E1169" t="s">
        <v>4389</v>
      </c>
      <c r="F1169" t="s">
        <v>4390</v>
      </c>
      <c r="G1169" t="s">
        <v>4391</v>
      </c>
      <c r="H1169">
        <v>1168</v>
      </c>
      <c r="I1169" t="str">
        <f>IF(ISBLANK(Table1[[#This Row],[oid]]),"FALSE","TRUE")</f>
        <v>TRUE</v>
      </c>
      <c r="J1169" t="str" cm="1">
        <f t="array" ref="J1169">_xlfn.SWITCH(LEFT(Table1[[#This Row],[section]],1), "D", "Demographic", "S", "Social", "E", "Economic", "H", "Housing", "")</f>
        <v>Economic</v>
      </c>
      <c r="K1169" t="s">
        <v>4337</v>
      </c>
      <c r="L1169" t="s">
        <v>4338</v>
      </c>
      <c r="M1169" t="str">
        <f>IF(Table1[[#This Row],[used]], _xlfn.CONCAT("🆔 ", Table1[[#This Row],[variable]], ": ",Table1[[#This Row],[alias]]), "")</f>
        <v>🆔 B08013_001E: Aggregate travel time to work in minutes</v>
      </c>
      <c r="O1169" t="s">
        <v>4392</v>
      </c>
      <c r="P1169" t="s">
        <v>4393</v>
      </c>
      <c r="Q1169" t="s">
        <v>41</v>
      </c>
      <c r="R1169" t="s">
        <v>4394</v>
      </c>
      <c r="S1169" t="b">
        <v>1</v>
      </c>
      <c r="T1169" t="b">
        <v>1</v>
      </c>
      <c r="U1169" t="b">
        <v>1</v>
      </c>
      <c r="V1169" t="b">
        <v>1</v>
      </c>
      <c r="W1169" t="b">
        <v>1</v>
      </c>
      <c r="X1169" t="b">
        <v>1</v>
      </c>
      <c r="Y1169" t="b">
        <v>1</v>
      </c>
      <c r="Z1169" t="b">
        <v>1</v>
      </c>
      <c r="AA1169" t="b">
        <v>1</v>
      </c>
      <c r="AB1169" t="b">
        <v>1</v>
      </c>
      <c r="AC1169" t="b">
        <v>1</v>
      </c>
      <c r="AD1169" t="b">
        <v>1</v>
      </c>
      <c r="AE1169" t="b">
        <v>1</v>
      </c>
      <c r="AF1169" t="b">
        <v>1</v>
      </c>
      <c r="AG1169" t="b">
        <v>1</v>
      </c>
    </row>
    <row r="1170" spans="1:33" x14ac:dyDescent="0.25">
      <c r="A1170" t="s">
        <v>33</v>
      </c>
      <c r="B1170">
        <v>15</v>
      </c>
      <c r="C1170" t="b">
        <v>1</v>
      </c>
      <c r="D1170" t="s">
        <v>4281</v>
      </c>
      <c r="E1170" t="s">
        <v>4395</v>
      </c>
      <c r="F1170" t="s">
        <v>4396</v>
      </c>
      <c r="G1170" t="s">
        <v>4397</v>
      </c>
      <c r="H1170">
        <v>1169</v>
      </c>
      <c r="I1170" t="str">
        <f>IF(ISBLANK(Table1[[#This Row],[oid]]),"FALSE","TRUE")</f>
        <v>TRUE</v>
      </c>
      <c r="J1170" t="str" cm="1">
        <f t="array" ref="J1170">_xlfn.SWITCH(LEFT(Table1[[#This Row],[section]],1), "D", "Demographic", "S", "Social", "E", "Economic", "H", "Housing", "")</f>
        <v>Economic</v>
      </c>
      <c r="K1170" t="s">
        <v>4398</v>
      </c>
      <c r="L1170" t="s">
        <v>4399</v>
      </c>
      <c r="M1170" t="str">
        <f>IF(Table1[[#This Row],[used]], _xlfn.CONCAT("🆔 ", Table1[[#This Row],[variable]], ": ",Table1[[#This Row],[alias]]), "")</f>
        <v>🆔 B08014_001E: Workers 16+ years in households</v>
      </c>
      <c r="O1170" t="s">
        <v>39</v>
      </c>
      <c r="P1170" t="s">
        <v>4400</v>
      </c>
      <c r="Q1170" t="s">
        <v>41</v>
      </c>
      <c r="R1170" t="s">
        <v>4401</v>
      </c>
      <c r="S1170" t="b">
        <v>1</v>
      </c>
      <c r="T1170" t="b">
        <v>1</v>
      </c>
      <c r="U1170" t="b">
        <v>1</v>
      </c>
      <c r="V1170" t="b">
        <v>1</v>
      </c>
      <c r="W1170" t="b">
        <v>1</v>
      </c>
      <c r="X1170" t="b">
        <v>1</v>
      </c>
      <c r="Y1170" t="b">
        <v>1</v>
      </c>
      <c r="Z1170" t="b">
        <v>1</v>
      </c>
      <c r="AA1170" t="b">
        <v>1</v>
      </c>
      <c r="AB1170" t="b">
        <v>1</v>
      </c>
      <c r="AC1170" t="b">
        <v>1</v>
      </c>
      <c r="AD1170" t="b">
        <v>1</v>
      </c>
      <c r="AE1170" t="b">
        <v>1</v>
      </c>
      <c r="AF1170" t="b">
        <v>1</v>
      </c>
      <c r="AG1170" t="b">
        <v>1</v>
      </c>
    </row>
    <row r="1171" spans="1:33" x14ac:dyDescent="0.25">
      <c r="A1171" t="s">
        <v>33</v>
      </c>
      <c r="B1171">
        <v>15</v>
      </c>
      <c r="C1171" t="b">
        <v>1</v>
      </c>
      <c r="D1171" t="s">
        <v>4281</v>
      </c>
      <c r="E1171" t="s">
        <v>4395</v>
      </c>
      <c r="F1171" t="s">
        <v>4402</v>
      </c>
      <c r="G1171" t="s">
        <v>4403</v>
      </c>
      <c r="H1171">
        <v>1170</v>
      </c>
      <c r="I1171" t="str">
        <f>IF(ISBLANK(Table1[[#This Row],[oid]]),"FALSE","TRUE")</f>
        <v>TRUE</v>
      </c>
      <c r="J1171" t="str" cm="1">
        <f t="array" ref="J1171">_xlfn.SWITCH(LEFT(Table1[[#This Row],[section]],1), "D", "Demographic", "S", "Social", "E", "Economic", "H", "Housing", "")</f>
        <v>Economic</v>
      </c>
      <c r="K1171" t="s">
        <v>4398</v>
      </c>
      <c r="L1171" t="s">
        <v>4399</v>
      </c>
      <c r="M1171" t="str">
        <f>IF(Table1[[#This Row],[used]], _xlfn.CONCAT("🆔 ", Table1[[#This Row],[variable]], ": ",Table1[[#This Row],[alias]]), "")</f>
        <v>🆔 B08014_002E: No vehicle available</v>
      </c>
      <c r="O1171" t="s">
        <v>4404</v>
      </c>
      <c r="P1171" t="s">
        <v>4400</v>
      </c>
      <c r="Q1171" t="s">
        <v>41</v>
      </c>
      <c r="R1171" t="s">
        <v>4405</v>
      </c>
      <c r="S1171" t="b">
        <v>1</v>
      </c>
      <c r="T1171" t="b">
        <v>1</v>
      </c>
      <c r="U1171" t="b">
        <v>1</v>
      </c>
      <c r="V1171" t="b">
        <v>1</v>
      </c>
      <c r="W1171" t="b">
        <v>1</v>
      </c>
      <c r="X1171" t="b">
        <v>1</v>
      </c>
      <c r="Y1171" t="b">
        <v>1</v>
      </c>
      <c r="Z1171" t="b">
        <v>1</v>
      </c>
      <c r="AA1171" t="b">
        <v>1</v>
      </c>
      <c r="AB1171" t="b">
        <v>1</v>
      </c>
      <c r="AC1171" t="b">
        <v>1</v>
      </c>
      <c r="AD1171" t="b">
        <v>1</v>
      </c>
      <c r="AE1171" t="b">
        <v>1</v>
      </c>
      <c r="AF1171" t="b">
        <v>1</v>
      </c>
      <c r="AG1171" t="b">
        <v>1</v>
      </c>
    </row>
    <row r="1172" spans="1:33" x14ac:dyDescent="0.25">
      <c r="A1172" t="s">
        <v>33</v>
      </c>
      <c r="B1172">
        <v>15</v>
      </c>
      <c r="C1172" t="b">
        <v>1</v>
      </c>
      <c r="D1172" t="s">
        <v>4281</v>
      </c>
      <c r="E1172" t="s">
        <v>4395</v>
      </c>
      <c r="F1172" t="s">
        <v>4406</v>
      </c>
      <c r="G1172" t="s">
        <v>4407</v>
      </c>
      <c r="H1172">
        <v>1171</v>
      </c>
      <c r="I1172" t="str">
        <f>IF(ISBLANK(Table1[[#This Row],[oid]]),"FALSE","TRUE")</f>
        <v>TRUE</v>
      </c>
      <c r="J1172" t="str" cm="1">
        <f t="array" ref="J1172">_xlfn.SWITCH(LEFT(Table1[[#This Row],[section]],1), "D", "Demographic", "S", "Social", "E", "Economic", "H", "Housing", "")</f>
        <v>Economic</v>
      </c>
      <c r="K1172" t="s">
        <v>4398</v>
      </c>
      <c r="L1172" t="s">
        <v>4399</v>
      </c>
      <c r="M1172" t="str">
        <f>IF(Table1[[#This Row],[used]], _xlfn.CONCAT("🆔 ", Table1[[#This Row],[variable]], ": ",Table1[[#This Row],[alias]]), "")</f>
        <v>🆔 B08014_003E: 1 vehicle available</v>
      </c>
      <c r="O1172" t="s">
        <v>4408</v>
      </c>
      <c r="P1172" t="s">
        <v>4400</v>
      </c>
      <c r="Q1172" t="s">
        <v>41</v>
      </c>
      <c r="R1172" t="s">
        <v>4409</v>
      </c>
      <c r="S1172" t="b">
        <v>1</v>
      </c>
      <c r="T1172" t="b">
        <v>1</v>
      </c>
      <c r="U1172" t="b">
        <v>1</v>
      </c>
      <c r="V1172" t="b">
        <v>1</v>
      </c>
      <c r="W1172" t="b">
        <v>1</v>
      </c>
      <c r="X1172" t="b">
        <v>1</v>
      </c>
      <c r="Y1172" t="b">
        <v>1</v>
      </c>
      <c r="Z1172" t="b">
        <v>1</v>
      </c>
      <c r="AA1172" t="b">
        <v>1</v>
      </c>
      <c r="AB1172" t="b">
        <v>1</v>
      </c>
      <c r="AC1172" t="b">
        <v>1</v>
      </c>
      <c r="AD1172" t="b">
        <v>1</v>
      </c>
      <c r="AE1172" t="b">
        <v>1</v>
      </c>
      <c r="AF1172" t="b">
        <v>1</v>
      </c>
      <c r="AG1172" t="b">
        <v>1</v>
      </c>
    </row>
    <row r="1173" spans="1:33" x14ac:dyDescent="0.25">
      <c r="A1173" t="s">
        <v>33</v>
      </c>
      <c r="B1173">
        <v>15</v>
      </c>
      <c r="C1173" t="b">
        <v>1</v>
      </c>
      <c r="D1173" t="s">
        <v>4281</v>
      </c>
      <c r="E1173" t="s">
        <v>4395</v>
      </c>
      <c r="F1173" t="s">
        <v>4410</v>
      </c>
      <c r="G1173" t="s">
        <v>4411</v>
      </c>
      <c r="H1173">
        <v>1172</v>
      </c>
      <c r="I1173" t="str">
        <f>IF(ISBLANK(Table1[[#This Row],[oid]]),"FALSE","TRUE")</f>
        <v>TRUE</v>
      </c>
      <c r="J1173" t="str" cm="1">
        <f t="array" ref="J1173">_xlfn.SWITCH(LEFT(Table1[[#This Row],[section]],1), "D", "Demographic", "S", "Social", "E", "Economic", "H", "Housing", "")</f>
        <v>Economic</v>
      </c>
      <c r="K1173" t="s">
        <v>4398</v>
      </c>
      <c r="L1173" t="s">
        <v>4399</v>
      </c>
      <c r="M1173" t="str">
        <f>IF(Table1[[#This Row],[used]], _xlfn.CONCAT("🆔 ", Table1[[#This Row],[variable]], ": ",Table1[[#This Row],[alias]]), "")</f>
        <v>🆔 B08014_004E: 2 vehicles available</v>
      </c>
      <c r="O1173" t="s">
        <v>4412</v>
      </c>
      <c r="P1173" t="s">
        <v>4400</v>
      </c>
      <c r="Q1173" t="s">
        <v>41</v>
      </c>
      <c r="R1173" t="s">
        <v>4413</v>
      </c>
      <c r="S1173" t="b">
        <v>1</v>
      </c>
      <c r="T1173" t="b">
        <v>1</v>
      </c>
      <c r="U1173" t="b">
        <v>1</v>
      </c>
      <c r="V1173" t="b">
        <v>1</v>
      </c>
      <c r="W1173" t="b">
        <v>1</v>
      </c>
      <c r="X1173" t="b">
        <v>1</v>
      </c>
      <c r="Y1173" t="b">
        <v>1</v>
      </c>
      <c r="Z1173" t="b">
        <v>1</v>
      </c>
      <c r="AA1173" t="b">
        <v>1</v>
      </c>
      <c r="AB1173" t="b">
        <v>1</v>
      </c>
      <c r="AC1173" t="b">
        <v>1</v>
      </c>
      <c r="AD1173" t="b">
        <v>1</v>
      </c>
      <c r="AE1173" t="b">
        <v>1</v>
      </c>
      <c r="AF1173" t="b">
        <v>1</v>
      </c>
      <c r="AG1173" t="b">
        <v>1</v>
      </c>
    </row>
    <row r="1174" spans="1:33" x14ac:dyDescent="0.25">
      <c r="A1174" t="s">
        <v>33</v>
      </c>
      <c r="B1174">
        <v>15</v>
      </c>
      <c r="C1174" t="b">
        <v>1</v>
      </c>
      <c r="D1174" t="s">
        <v>4281</v>
      </c>
      <c r="E1174" t="s">
        <v>4395</v>
      </c>
      <c r="F1174" t="s">
        <v>4414</v>
      </c>
      <c r="G1174" t="s">
        <v>4415</v>
      </c>
      <c r="H1174">
        <v>1173</v>
      </c>
      <c r="I1174" t="str">
        <f>IF(ISBLANK(Table1[[#This Row],[oid]]),"FALSE","TRUE")</f>
        <v>TRUE</v>
      </c>
      <c r="J1174" t="str" cm="1">
        <f t="array" ref="J1174">_xlfn.SWITCH(LEFT(Table1[[#This Row],[section]],1), "D", "Demographic", "S", "Social", "E", "Economic", "H", "Housing", "")</f>
        <v>Economic</v>
      </c>
      <c r="K1174" t="s">
        <v>4398</v>
      </c>
      <c r="L1174" t="s">
        <v>4399</v>
      </c>
      <c r="M1174" t="str">
        <f>IF(Table1[[#This Row],[used]], _xlfn.CONCAT("🆔 ", Table1[[#This Row],[variable]], ": ",Table1[[#This Row],[alias]]), "")</f>
        <v>🆔 B08014_005E: 3 vehicles available</v>
      </c>
      <c r="O1174" t="s">
        <v>4416</v>
      </c>
      <c r="P1174" t="s">
        <v>4400</v>
      </c>
      <c r="Q1174" t="s">
        <v>41</v>
      </c>
      <c r="R1174" t="s">
        <v>4417</v>
      </c>
      <c r="S1174" t="b">
        <v>1</v>
      </c>
      <c r="T1174" t="b">
        <v>1</v>
      </c>
      <c r="U1174" t="b">
        <v>1</v>
      </c>
      <c r="V1174" t="b">
        <v>1</v>
      </c>
      <c r="W1174" t="b">
        <v>1</v>
      </c>
      <c r="X1174" t="b">
        <v>1</v>
      </c>
      <c r="Y1174" t="b">
        <v>1</v>
      </c>
      <c r="Z1174" t="b">
        <v>1</v>
      </c>
      <c r="AA1174" t="b">
        <v>1</v>
      </c>
      <c r="AB1174" t="b">
        <v>1</v>
      </c>
      <c r="AC1174" t="b">
        <v>1</v>
      </c>
      <c r="AD1174" t="b">
        <v>1</v>
      </c>
      <c r="AE1174" t="b">
        <v>1</v>
      </c>
      <c r="AF1174" t="b">
        <v>1</v>
      </c>
      <c r="AG1174" t="b">
        <v>1</v>
      </c>
    </row>
    <row r="1175" spans="1:33" x14ac:dyDescent="0.25">
      <c r="A1175" t="s">
        <v>33</v>
      </c>
      <c r="B1175">
        <v>15</v>
      </c>
      <c r="C1175" t="b">
        <v>1</v>
      </c>
      <c r="D1175" t="s">
        <v>4281</v>
      </c>
      <c r="E1175" t="s">
        <v>4395</v>
      </c>
      <c r="F1175" t="s">
        <v>4418</v>
      </c>
      <c r="G1175" t="s">
        <v>4419</v>
      </c>
      <c r="H1175">
        <v>1174</v>
      </c>
      <c r="I1175" t="str">
        <f>IF(ISBLANK(Table1[[#This Row],[oid]]),"FALSE","TRUE")</f>
        <v>TRUE</v>
      </c>
      <c r="J1175" t="str" cm="1">
        <f t="array" ref="J1175">_xlfn.SWITCH(LEFT(Table1[[#This Row],[section]],1), "D", "Demographic", "S", "Social", "E", "Economic", "H", "Housing", "")</f>
        <v>Economic</v>
      </c>
      <c r="K1175" t="s">
        <v>4398</v>
      </c>
      <c r="L1175" t="s">
        <v>4399</v>
      </c>
      <c r="M1175" t="str">
        <f>IF(Table1[[#This Row],[used]], _xlfn.CONCAT("🆔 ", Table1[[#This Row],[variable]], ": ",Table1[[#This Row],[alias]]), "")</f>
        <v>🆔 B08014_006E: 4 vehicles available</v>
      </c>
      <c r="O1175" t="s">
        <v>4420</v>
      </c>
      <c r="P1175" t="s">
        <v>4400</v>
      </c>
      <c r="Q1175" t="s">
        <v>41</v>
      </c>
      <c r="R1175" t="s">
        <v>4421</v>
      </c>
      <c r="S1175" t="b">
        <v>1</v>
      </c>
      <c r="T1175" t="b">
        <v>1</v>
      </c>
      <c r="U1175" t="b">
        <v>1</v>
      </c>
      <c r="V1175" t="b">
        <v>1</v>
      </c>
      <c r="W1175" t="b">
        <v>1</v>
      </c>
      <c r="X1175" t="b">
        <v>1</v>
      </c>
      <c r="Y1175" t="b">
        <v>1</v>
      </c>
      <c r="Z1175" t="b">
        <v>1</v>
      </c>
      <c r="AA1175" t="b">
        <v>1</v>
      </c>
      <c r="AB1175" t="b">
        <v>1</v>
      </c>
      <c r="AC1175" t="b">
        <v>1</v>
      </c>
      <c r="AD1175" t="b">
        <v>1</v>
      </c>
      <c r="AE1175" t="b">
        <v>1</v>
      </c>
      <c r="AF1175" t="b">
        <v>1</v>
      </c>
      <c r="AG1175" t="b">
        <v>1</v>
      </c>
    </row>
    <row r="1176" spans="1:33" x14ac:dyDescent="0.25">
      <c r="A1176" t="s">
        <v>33</v>
      </c>
      <c r="B1176">
        <v>15</v>
      </c>
      <c r="C1176" t="b">
        <v>1</v>
      </c>
      <c r="D1176" t="s">
        <v>4281</v>
      </c>
      <c r="E1176" t="s">
        <v>4395</v>
      </c>
      <c r="F1176" t="s">
        <v>4422</v>
      </c>
      <c r="G1176" t="s">
        <v>4423</v>
      </c>
      <c r="H1176">
        <v>1175</v>
      </c>
      <c r="I1176" t="str">
        <f>IF(ISBLANK(Table1[[#This Row],[oid]]),"FALSE","TRUE")</f>
        <v>TRUE</v>
      </c>
      <c r="J1176" t="str" cm="1">
        <f t="array" ref="J1176">_xlfn.SWITCH(LEFT(Table1[[#This Row],[section]],1), "D", "Demographic", "S", "Social", "E", "Economic", "H", "Housing", "")</f>
        <v>Economic</v>
      </c>
      <c r="K1176" t="s">
        <v>4398</v>
      </c>
      <c r="L1176" t="s">
        <v>4399</v>
      </c>
      <c r="M1176" t="str">
        <f>IF(Table1[[#This Row],[used]], _xlfn.CONCAT("🆔 ", Table1[[#This Row],[variable]], ": ",Table1[[#This Row],[alias]]), "")</f>
        <v>🆔 B08014_007E: 5 or more vehicles available</v>
      </c>
      <c r="O1176" t="s">
        <v>4424</v>
      </c>
      <c r="P1176" t="s">
        <v>4400</v>
      </c>
      <c r="Q1176" t="s">
        <v>41</v>
      </c>
      <c r="R1176" t="s">
        <v>4425</v>
      </c>
      <c r="S1176" t="b">
        <v>1</v>
      </c>
      <c r="T1176" t="b">
        <v>1</v>
      </c>
      <c r="U1176" t="b">
        <v>1</v>
      </c>
      <c r="V1176" t="b">
        <v>1</v>
      </c>
      <c r="W1176" t="b">
        <v>1</v>
      </c>
      <c r="X1176" t="b">
        <v>1</v>
      </c>
      <c r="Y1176" t="b">
        <v>1</v>
      </c>
      <c r="Z1176" t="b">
        <v>1</v>
      </c>
      <c r="AA1176" t="b">
        <v>1</v>
      </c>
      <c r="AB1176" t="b">
        <v>1</v>
      </c>
      <c r="AC1176" t="b">
        <v>1</v>
      </c>
      <c r="AD1176" t="b">
        <v>1</v>
      </c>
      <c r="AE1176" t="b">
        <v>1</v>
      </c>
      <c r="AF1176" t="b">
        <v>1</v>
      </c>
      <c r="AG1176" t="b">
        <v>1</v>
      </c>
    </row>
    <row r="1177" spans="1:33" x14ac:dyDescent="0.25">
      <c r="A1177" t="s">
        <v>33</v>
      </c>
      <c r="B1177">
        <v>15</v>
      </c>
      <c r="C1177" t="b">
        <v>1</v>
      </c>
      <c r="D1177" t="s">
        <v>4281</v>
      </c>
      <c r="E1177" t="s">
        <v>4426</v>
      </c>
      <c r="F1177" t="s">
        <v>4427</v>
      </c>
      <c r="G1177" t="s">
        <v>4428</v>
      </c>
      <c r="H1177">
        <v>1176</v>
      </c>
      <c r="I1177" t="str">
        <f>IF(ISBLANK(Table1[[#This Row],[oid]]),"FALSE","TRUE")</f>
        <v>TRUE</v>
      </c>
      <c r="J1177" t="str" cm="1">
        <f t="array" ref="J1177">_xlfn.SWITCH(LEFT(Table1[[#This Row],[section]],1), "D", "Demographic", "S", "Social", "E", "Economic", "H", "Housing", "")</f>
        <v>Economic</v>
      </c>
      <c r="K1177" t="s">
        <v>4398</v>
      </c>
      <c r="L1177" t="s">
        <v>4399</v>
      </c>
      <c r="M1177" t="str">
        <f>IF(Table1[[#This Row],[used]], _xlfn.CONCAT("🆔 ", Table1[[#This Row],[variable]], ": ",Table1[[#This Row],[alias]]), "")</f>
        <v>🆔 B08015_001E: Aggregate number of vehicles car truck or van used in commuting</v>
      </c>
      <c r="O1177" t="s">
        <v>4429</v>
      </c>
      <c r="P1177" t="s">
        <v>4430</v>
      </c>
      <c r="Q1177" t="s">
        <v>41</v>
      </c>
      <c r="R1177" t="s">
        <v>4431</v>
      </c>
      <c r="S1177" t="b">
        <v>1</v>
      </c>
      <c r="T1177" t="b">
        <v>1</v>
      </c>
      <c r="U1177" t="b">
        <v>1</v>
      </c>
      <c r="V1177" t="b">
        <v>1</v>
      </c>
      <c r="W1177" t="b">
        <v>1</v>
      </c>
      <c r="X1177" t="b">
        <v>1</v>
      </c>
      <c r="Y1177" t="b">
        <v>1</v>
      </c>
      <c r="Z1177" t="b">
        <v>1</v>
      </c>
      <c r="AA1177" t="b">
        <v>1</v>
      </c>
      <c r="AB1177" t="b">
        <v>1</v>
      </c>
      <c r="AC1177" t="b">
        <v>1</v>
      </c>
      <c r="AD1177" t="b">
        <v>1</v>
      </c>
      <c r="AE1177" t="b">
        <v>1</v>
      </c>
      <c r="AF1177" t="b">
        <v>1</v>
      </c>
      <c r="AG1177" t="b">
        <v>1</v>
      </c>
    </row>
    <row r="1178" spans="1:33" x14ac:dyDescent="0.25">
      <c r="A1178" t="s">
        <v>33</v>
      </c>
      <c r="B1178">
        <v>15</v>
      </c>
      <c r="C1178" t="b">
        <v>1</v>
      </c>
      <c r="D1178" t="s">
        <v>4281</v>
      </c>
      <c r="E1178" t="s">
        <v>4395</v>
      </c>
      <c r="F1178" t="s">
        <v>4432</v>
      </c>
      <c r="G1178" t="s">
        <v>4433</v>
      </c>
      <c r="H1178">
        <v>1177</v>
      </c>
      <c r="I1178" t="str">
        <f>IF(ISBLANK(Table1[[#This Row],[oid]]),"FALSE","TRUE")</f>
        <v>TRUE</v>
      </c>
      <c r="J1178" t="str" cm="1">
        <f t="array" ref="J1178">_xlfn.SWITCH(LEFT(Table1[[#This Row],[section]],1), "D", "Demographic", "S", "Social", "E", "Economic", "H", "Housing", "")</f>
        <v>Economic</v>
      </c>
      <c r="K1178" t="s">
        <v>4434</v>
      </c>
      <c r="L1178" t="s">
        <v>4435</v>
      </c>
      <c r="M1178" t="str">
        <f>IF(Table1[[#This Row],[used]], _xlfn.CONCAT("🆔 ", Table1[[#This Row],[variable]], ": ",Table1[[#This Row],[alias]]), "")</f>
        <v>🆔 B08014_008E: Male Workers</v>
      </c>
      <c r="O1178" t="s">
        <v>52</v>
      </c>
      <c r="P1178" t="s">
        <v>4400</v>
      </c>
      <c r="Q1178" t="s">
        <v>41</v>
      </c>
      <c r="R1178" t="s">
        <v>4436</v>
      </c>
      <c r="S1178" t="b">
        <v>1</v>
      </c>
      <c r="T1178" t="b">
        <v>1</v>
      </c>
      <c r="U1178" t="b">
        <v>1</v>
      </c>
      <c r="V1178" t="b">
        <v>1</v>
      </c>
      <c r="W1178" t="b">
        <v>1</v>
      </c>
      <c r="X1178" t="b">
        <v>1</v>
      </c>
      <c r="Y1178" t="b">
        <v>1</v>
      </c>
      <c r="Z1178" t="b">
        <v>1</v>
      </c>
      <c r="AA1178" t="b">
        <v>1</v>
      </c>
      <c r="AB1178" t="b">
        <v>1</v>
      </c>
      <c r="AC1178" t="b">
        <v>1</v>
      </c>
      <c r="AD1178" t="b">
        <v>1</v>
      </c>
      <c r="AE1178" t="b">
        <v>1</v>
      </c>
      <c r="AF1178" t="b">
        <v>1</v>
      </c>
      <c r="AG1178" t="b">
        <v>1</v>
      </c>
    </row>
    <row r="1179" spans="1:33" x14ac:dyDescent="0.25">
      <c r="A1179" t="s">
        <v>33</v>
      </c>
      <c r="B1179">
        <v>15</v>
      </c>
      <c r="C1179" t="b">
        <v>1</v>
      </c>
      <c r="D1179" t="s">
        <v>4281</v>
      </c>
      <c r="E1179" t="s">
        <v>4395</v>
      </c>
      <c r="F1179" t="s">
        <v>4437</v>
      </c>
      <c r="G1179" t="s">
        <v>4438</v>
      </c>
      <c r="H1179">
        <v>1178</v>
      </c>
      <c r="I1179" t="str">
        <f>IF(ISBLANK(Table1[[#This Row],[oid]]),"FALSE","TRUE")</f>
        <v>TRUE</v>
      </c>
      <c r="J1179" t="str" cm="1">
        <f t="array" ref="J1179">_xlfn.SWITCH(LEFT(Table1[[#This Row],[section]],1), "D", "Demographic", "S", "Social", "E", "Economic", "H", "Housing", "")</f>
        <v>Economic</v>
      </c>
      <c r="K1179" t="s">
        <v>4434</v>
      </c>
      <c r="L1179" t="s">
        <v>4435</v>
      </c>
      <c r="M1179" t="str">
        <f>IF(Table1[[#This Row],[used]], _xlfn.CONCAT("🆔 ", Table1[[#This Row],[variable]], ": ",Table1[[#This Row],[alias]]), "")</f>
        <v>🆔 B08014_009E: Male: No vehicle available</v>
      </c>
      <c r="O1179" t="s">
        <v>4439</v>
      </c>
      <c r="P1179" t="s">
        <v>4400</v>
      </c>
      <c r="Q1179" t="s">
        <v>41</v>
      </c>
      <c r="R1179" t="s">
        <v>4440</v>
      </c>
      <c r="S1179" t="b">
        <v>1</v>
      </c>
      <c r="T1179" t="b">
        <v>1</v>
      </c>
      <c r="U1179" t="b">
        <v>1</v>
      </c>
      <c r="V1179" t="b">
        <v>1</v>
      </c>
      <c r="W1179" t="b">
        <v>1</v>
      </c>
      <c r="X1179" t="b">
        <v>1</v>
      </c>
      <c r="Y1179" t="b">
        <v>1</v>
      </c>
      <c r="Z1179" t="b">
        <v>1</v>
      </c>
      <c r="AA1179" t="b">
        <v>1</v>
      </c>
      <c r="AB1179" t="b">
        <v>1</v>
      </c>
      <c r="AC1179" t="b">
        <v>1</v>
      </c>
      <c r="AD1179" t="b">
        <v>1</v>
      </c>
      <c r="AE1179" t="b">
        <v>1</v>
      </c>
      <c r="AF1179" t="b">
        <v>1</v>
      </c>
      <c r="AG1179" t="b">
        <v>1</v>
      </c>
    </row>
    <row r="1180" spans="1:33" x14ac:dyDescent="0.25">
      <c r="A1180" t="s">
        <v>33</v>
      </c>
      <c r="B1180">
        <v>15</v>
      </c>
      <c r="C1180" t="b">
        <v>1</v>
      </c>
      <c r="D1180" t="s">
        <v>4281</v>
      </c>
      <c r="E1180" t="s">
        <v>4395</v>
      </c>
      <c r="F1180" t="s">
        <v>4441</v>
      </c>
      <c r="G1180" t="s">
        <v>4442</v>
      </c>
      <c r="H1180">
        <v>1179</v>
      </c>
      <c r="I1180" t="str">
        <f>IF(ISBLANK(Table1[[#This Row],[oid]]),"FALSE","TRUE")</f>
        <v>TRUE</v>
      </c>
      <c r="J1180" t="str" cm="1">
        <f t="array" ref="J1180">_xlfn.SWITCH(LEFT(Table1[[#This Row],[section]],1), "D", "Demographic", "S", "Social", "E", "Economic", "H", "Housing", "")</f>
        <v>Economic</v>
      </c>
      <c r="K1180" t="s">
        <v>4434</v>
      </c>
      <c r="L1180" t="s">
        <v>4435</v>
      </c>
      <c r="M1180" t="str">
        <f>IF(Table1[[#This Row],[used]], _xlfn.CONCAT("🆔 ", Table1[[#This Row],[variable]], ": ",Table1[[#This Row],[alias]]), "")</f>
        <v>🆔 B08014_010E: Male: 1 vehicle available</v>
      </c>
      <c r="O1180" t="s">
        <v>4443</v>
      </c>
      <c r="P1180" t="s">
        <v>4400</v>
      </c>
      <c r="Q1180" t="s">
        <v>41</v>
      </c>
      <c r="R1180" t="s">
        <v>4444</v>
      </c>
      <c r="S1180" t="b">
        <v>1</v>
      </c>
      <c r="T1180" t="b">
        <v>1</v>
      </c>
      <c r="U1180" t="b">
        <v>1</v>
      </c>
      <c r="V1180" t="b">
        <v>1</v>
      </c>
      <c r="W1180" t="b">
        <v>1</v>
      </c>
      <c r="X1180" t="b">
        <v>1</v>
      </c>
      <c r="Y1180" t="b">
        <v>1</v>
      </c>
      <c r="Z1180" t="b">
        <v>1</v>
      </c>
      <c r="AA1180" t="b">
        <v>1</v>
      </c>
      <c r="AB1180" t="b">
        <v>1</v>
      </c>
      <c r="AC1180" t="b">
        <v>1</v>
      </c>
      <c r="AD1180" t="b">
        <v>1</v>
      </c>
      <c r="AE1180" t="b">
        <v>1</v>
      </c>
      <c r="AF1180" t="b">
        <v>1</v>
      </c>
      <c r="AG1180" t="b">
        <v>1</v>
      </c>
    </row>
    <row r="1181" spans="1:33" x14ac:dyDescent="0.25">
      <c r="A1181" t="s">
        <v>33</v>
      </c>
      <c r="B1181">
        <v>15</v>
      </c>
      <c r="C1181" t="b">
        <v>1</v>
      </c>
      <c r="D1181" t="s">
        <v>4281</v>
      </c>
      <c r="E1181" t="s">
        <v>4395</v>
      </c>
      <c r="F1181" t="s">
        <v>4445</v>
      </c>
      <c r="G1181" t="s">
        <v>4446</v>
      </c>
      <c r="H1181">
        <v>1180</v>
      </c>
      <c r="I1181" t="str">
        <f>IF(ISBLANK(Table1[[#This Row],[oid]]),"FALSE","TRUE")</f>
        <v>TRUE</v>
      </c>
      <c r="J1181" t="str" cm="1">
        <f t="array" ref="J1181">_xlfn.SWITCH(LEFT(Table1[[#This Row],[section]],1), "D", "Demographic", "S", "Social", "E", "Economic", "H", "Housing", "")</f>
        <v>Economic</v>
      </c>
      <c r="K1181" t="s">
        <v>4434</v>
      </c>
      <c r="L1181" t="s">
        <v>4435</v>
      </c>
      <c r="M1181" t="str">
        <f>IF(Table1[[#This Row],[used]], _xlfn.CONCAT("🆔 ", Table1[[#This Row],[variable]], ": ",Table1[[#This Row],[alias]]), "")</f>
        <v>🆔 B08014_011E: Male: 2 vehicles available</v>
      </c>
      <c r="O1181" t="s">
        <v>4447</v>
      </c>
      <c r="P1181" t="s">
        <v>4400</v>
      </c>
      <c r="Q1181" t="s">
        <v>41</v>
      </c>
      <c r="R1181" t="s">
        <v>4448</v>
      </c>
      <c r="S1181" t="b">
        <v>1</v>
      </c>
      <c r="T1181" t="b">
        <v>1</v>
      </c>
      <c r="U1181" t="b">
        <v>1</v>
      </c>
      <c r="V1181" t="b">
        <v>1</v>
      </c>
      <c r="W1181" t="b">
        <v>1</v>
      </c>
      <c r="X1181" t="b">
        <v>1</v>
      </c>
      <c r="Y1181" t="b">
        <v>1</v>
      </c>
      <c r="Z1181" t="b">
        <v>1</v>
      </c>
      <c r="AA1181" t="b">
        <v>1</v>
      </c>
      <c r="AB1181" t="b">
        <v>1</v>
      </c>
      <c r="AC1181" t="b">
        <v>1</v>
      </c>
      <c r="AD1181" t="b">
        <v>1</v>
      </c>
      <c r="AE1181" t="b">
        <v>1</v>
      </c>
      <c r="AF1181" t="b">
        <v>1</v>
      </c>
      <c r="AG1181" t="b">
        <v>1</v>
      </c>
    </row>
    <row r="1182" spans="1:33" x14ac:dyDescent="0.25">
      <c r="A1182" t="s">
        <v>33</v>
      </c>
      <c r="B1182">
        <v>15</v>
      </c>
      <c r="C1182" t="b">
        <v>1</v>
      </c>
      <c r="D1182" t="s">
        <v>4281</v>
      </c>
      <c r="E1182" t="s">
        <v>4395</v>
      </c>
      <c r="F1182" t="s">
        <v>4449</v>
      </c>
      <c r="G1182" t="s">
        <v>4450</v>
      </c>
      <c r="H1182">
        <v>1181</v>
      </c>
      <c r="I1182" t="str">
        <f>IF(ISBLANK(Table1[[#This Row],[oid]]),"FALSE","TRUE")</f>
        <v>TRUE</v>
      </c>
      <c r="J1182" t="str" cm="1">
        <f t="array" ref="J1182">_xlfn.SWITCH(LEFT(Table1[[#This Row],[section]],1), "D", "Demographic", "S", "Social", "E", "Economic", "H", "Housing", "")</f>
        <v>Economic</v>
      </c>
      <c r="K1182" t="s">
        <v>4434</v>
      </c>
      <c r="L1182" t="s">
        <v>4435</v>
      </c>
      <c r="M1182" t="str">
        <f>IF(Table1[[#This Row],[used]], _xlfn.CONCAT("🆔 ", Table1[[#This Row],[variable]], ": ",Table1[[#This Row],[alias]]), "")</f>
        <v>🆔 B08014_012E: Male: 3 vehicles available</v>
      </c>
      <c r="O1182" t="s">
        <v>4451</v>
      </c>
      <c r="P1182" t="s">
        <v>4400</v>
      </c>
      <c r="Q1182" t="s">
        <v>41</v>
      </c>
      <c r="R1182" t="s">
        <v>4452</v>
      </c>
      <c r="S1182" t="b">
        <v>1</v>
      </c>
      <c r="T1182" t="b">
        <v>1</v>
      </c>
      <c r="U1182" t="b">
        <v>1</v>
      </c>
      <c r="V1182" t="b">
        <v>1</v>
      </c>
      <c r="W1182" t="b">
        <v>1</v>
      </c>
      <c r="X1182" t="b">
        <v>1</v>
      </c>
      <c r="Y1182" t="b">
        <v>1</v>
      </c>
      <c r="Z1182" t="b">
        <v>1</v>
      </c>
      <c r="AA1182" t="b">
        <v>1</v>
      </c>
      <c r="AB1182" t="b">
        <v>1</v>
      </c>
      <c r="AC1182" t="b">
        <v>1</v>
      </c>
      <c r="AD1182" t="b">
        <v>1</v>
      </c>
      <c r="AE1182" t="b">
        <v>1</v>
      </c>
      <c r="AF1182" t="b">
        <v>1</v>
      </c>
      <c r="AG1182" t="b">
        <v>1</v>
      </c>
    </row>
    <row r="1183" spans="1:33" x14ac:dyDescent="0.25">
      <c r="A1183" t="s">
        <v>33</v>
      </c>
      <c r="B1183">
        <v>15</v>
      </c>
      <c r="C1183" t="b">
        <v>1</v>
      </c>
      <c r="D1183" t="s">
        <v>4281</v>
      </c>
      <c r="E1183" t="s">
        <v>4395</v>
      </c>
      <c r="F1183" t="s">
        <v>4453</v>
      </c>
      <c r="G1183" t="s">
        <v>4454</v>
      </c>
      <c r="H1183">
        <v>1182</v>
      </c>
      <c r="I1183" t="str">
        <f>IF(ISBLANK(Table1[[#This Row],[oid]]),"FALSE","TRUE")</f>
        <v>TRUE</v>
      </c>
      <c r="J1183" t="str" cm="1">
        <f t="array" ref="J1183">_xlfn.SWITCH(LEFT(Table1[[#This Row],[section]],1), "D", "Demographic", "S", "Social", "E", "Economic", "H", "Housing", "")</f>
        <v>Economic</v>
      </c>
      <c r="K1183" t="s">
        <v>4434</v>
      </c>
      <c r="L1183" t="s">
        <v>4435</v>
      </c>
      <c r="M1183" t="str">
        <f>IF(Table1[[#This Row],[used]], _xlfn.CONCAT("🆔 ", Table1[[#This Row],[variable]], ": ",Table1[[#This Row],[alias]]), "")</f>
        <v>🆔 B08014_013E: Male: 4 vehicles available</v>
      </c>
      <c r="O1183" t="s">
        <v>4455</v>
      </c>
      <c r="P1183" t="s">
        <v>4400</v>
      </c>
      <c r="Q1183" t="s">
        <v>41</v>
      </c>
      <c r="R1183" t="s">
        <v>4456</v>
      </c>
      <c r="S1183" t="b">
        <v>1</v>
      </c>
      <c r="T1183" t="b">
        <v>1</v>
      </c>
      <c r="U1183" t="b">
        <v>1</v>
      </c>
      <c r="V1183" t="b">
        <v>1</v>
      </c>
      <c r="W1183" t="b">
        <v>1</v>
      </c>
      <c r="X1183" t="b">
        <v>1</v>
      </c>
      <c r="Y1183" t="b">
        <v>1</v>
      </c>
      <c r="Z1183" t="b">
        <v>1</v>
      </c>
      <c r="AA1183" t="b">
        <v>1</v>
      </c>
      <c r="AB1183" t="b">
        <v>1</v>
      </c>
      <c r="AC1183" t="b">
        <v>1</v>
      </c>
      <c r="AD1183" t="b">
        <v>1</v>
      </c>
      <c r="AE1183" t="b">
        <v>1</v>
      </c>
      <c r="AF1183" t="b">
        <v>1</v>
      </c>
      <c r="AG1183" t="b">
        <v>1</v>
      </c>
    </row>
    <row r="1184" spans="1:33" x14ac:dyDescent="0.25">
      <c r="A1184" t="s">
        <v>33</v>
      </c>
      <c r="B1184">
        <v>15</v>
      </c>
      <c r="C1184" t="b">
        <v>1</v>
      </c>
      <c r="D1184" t="s">
        <v>4281</v>
      </c>
      <c r="E1184" t="s">
        <v>4395</v>
      </c>
      <c r="F1184" t="s">
        <v>4457</v>
      </c>
      <c r="G1184" t="s">
        <v>4458</v>
      </c>
      <c r="H1184">
        <v>1183</v>
      </c>
      <c r="I1184" t="str">
        <f>IF(ISBLANK(Table1[[#This Row],[oid]]),"FALSE","TRUE")</f>
        <v>TRUE</v>
      </c>
      <c r="J1184" t="str" cm="1">
        <f t="array" ref="J1184">_xlfn.SWITCH(LEFT(Table1[[#This Row],[section]],1), "D", "Demographic", "S", "Social", "E", "Economic", "H", "Housing", "")</f>
        <v>Economic</v>
      </c>
      <c r="K1184" t="s">
        <v>4434</v>
      </c>
      <c r="L1184" t="s">
        <v>4435</v>
      </c>
      <c r="M1184" t="str">
        <f>IF(Table1[[#This Row],[used]], _xlfn.CONCAT("🆔 ", Table1[[#This Row],[variable]], ": ",Table1[[#This Row],[alias]]), "")</f>
        <v>🆔 B08014_014E: Male: 5 or more vehicles available</v>
      </c>
      <c r="O1184" t="s">
        <v>4459</v>
      </c>
      <c r="P1184" t="s">
        <v>4400</v>
      </c>
      <c r="Q1184" t="s">
        <v>41</v>
      </c>
      <c r="R1184" t="s">
        <v>4460</v>
      </c>
      <c r="S1184" t="b">
        <v>1</v>
      </c>
      <c r="T1184" t="b">
        <v>1</v>
      </c>
      <c r="U1184" t="b">
        <v>1</v>
      </c>
      <c r="V1184" t="b">
        <v>1</v>
      </c>
      <c r="W1184" t="b">
        <v>1</v>
      </c>
      <c r="X1184" t="b">
        <v>1</v>
      </c>
      <c r="Y1184" t="b">
        <v>1</v>
      </c>
      <c r="Z1184" t="b">
        <v>1</v>
      </c>
      <c r="AA1184" t="b">
        <v>1</v>
      </c>
      <c r="AB1184" t="b">
        <v>1</v>
      </c>
      <c r="AC1184" t="b">
        <v>1</v>
      </c>
      <c r="AD1184" t="b">
        <v>1</v>
      </c>
      <c r="AE1184" t="b">
        <v>1</v>
      </c>
      <c r="AF1184" t="b">
        <v>1</v>
      </c>
      <c r="AG1184" t="b">
        <v>1</v>
      </c>
    </row>
    <row r="1185" spans="1:33" x14ac:dyDescent="0.25">
      <c r="A1185" t="s">
        <v>33</v>
      </c>
      <c r="B1185">
        <v>15</v>
      </c>
      <c r="C1185" t="b">
        <v>1</v>
      </c>
      <c r="D1185" t="s">
        <v>4281</v>
      </c>
      <c r="E1185" t="s">
        <v>4395</v>
      </c>
      <c r="F1185" t="s">
        <v>4461</v>
      </c>
      <c r="G1185" t="s">
        <v>4462</v>
      </c>
      <c r="H1185">
        <v>1184</v>
      </c>
      <c r="I1185" t="str">
        <f>IF(ISBLANK(Table1[[#This Row],[oid]]),"FALSE","TRUE")</f>
        <v>TRUE</v>
      </c>
      <c r="J1185" t="str" cm="1">
        <f t="array" ref="J1185">_xlfn.SWITCH(LEFT(Table1[[#This Row],[section]],1), "D", "Demographic", "S", "Social", "E", "Economic", "H", "Housing", "")</f>
        <v>Economic</v>
      </c>
      <c r="K1185" t="s">
        <v>4434</v>
      </c>
      <c r="L1185" t="s">
        <v>4435</v>
      </c>
      <c r="M1185" t="str">
        <f>IF(Table1[[#This Row],[used]], _xlfn.CONCAT("🆔 ", Table1[[#This Row],[variable]], ": ",Table1[[#This Row],[alias]]), "")</f>
        <v>🆔 B08014_015E: Female Workers</v>
      </c>
      <c r="O1185" t="s">
        <v>56</v>
      </c>
      <c r="P1185" t="s">
        <v>4400</v>
      </c>
      <c r="Q1185" t="s">
        <v>41</v>
      </c>
      <c r="R1185" t="s">
        <v>4463</v>
      </c>
      <c r="S1185" t="b">
        <v>1</v>
      </c>
      <c r="T1185" t="b">
        <v>1</v>
      </c>
      <c r="U1185" t="b">
        <v>1</v>
      </c>
      <c r="V1185" t="b">
        <v>1</v>
      </c>
      <c r="W1185" t="b">
        <v>1</v>
      </c>
      <c r="X1185" t="b">
        <v>1</v>
      </c>
      <c r="Y1185" t="b">
        <v>1</v>
      </c>
      <c r="Z1185" t="b">
        <v>1</v>
      </c>
      <c r="AA1185" t="b">
        <v>1</v>
      </c>
      <c r="AB1185" t="b">
        <v>1</v>
      </c>
      <c r="AC1185" t="b">
        <v>1</v>
      </c>
      <c r="AD1185" t="b">
        <v>1</v>
      </c>
      <c r="AE1185" t="b">
        <v>1</v>
      </c>
      <c r="AF1185" t="b">
        <v>1</v>
      </c>
      <c r="AG1185" t="b">
        <v>1</v>
      </c>
    </row>
    <row r="1186" spans="1:33" x14ac:dyDescent="0.25">
      <c r="A1186" t="s">
        <v>33</v>
      </c>
      <c r="B1186">
        <v>15</v>
      </c>
      <c r="C1186" t="b">
        <v>1</v>
      </c>
      <c r="D1186" t="s">
        <v>4281</v>
      </c>
      <c r="E1186" t="s">
        <v>4395</v>
      </c>
      <c r="F1186" t="s">
        <v>4464</v>
      </c>
      <c r="G1186" t="s">
        <v>4465</v>
      </c>
      <c r="H1186">
        <v>1185</v>
      </c>
      <c r="I1186" t="str">
        <f>IF(ISBLANK(Table1[[#This Row],[oid]]),"FALSE","TRUE")</f>
        <v>TRUE</v>
      </c>
      <c r="J1186" t="str" cm="1">
        <f t="array" ref="J1186">_xlfn.SWITCH(LEFT(Table1[[#This Row],[section]],1), "D", "Demographic", "S", "Social", "E", "Economic", "H", "Housing", "")</f>
        <v>Economic</v>
      </c>
      <c r="K1186" t="s">
        <v>4434</v>
      </c>
      <c r="L1186" t="s">
        <v>4435</v>
      </c>
      <c r="M1186" t="str">
        <f>IF(Table1[[#This Row],[used]], _xlfn.CONCAT("🆔 ", Table1[[#This Row],[variable]], ": ",Table1[[#This Row],[alias]]), "")</f>
        <v>🆔 B08014_016E: Female: No vehicle available</v>
      </c>
      <c r="O1186" t="s">
        <v>4466</v>
      </c>
      <c r="P1186" t="s">
        <v>4400</v>
      </c>
      <c r="Q1186" t="s">
        <v>41</v>
      </c>
      <c r="R1186" t="s">
        <v>4467</v>
      </c>
      <c r="S1186" t="b">
        <v>1</v>
      </c>
      <c r="T1186" t="b">
        <v>1</v>
      </c>
      <c r="U1186" t="b">
        <v>1</v>
      </c>
      <c r="V1186" t="b">
        <v>1</v>
      </c>
      <c r="W1186" t="b">
        <v>1</v>
      </c>
      <c r="X1186" t="b">
        <v>1</v>
      </c>
      <c r="Y1186" t="b">
        <v>1</v>
      </c>
      <c r="Z1186" t="b">
        <v>1</v>
      </c>
      <c r="AA1186" t="b">
        <v>1</v>
      </c>
      <c r="AB1186" t="b">
        <v>1</v>
      </c>
      <c r="AC1186" t="b">
        <v>1</v>
      </c>
      <c r="AD1186" t="b">
        <v>1</v>
      </c>
      <c r="AE1186" t="b">
        <v>1</v>
      </c>
      <c r="AF1186" t="b">
        <v>1</v>
      </c>
      <c r="AG1186" t="b">
        <v>1</v>
      </c>
    </row>
    <row r="1187" spans="1:33" x14ac:dyDescent="0.25">
      <c r="A1187" t="s">
        <v>33</v>
      </c>
      <c r="B1187">
        <v>15</v>
      </c>
      <c r="C1187" t="b">
        <v>1</v>
      </c>
      <c r="D1187" t="s">
        <v>4281</v>
      </c>
      <c r="E1187" t="s">
        <v>4395</v>
      </c>
      <c r="F1187" t="s">
        <v>4468</v>
      </c>
      <c r="G1187" t="s">
        <v>4469</v>
      </c>
      <c r="H1187">
        <v>1186</v>
      </c>
      <c r="I1187" t="str">
        <f>IF(ISBLANK(Table1[[#This Row],[oid]]),"FALSE","TRUE")</f>
        <v>TRUE</v>
      </c>
      <c r="J1187" t="str" cm="1">
        <f t="array" ref="J1187">_xlfn.SWITCH(LEFT(Table1[[#This Row],[section]],1), "D", "Demographic", "S", "Social", "E", "Economic", "H", "Housing", "")</f>
        <v>Economic</v>
      </c>
      <c r="K1187" t="s">
        <v>4434</v>
      </c>
      <c r="L1187" t="s">
        <v>4435</v>
      </c>
      <c r="M1187" t="str">
        <f>IF(Table1[[#This Row],[used]], _xlfn.CONCAT("🆔 ", Table1[[#This Row],[variable]], ": ",Table1[[#This Row],[alias]]), "")</f>
        <v>🆔 B08014_017E: Female: 1 vehicle available</v>
      </c>
      <c r="O1187" t="s">
        <v>4470</v>
      </c>
      <c r="P1187" t="s">
        <v>4400</v>
      </c>
      <c r="Q1187" t="s">
        <v>41</v>
      </c>
      <c r="R1187" t="s">
        <v>4471</v>
      </c>
      <c r="S1187" t="b">
        <v>1</v>
      </c>
      <c r="T1187" t="b">
        <v>1</v>
      </c>
      <c r="U1187" t="b">
        <v>1</v>
      </c>
      <c r="V1187" t="b">
        <v>1</v>
      </c>
      <c r="W1187" t="b">
        <v>1</v>
      </c>
      <c r="X1187" t="b">
        <v>1</v>
      </c>
      <c r="Y1187" t="b">
        <v>1</v>
      </c>
      <c r="Z1187" t="b">
        <v>1</v>
      </c>
      <c r="AA1187" t="b">
        <v>1</v>
      </c>
      <c r="AB1187" t="b">
        <v>1</v>
      </c>
      <c r="AC1187" t="b">
        <v>1</v>
      </c>
      <c r="AD1187" t="b">
        <v>1</v>
      </c>
      <c r="AE1187" t="b">
        <v>1</v>
      </c>
      <c r="AF1187" t="b">
        <v>1</v>
      </c>
      <c r="AG1187" t="b">
        <v>1</v>
      </c>
    </row>
    <row r="1188" spans="1:33" x14ac:dyDescent="0.25">
      <c r="A1188" t="s">
        <v>33</v>
      </c>
      <c r="B1188">
        <v>15</v>
      </c>
      <c r="C1188" t="b">
        <v>1</v>
      </c>
      <c r="D1188" t="s">
        <v>4281</v>
      </c>
      <c r="E1188" t="s">
        <v>4395</v>
      </c>
      <c r="F1188" t="s">
        <v>4472</v>
      </c>
      <c r="G1188" t="s">
        <v>4473</v>
      </c>
      <c r="H1188">
        <v>1187</v>
      </c>
      <c r="I1188" t="str">
        <f>IF(ISBLANK(Table1[[#This Row],[oid]]),"FALSE","TRUE")</f>
        <v>TRUE</v>
      </c>
      <c r="J1188" t="str" cm="1">
        <f t="array" ref="J1188">_xlfn.SWITCH(LEFT(Table1[[#This Row],[section]],1), "D", "Demographic", "S", "Social", "E", "Economic", "H", "Housing", "")</f>
        <v>Economic</v>
      </c>
      <c r="K1188" t="s">
        <v>4434</v>
      </c>
      <c r="L1188" t="s">
        <v>4435</v>
      </c>
      <c r="M1188" t="str">
        <f>IF(Table1[[#This Row],[used]], _xlfn.CONCAT("🆔 ", Table1[[#This Row],[variable]], ": ",Table1[[#This Row],[alias]]), "")</f>
        <v>🆔 B08014_018E: Female: 2 vehicles available</v>
      </c>
      <c r="O1188" t="s">
        <v>4474</v>
      </c>
      <c r="P1188" t="s">
        <v>4400</v>
      </c>
      <c r="Q1188" t="s">
        <v>41</v>
      </c>
      <c r="R1188" t="s">
        <v>4475</v>
      </c>
      <c r="S1188" t="b">
        <v>1</v>
      </c>
      <c r="T1188" t="b">
        <v>1</v>
      </c>
      <c r="U1188" t="b">
        <v>1</v>
      </c>
      <c r="V1188" t="b">
        <v>1</v>
      </c>
      <c r="W1188" t="b">
        <v>1</v>
      </c>
      <c r="X1188" t="b">
        <v>1</v>
      </c>
      <c r="Y1188" t="b">
        <v>1</v>
      </c>
      <c r="Z1188" t="b">
        <v>1</v>
      </c>
      <c r="AA1188" t="b">
        <v>1</v>
      </c>
      <c r="AB1188" t="b">
        <v>1</v>
      </c>
      <c r="AC1188" t="b">
        <v>1</v>
      </c>
      <c r="AD1188" t="b">
        <v>1</v>
      </c>
      <c r="AE1188" t="b">
        <v>1</v>
      </c>
      <c r="AF1188" t="b">
        <v>1</v>
      </c>
      <c r="AG1188" t="b">
        <v>1</v>
      </c>
    </row>
    <row r="1189" spans="1:33" x14ac:dyDescent="0.25">
      <c r="A1189" t="s">
        <v>33</v>
      </c>
      <c r="B1189">
        <v>15</v>
      </c>
      <c r="C1189" t="b">
        <v>1</v>
      </c>
      <c r="D1189" t="s">
        <v>4281</v>
      </c>
      <c r="E1189" t="s">
        <v>4395</v>
      </c>
      <c r="F1189" t="s">
        <v>4476</v>
      </c>
      <c r="G1189" t="s">
        <v>4477</v>
      </c>
      <c r="H1189">
        <v>1188</v>
      </c>
      <c r="I1189" t="str">
        <f>IF(ISBLANK(Table1[[#This Row],[oid]]),"FALSE","TRUE")</f>
        <v>TRUE</v>
      </c>
      <c r="J1189" t="str" cm="1">
        <f t="array" ref="J1189">_xlfn.SWITCH(LEFT(Table1[[#This Row],[section]],1), "D", "Demographic", "S", "Social", "E", "Economic", "H", "Housing", "")</f>
        <v>Economic</v>
      </c>
      <c r="K1189" t="s">
        <v>4434</v>
      </c>
      <c r="L1189" t="s">
        <v>4435</v>
      </c>
      <c r="M1189" t="str">
        <f>IF(Table1[[#This Row],[used]], _xlfn.CONCAT("🆔 ", Table1[[#This Row],[variable]], ": ",Table1[[#This Row],[alias]]), "")</f>
        <v>🆔 B08014_019E: Female: 3 vehicles available</v>
      </c>
      <c r="O1189" t="s">
        <v>4478</v>
      </c>
      <c r="P1189" t="s">
        <v>4400</v>
      </c>
      <c r="Q1189" t="s">
        <v>41</v>
      </c>
      <c r="R1189" t="s">
        <v>4479</v>
      </c>
      <c r="S1189" t="b">
        <v>1</v>
      </c>
      <c r="T1189" t="b">
        <v>1</v>
      </c>
      <c r="U1189" t="b">
        <v>1</v>
      </c>
      <c r="V1189" t="b">
        <v>1</v>
      </c>
      <c r="W1189" t="b">
        <v>1</v>
      </c>
      <c r="X1189" t="b">
        <v>1</v>
      </c>
      <c r="Y1189" t="b">
        <v>1</v>
      </c>
      <c r="Z1189" t="b">
        <v>1</v>
      </c>
      <c r="AA1189" t="b">
        <v>1</v>
      </c>
      <c r="AB1189" t="b">
        <v>1</v>
      </c>
      <c r="AC1189" t="b">
        <v>1</v>
      </c>
      <c r="AD1189" t="b">
        <v>1</v>
      </c>
      <c r="AE1189" t="b">
        <v>1</v>
      </c>
      <c r="AF1189" t="b">
        <v>1</v>
      </c>
      <c r="AG1189" t="b">
        <v>1</v>
      </c>
    </row>
    <row r="1190" spans="1:33" x14ac:dyDescent="0.25">
      <c r="A1190" t="s">
        <v>33</v>
      </c>
      <c r="B1190">
        <v>15</v>
      </c>
      <c r="C1190" t="b">
        <v>1</v>
      </c>
      <c r="D1190" t="s">
        <v>4281</v>
      </c>
      <c r="E1190" t="s">
        <v>4395</v>
      </c>
      <c r="F1190" t="s">
        <v>4480</v>
      </c>
      <c r="G1190" t="s">
        <v>4481</v>
      </c>
      <c r="H1190">
        <v>1189</v>
      </c>
      <c r="I1190" t="str">
        <f>IF(ISBLANK(Table1[[#This Row],[oid]]),"FALSE","TRUE")</f>
        <v>TRUE</v>
      </c>
      <c r="J1190" t="str" cm="1">
        <f t="array" ref="J1190">_xlfn.SWITCH(LEFT(Table1[[#This Row],[section]],1), "D", "Demographic", "S", "Social", "E", "Economic", "H", "Housing", "")</f>
        <v>Economic</v>
      </c>
      <c r="K1190" t="s">
        <v>4434</v>
      </c>
      <c r="L1190" t="s">
        <v>4435</v>
      </c>
      <c r="M1190" t="str">
        <f>IF(Table1[[#This Row],[used]], _xlfn.CONCAT("🆔 ", Table1[[#This Row],[variable]], ": ",Table1[[#This Row],[alias]]), "")</f>
        <v>🆔 B08014_020E: Female: 4 vehicles available</v>
      </c>
      <c r="O1190" t="s">
        <v>4482</v>
      </c>
      <c r="P1190" t="s">
        <v>4400</v>
      </c>
      <c r="Q1190" t="s">
        <v>41</v>
      </c>
      <c r="R1190" t="s">
        <v>4483</v>
      </c>
      <c r="S1190" t="b">
        <v>1</v>
      </c>
      <c r="T1190" t="b">
        <v>1</v>
      </c>
      <c r="U1190" t="b">
        <v>1</v>
      </c>
      <c r="V1190" t="b">
        <v>1</v>
      </c>
      <c r="W1190" t="b">
        <v>1</v>
      </c>
      <c r="X1190" t="b">
        <v>1</v>
      </c>
      <c r="Y1190" t="b">
        <v>1</v>
      </c>
      <c r="Z1190" t="b">
        <v>1</v>
      </c>
      <c r="AA1190" t="b">
        <v>1</v>
      </c>
      <c r="AB1190" t="b">
        <v>1</v>
      </c>
      <c r="AC1190" t="b">
        <v>1</v>
      </c>
      <c r="AD1190" t="b">
        <v>1</v>
      </c>
      <c r="AE1190" t="b">
        <v>1</v>
      </c>
      <c r="AF1190" t="b">
        <v>1</v>
      </c>
      <c r="AG1190" t="b">
        <v>1</v>
      </c>
    </row>
    <row r="1191" spans="1:33" x14ac:dyDescent="0.25">
      <c r="A1191" t="s">
        <v>33</v>
      </c>
      <c r="B1191">
        <v>15</v>
      </c>
      <c r="C1191" t="b">
        <v>1</v>
      </c>
      <c r="D1191" t="s">
        <v>4281</v>
      </c>
      <c r="E1191" t="s">
        <v>4395</v>
      </c>
      <c r="F1191" t="s">
        <v>4484</v>
      </c>
      <c r="G1191" t="s">
        <v>4485</v>
      </c>
      <c r="H1191">
        <v>1190</v>
      </c>
      <c r="I1191" t="str">
        <f>IF(ISBLANK(Table1[[#This Row],[oid]]),"FALSE","TRUE")</f>
        <v>TRUE</v>
      </c>
      <c r="J1191" t="str" cm="1">
        <f t="array" ref="J1191">_xlfn.SWITCH(LEFT(Table1[[#This Row],[section]],1), "D", "Demographic", "S", "Social", "E", "Economic", "H", "Housing", "")</f>
        <v>Economic</v>
      </c>
      <c r="K1191" t="s">
        <v>4434</v>
      </c>
      <c r="L1191" t="s">
        <v>4435</v>
      </c>
      <c r="M1191" t="str">
        <f>IF(Table1[[#This Row],[used]], _xlfn.CONCAT("🆔 ", Table1[[#This Row],[variable]], ": ",Table1[[#This Row],[alias]]), "")</f>
        <v>🆔 B08014_021E: Female: 5 or more vehicles available</v>
      </c>
      <c r="O1191" t="s">
        <v>4486</v>
      </c>
      <c r="P1191" t="s">
        <v>4400</v>
      </c>
      <c r="Q1191" t="s">
        <v>41</v>
      </c>
      <c r="R1191" t="s">
        <v>4487</v>
      </c>
      <c r="S1191" t="b">
        <v>1</v>
      </c>
      <c r="T1191" t="b">
        <v>1</v>
      </c>
      <c r="U1191" t="b">
        <v>1</v>
      </c>
      <c r="V1191" t="b">
        <v>1</v>
      </c>
      <c r="W1191" t="b">
        <v>1</v>
      </c>
      <c r="X1191" t="b">
        <v>1</v>
      </c>
      <c r="Y1191" t="b">
        <v>1</v>
      </c>
      <c r="Z1191" t="b">
        <v>1</v>
      </c>
      <c r="AA1191" t="b">
        <v>1</v>
      </c>
      <c r="AB1191" t="b">
        <v>1</v>
      </c>
      <c r="AC1191" t="b">
        <v>1</v>
      </c>
      <c r="AD1191" t="b">
        <v>1</v>
      </c>
      <c r="AE1191" t="b">
        <v>1</v>
      </c>
      <c r="AF1191" t="b">
        <v>1</v>
      </c>
      <c r="AG1191" t="b">
        <v>1</v>
      </c>
    </row>
    <row r="1192" spans="1:33" x14ac:dyDescent="0.25">
      <c r="A1192" t="s">
        <v>33</v>
      </c>
      <c r="B1192">
        <v>15</v>
      </c>
      <c r="C1192" t="b">
        <v>1</v>
      </c>
      <c r="D1192" t="s">
        <v>4281</v>
      </c>
      <c r="E1192" t="s">
        <v>4426</v>
      </c>
      <c r="F1192" t="s">
        <v>4488</v>
      </c>
      <c r="G1192" t="s">
        <v>4489</v>
      </c>
      <c r="H1192">
        <v>1191</v>
      </c>
      <c r="I1192" t="str">
        <f>IF(ISBLANK(Table1[[#This Row],[oid]]),"FALSE","TRUE")</f>
        <v>TRUE</v>
      </c>
      <c r="J1192" t="str" cm="1">
        <f t="array" ref="J1192">_xlfn.SWITCH(LEFT(Table1[[#This Row],[section]],1), "D", "Demographic", "S", "Social", "E", "Economic", "H", "Housing", "")</f>
        <v>Economic</v>
      </c>
      <c r="K1192" t="s">
        <v>4434</v>
      </c>
      <c r="L1192" t="s">
        <v>4435</v>
      </c>
      <c r="M1192" t="str">
        <f>IF(Table1[[#This Row],[used]], _xlfn.CONCAT("🆔 ", Table1[[#This Row],[variable]], ": ",Table1[[#This Row],[alias]]), "")</f>
        <v>🆔 B08015_002E: Aggregate number of vehicles car truck or van used in commuting: Male</v>
      </c>
      <c r="O1192" t="s">
        <v>4490</v>
      </c>
      <c r="P1192" t="s">
        <v>4430</v>
      </c>
      <c r="Q1192" t="s">
        <v>41</v>
      </c>
      <c r="R1192" t="s">
        <v>4491</v>
      </c>
      <c r="S1192" t="b">
        <v>1</v>
      </c>
      <c r="T1192" t="b">
        <v>1</v>
      </c>
      <c r="U1192" t="b">
        <v>1</v>
      </c>
      <c r="V1192" t="b">
        <v>1</v>
      </c>
      <c r="W1192" t="b">
        <v>1</v>
      </c>
      <c r="X1192" t="b">
        <v>1</v>
      </c>
      <c r="Y1192" t="b">
        <v>1</v>
      </c>
      <c r="Z1192" t="b">
        <v>1</v>
      </c>
      <c r="AA1192" t="b">
        <v>1</v>
      </c>
      <c r="AB1192" t="b">
        <v>1</v>
      </c>
      <c r="AC1192" t="b">
        <v>1</v>
      </c>
      <c r="AD1192" t="b">
        <v>1</v>
      </c>
      <c r="AE1192" t="b">
        <v>1</v>
      </c>
      <c r="AF1192" t="b">
        <v>1</v>
      </c>
      <c r="AG1192" t="b">
        <v>1</v>
      </c>
    </row>
    <row r="1193" spans="1:33" x14ac:dyDescent="0.25">
      <c r="A1193" t="s">
        <v>33</v>
      </c>
      <c r="B1193">
        <v>15</v>
      </c>
      <c r="C1193" t="b">
        <v>1</v>
      </c>
      <c r="D1193" t="s">
        <v>4281</v>
      </c>
      <c r="E1193" t="s">
        <v>4426</v>
      </c>
      <c r="F1193" t="s">
        <v>4492</v>
      </c>
      <c r="G1193" t="s">
        <v>4493</v>
      </c>
      <c r="H1193">
        <v>1192</v>
      </c>
      <c r="I1193" t="str">
        <f>IF(ISBLANK(Table1[[#This Row],[oid]]),"FALSE","TRUE")</f>
        <v>TRUE</v>
      </c>
      <c r="J1193" t="str" cm="1">
        <f t="array" ref="J1193">_xlfn.SWITCH(LEFT(Table1[[#This Row],[section]],1), "D", "Demographic", "S", "Social", "E", "Economic", "H", "Housing", "")</f>
        <v>Economic</v>
      </c>
      <c r="K1193" t="s">
        <v>4434</v>
      </c>
      <c r="L1193" t="s">
        <v>4435</v>
      </c>
      <c r="M1193" t="str">
        <f>IF(Table1[[#This Row],[used]], _xlfn.CONCAT("🆔 ", Table1[[#This Row],[variable]], ": ",Table1[[#This Row],[alias]]), "")</f>
        <v>🆔 B08015_003E: Aggregate number of vehicles car truck or van used in commuting: Female</v>
      </c>
      <c r="O1193" t="s">
        <v>4494</v>
      </c>
      <c r="P1193" t="s">
        <v>4430</v>
      </c>
      <c r="Q1193" t="s">
        <v>41</v>
      </c>
      <c r="R1193" t="s">
        <v>4495</v>
      </c>
      <c r="S1193" t="b">
        <v>1</v>
      </c>
      <c r="T1193" t="b">
        <v>1</v>
      </c>
      <c r="U1193" t="b">
        <v>1</v>
      </c>
      <c r="V1193" t="b">
        <v>1</v>
      </c>
      <c r="W1193" t="b">
        <v>1</v>
      </c>
      <c r="X1193" t="b">
        <v>1</v>
      </c>
      <c r="Y1193" t="b">
        <v>1</v>
      </c>
      <c r="Z1193" t="b">
        <v>1</v>
      </c>
      <c r="AA1193" t="b">
        <v>1</v>
      </c>
      <c r="AB1193" t="b">
        <v>1</v>
      </c>
      <c r="AC1193" t="b">
        <v>1</v>
      </c>
      <c r="AD1193" t="b">
        <v>1</v>
      </c>
      <c r="AE1193" t="b">
        <v>1</v>
      </c>
      <c r="AF1193" t="b">
        <v>1</v>
      </c>
      <c r="AG1193" t="b">
        <v>1</v>
      </c>
    </row>
    <row r="1194" spans="1:33" x14ac:dyDescent="0.25">
      <c r="A1194" t="s">
        <v>33</v>
      </c>
      <c r="B1194">
        <v>15</v>
      </c>
      <c r="C1194" t="b">
        <v>1</v>
      </c>
      <c r="D1194" t="s">
        <v>4281</v>
      </c>
      <c r="E1194" t="s">
        <v>4496</v>
      </c>
      <c r="F1194" t="s">
        <v>4497</v>
      </c>
      <c r="G1194" t="s">
        <v>4498</v>
      </c>
      <c r="H1194">
        <v>1193</v>
      </c>
      <c r="I1194" t="str">
        <f>IF(ISBLANK(Table1[[#This Row],[oid]]),"FALSE","TRUE")</f>
        <v>TRUE</v>
      </c>
      <c r="J1194" t="str" cm="1">
        <f t="array" ref="J1194">_xlfn.SWITCH(LEFT(Table1[[#This Row],[section]],1), "D", "Demographic", "S", "Social", "E", "Economic", "H", "Housing", "")</f>
        <v>Economic</v>
      </c>
      <c r="K1194" t="s">
        <v>4499</v>
      </c>
      <c r="L1194" t="s">
        <v>4500</v>
      </c>
      <c r="M1194" t="str">
        <f>IF(Table1[[#This Row],[used]], _xlfn.CONCAT("🆔 ", Table1[[#This Row],[variable]], ": ",Table1[[#This Row],[alias]]), "")</f>
        <v>🆔 B08103_001E: Median age: Workers, 16+ years</v>
      </c>
      <c r="O1194" t="s">
        <v>247</v>
      </c>
      <c r="P1194" t="s">
        <v>4501</v>
      </c>
      <c r="Q1194" t="s">
        <v>249</v>
      </c>
      <c r="R1194" t="s">
        <v>4502</v>
      </c>
      <c r="S1194" t="b">
        <v>1</v>
      </c>
      <c r="T1194" t="b">
        <v>1</v>
      </c>
      <c r="U1194" t="b">
        <v>1</v>
      </c>
      <c r="V1194" t="b">
        <v>1</v>
      </c>
      <c r="W1194" t="b">
        <v>1</v>
      </c>
      <c r="X1194" t="b">
        <v>1</v>
      </c>
      <c r="Y1194" t="b">
        <v>1</v>
      </c>
      <c r="Z1194" t="b">
        <v>1</v>
      </c>
      <c r="AA1194" t="b">
        <v>1</v>
      </c>
      <c r="AB1194" t="b">
        <v>1</v>
      </c>
      <c r="AC1194" t="b">
        <v>1</v>
      </c>
      <c r="AD1194" t="b">
        <v>1</v>
      </c>
      <c r="AE1194" t="b">
        <v>1</v>
      </c>
      <c r="AF1194" t="b">
        <v>1</v>
      </c>
      <c r="AG1194" t="b">
        <v>1</v>
      </c>
    </row>
    <row r="1195" spans="1:33" x14ac:dyDescent="0.25">
      <c r="A1195" t="s">
        <v>33</v>
      </c>
      <c r="B1195">
        <v>15</v>
      </c>
      <c r="C1195" t="b">
        <v>1</v>
      </c>
      <c r="D1195" t="s">
        <v>4281</v>
      </c>
      <c r="E1195" t="s">
        <v>4496</v>
      </c>
      <c r="F1195" t="s">
        <v>4503</v>
      </c>
      <c r="G1195" t="s">
        <v>4504</v>
      </c>
      <c r="H1195">
        <v>1194</v>
      </c>
      <c r="I1195" t="str">
        <f>IF(ISBLANK(Table1[[#This Row],[oid]]),"FALSE","TRUE")</f>
        <v>TRUE</v>
      </c>
      <c r="J1195" t="str" cm="1">
        <f t="array" ref="J1195">_xlfn.SWITCH(LEFT(Table1[[#This Row],[section]],1), "D", "Demographic", "S", "Social", "E", "Economic", "H", "Housing", "")</f>
        <v>Economic</v>
      </c>
      <c r="K1195" t="s">
        <v>4499</v>
      </c>
      <c r="L1195" t="s">
        <v>4500</v>
      </c>
      <c r="M1195" t="str">
        <f>IF(Table1[[#This Row],[used]], _xlfn.CONCAT("🆔 ", Table1[[#This Row],[variable]], ": ",Table1[[#This Row],[alias]]), "")</f>
        <v>🆔 B08103_002E: Median age: Car truck or van-drove alone</v>
      </c>
      <c r="O1195" t="s">
        <v>4505</v>
      </c>
      <c r="P1195" t="s">
        <v>4501</v>
      </c>
      <c r="Q1195" t="s">
        <v>249</v>
      </c>
      <c r="R1195" t="s">
        <v>4506</v>
      </c>
      <c r="S1195" t="b">
        <v>1</v>
      </c>
      <c r="T1195" t="b">
        <v>1</v>
      </c>
      <c r="U1195" t="b">
        <v>1</v>
      </c>
      <c r="V1195" t="b">
        <v>1</v>
      </c>
      <c r="W1195" t="b">
        <v>1</v>
      </c>
      <c r="X1195" t="b">
        <v>1</v>
      </c>
      <c r="Y1195" t="b">
        <v>1</v>
      </c>
      <c r="Z1195" t="b">
        <v>1</v>
      </c>
      <c r="AA1195" t="b">
        <v>1</v>
      </c>
      <c r="AB1195" t="b">
        <v>1</v>
      </c>
      <c r="AC1195" t="b">
        <v>1</v>
      </c>
      <c r="AD1195" t="b">
        <v>1</v>
      </c>
      <c r="AE1195" t="b">
        <v>1</v>
      </c>
      <c r="AF1195" t="b">
        <v>1</v>
      </c>
      <c r="AG1195" t="b">
        <v>1</v>
      </c>
    </row>
    <row r="1196" spans="1:33" x14ac:dyDescent="0.25">
      <c r="A1196" t="s">
        <v>33</v>
      </c>
      <c r="B1196">
        <v>15</v>
      </c>
      <c r="C1196" t="b">
        <v>1</v>
      </c>
      <c r="D1196" t="s">
        <v>4281</v>
      </c>
      <c r="E1196" t="s">
        <v>4496</v>
      </c>
      <c r="F1196" t="s">
        <v>4507</v>
      </c>
      <c r="G1196" t="s">
        <v>4508</v>
      </c>
      <c r="H1196">
        <v>1195</v>
      </c>
      <c r="I1196" t="str">
        <f>IF(ISBLANK(Table1[[#This Row],[oid]]),"FALSE","TRUE")</f>
        <v>TRUE</v>
      </c>
      <c r="J1196" t="str" cm="1">
        <f t="array" ref="J1196">_xlfn.SWITCH(LEFT(Table1[[#This Row],[section]],1), "D", "Demographic", "S", "Social", "E", "Economic", "H", "Housing", "")</f>
        <v>Economic</v>
      </c>
      <c r="K1196" t="s">
        <v>4499</v>
      </c>
      <c r="L1196" t="s">
        <v>4500</v>
      </c>
      <c r="M1196" t="str">
        <f>IF(Table1[[#This Row],[used]], _xlfn.CONCAT("🆔 ", Table1[[#This Row],[variable]], ": ",Table1[[#This Row],[alias]]), "")</f>
        <v>🆔 B08103_003E: Median age: Car truck or van-carpooled</v>
      </c>
      <c r="O1196" t="s">
        <v>4509</v>
      </c>
      <c r="P1196" t="s">
        <v>4501</v>
      </c>
      <c r="Q1196" t="s">
        <v>249</v>
      </c>
      <c r="R1196" t="s">
        <v>4510</v>
      </c>
      <c r="S1196" t="b">
        <v>1</v>
      </c>
      <c r="T1196" t="b">
        <v>1</v>
      </c>
      <c r="U1196" t="b">
        <v>1</v>
      </c>
      <c r="V1196" t="b">
        <v>1</v>
      </c>
      <c r="W1196" t="b">
        <v>1</v>
      </c>
      <c r="X1196" t="b">
        <v>1</v>
      </c>
      <c r="Y1196" t="b">
        <v>1</v>
      </c>
      <c r="Z1196" t="b">
        <v>1</v>
      </c>
      <c r="AA1196" t="b">
        <v>1</v>
      </c>
      <c r="AB1196" t="b">
        <v>1</v>
      </c>
      <c r="AC1196" t="b">
        <v>1</v>
      </c>
      <c r="AD1196" t="b">
        <v>1</v>
      </c>
      <c r="AE1196" t="b">
        <v>1</v>
      </c>
      <c r="AF1196" t="b">
        <v>1</v>
      </c>
      <c r="AG1196" t="b">
        <v>1</v>
      </c>
    </row>
    <row r="1197" spans="1:33" x14ac:dyDescent="0.25">
      <c r="A1197" t="s">
        <v>32</v>
      </c>
      <c r="B1197">
        <v>1</v>
      </c>
      <c r="C1197" t="b">
        <v>0</v>
      </c>
      <c r="D1197" t="s">
        <v>4281</v>
      </c>
      <c r="E1197" t="s">
        <v>4496</v>
      </c>
      <c r="F1197" t="s">
        <v>4511</v>
      </c>
      <c r="G1197" t="s">
        <v>4512</v>
      </c>
      <c r="H1197">
        <v>1196</v>
      </c>
      <c r="I1197" t="str">
        <f>IF(ISBLANK(Table1[[#This Row],[oid]]),"FALSE","TRUE")</f>
        <v>TRUE</v>
      </c>
      <c r="J1197" t="str" cm="1">
        <f t="array" ref="J1197">_xlfn.SWITCH(LEFT(Table1[[#This Row],[section]],1), "D", "Demographic", "S", "Social", "E", "Economic", "H", "Housing", "")</f>
        <v>Economic</v>
      </c>
      <c r="K1197" t="s">
        <v>4499</v>
      </c>
      <c r="L1197" t="s">
        <v>4500</v>
      </c>
      <c r="M1197" t="str">
        <f>IF(Table1[[#This Row],[used]], _xlfn.CONCAT("🆔 ", Table1[[#This Row],[variable]], ": ",Table1[[#This Row],[alias]]), "")</f>
        <v>🆔 B08103_004E: Median age: Public transportation</v>
      </c>
      <c r="O1197" t="s">
        <v>4513</v>
      </c>
      <c r="P1197" t="s">
        <v>4500</v>
      </c>
      <c r="Q1197" t="s">
        <v>249</v>
      </c>
      <c r="R1197" t="s">
        <v>4514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</row>
    <row r="1198" spans="1:33" x14ac:dyDescent="0.25">
      <c r="A1198" t="s">
        <v>4309</v>
      </c>
      <c r="B1198">
        <v>14</v>
      </c>
      <c r="C1198" t="b">
        <v>0</v>
      </c>
      <c r="D1198" t="s">
        <v>4281</v>
      </c>
      <c r="E1198" t="s">
        <v>4496</v>
      </c>
      <c r="F1198" t="s">
        <v>4511</v>
      </c>
      <c r="G1198" t="s">
        <v>4515</v>
      </c>
      <c r="H1198">
        <v>1197</v>
      </c>
      <c r="I1198" t="str">
        <f>IF(ISBLANK(Table1[[#This Row],[oid]]),"FALSE","TRUE")</f>
        <v>TRUE</v>
      </c>
      <c r="J1198" t="str" cm="1">
        <f t="array" ref="J1198">_xlfn.SWITCH(LEFT(Table1[[#This Row],[section]],1), "D", "Demographic", "S", "Social", "E", "Economic", "H", "Housing", "")</f>
        <v>Economic</v>
      </c>
      <c r="K1198" t="s">
        <v>4499</v>
      </c>
      <c r="L1198" t="s">
        <v>4500</v>
      </c>
      <c r="M1198" t="str">
        <f>IF(Table1[[#This Row],[used]], _xlfn.CONCAT("🆔 ", Table1[[#This Row],[variable]], ": ",Table1[[#This Row],[alias]]), "")</f>
        <v>🆔 B08103_004E: Median age: Public transportation excluding taxicab</v>
      </c>
      <c r="O1198" t="s">
        <v>4516</v>
      </c>
      <c r="P1198" t="s">
        <v>4501</v>
      </c>
      <c r="Q1198" t="s">
        <v>249</v>
      </c>
      <c r="R1198" t="s">
        <v>4514</v>
      </c>
      <c r="S1198" t="b">
        <v>1</v>
      </c>
      <c r="T1198" t="b">
        <v>1</v>
      </c>
      <c r="U1198" t="b">
        <v>1</v>
      </c>
      <c r="V1198" t="b">
        <v>1</v>
      </c>
      <c r="W1198" t="b">
        <v>1</v>
      </c>
      <c r="X1198" t="b">
        <v>1</v>
      </c>
      <c r="Y1198" t="b">
        <v>1</v>
      </c>
      <c r="Z1198" t="b">
        <v>1</v>
      </c>
      <c r="AA1198" t="b">
        <v>1</v>
      </c>
      <c r="AB1198" t="b">
        <v>1</v>
      </c>
      <c r="AC1198" t="b">
        <v>1</v>
      </c>
      <c r="AD1198" t="b">
        <v>1</v>
      </c>
      <c r="AE1198" t="b">
        <v>1</v>
      </c>
      <c r="AF1198" t="b">
        <v>1</v>
      </c>
      <c r="AG1198" t="b">
        <v>0</v>
      </c>
    </row>
    <row r="1199" spans="1:33" x14ac:dyDescent="0.25">
      <c r="A1199" t="s">
        <v>33</v>
      </c>
      <c r="B1199">
        <v>15</v>
      </c>
      <c r="C1199" t="b">
        <v>1</v>
      </c>
      <c r="D1199" t="s">
        <v>4281</v>
      </c>
      <c r="E1199" t="s">
        <v>4496</v>
      </c>
      <c r="F1199" t="s">
        <v>4517</v>
      </c>
      <c r="G1199" t="s">
        <v>4518</v>
      </c>
      <c r="H1199">
        <v>1198</v>
      </c>
      <c r="I1199" t="str">
        <f>IF(ISBLANK(Table1[[#This Row],[oid]]),"FALSE","TRUE")</f>
        <v>TRUE</v>
      </c>
      <c r="J1199" t="str" cm="1">
        <f t="array" ref="J1199">_xlfn.SWITCH(LEFT(Table1[[#This Row],[section]],1), "D", "Demographic", "S", "Social", "E", "Economic", "H", "Housing", "")</f>
        <v>Economic</v>
      </c>
      <c r="K1199" t="s">
        <v>4499</v>
      </c>
      <c r="L1199" t="s">
        <v>4500</v>
      </c>
      <c r="M1199" t="str">
        <f>IF(Table1[[#This Row],[used]], _xlfn.CONCAT("🆔 ", Table1[[#This Row],[variable]], ": ",Table1[[#This Row],[alias]]), "")</f>
        <v>🆔 B08103_005E: Median age: Walked</v>
      </c>
      <c r="O1199" t="s">
        <v>4519</v>
      </c>
      <c r="P1199" t="s">
        <v>4501</v>
      </c>
      <c r="Q1199" t="s">
        <v>249</v>
      </c>
      <c r="R1199" t="s">
        <v>4520</v>
      </c>
      <c r="S1199" t="b">
        <v>1</v>
      </c>
      <c r="T1199" t="b">
        <v>1</v>
      </c>
      <c r="U1199" t="b">
        <v>1</v>
      </c>
      <c r="V1199" t="b">
        <v>1</v>
      </c>
      <c r="W1199" t="b">
        <v>1</v>
      </c>
      <c r="X1199" t="b">
        <v>1</v>
      </c>
      <c r="Y1199" t="b">
        <v>1</v>
      </c>
      <c r="Z1199" t="b">
        <v>1</v>
      </c>
      <c r="AA1199" t="b">
        <v>1</v>
      </c>
      <c r="AB1199" t="b">
        <v>1</v>
      </c>
      <c r="AC1199" t="b">
        <v>1</v>
      </c>
      <c r="AD1199" t="b">
        <v>1</v>
      </c>
      <c r="AE1199" t="b">
        <v>1</v>
      </c>
      <c r="AF1199" t="b">
        <v>1</v>
      </c>
      <c r="AG1199" t="b">
        <v>1</v>
      </c>
    </row>
    <row r="1200" spans="1:33" x14ac:dyDescent="0.25">
      <c r="A1200" t="s">
        <v>32</v>
      </c>
      <c r="B1200">
        <v>1</v>
      </c>
      <c r="C1200" t="b">
        <v>0</v>
      </c>
      <c r="D1200" t="s">
        <v>4281</v>
      </c>
      <c r="E1200" t="s">
        <v>4496</v>
      </c>
      <c r="F1200" t="s">
        <v>4521</v>
      </c>
      <c r="G1200" t="s">
        <v>4522</v>
      </c>
      <c r="H1200">
        <v>1199</v>
      </c>
      <c r="I1200" t="str">
        <f>IF(ISBLANK(Table1[[#This Row],[oid]]),"FALSE","TRUE")</f>
        <v>TRUE</v>
      </c>
      <c r="J1200" t="str" cm="1">
        <f t="array" ref="J1200">_xlfn.SWITCH(LEFT(Table1[[#This Row],[section]],1), "D", "Demographic", "S", "Social", "E", "Economic", "H", "Housing", "")</f>
        <v>Economic</v>
      </c>
      <c r="K1200" t="s">
        <v>4499</v>
      </c>
      <c r="L1200" t="s">
        <v>4500</v>
      </c>
      <c r="M1200" t="str">
        <f>IF(Table1[[#This Row],[used]], _xlfn.CONCAT("🆔 ", Table1[[#This Row],[variable]], ": ",Table1[[#This Row],[alias]]), "")</f>
        <v>🆔 B08103_006E: Median age: Taxi or ride-hailing services motorcycle bicycle or other means</v>
      </c>
      <c r="O1200" t="s">
        <v>4523</v>
      </c>
      <c r="P1200" t="s">
        <v>4500</v>
      </c>
      <c r="Q1200" t="s">
        <v>249</v>
      </c>
      <c r="R1200" t="s">
        <v>4524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</row>
    <row r="1201" spans="1:33" x14ac:dyDescent="0.25">
      <c r="A1201" t="s">
        <v>4309</v>
      </c>
      <c r="B1201">
        <v>14</v>
      </c>
      <c r="C1201" t="b">
        <v>0</v>
      </c>
      <c r="D1201" t="s">
        <v>4281</v>
      </c>
      <c r="E1201" t="s">
        <v>4496</v>
      </c>
      <c r="F1201" t="s">
        <v>4521</v>
      </c>
      <c r="G1201" t="s">
        <v>4525</v>
      </c>
      <c r="H1201">
        <v>1200</v>
      </c>
      <c r="I1201" t="str">
        <f>IF(ISBLANK(Table1[[#This Row],[oid]]),"FALSE","TRUE")</f>
        <v>TRUE</v>
      </c>
      <c r="J1201" t="str" cm="1">
        <f t="array" ref="J1201">_xlfn.SWITCH(LEFT(Table1[[#This Row],[section]],1), "D", "Demographic", "S", "Social", "E", "Economic", "H", "Housing", "")</f>
        <v>Economic</v>
      </c>
      <c r="K1201" t="s">
        <v>4499</v>
      </c>
      <c r="L1201" t="s">
        <v>4500</v>
      </c>
      <c r="M1201" t="str">
        <f>IF(Table1[[#This Row],[used]], _xlfn.CONCAT("🆔 ", Table1[[#This Row],[variable]], ": ",Table1[[#This Row],[alias]]), "")</f>
        <v>🆔 B08103_006E: Median age: Taxicab motorcycle bicycle or other means</v>
      </c>
      <c r="O1201" t="s">
        <v>4526</v>
      </c>
      <c r="P1201" t="s">
        <v>4501</v>
      </c>
      <c r="Q1201" t="s">
        <v>249</v>
      </c>
      <c r="R1201" t="s">
        <v>4524</v>
      </c>
      <c r="S1201" t="b">
        <v>1</v>
      </c>
      <c r="T1201" t="b">
        <v>1</v>
      </c>
      <c r="U1201" t="b">
        <v>1</v>
      </c>
      <c r="V1201" t="b">
        <v>1</v>
      </c>
      <c r="W1201" t="b">
        <v>1</v>
      </c>
      <c r="X1201" t="b">
        <v>1</v>
      </c>
      <c r="Y1201" t="b">
        <v>1</v>
      </c>
      <c r="Z1201" t="b">
        <v>1</v>
      </c>
      <c r="AA1201" t="b">
        <v>1</v>
      </c>
      <c r="AB1201" t="b">
        <v>1</v>
      </c>
      <c r="AC1201" t="b">
        <v>1</v>
      </c>
      <c r="AD1201" t="b">
        <v>1</v>
      </c>
      <c r="AE1201" t="b">
        <v>1</v>
      </c>
      <c r="AF1201" t="b">
        <v>1</v>
      </c>
      <c r="AG1201" t="b">
        <v>0</v>
      </c>
    </row>
    <row r="1202" spans="1:33" x14ac:dyDescent="0.25">
      <c r="A1202" t="s">
        <v>676</v>
      </c>
      <c r="B1202">
        <v>9</v>
      </c>
      <c r="C1202" t="b">
        <v>0</v>
      </c>
      <c r="D1202" t="s">
        <v>4281</v>
      </c>
      <c r="E1202" t="s">
        <v>4496</v>
      </c>
      <c r="F1202" t="s">
        <v>4527</v>
      </c>
      <c r="G1202" t="s">
        <v>4528</v>
      </c>
      <c r="H1202">
        <v>1201</v>
      </c>
      <c r="I1202" t="str">
        <f>IF(ISBLANK(Table1[[#This Row],[oid]]),"FALSE","TRUE")</f>
        <v>TRUE</v>
      </c>
      <c r="J1202" t="str" cm="1">
        <f t="array" ref="J1202">_xlfn.SWITCH(LEFT(Table1[[#This Row],[section]],1), "D", "Demographic", "S", "Social", "E", "Economic", "H", "Housing", "")</f>
        <v>Economic</v>
      </c>
      <c r="K1202" t="s">
        <v>4499</v>
      </c>
      <c r="L1202" t="s">
        <v>4500</v>
      </c>
      <c r="M1202" t="str">
        <f>IF(Table1[[#This Row],[used]], _xlfn.CONCAT("🆔 ", Table1[[#This Row],[variable]], ": ",Table1[[#This Row],[alias]]), "")</f>
        <v>🆔 B08103_007E: Median age: Worked at home</v>
      </c>
      <c r="O1202" t="s">
        <v>4529</v>
      </c>
      <c r="P1202" t="s">
        <v>4501</v>
      </c>
      <c r="Q1202" t="s">
        <v>249</v>
      </c>
      <c r="R1202" t="s">
        <v>4530</v>
      </c>
      <c r="S1202" t="b">
        <v>1</v>
      </c>
      <c r="T1202" t="b">
        <v>1</v>
      </c>
      <c r="U1202" t="b">
        <v>1</v>
      </c>
      <c r="V1202" t="b">
        <v>1</v>
      </c>
      <c r="W1202" t="b">
        <v>1</v>
      </c>
      <c r="X1202" t="b">
        <v>1</v>
      </c>
      <c r="Y1202" t="b">
        <v>1</v>
      </c>
      <c r="Z1202" t="b">
        <v>1</v>
      </c>
      <c r="AA1202" t="b">
        <v>1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</row>
    <row r="1203" spans="1:33" x14ac:dyDescent="0.25">
      <c r="A1203" t="s">
        <v>681</v>
      </c>
      <c r="B1203">
        <v>6</v>
      </c>
      <c r="C1203" t="b">
        <v>0</v>
      </c>
      <c r="D1203" t="s">
        <v>4281</v>
      </c>
      <c r="E1203" t="s">
        <v>4496</v>
      </c>
      <c r="F1203" t="s">
        <v>4527</v>
      </c>
      <c r="G1203" t="s">
        <v>4531</v>
      </c>
      <c r="H1203">
        <v>1202</v>
      </c>
      <c r="I1203" t="str">
        <f>IF(ISBLANK(Table1[[#This Row],[oid]]),"FALSE","TRUE")</f>
        <v>TRUE</v>
      </c>
      <c r="J1203" t="str" cm="1">
        <f t="array" ref="J1203">_xlfn.SWITCH(LEFT(Table1[[#This Row],[section]],1), "D", "Demographic", "S", "Social", "E", "Economic", "H", "Housing", "")</f>
        <v>Economic</v>
      </c>
      <c r="K1203" t="s">
        <v>4499</v>
      </c>
      <c r="L1203" t="s">
        <v>4500</v>
      </c>
      <c r="M1203" t="str">
        <f>IF(Table1[[#This Row],[used]], _xlfn.CONCAT("🆔 ", Table1[[#This Row],[variable]], ": ",Table1[[#This Row],[alias]]), "")</f>
        <v>🆔 B08103_007E: Median age: Worked from home</v>
      </c>
      <c r="O1203" t="s">
        <v>4532</v>
      </c>
      <c r="P1203" t="s">
        <v>4501</v>
      </c>
      <c r="Q1203" t="s">
        <v>249</v>
      </c>
      <c r="R1203" t="s">
        <v>4530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1</v>
      </c>
      <c r="AC1203" t="b">
        <v>1</v>
      </c>
      <c r="AD1203" t="b">
        <v>1</v>
      </c>
      <c r="AE1203" t="b">
        <v>1</v>
      </c>
      <c r="AF1203" t="b">
        <v>1</v>
      </c>
      <c r="AG1203" t="b">
        <v>1</v>
      </c>
    </row>
    <row r="1204" spans="1:33" x14ac:dyDescent="0.25">
      <c r="A1204" t="s">
        <v>33</v>
      </c>
      <c r="B1204">
        <v>15</v>
      </c>
      <c r="C1204" t="b">
        <v>1</v>
      </c>
      <c r="D1204" t="s">
        <v>4281</v>
      </c>
      <c r="E1204" t="s">
        <v>4533</v>
      </c>
      <c r="F1204" t="s">
        <v>4534</v>
      </c>
      <c r="G1204" t="s">
        <v>313</v>
      </c>
      <c r="H1204">
        <v>1203</v>
      </c>
      <c r="I1204" t="str">
        <f>IF(ISBLANK(Table1[[#This Row],[oid]]),"FALSE","TRUE")</f>
        <v>TRUE</v>
      </c>
      <c r="J1204" t="str" cm="1">
        <f t="array" ref="J1204">_xlfn.SWITCH(LEFT(Table1[[#This Row],[section]],1), "D", "Demographic", "S", "Social", "E", "Economic", "H", "Housing", "")</f>
        <v>Economic</v>
      </c>
      <c r="K1204" t="s">
        <v>4535</v>
      </c>
      <c r="L1204" t="s">
        <v>4536</v>
      </c>
      <c r="M1204" t="str">
        <f>IF(Table1[[#This Row],[used]], _xlfn.CONCAT("🆔 ", Table1[[#This Row],[variable]], ": ",Table1[[#This Row],[alias]]), "")</f>
        <v>🆔 B08105A_001E: White alone</v>
      </c>
      <c r="O1204" t="s">
        <v>39</v>
      </c>
      <c r="P1204" t="s">
        <v>4537</v>
      </c>
      <c r="Q1204" t="s">
        <v>41</v>
      </c>
      <c r="R1204" t="s">
        <v>4538</v>
      </c>
      <c r="S1204" t="b">
        <v>1</v>
      </c>
      <c r="T1204" t="b">
        <v>1</v>
      </c>
      <c r="U1204" t="b">
        <v>1</v>
      </c>
      <c r="V1204" t="b">
        <v>1</v>
      </c>
      <c r="W1204" t="b">
        <v>1</v>
      </c>
      <c r="X1204" t="b">
        <v>1</v>
      </c>
      <c r="Y1204" t="b">
        <v>1</v>
      </c>
      <c r="Z1204" t="b">
        <v>1</v>
      </c>
      <c r="AA1204" t="b">
        <v>1</v>
      </c>
      <c r="AB1204" t="b">
        <v>1</v>
      </c>
      <c r="AC1204" t="b">
        <v>1</v>
      </c>
      <c r="AD1204" t="b">
        <v>1</v>
      </c>
      <c r="AE1204" t="b">
        <v>1</v>
      </c>
      <c r="AF1204" t="b">
        <v>1</v>
      </c>
      <c r="AG1204" t="b">
        <v>1</v>
      </c>
    </row>
    <row r="1205" spans="1:33" x14ac:dyDescent="0.25">
      <c r="A1205" t="s">
        <v>33</v>
      </c>
      <c r="B1205">
        <v>15</v>
      </c>
      <c r="C1205" t="b">
        <v>1</v>
      </c>
      <c r="D1205" t="s">
        <v>4281</v>
      </c>
      <c r="E1205" t="s">
        <v>4533</v>
      </c>
      <c r="F1205" t="s">
        <v>4539</v>
      </c>
      <c r="G1205" t="s">
        <v>4540</v>
      </c>
      <c r="H1205">
        <v>1204</v>
      </c>
      <c r="I1205" t="str">
        <f>IF(ISBLANK(Table1[[#This Row],[oid]]),"FALSE","TRUE")</f>
        <v>TRUE</v>
      </c>
      <c r="J1205" t="str" cm="1">
        <f t="array" ref="J1205">_xlfn.SWITCH(LEFT(Table1[[#This Row],[section]],1), "D", "Demographic", "S", "Social", "E", "Economic", "H", "Housing", "")</f>
        <v>Economic</v>
      </c>
      <c r="K1205" t="s">
        <v>4535</v>
      </c>
      <c r="L1205" t="s">
        <v>4536</v>
      </c>
      <c r="M1205" t="str">
        <f>IF(Table1[[#This Row],[used]], _xlfn.CONCAT("🆔 ", Table1[[#This Row],[variable]], ": ",Table1[[#This Row],[alias]]), "")</f>
        <v>🆔 B08105A_002E: Car truck or van-drove alone</v>
      </c>
      <c r="O1205" t="s">
        <v>4541</v>
      </c>
      <c r="P1205" t="s">
        <v>4537</v>
      </c>
      <c r="Q1205" t="s">
        <v>41</v>
      </c>
      <c r="R1205" t="s">
        <v>4542</v>
      </c>
      <c r="S1205" t="b">
        <v>1</v>
      </c>
      <c r="T1205" t="b">
        <v>1</v>
      </c>
      <c r="U1205" t="b">
        <v>1</v>
      </c>
      <c r="V1205" t="b">
        <v>1</v>
      </c>
      <c r="W1205" t="b">
        <v>1</v>
      </c>
      <c r="X1205" t="b">
        <v>1</v>
      </c>
      <c r="Y1205" t="b">
        <v>1</v>
      </c>
      <c r="Z1205" t="b">
        <v>1</v>
      </c>
      <c r="AA1205" t="b">
        <v>1</v>
      </c>
      <c r="AB1205" t="b">
        <v>1</v>
      </c>
      <c r="AC1205" t="b">
        <v>1</v>
      </c>
      <c r="AD1205" t="b">
        <v>1</v>
      </c>
      <c r="AE1205" t="b">
        <v>1</v>
      </c>
      <c r="AF1205" t="b">
        <v>1</v>
      </c>
      <c r="AG1205" t="b">
        <v>1</v>
      </c>
    </row>
    <row r="1206" spans="1:33" x14ac:dyDescent="0.25">
      <c r="A1206" t="s">
        <v>33</v>
      </c>
      <c r="B1206">
        <v>15</v>
      </c>
      <c r="C1206" t="b">
        <v>1</v>
      </c>
      <c r="D1206" t="s">
        <v>4281</v>
      </c>
      <c r="E1206" t="s">
        <v>4533</v>
      </c>
      <c r="F1206" t="s">
        <v>4543</v>
      </c>
      <c r="G1206" t="s">
        <v>4544</v>
      </c>
      <c r="H1206">
        <v>1205</v>
      </c>
      <c r="I1206" t="str">
        <f>IF(ISBLANK(Table1[[#This Row],[oid]]),"FALSE","TRUE")</f>
        <v>TRUE</v>
      </c>
      <c r="J1206" t="str" cm="1">
        <f t="array" ref="J1206">_xlfn.SWITCH(LEFT(Table1[[#This Row],[section]],1), "D", "Demographic", "S", "Social", "E", "Economic", "H", "Housing", "")</f>
        <v>Economic</v>
      </c>
      <c r="K1206" t="s">
        <v>4535</v>
      </c>
      <c r="L1206" t="s">
        <v>4536</v>
      </c>
      <c r="M1206" t="str">
        <f>IF(Table1[[#This Row],[used]], _xlfn.CONCAT("🆔 ", Table1[[#This Row],[variable]], ": ",Table1[[#This Row],[alias]]), "")</f>
        <v>🆔 B08105A_003E: Car truck or van-carpooled</v>
      </c>
      <c r="O1206" t="s">
        <v>4545</v>
      </c>
      <c r="P1206" t="s">
        <v>4537</v>
      </c>
      <c r="Q1206" t="s">
        <v>41</v>
      </c>
      <c r="R1206" t="s">
        <v>4546</v>
      </c>
      <c r="S1206" t="b">
        <v>1</v>
      </c>
      <c r="T1206" t="b">
        <v>1</v>
      </c>
      <c r="U1206" t="b">
        <v>1</v>
      </c>
      <c r="V1206" t="b">
        <v>1</v>
      </c>
      <c r="W1206" t="b">
        <v>1</v>
      </c>
      <c r="X1206" t="b">
        <v>1</v>
      </c>
      <c r="Y1206" t="b">
        <v>1</v>
      </c>
      <c r="Z1206" t="b">
        <v>1</v>
      </c>
      <c r="AA1206" t="b">
        <v>1</v>
      </c>
      <c r="AB1206" t="b">
        <v>1</v>
      </c>
      <c r="AC1206" t="b">
        <v>1</v>
      </c>
      <c r="AD1206" t="b">
        <v>1</v>
      </c>
      <c r="AE1206" t="b">
        <v>1</v>
      </c>
      <c r="AF1206" t="b">
        <v>1</v>
      </c>
      <c r="AG1206" t="b">
        <v>1</v>
      </c>
    </row>
    <row r="1207" spans="1:33" x14ac:dyDescent="0.25">
      <c r="A1207" t="s">
        <v>32</v>
      </c>
      <c r="B1207">
        <v>1</v>
      </c>
      <c r="C1207" t="b">
        <v>0</v>
      </c>
      <c r="D1207" t="s">
        <v>4281</v>
      </c>
      <c r="E1207" t="s">
        <v>4533</v>
      </c>
      <c r="F1207" t="s">
        <v>4547</v>
      </c>
      <c r="G1207" t="s">
        <v>4302</v>
      </c>
      <c r="H1207">
        <v>1206</v>
      </c>
      <c r="I1207" t="str">
        <f>IF(ISBLANK(Table1[[#This Row],[oid]]),"FALSE","TRUE")</f>
        <v>TRUE</v>
      </c>
      <c r="J1207" t="str" cm="1">
        <f t="array" ref="J1207">_xlfn.SWITCH(LEFT(Table1[[#This Row],[section]],1), "D", "Demographic", "S", "Social", "E", "Economic", "H", "Housing", "")</f>
        <v>Economic</v>
      </c>
      <c r="K1207" t="s">
        <v>4535</v>
      </c>
      <c r="L1207" t="s">
        <v>4536</v>
      </c>
      <c r="M1207" t="str">
        <f>IF(Table1[[#This Row],[used]], _xlfn.CONCAT("🆔 ", Table1[[#This Row],[variable]], ": ",Table1[[#This Row],[alias]]), "")</f>
        <v>🆔 B08105A_004E: Public transportation</v>
      </c>
      <c r="O1207" t="s">
        <v>4303</v>
      </c>
      <c r="P1207" t="s">
        <v>4548</v>
      </c>
      <c r="Q1207" t="s">
        <v>41</v>
      </c>
      <c r="R1207" t="s">
        <v>4549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</row>
    <row r="1208" spans="1:33" x14ac:dyDescent="0.25">
      <c r="A1208" t="s">
        <v>4309</v>
      </c>
      <c r="B1208">
        <v>14</v>
      </c>
      <c r="C1208" t="b">
        <v>0</v>
      </c>
      <c r="D1208" t="s">
        <v>4281</v>
      </c>
      <c r="E1208" t="s">
        <v>4533</v>
      </c>
      <c r="F1208" t="s">
        <v>4547</v>
      </c>
      <c r="G1208" t="s">
        <v>4550</v>
      </c>
      <c r="H1208">
        <v>1207</v>
      </c>
      <c r="I1208" t="str">
        <f>IF(ISBLANK(Table1[[#This Row],[oid]]),"FALSE","TRUE")</f>
        <v>TRUE</v>
      </c>
      <c r="J1208" t="str" cm="1">
        <f t="array" ref="J1208">_xlfn.SWITCH(LEFT(Table1[[#This Row],[section]],1), "D", "Demographic", "S", "Social", "E", "Economic", "H", "Housing", "")</f>
        <v>Economic</v>
      </c>
      <c r="K1208" t="s">
        <v>4535</v>
      </c>
      <c r="L1208" t="s">
        <v>4536</v>
      </c>
      <c r="M1208" t="str">
        <f>IF(Table1[[#This Row],[used]], _xlfn.CONCAT("🆔 ", Table1[[#This Row],[variable]], ": ",Table1[[#This Row],[alias]]), "")</f>
        <v>🆔 B08105A_004E: Public transportation excluding taxicab</v>
      </c>
      <c r="O1208" t="s">
        <v>4551</v>
      </c>
      <c r="P1208" t="s">
        <v>4537</v>
      </c>
      <c r="Q1208" t="s">
        <v>41</v>
      </c>
      <c r="R1208" t="s">
        <v>4549</v>
      </c>
      <c r="S1208" t="b">
        <v>1</v>
      </c>
      <c r="T1208" t="b">
        <v>1</v>
      </c>
      <c r="U1208" t="b">
        <v>1</v>
      </c>
      <c r="V1208" t="b">
        <v>1</v>
      </c>
      <c r="W1208" t="b">
        <v>1</v>
      </c>
      <c r="X1208" t="b">
        <v>1</v>
      </c>
      <c r="Y1208" t="b">
        <v>1</v>
      </c>
      <c r="Z1208" t="b">
        <v>1</v>
      </c>
      <c r="AA1208" t="b">
        <v>1</v>
      </c>
      <c r="AB1208" t="b">
        <v>1</v>
      </c>
      <c r="AC1208" t="b">
        <v>1</v>
      </c>
      <c r="AD1208" t="b">
        <v>1</v>
      </c>
      <c r="AE1208" t="b">
        <v>1</v>
      </c>
      <c r="AF1208" t="b">
        <v>1</v>
      </c>
      <c r="AG1208" t="b">
        <v>0</v>
      </c>
    </row>
    <row r="1209" spans="1:33" x14ac:dyDescent="0.25">
      <c r="A1209" t="s">
        <v>33</v>
      </c>
      <c r="B1209">
        <v>15</v>
      </c>
      <c r="C1209" t="b">
        <v>1</v>
      </c>
      <c r="D1209" t="s">
        <v>4281</v>
      </c>
      <c r="E1209" t="s">
        <v>4533</v>
      </c>
      <c r="F1209" t="s">
        <v>4552</v>
      </c>
      <c r="G1209" t="s">
        <v>4321</v>
      </c>
      <c r="H1209">
        <v>1208</v>
      </c>
      <c r="I1209" t="str">
        <f>IF(ISBLANK(Table1[[#This Row],[oid]]),"FALSE","TRUE")</f>
        <v>TRUE</v>
      </c>
      <c r="J1209" t="str" cm="1">
        <f t="array" ref="J1209">_xlfn.SWITCH(LEFT(Table1[[#This Row],[section]],1), "D", "Demographic", "S", "Social", "E", "Economic", "H", "Housing", "")</f>
        <v>Economic</v>
      </c>
      <c r="K1209" t="s">
        <v>4535</v>
      </c>
      <c r="L1209" t="s">
        <v>4536</v>
      </c>
      <c r="M1209" t="str">
        <f>IF(Table1[[#This Row],[used]], _xlfn.CONCAT("🆔 ", Table1[[#This Row],[variable]], ": ",Table1[[#This Row],[alias]]), "")</f>
        <v>🆔 B08105A_005E: Walked</v>
      </c>
      <c r="O1209" t="s">
        <v>4322</v>
      </c>
      <c r="P1209" t="s">
        <v>4537</v>
      </c>
      <c r="Q1209" t="s">
        <v>41</v>
      </c>
      <c r="R1209" t="s">
        <v>4553</v>
      </c>
      <c r="S1209" t="b">
        <v>1</v>
      </c>
      <c r="T1209" t="b">
        <v>1</v>
      </c>
      <c r="U1209" t="b">
        <v>1</v>
      </c>
      <c r="V1209" t="b">
        <v>1</v>
      </c>
      <c r="W1209" t="b">
        <v>1</v>
      </c>
      <c r="X1209" t="b">
        <v>1</v>
      </c>
      <c r="Y1209" t="b">
        <v>1</v>
      </c>
      <c r="Z1209" t="b">
        <v>1</v>
      </c>
      <c r="AA1209" t="b">
        <v>1</v>
      </c>
      <c r="AB1209" t="b">
        <v>1</v>
      </c>
      <c r="AC1209" t="b">
        <v>1</v>
      </c>
      <c r="AD1209" t="b">
        <v>1</v>
      </c>
      <c r="AE1209" t="b">
        <v>1</v>
      </c>
      <c r="AF1209" t="b">
        <v>1</v>
      </c>
      <c r="AG1209" t="b">
        <v>1</v>
      </c>
    </row>
    <row r="1210" spans="1:33" x14ac:dyDescent="0.25">
      <c r="A1210" t="s">
        <v>32</v>
      </c>
      <c r="B1210">
        <v>1</v>
      </c>
      <c r="C1210" t="b">
        <v>0</v>
      </c>
      <c r="D1210" t="s">
        <v>4281</v>
      </c>
      <c r="E1210" t="s">
        <v>4533</v>
      </c>
      <c r="F1210" t="s">
        <v>4554</v>
      </c>
      <c r="G1210" t="s">
        <v>4555</v>
      </c>
      <c r="H1210">
        <v>1209</v>
      </c>
      <c r="I1210" t="str">
        <f>IF(ISBLANK(Table1[[#This Row],[oid]]),"FALSE","TRUE")</f>
        <v>TRUE</v>
      </c>
      <c r="J1210" t="str" cm="1">
        <f t="array" ref="J1210">_xlfn.SWITCH(LEFT(Table1[[#This Row],[section]],1), "D", "Demographic", "S", "Social", "E", "Economic", "H", "Housing", "")</f>
        <v>Economic</v>
      </c>
      <c r="K1210" t="s">
        <v>4535</v>
      </c>
      <c r="L1210" t="s">
        <v>4536</v>
      </c>
      <c r="M1210" t="str">
        <f>IF(Table1[[#This Row],[used]], _xlfn.CONCAT("🆔 ", Table1[[#This Row],[variable]], ": ",Table1[[#This Row],[alias]]), "")</f>
        <v>🆔 B08105A_006E: Taxi or ride-hailing services motorcycle bicycle or other means</v>
      </c>
      <c r="O1210" t="s">
        <v>4556</v>
      </c>
      <c r="P1210" t="s">
        <v>4548</v>
      </c>
      <c r="Q1210" t="s">
        <v>41</v>
      </c>
      <c r="R1210" t="s">
        <v>4557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</row>
    <row r="1211" spans="1:33" x14ac:dyDescent="0.25">
      <c r="A1211" t="s">
        <v>4309</v>
      </c>
      <c r="B1211">
        <v>14</v>
      </c>
      <c r="C1211" t="b">
        <v>0</v>
      </c>
      <c r="D1211" t="s">
        <v>4281</v>
      </c>
      <c r="E1211" t="s">
        <v>4533</v>
      </c>
      <c r="F1211" t="s">
        <v>4554</v>
      </c>
      <c r="G1211" t="s">
        <v>4558</v>
      </c>
      <c r="H1211">
        <v>1210</v>
      </c>
      <c r="I1211" t="str">
        <f>IF(ISBLANK(Table1[[#This Row],[oid]]),"FALSE","TRUE")</f>
        <v>TRUE</v>
      </c>
      <c r="J1211" t="str" cm="1">
        <f t="array" ref="J1211">_xlfn.SWITCH(LEFT(Table1[[#This Row],[section]],1), "D", "Demographic", "S", "Social", "E", "Economic", "H", "Housing", "")</f>
        <v>Economic</v>
      </c>
      <c r="K1211" t="s">
        <v>4535</v>
      </c>
      <c r="L1211" t="s">
        <v>4536</v>
      </c>
      <c r="M1211" t="str">
        <f>IF(Table1[[#This Row],[used]], _xlfn.CONCAT("🆔 ", Table1[[#This Row],[variable]], ": ",Table1[[#This Row],[alias]]), "")</f>
        <v>🆔 B08105A_006E: Taxicab motorcycle bicycle or other means</v>
      </c>
      <c r="O1211" t="s">
        <v>4559</v>
      </c>
      <c r="P1211" t="s">
        <v>4537</v>
      </c>
      <c r="Q1211" t="s">
        <v>41</v>
      </c>
      <c r="R1211" t="s">
        <v>4557</v>
      </c>
      <c r="S1211" t="b">
        <v>1</v>
      </c>
      <c r="T1211" t="b">
        <v>1</v>
      </c>
      <c r="U1211" t="b">
        <v>1</v>
      </c>
      <c r="V1211" t="b">
        <v>1</v>
      </c>
      <c r="W1211" t="b">
        <v>1</v>
      </c>
      <c r="X1211" t="b">
        <v>1</v>
      </c>
      <c r="Y1211" t="b">
        <v>1</v>
      </c>
      <c r="Z1211" t="b">
        <v>1</v>
      </c>
      <c r="AA1211" t="b">
        <v>1</v>
      </c>
      <c r="AB1211" t="b">
        <v>1</v>
      </c>
      <c r="AC1211" t="b">
        <v>1</v>
      </c>
      <c r="AD1211" t="b">
        <v>1</v>
      </c>
      <c r="AE1211" t="b">
        <v>1</v>
      </c>
      <c r="AF1211" t="b">
        <v>1</v>
      </c>
      <c r="AG1211" t="b">
        <v>0</v>
      </c>
    </row>
    <row r="1212" spans="1:33" x14ac:dyDescent="0.25">
      <c r="A1212" t="s">
        <v>676</v>
      </c>
      <c r="B1212">
        <v>9</v>
      </c>
      <c r="C1212" t="b">
        <v>0</v>
      </c>
      <c r="D1212" t="s">
        <v>4281</v>
      </c>
      <c r="E1212" t="s">
        <v>4533</v>
      </c>
      <c r="F1212" t="s">
        <v>4560</v>
      </c>
      <c r="G1212" t="s">
        <v>4329</v>
      </c>
      <c r="H1212">
        <v>1211</v>
      </c>
      <c r="I1212" t="str">
        <f>IF(ISBLANK(Table1[[#This Row],[oid]]),"FALSE","TRUE")</f>
        <v>TRUE</v>
      </c>
      <c r="J1212" t="str" cm="1">
        <f t="array" ref="J1212">_xlfn.SWITCH(LEFT(Table1[[#This Row],[section]],1), "D", "Demographic", "S", "Social", "E", "Economic", "H", "Housing", "")</f>
        <v>Economic</v>
      </c>
      <c r="K1212" t="s">
        <v>4535</v>
      </c>
      <c r="L1212" t="s">
        <v>4536</v>
      </c>
      <c r="M1212" t="str">
        <f>IF(Table1[[#This Row],[used]], _xlfn.CONCAT("🆔 ", Table1[[#This Row],[variable]], ": ",Table1[[#This Row],[alias]]), "")</f>
        <v>🆔 B08105A_007E: Worked at home</v>
      </c>
      <c r="O1212" t="s">
        <v>4330</v>
      </c>
      <c r="P1212" t="s">
        <v>4537</v>
      </c>
      <c r="Q1212" t="s">
        <v>41</v>
      </c>
      <c r="R1212" t="s">
        <v>4561</v>
      </c>
      <c r="S1212" t="b">
        <v>1</v>
      </c>
      <c r="T1212" t="b">
        <v>1</v>
      </c>
      <c r="U1212" t="b">
        <v>1</v>
      </c>
      <c r="V1212" t="b">
        <v>1</v>
      </c>
      <c r="W1212" t="b">
        <v>1</v>
      </c>
      <c r="X1212" t="b">
        <v>1</v>
      </c>
      <c r="Y1212" t="b">
        <v>1</v>
      </c>
      <c r="Z1212" t="b">
        <v>1</v>
      </c>
      <c r="AA1212" t="b">
        <v>1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</row>
    <row r="1213" spans="1:33" x14ac:dyDescent="0.25">
      <c r="A1213" t="s">
        <v>681</v>
      </c>
      <c r="B1213">
        <v>6</v>
      </c>
      <c r="C1213" t="b">
        <v>0</v>
      </c>
      <c r="D1213" t="s">
        <v>4281</v>
      </c>
      <c r="E1213" t="s">
        <v>4533</v>
      </c>
      <c r="F1213" t="s">
        <v>4560</v>
      </c>
      <c r="G1213" t="s">
        <v>4332</v>
      </c>
      <c r="H1213">
        <v>1212</v>
      </c>
      <c r="I1213" t="str">
        <f>IF(ISBLANK(Table1[[#This Row],[oid]]),"FALSE","TRUE")</f>
        <v>TRUE</v>
      </c>
      <c r="J1213" t="str" cm="1">
        <f t="array" ref="J1213">_xlfn.SWITCH(LEFT(Table1[[#This Row],[section]],1), "D", "Demographic", "S", "Social", "E", "Economic", "H", "Housing", "")</f>
        <v>Economic</v>
      </c>
      <c r="K1213" t="s">
        <v>4535</v>
      </c>
      <c r="L1213" t="s">
        <v>4536</v>
      </c>
      <c r="M1213" t="str">
        <f>IF(Table1[[#This Row],[used]], _xlfn.CONCAT("🆔 ", Table1[[#This Row],[variable]], ": ",Table1[[#This Row],[alias]]), "")</f>
        <v>🆔 B08105A_007E: Worked from home</v>
      </c>
      <c r="O1213" t="s">
        <v>4333</v>
      </c>
      <c r="P1213" t="s">
        <v>4537</v>
      </c>
      <c r="Q1213" t="s">
        <v>41</v>
      </c>
      <c r="R1213" t="s">
        <v>4561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1</v>
      </c>
      <c r="AC1213" t="b">
        <v>1</v>
      </c>
      <c r="AD1213" t="b">
        <v>1</v>
      </c>
      <c r="AE1213" t="b">
        <v>1</v>
      </c>
      <c r="AF1213" t="b">
        <v>1</v>
      </c>
      <c r="AG1213" t="b">
        <v>1</v>
      </c>
    </row>
    <row r="1214" spans="1:33" x14ac:dyDescent="0.25">
      <c r="A1214" t="s">
        <v>33</v>
      </c>
      <c r="B1214">
        <v>15</v>
      </c>
      <c r="C1214" t="b">
        <v>1</v>
      </c>
      <c r="D1214" t="s">
        <v>4281</v>
      </c>
      <c r="E1214" t="s">
        <v>4562</v>
      </c>
      <c r="F1214" t="s">
        <v>4563</v>
      </c>
      <c r="G1214" t="s">
        <v>317</v>
      </c>
      <c r="H1214">
        <v>1213</v>
      </c>
      <c r="I1214" t="str">
        <f>IF(ISBLANK(Table1[[#This Row],[oid]]),"FALSE","TRUE")</f>
        <v>TRUE</v>
      </c>
      <c r="J1214" t="str" cm="1">
        <f t="array" ref="J1214">_xlfn.SWITCH(LEFT(Table1[[#This Row],[section]],1), "D", "Demographic", "S", "Social", "E", "Economic", "H", "Housing", "")</f>
        <v>Economic</v>
      </c>
      <c r="K1214" t="s">
        <v>4535</v>
      </c>
      <c r="L1214" t="s">
        <v>4536</v>
      </c>
      <c r="M1214" t="str">
        <f>IF(Table1[[#This Row],[used]], _xlfn.CONCAT("🆔 ", Table1[[#This Row],[variable]], ": ",Table1[[#This Row],[alias]]), "")</f>
        <v>🆔 B08105B_001E: Black or African American alone</v>
      </c>
      <c r="O1214" t="s">
        <v>39</v>
      </c>
      <c r="P1214" t="s">
        <v>4564</v>
      </c>
      <c r="Q1214" t="s">
        <v>41</v>
      </c>
      <c r="R1214" t="s">
        <v>4565</v>
      </c>
      <c r="S1214" t="b">
        <v>1</v>
      </c>
      <c r="T1214" t="b">
        <v>1</v>
      </c>
      <c r="U1214" t="b">
        <v>1</v>
      </c>
      <c r="V1214" t="b">
        <v>1</v>
      </c>
      <c r="W1214" t="b">
        <v>1</v>
      </c>
      <c r="X1214" t="b">
        <v>1</v>
      </c>
      <c r="Y1214" t="b">
        <v>1</v>
      </c>
      <c r="Z1214" t="b">
        <v>1</v>
      </c>
      <c r="AA1214" t="b">
        <v>1</v>
      </c>
      <c r="AB1214" t="b">
        <v>1</v>
      </c>
      <c r="AC1214" t="b">
        <v>1</v>
      </c>
      <c r="AD1214" t="b">
        <v>1</v>
      </c>
      <c r="AE1214" t="b">
        <v>1</v>
      </c>
      <c r="AF1214" t="b">
        <v>1</v>
      </c>
      <c r="AG1214" t="b">
        <v>1</v>
      </c>
    </row>
    <row r="1215" spans="1:33" x14ac:dyDescent="0.25">
      <c r="A1215" t="s">
        <v>33</v>
      </c>
      <c r="B1215">
        <v>15</v>
      </c>
      <c r="C1215" t="b">
        <v>1</v>
      </c>
      <c r="D1215" t="s">
        <v>4281</v>
      </c>
      <c r="E1215" t="s">
        <v>4562</v>
      </c>
      <c r="F1215" t="s">
        <v>4566</v>
      </c>
      <c r="G1215" t="s">
        <v>4540</v>
      </c>
      <c r="H1215">
        <v>1214</v>
      </c>
      <c r="I1215" t="str">
        <f>IF(ISBLANK(Table1[[#This Row],[oid]]),"FALSE","TRUE")</f>
        <v>TRUE</v>
      </c>
      <c r="J1215" t="str" cm="1">
        <f t="array" ref="J1215">_xlfn.SWITCH(LEFT(Table1[[#This Row],[section]],1), "D", "Demographic", "S", "Social", "E", "Economic", "H", "Housing", "")</f>
        <v>Economic</v>
      </c>
      <c r="K1215" t="s">
        <v>4535</v>
      </c>
      <c r="L1215" t="s">
        <v>4536</v>
      </c>
      <c r="M1215" t="str">
        <f>IF(Table1[[#This Row],[used]], _xlfn.CONCAT("🆔 ", Table1[[#This Row],[variable]], ": ",Table1[[#This Row],[alias]]), "")</f>
        <v>🆔 B08105B_002E: Car truck or van-drove alone</v>
      </c>
      <c r="O1215" t="s">
        <v>4541</v>
      </c>
      <c r="P1215" t="s">
        <v>4564</v>
      </c>
      <c r="Q1215" t="s">
        <v>41</v>
      </c>
      <c r="R1215" t="s">
        <v>4567</v>
      </c>
      <c r="S1215" t="b">
        <v>1</v>
      </c>
      <c r="T1215" t="b">
        <v>1</v>
      </c>
      <c r="U1215" t="b">
        <v>1</v>
      </c>
      <c r="V1215" t="b">
        <v>1</v>
      </c>
      <c r="W1215" t="b">
        <v>1</v>
      </c>
      <c r="X1215" t="b">
        <v>1</v>
      </c>
      <c r="Y1215" t="b">
        <v>1</v>
      </c>
      <c r="Z1215" t="b">
        <v>1</v>
      </c>
      <c r="AA1215" t="b">
        <v>1</v>
      </c>
      <c r="AB1215" t="b">
        <v>1</v>
      </c>
      <c r="AC1215" t="b">
        <v>1</v>
      </c>
      <c r="AD1215" t="b">
        <v>1</v>
      </c>
      <c r="AE1215" t="b">
        <v>1</v>
      </c>
      <c r="AF1215" t="b">
        <v>1</v>
      </c>
      <c r="AG1215" t="b">
        <v>1</v>
      </c>
    </row>
    <row r="1216" spans="1:33" x14ac:dyDescent="0.25">
      <c r="A1216" t="s">
        <v>33</v>
      </c>
      <c r="B1216">
        <v>15</v>
      </c>
      <c r="C1216" t="b">
        <v>1</v>
      </c>
      <c r="D1216" t="s">
        <v>4281</v>
      </c>
      <c r="E1216" t="s">
        <v>4562</v>
      </c>
      <c r="F1216" t="s">
        <v>4568</v>
      </c>
      <c r="G1216" t="s">
        <v>4544</v>
      </c>
      <c r="H1216">
        <v>1215</v>
      </c>
      <c r="I1216" t="str">
        <f>IF(ISBLANK(Table1[[#This Row],[oid]]),"FALSE","TRUE")</f>
        <v>TRUE</v>
      </c>
      <c r="J1216" t="str" cm="1">
        <f t="array" ref="J1216">_xlfn.SWITCH(LEFT(Table1[[#This Row],[section]],1), "D", "Demographic", "S", "Social", "E", "Economic", "H", "Housing", "")</f>
        <v>Economic</v>
      </c>
      <c r="K1216" t="s">
        <v>4535</v>
      </c>
      <c r="L1216" t="s">
        <v>4536</v>
      </c>
      <c r="M1216" t="str">
        <f>IF(Table1[[#This Row],[used]], _xlfn.CONCAT("🆔 ", Table1[[#This Row],[variable]], ": ",Table1[[#This Row],[alias]]), "")</f>
        <v>🆔 B08105B_003E: Car truck or van-carpooled</v>
      </c>
      <c r="O1216" t="s">
        <v>4545</v>
      </c>
      <c r="P1216" t="s">
        <v>4564</v>
      </c>
      <c r="Q1216" t="s">
        <v>41</v>
      </c>
      <c r="R1216" t="s">
        <v>4569</v>
      </c>
      <c r="S1216" t="b">
        <v>1</v>
      </c>
      <c r="T1216" t="b">
        <v>1</v>
      </c>
      <c r="U1216" t="b">
        <v>1</v>
      </c>
      <c r="V1216" t="b">
        <v>1</v>
      </c>
      <c r="W1216" t="b">
        <v>1</v>
      </c>
      <c r="X1216" t="b">
        <v>1</v>
      </c>
      <c r="Y1216" t="b">
        <v>1</v>
      </c>
      <c r="Z1216" t="b">
        <v>1</v>
      </c>
      <c r="AA1216" t="b">
        <v>1</v>
      </c>
      <c r="AB1216" t="b">
        <v>1</v>
      </c>
      <c r="AC1216" t="b">
        <v>1</v>
      </c>
      <c r="AD1216" t="b">
        <v>1</v>
      </c>
      <c r="AE1216" t="b">
        <v>1</v>
      </c>
      <c r="AF1216" t="b">
        <v>1</v>
      </c>
      <c r="AG1216" t="b">
        <v>1</v>
      </c>
    </row>
    <row r="1217" spans="1:33" x14ac:dyDescent="0.25">
      <c r="A1217" t="s">
        <v>32</v>
      </c>
      <c r="B1217">
        <v>1</v>
      </c>
      <c r="C1217" t="b">
        <v>0</v>
      </c>
      <c r="D1217" t="s">
        <v>4281</v>
      </c>
      <c r="E1217" t="s">
        <v>4562</v>
      </c>
      <c r="F1217" t="s">
        <v>4570</v>
      </c>
      <c r="G1217" t="s">
        <v>4302</v>
      </c>
      <c r="H1217">
        <v>1216</v>
      </c>
      <c r="I1217" t="str">
        <f>IF(ISBLANK(Table1[[#This Row],[oid]]),"FALSE","TRUE")</f>
        <v>TRUE</v>
      </c>
      <c r="J1217" t="str" cm="1">
        <f t="array" ref="J1217">_xlfn.SWITCH(LEFT(Table1[[#This Row],[section]],1), "D", "Demographic", "S", "Social", "E", "Economic", "H", "Housing", "")</f>
        <v>Economic</v>
      </c>
      <c r="K1217" t="s">
        <v>4535</v>
      </c>
      <c r="L1217" t="s">
        <v>4536</v>
      </c>
      <c r="M1217" t="str">
        <f>IF(Table1[[#This Row],[used]], _xlfn.CONCAT("🆔 ", Table1[[#This Row],[variable]], ": ",Table1[[#This Row],[alias]]), "")</f>
        <v>🆔 B08105B_004E: Public transportation</v>
      </c>
      <c r="O1217" t="s">
        <v>4303</v>
      </c>
      <c r="P1217" t="s">
        <v>4571</v>
      </c>
      <c r="Q1217" t="s">
        <v>41</v>
      </c>
      <c r="R1217" t="s">
        <v>4572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</row>
    <row r="1218" spans="1:33" x14ac:dyDescent="0.25">
      <c r="A1218" t="s">
        <v>4309</v>
      </c>
      <c r="B1218">
        <v>14</v>
      </c>
      <c r="C1218" t="b">
        <v>0</v>
      </c>
      <c r="D1218" t="s">
        <v>4281</v>
      </c>
      <c r="E1218" t="s">
        <v>4562</v>
      </c>
      <c r="F1218" t="s">
        <v>4570</v>
      </c>
      <c r="G1218" t="s">
        <v>4550</v>
      </c>
      <c r="H1218">
        <v>1217</v>
      </c>
      <c r="I1218" t="str">
        <f>IF(ISBLANK(Table1[[#This Row],[oid]]),"FALSE","TRUE")</f>
        <v>TRUE</v>
      </c>
      <c r="J1218" t="str" cm="1">
        <f t="array" ref="J1218">_xlfn.SWITCH(LEFT(Table1[[#This Row],[section]],1), "D", "Demographic", "S", "Social", "E", "Economic", "H", "Housing", "")</f>
        <v>Economic</v>
      </c>
      <c r="K1218" t="s">
        <v>4535</v>
      </c>
      <c r="L1218" t="s">
        <v>4536</v>
      </c>
      <c r="M1218" t="str">
        <f>IF(Table1[[#This Row],[used]], _xlfn.CONCAT("🆔 ", Table1[[#This Row],[variable]], ": ",Table1[[#This Row],[alias]]), "")</f>
        <v>🆔 B08105B_004E: Public transportation excluding taxicab</v>
      </c>
      <c r="O1218" t="s">
        <v>4551</v>
      </c>
      <c r="P1218" t="s">
        <v>4564</v>
      </c>
      <c r="Q1218" t="s">
        <v>41</v>
      </c>
      <c r="R1218" t="s">
        <v>4572</v>
      </c>
      <c r="S1218" t="b">
        <v>1</v>
      </c>
      <c r="T1218" t="b">
        <v>1</v>
      </c>
      <c r="U1218" t="b">
        <v>1</v>
      </c>
      <c r="V1218" t="b">
        <v>1</v>
      </c>
      <c r="W1218" t="b">
        <v>1</v>
      </c>
      <c r="X1218" t="b">
        <v>1</v>
      </c>
      <c r="Y1218" t="b">
        <v>1</v>
      </c>
      <c r="Z1218" t="b">
        <v>1</v>
      </c>
      <c r="AA1218" t="b">
        <v>1</v>
      </c>
      <c r="AB1218" t="b">
        <v>1</v>
      </c>
      <c r="AC1218" t="b">
        <v>1</v>
      </c>
      <c r="AD1218" t="b">
        <v>1</v>
      </c>
      <c r="AE1218" t="b">
        <v>1</v>
      </c>
      <c r="AF1218" t="b">
        <v>1</v>
      </c>
      <c r="AG1218" t="b">
        <v>0</v>
      </c>
    </row>
    <row r="1219" spans="1:33" x14ac:dyDescent="0.25">
      <c r="A1219" t="s">
        <v>33</v>
      </c>
      <c r="B1219">
        <v>15</v>
      </c>
      <c r="C1219" t="b">
        <v>1</v>
      </c>
      <c r="D1219" t="s">
        <v>4281</v>
      </c>
      <c r="E1219" t="s">
        <v>4562</v>
      </c>
      <c r="F1219" t="s">
        <v>4573</v>
      </c>
      <c r="G1219" t="s">
        <v>4321</v>
      </c>
      <c r="H1219">
        <v>1218</v>
      </c>
      <c r="I1219" t="str">
        <f>IF(ISBLANK(Table1[[#This Row],[oid]]),"FALSE","TRUE")</f>
        <v>TRUE</v>
      </c>
      <c r="J1219" t="str" cm="1">
        <f t="array" ref="J1219">_xlfn.SWITCH(LEFT(Table1[[#This Row],[section]],1), "D", "Demographic", "S", "Social", "E", "Economic", "H", "Housing", "")</f>
        <v>Economic</v>
      </c>
      <c r="K1219" t="s">
        <v>4535</v>
      </c>
      <c r="L1219" t="s">
        <v>4536</v>
      </c>
      <c r="M1219" t="str">
        <f>IF(Table1[[#This Row],[used]], _xlfn.CONCAT("🆔 ", Table1[[#This Row],[variable]], ": ",Table1[[#This Row],[alias]]), "")</f>
        <v>🆔 B08105B_005E: Walked</v>
      </c>
      <c r="O1219" t="s">
        <v>4322</v>
      </c>
      <c r="P1219" t="s">
        <v>4564</v>
      </c>
      <c r="Q1219" t="s">
        <v>41</v>
      </c>
      <c r="R1219" t="s">
        <v>4574</v>
      </c>
      <c r="S1219" t="b">
        <v>1</v>
      </c>
      <c r="T1219" t="b">
        <v>1</v>
      </c>
      <c r="U1219" t="b">
        <v>1</v>
      </c>
      <c r="V1219" t="b">
        <v>1</v>
      </c>
      <c r="W1219" t="b">
        <v>1</v>
      </c>
      <c r="X1219" t="b">
        <v>1</v>
      </c>
      <c r="Y1219" t="b">
        <v>1</v>
      </c>
      <c r="Z1219" t="b">
        <v>1</v>
      </c>
      <c r="AA1219" t="b">
        <v>1</v>
      </c>
      <c r="AB1219" t="b">
        <v>1</v>
      </c>
      <c r="AC1219" t="b">
        <v>1</v>
      </c>
      <c r="AD1219" t="b">
        <v>1</v>
      </c>
      <c r="AE1219" t="b">
        <v>1</v>
      </c>
      <c r="AF1219" t="b">
        <v>1</v>
      </c>
      <c r="AG1219" t="b">
        <v>1</v>
      </c>
    </row>
    <row r="1220" spans="1:33" x14ac:dyDescent="0.25">
      <c r="A1220" t="s">
        <v>32</v>
      </c>
      <c r="B1220">
        <v>1</v>
      </c>
      <c r="C1220" t="b">
        <v>0</v>
      </c>
      <c r="D1220" t="s">
        <v>4281</v>
      </c>
      <c r="E1220" t="s">
        <v>4562</v>
      </c>
      <c r="F1220" t="s">
        <v>4575</v>
      </c>
      <c r="G1220" t="s">
        <v>4555</v>
      </c>
      <c r="H1220">
        <v>1219</v>
      </c>
      <c r="I1220" t="str">
        <f>IF(ISBLANK(Table1[[#This Row],[oid]]),"FALSE","TRUE")</f>
        <v>TRUE</v>
      </c>
      <c r="J1220" t="str" cm="1">
        <f t="array" ref="J1220">_xlfn.SWITCH(LEFT(Table1[[#This Row],[section]],1), "D", "Demographic", "S", "Social", "E", "Economic", "H", "Housing", "")</f>
        <v>Economic</v>
      </c>
      <c r="K1220" t="s">
        <v>4535</v>
      </c>
      <c r="L1220" t="s">
        <v>4536</v>
      </c>
      <c r="M1220" t="str">
        <f>IF(Table1[[#This Row],[used]], _xlfn.CONCAT("🆔 ", Table1[[#This Row],[variable]], ": ",Table1[[#This Row],[alias]]), "")</f>
        <v>🆔 B08105B_006E: Taxi or ride-hailing services motorcycle bicycle or other means</v>
      </c>
      <c r="O1220" t="s">
        <v>4556</v>
      </c>
      <c r="P1220" t="s">
        <v>4571</v>
      </c>
      <c r="Q1220" t="s">
        <v>41</v>
      </c>
      <c r="R1220" t="s">
        <v>4576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</row>
    <row r="1221" spans="1:33" x14ac:dyDescent="0.25">
      <c r="A1221" t="s">
        <v>4309</v>
      </c>
      <c r="B1221">
        <v>14</v>
      </c>
      <c r="C1221" t="b">
        <v>0</v>
      </c>
      <c r="D1221" t="s">
        <v>4281</v>
      </c>
      <c r="E1221" t="s">
        <v>4562</v>
      </c>
      <c r="F1221" t="s">
        <v>4575</v>
      </c>
      <c r="G1221" t="s">
        <v>4558</v>
      </c>
      <c r="H1221">
        <v>1220</v>
      </c>
      <c r="I1221" t="str">
        <f>IF(ISBLANK(Table1[[#This Row],[oid]]),"FALSE","TRUE")</f>
        <v>TRUE</v>
      </c>
      <c r="J1221" t="str" cm="1">
        <f t="array" ref="J1221">_xlfn.SWITCH(LEFT(Table1[[#This Row],[section]],1), "D", "Demographic", "S", "Social", "E", "Economic", "H", "Housing", "")</f>
        <v>Economic</v>
      </c>
      <c r="K1221" t="s">
        <v>4535</v>
      </c>
      <c r="L1221" t="s">
        <v>4536</v>
      </c>
      <c r="M1221" t="str">
        <f>IF(Table1[[#This Row],[used]], _xlfn.CONCAT("🆔 ", Table1[[#This Row],[variable]], ": ",Table1[[#This Row],[alias]]), "")</f>
        <v>🆔 B08105B_006E: Taxicab motorcycle bicycle or other means</v>
      </c>
      <c r="O1221" t="s">
        <v>4559</v>
      </c>
      <c r="P1221" t="s">
        <v>4564</v>
      </c>
      <c r="Q1221" t="s">
        <v>41</v>
      </c>
      <c r="R1221" t="s">
        <v>4576</v>
      </c>
      <c r="S1221" t="b">
        <v>1</v>
      </c>
      <c r="T1221" t="b">
        <v>1</v>
      </c>
      <c r="U1221" t="b">
        <v>1</v>
      </c>
      <c r="V1221" t="b">
        <v>1</v>
      </c>
      <c r="W1221" t="b">
        <v>1</v>
      </c>
      <c r="X1221" t="b">
        <v>1</v>
      </c>
      <c r="Y1221" t="b">
        <v>1</v>
      </c>
      <c r="Z1221" t="b">
        <v>1</v>
      </c>
      <c r="AA1221" t="b">
        <v>1</v>
      </c>
      <c r="AB1221" t="b">
        <v>1</v>
      </c>
      <c r="AC1221" t="b">
        <v>1</v>
      </c>
      <c r="AD1221" t="b">
        <v>1</v>
      </c>
      <c r="AE1221" t="b">
        <v>1</v>
      </c>
      <c r="AF1221" t="b">
        <v>1</v>
      </c>
      <c r="AG1221" t="b">
        <v>0</v>
      </c>
    </row>
    <row r="1222" spans="1:33" x14ac:dyDescent="0.25">
      <c r="A1222" t="s">
        <v>676</v>
      </c>
      <c r="B1222">
        <v>9</v>
      </c>
      <c r="C1222" t="b">
        <v>0</v>
      </c>
      <c r="D1222" t="s">
        <v>4281</v>
      </c>
      <c r="E1222" t="s">
        <v>4562</v>
      </c>
      <c r="F1222" t="s">
        <v>4577</v>
      </c>
      <c r="G1222" t="s">
        <v>4329</v>
      </c>
      <c r="H1222">
        <v>1221</v>
      </c>
      <c r="I1222" t="str">
        <f>IF(ISBLANK(Table1[[#This Row],[oid]]),"FALSE","TRUE")</f>
        <v>TRUE</v>
      </c>
      <c r="J1222" t="str" cm="1">
        <f t="array" ref="J1222">_xlfn.SWITCH(LEFT(Table1[[#This Row],[section]],1), "D", "Demographic", "S", "Social", "E", "Economic", "H", "Housing", "")</f>
        <v>Economic</v>
      </c>
      <c r="K1222" t="s">
        <v>4535</v>
      </c>
      <c r="L1222" t="s">
        <v>4536</v>
      </c>
      <c r="M1222" t="str">
        <f>IF(Table1[[#This Row],[used]], _xlfn.CONCAT("🆔 ", Table1[[#This Row],[variable]], ": ",Table1[[#This Row],[alias]]), "")</f>
        <v>🆔 B08105B_007E: Worked at home</v>
      </c>
      <c r="O1222" t="s">
        <v>4330</v>
      </c>
      <c r="P1222" t="s">
        <v>4564</v>
      </c>
      <c r="Q1222" t="s">
        <v>41</v>
      </c>
      <c r="R1222" t="s">
        <v>4578</v>
      </c>
      <c r="S1222" t="b">
        <v>1</v>
      </c>
      <c r="T1222" t="b">
        <v>1</v>
      </c>
      <c r="U1222" t="b">
        <v>1</v>
      </c>
      <c r="V1222" t="b">
        <v>1</v>
      </c>
      <c r="W1222" t="b">
        <v>1</v>
      </c>
      <c r="X1222" t="b">
        <v>1</v>
      </c>
      <c r="Y1222" t="b">
        <v>1</v>
      </c>
      <c r="Z1222" t="b">
        <v>1</v>
      </c>
      <c r="AA1222" t="b">
        <v>1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</row>
    <row r="1223" spans="1:33" x14ac:dyDescent="0.25">
      <c r="A1223" t="s">
        <v>681</v>
      </c>
      <c r="B1223">
        <v>6</v>
      </c>
      <c r="C1223" t="b">
        <v>0</v>
      </c>
      <c r="D1223" t="s">
        <v>4281</v>
      </c>
      <c r="E1223" t="s">
        <v>4562</v>
      </c>
      <c r="F1223" t="s">
        <v>4577</v>
      </c>
      <c r="G1223" t="s">
        <v>4332</v>
      </c>
      <c r="H1223">
        <v>1222</v>
      </c>
      <c r="I1223" t="str">
        <f>IF(ISBLANK(Table1[[#This Row],[oid]]),"FALSE","TRUE")</f>
        <v>TRUE</v>
      </c>
      <c r="J1223" t="str" cm="1">
        <f t="array" ref="J1223">_xlfn.SWITCH(LEFT(Table1[[#This Row],[section]],1), "D", "Demographic", "S", "Social", "E", "Economic", "H", "Housing", "")</f>
        <v>Economic</v>
      </c>
      <c r="K1223" t="s">
        <v>4535</v>
      </c>
      <c r="L1223" t="s">
        <v>4536</v>
      </c>
      <c r="M1223" t="str">
        <f>IF(Table1[[#This Row],[used]], _xlfn.CONCAT("🆔 ", Table1[[#This Row],[variable]], ": ",Table1[[#This Row],[alias]]), "")</f>
        <v>🆔 B08105B_007E: Worked from home</v>
      </c>
      <c r="O1223" t="s">
        <v>4333</v>
      </c>
      <c r="P1223" t="s">
        <v>4564</v>
      </c>
      <c r="Q1223" t="s">
        <v>41</v>
      </c>
      <c r="R1223" t="s">
        <v>4578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1</v>
      </c>
      <c r="AC1223" t="b">
        <v>1</v>
      </c>
      <c r="AD1223" t="b">
        <v>1</v>
      </c>
      <c r="AE1223" t="b">
        <v>1</v>
      </c>
      <c r="AF1223" t="b">
        <v>1</v>
      </c>
      <c r="AG1223" t="b">
        <v>1</v>
      </c>
    </row>
    <row r="1224" spans="1:33" x14ac:dyDescent="0.25">
      <c r="A1224" t="s">
        <v>33</v>
      </c>
      <c r="B1224">
        <v>15</v>
      </c>
      <c r="C1224" t="b">
        <v>1</v>
      </c>
      <c r="D1224" t="s">
        <v>4281</v>
      </c>
      <c r="E1224" t="s">
        <v>4579</v>
      </c>
      <c r="F1224" t="s">
        <v>4580</v>
      </c>
      <c r="G1224" t="s">
        <v>321</v>
      </c>
      <c r="H1224">
        <v>1223</v>
      </c>
      <c r="I1224" t="str">
        <f>IF(ISBLANK(Table1[[#This Row],[oid]]),"FALSE","TRUE")</f>
        <v>TRUE</v>
      </c>
      <c r="J1224" t="str" cm="1">
        <f t="array" ref="J1224">_xlfn.SWITCH(LEFT(Table1[[#This Row],[section]],1), "D", "Demographic", "S", "Social", "E", "Economic", "H", "Housing", "")</f>
        <v>Economic</v>
      </c>
      <c r="K1224" t="s">
        <v>4535</v>
      </c>
      <c r="L1224" t="s">
        <v>4536</v>
      </c>
      <c r="M1224" t="str">
        <f>IF(Table1[[#This Row],[used]], _xlfn.CONCAT("🆔 ", Table1[[#This Row],[variable]], ": ",Table1[[#This Row],[alias]]), "")</f>
        <v>🆔 B08105C_001E: American Indian and Alaska Native alone</v>
      </c>
      <c r="O1224" t="s">
        <v>39</v>
      </c>
      <c r="P1224" t="s">
        <v>4581</v>
      </c>
      <c r="Q1224" t="s">
        <v>41</v>
      </c>
      <c r="R1224" t="s">
        <v>4582</v>
      </c>
      <c r="S1224" t="b">
        <v>1</v>
      </c>
      <c r="T1224" t="b">
        <v>1</v>
      </c>
      <c r="U1224" t="b">
        <v>1</v>
      </c>
      <c r="V1224" t="b">
        <v>1</v>
      </c>
      <c r="W1224" t="b">
        <v>1</v>
      </c>
      <c r="X1224" t="b">
        <v>1</v>
      </c>
      <c r="Y1224" t="b">
        <v>1</v>
      </c>
      <c r="Z1224" t="b">
        <v>1</v>
      </c>
      <c r="AA1224" t="b">
        <v>1</v>
      </c>
      <c r="AB1224" t="b">
        <v>1</v>
      </c>
      <c r="AC1224" t="b">
        <v>1</v>
      </c>
      <c r="AD1224" t="b">
        <v>1</v>
      </c>
      <c r="AE1224" t="b">
        <v>1</v>
      </c>
      <c r="AF1224" t="b">
        <v>1</v>
      </c>
      <c r="AG1224" t="b">
        <v>1</v>
      </c>
    </row>
    <row r="1225" spans="1:33" x14ac:dyDescent="0.25">
      <c r="A1225" t="s">
        <v>33</v>
      </c>
      <c r="B1225">
        <v>15</v>
      </c>
      <c r="C1225" t="b">
        <v>1</v>
      </c>
      <c r="D1225" t="s">
        <v>4281</v>
      </c>
      <c r="E1225" t="s">
        <v>4579</v>
      </c>
      <c r="F1225" t="s">
        <v>4583</v>
      </c>
      <c r="G1225" t="s">
        <v>4540</v>
      </c>
      <c r="H1225">
        <v>1224</v>
      </c>
      <c r="I1225" t="str">
        <f>IF(ISBLANK(Table1[[#This Row],[oid]]),"FALSE","TRUE")</f>
        <v>TRUE</v>
      </c>
      <c r="J1225" t="str" cm="1">
        <f t="array" ref="J1225">_xlfn.SWITCH(LEFT(Table1[[#This Row],[section]],1), "D", "Demographic", "S", "Social", "E", "Economic", "H", "Housing", "")</f>
        <v>Economic</v>
      </c>
      <c r="K1225" t="s">
        <v>4535</v>
      </c>
      <c r="L1225" t="s">
        <v>4536</v>
      </c>
      <c r="M1225" t="str">
        <f>IF(Table1[[#This Row],[used]], _xlfn.CONCAT("🆔 ", Table1[[#This Row],[variable]], ": ",Table1[[#This Row],[alias]]), "")</f>
        <v>🆔 B08105C_002E: Car truck or van-drove alone</v>
      </c>
      <c r="O1225" t="s">
        <v>4541</v>
      </c>
      <c r="P1225" t="s">
        <v>4581</v>
      </c>
      <c r="Q1225" t="s">
        <v>41</v>
      </c>
      <c r="R1225" t="s">
        <v>4584</v>
      </c>
      <c r="S1225" t="b">
        <v>1</v>
      </c>
      <c r="T1225" t="b">
        <v>1</v>
      </c>
      <c r="U1225" t="b">
        <v>1</v>
      </c>
      <c r="V1225" t="b">
        <v>1</v>
      </c>
      <c r="W1225" t="b">
        <v>1</v>
      </c>
      <c r="X1225" t="b">
        <v>1</v>
      </c>
      <c r="Y1225" t="b">
        <v>1</v>
      </c>
      <c r="Z1225" t="b">
        <v>1</v>
      </c>
      <c r="AA1225" t="b">
        <v>1</v>
      </c>
      <c r="AB1225" t="b">
        <v>1</v>
      </c>
      <c r="AC1225" t="b">
        <v>1</v>
      </c>
      <c r="AD1225" t="b">
        <v>1</v>
      </c>
      <c r="AE1225" t="b">
        <v>1</v>
      </c>
      <c r="AF1225" t="b">
        <v>1</v>
      </c>
      <c r="AG1225" t="b">
        <v>1</v>
      </c>
    </row>
    <row r="1226" spans="1:33" x14ac:dyDescent="0.25">
      <c r="A1226" t="s">
        <v>33</v>
      </c>
      <c r="B1226">
        <v>15</v>
      </c>
      <c r="C1226" t="b">
        <v>1</v>
      </c>
      <c r="D1226" t="s">
        <v>4281</v>
      </c>
      <c r="E1226" t="s">
        <v>4579</v>
      </c>
      <c r="F1226" t="s">
        <v>4585</v>
      </c>
      <c r="G1226" t="s">
        <v>4544</v>
      </c>
      <c r="H1226">
        <v>1225</v>
      </c>
      <c r="I1226" t="str">
        <f>IF(ISBLANK(Table1[[#This Row],[oid]]),"FALSE","TRUE")</f>
        <v>TRUE</v>
      </c>
      <c r="J1226" t="str" cm="1">
        <f t="array" ref="J1226">_xlfn.SWITCH(LEFT(Table1[[#This Row],[section]],1), "D", "Demographic", "S", "Social", "E", "Economic", "H", "Housing", "")</f>
        <v>Economic</v>
      </c>
      <c r="K1226" t="s">
        <v>4535</v>
      </c>
      <c r="L1226" t="s">
        <v>4536</v>
      </c>
      <c r="M1226" t="str">
        <f>IF(Table1[[#This Row],[used]], _xlfn.CONCAT("🆔 ", Table1[[#This Row],[variable]], ": ",Table1[[#This Row],[alias]]), "")</f>
        <v>🆔 B08105C_003E: Car truck or van-carpooled</v>
      </c>
      <c r="O1226" t="s">
        <v>4545</v>
      </c>
      <c r="P1226" t="s">
        <v>4581</v>
      </c>
      <c r="Q1226" t="s">
        <v>41</v>
      </c>
      <c r="R1226" t="s">
        <v>4586</v>
      </c>
      <c r="S1226" t="b">
        <v>1</v>
      </c>
      <c r="T1226" t="b">
        <v>1</v>
      </c>
      <c r="U1226" t="b">
        <v>1</v>
      </c>
      <c r="V1226" t="b">
        <v>1</v>
      </c>
      <c r="W1226" t="b">
        <v>1</v>
      </c>
      <c r="X1226" t="b">
        <v>1</v>
      </c>
      <c r="Y1226" t="b">
        <v>1</v>
      </c>
      <c r="Z1226" t="b">
        <v>1</v>
      </c>
      <c r="AA1226" t="b">
        <v>1</v>
      </c>
      <c r="AB1226" t="b">
        <v>1</v>
      </c>
      <c r="AC1226" t="b">
        <v>1</v>
      </c>
      <c r="AD1226" t="b">
        <v>1</v>
      </c>
      <c r="AE1226" t="b">
        <v>1</v>
      </c>
      <c r="AF1226" t="b">
        <v>1</v>
      </c>
      <c r="AG1226" t="b">
        <v>1</v>
      </c>
    </row>
    <row r="1227" spans="1:33" x14ac:dyDescent="0.25">
      <c r="A1227" t="s">
        <v>32</v>
      </c>
      <c r="B1227">
        <v>1</v>
      </c>
      <c r="C1227" t="b">
        <v>0</v>
      </c>
      <c r="D1227" t="s">
        <v>4281</v>
      </c>
      <c r="E1227" t="s">
        <v>4579</v>
      </c>
      <c r="F1227" t="s">
        <v>4587</v>
      </c>
      <c r="G1227" t="s">
        <v>4302</v>
      </c>
      <c r="H1227">
        <v>1226</v>
      </c>
      <c r="I1227" t="str">
        <f>IF(ISBLANK(Table1[[#This Row],[oid]]),"FALSE","TRUE")</f>
        <v>TRUE</v>
      </c>
      <c r="J1227" t="str" cm="1">
        <f t="array" ref="J1227">_xlfn.SWITCH(LEFT(Table1[[#This Row],[section]],1), "D", "Demographic", "S", "Social", "E", "Economic", "H", "Housing", "")</f>
        <v>Economic</v>
      </c>
      <c r="K1227" t="s">
        <v>4535</v>
      </c>
      <c r="L1227" t="s">
        <v>4536</v>
      </c>
      <c r="M1227" t="str">
        <f>IF(Table1[[#This Row],[used]], _xlfn.CONCAT("🆔 ", Table1[[#This Row],[variable]], ": ",Table1[[#This Row],[alias]]), "")</f>
        <v>🆔 B08105C_004E: Public transportation</v>
      </c>
      <c r="O1227" t="s">
        <v>4303</v>
      </c>
      <c r="P1227" t="s">
        <v>4588</v>
      </c>
      <c r="Q1227" t="s">
        <v>41</v>
      </c>
      <c r="R1227" t="s">
        <v>4589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</row>
    <row r="1228" spans="1:33" x14ac:dyDescent="0.25">
      <c r="A1228" t="s">
        <v>4309</v>
      </c>
      <c r="B1228">
        <v>14</v>
      </c>
      <c r="C1228" t="b">
        <v>0</v>
      </c>
      <c r="D1228" t="s">
        <v>4281</v>
      </c>
      <c r="E1228" t="s">
        <v>4579</v>
      </c>
      <c r="F1228" t="s">
        <v>4587</v>
      </c>
      <c r="G1228" t="s">
        <v>4550</v>
      </c>
      <c r="H1228">
        <v>1227</v>
      </c>
      <c r="I1228" t="str">
        <f>IF(ISBLANK(Table1[[#This Row],[oid]]),"FALSE","TRUE")</f>
        <v>TRUE</v>
      </c>
      <c r="J1228" t="str" cm="1">
        <f t="array" ref="J1228">_xlfn.SWITCH(LEFT(Table1[[#This Row],[section]],1), "D", "Demographic", "S", "Social", "E", "Economic", "H", "Housing", "")</f>
        <v>Economic</v>
      </c>
      <c r="K1228" t="s">
        <v>4535</v>
      </c>
      <c r="L1228" t="s">
        <v>4536</v>
      </c>
      <c r="M1228" t="str">
        <f>IF(Table1[[#This Row],[used]], _xlfn.CONCAT("🆔 ", Table1[[#This Row],[variable]], ": ",Table1[[#This Row],[alias]]), "")</f>
        <v>🆔 B08105C_004E: Public transportation excluding taxicab</v>
      </c>
      <c r="O1228" t="s">
        <v>4551</v>
      </c>
      <c r="P1228" t="s">
        <v>4581</v>
      </c>
      <c r="Q1228" t="s">
        <v>41</v>
      </c>
      <c r="R1228" t="s">
        <v>4589</v>
      </c>
      <c r="S1228" t="b">
        <v>1</v>
      </c>
      <c r="T1228" t="b">
        <v>1</v>
      </c>
      <c r="U1228" t="b">
        <v>1</v>
      </c>
      <c r="V1228" t="b">
        <v>1</v>
      </c>
      <c r="W1228" t="b">
        <v>1</v>
      </c>
      <c r="X1228" t="b">
        <v>1</v>
      </c>
      <c r="Y1228" t="b">
        <v>1</v>
      </c>
      <c r="Z1228" t="b">
        <v>1</v>
      </c>
      <c r="AA1228" t="b">
        <v>1</v>
      </c>
      <c r="AB1228" t="b">
        <v>1</v>
      </c>
      <c r="AC1228" t="b">
        <v>1</v>
      </c>
      <c r="AD1228" t="b">
        <v>1</v>
      </c>
      <c r="AE1228" t="b">
        <v>1</v>
      </c>
      <c r="AF1228" t="b">
        <v>1</v>
      </c>
      <c r="AG1228" t="b">
        <v>0</v>
      </c>
    </row>
    <row r="1229" spans="1:33" x14ac:dyDescent="0.25">
      <c r="A1229" t="s">
        <v>33</v>
      </c>
      <c r="B1229">
        <v>15</v>
      </c>
      <c r="C1229" t="b">
        <v>1</v>
      </c>
      <c r="D1229" t="s">
        <v>4281</v>
      </c>
      <c r="E1229" t="s">
        <v>4579</v>
      </c>
      <c r="F1229" t="s">
        <v>4590</v>
      </c>
      <c r="G1229" t="s">
        <v>4321</v>
      </c>
      <c r="H1229">
        <v>1228</v>
      </c>
      <c r="I1229" t="str">
        <f>IF(ISBLANK(Table1[[#This Row],[oid]]),"FALSE","TRUE")</f>
        <v>TRUE</v>
      </c>
      <c r="J1229" t="str" cm="1">
        <f t="array" ref="J1229">_xlfn.SWITCH(LEFT(Table1[[#This Row],[section]],1), "D", "Demographic", "S", "Social", "E", "Economic", "H", "Housing", "")</f>
        <v>Economic</v>
      </c>
      <c r="K1229" t="s">
        <v>4535</v>
      </c>
      <c r="L1229" t="s">
        <v>4536</v>
      </c>
      <c r="M1229" t="str">
        <f>IF(Table1[[#This Row],[used]], _xlfn.CONCAT("🆔 ", Table1[[#This Row],[variable]], ": ",Table1[[#This Row],[alias]]), "")</f>
        <v>🆔 B08105C_005E: Walked</v>
      </c>
      <c r="O1229" t="s">
        <v>4322</v>
      </c>
      <c r="P1229" t="s">
        <v>4581</v>
      </c>
      <c r="Q1229" t="s">
        <v>41</v>
      </c>
      <c r="R1229" t="s">
        <v>4591</v>
      </c>
      <c r="S1229" t="b">
        <v>1</v>
      </c>
      <c r="T1229" t="b">
        <v>1</v>
      </c>
      <c r="U1229" t="b">
        <v>1</v>
      </c>
      <c r="V1229" t="b">
        <v>1</v>
      </c>
      <c r="W1229" t="b">
        <v>1</v>
      </c>
      <c r="X1229" t="b">
        <v>1</v>
      </c>
      <c r="Y1229" t="b">
        <v>1</v>
      </c>
      <c r="Z1229" t="b">
        <v>1</v>
      </c>
      <c r="AA1229" t="b">
        <v>1</v>
      </c>
      <c r="AB1229" t="b">
        <v>1</v>
      </c>
      <c r="AC1229" t="b">
        <v>1</v>
      </c>
      <c r="AD1229" t="b">
        <v>1</v>
      </c>
      <c r="AE1229" t="b">
        <v>1</v>
      </c>
      <c r="AF1229" t="b">
        <v>1</v>
      </c>
      <c r="AG1229" t="b">
        <v>1</v>
      </c>
    </row>
    <row r="1230" spans="1:33" x14ac:dyDescent="0.25">
      <c r="A1230" t="s">
        <v>32</v>
      </c>
      <c r="B1230">
        <v>1</v>
      </c>
      <c r="C1230" t="b">
        <v>0</v>
      </c>
      <c r="D1230" t="s">
        <v>4281</v>
      </c>
      <c r="E1230" t="s">
        <v>4579</v>
      </c>
      <c r="F1230" t="s">
        <v>4592</v>
      </c>
      <c r="G1230" t="s">
        <v>4555</v>
      </c>
      <c r="H1230">
        <v>1229</v>
      </c>
      <c r="I1230" t="str">
        <f>IF(ISBLANK(Table1[[#This Row],[oid]]),"FALSE","TRUE")</f>
        <v>TRUE</v>
      </c>
      <c r="J1230" t="str" cm="1">
        <f t="array" ref="J1230">_xlfn.SWITCH(LEFT(Table1[[#This Row],[section]],1), "D", "Demographic", "S", "Social", "E", "Economic", "H", "Housing", "")</f>
        <v>Economic</v>
      </c>
      <c r="K1230" t="s">
        <v>4535</v>
      </c>
      <c r="L1230" t="s">
        <v>4536</v>
      </c>
      <c r="M1230" t="str">
        <f>IF(Table1[[#This Row],[used]], _xlfn.CONCAT("🆔 ", Table1[[#This Row],[variable]], ": ",Table1[[#This Row],[alias]]), "")</f>
        <v>🆔 B08105C_006E: Taxi or ride-hailing services motorcycle bicycle or other means</v>
      </c>
      <c r="O1230" t="s">
        <v>4556</v>
      </c>
      <c r="P1230" t="s">
        <v>4588</v>
      </c>
      <c r="Q1230" t="s">
        <v>41</v>
      </c>
      <c r="R1230" t="s">
        <v>4593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</row>
    <row r="1231" spans="1:33" x14ac:dyDescent="0.25">
      <c r="A1231" t="s">
        <v>4309</v>
      </c>
      <c r="B1231">
        <v>14</v>
      </c>
      <c r="C1231" t="b">
        <v>0</v>
      </c>
      <c r="D1231" t="s">
        <v>4281</v>
      </c>
      <c r="E1231" t="s">
        <v>4579</v>
      </c>
      <c r="F1231" t="s">
        <v>4592</v>
      </c>
      <c r="G1231" t="s">
        <v>4558</v>
      </c>
      <c r="H1231">
        <v>1230</v>
      </c>
      <c r="I1231" t="str">
        <f>IF(ISBLANK(Table1[[#This Row],[oid]]),"FALSE","TRUE")</f>
        <v>TRUE</v>
      </c>
      <c r="J1231" t="str" cm="1">
        <f t="array" ref="J1231">_xlfn.SWITCH(LEFT(Table1[[#This Row],[section]],1), "D", "Demographic", "S", "Social", "E", "Economic", "H", "Housing", "")</f>
        <v>Economic</v>
      </c>
      <c r="K1231" t="s">
        <v>4535</v>
      </c>
      <c r="L1231" t="s">
        <v>4536</v>
      </c>
      <c r="M1231" t="str">
        <f>IF(Table1[[#This Row],[used]], _xlfn.CONCAT("🆔 ", Table1[[#This Row],[variable]], ": ",Table1[[#This Row],[alias]]), "")</f>
        <v>🆔 B08105C_006E: Taxicab motorcycle bicycle or other means</v>
      </c>
      <c r="O1231" t="s">
        <v>4559</v>
      </c>
      <c r="P1231" t="s">
        <v>4581</v>
      </c>
      <c r="Q1231" t="s">
        <v>41</v>
      </c>
      <c r="R1231" t="s">
        <v>4593</v>
      </c>
      <c r="S1231" t="b">
        <v>1</v>
      </c>
      <c r="T1231" t="b">
        <v>1</v>
      </c>
      <c r="U1231" t="b">
        <v>1</v>
      </c>
      <c r="V1231" t="b">
        <v>1</v>
      </c>
      <c r="W1231" t="b">
        <v>1</v>
      </c>
      <c r="X1231" t="b">
        <v>1</v>
      </c>
      <c r="Y1231" t="b">
        <v>1</v>
      </c>
      <c r="Z1231" t="b">
        <v>1</v>
      </c>
      <c r="AA1231" t="b">
        <v>1</v>
      </c>
      <c r="AB1231" t="b">
        <v>1</v>
      </c>
      <c r="AC1231" t="b">
        <v>1</v>
      </c>
      <c r="AD1231" t="b">
        <v>1</v>
      </c>
      <c r="AE1231" t="b">
        <v>1</v>
      </c>
      <c r="AF1231" t="b">
        <v>1</v>
      </c>
      <c r="AG1231" t="b">
        <v>0</v>
      </c>
    </row>
    <row r="1232" spans="1:33" x14ac:dyDescent="0.25">
      <c r="A1232" t="s">
        <v>676</v>
      </c>
      <c r="B1232">
        <v>9</v>
      </c>
      <c r="C1232" t="b">
        <v>0</v>
      </c>
      <c r="D1232" t="s">
        <v>4281</v>
      </c>
      <c r="E1232" t="s">
        <v>4579</v>
      </c>
      <c r="F1232" t="s">
        <v>4594</v>
      </c>
      <c r="G1232" t="s">
        <v>4329</v>
      </c>
      <c r="H1232">
        <v>1231</v>
      </c>
      <c r="I1232" t="str">
        <f>IF(ISBLANK(Table1[[#This Row],[oid]]),"FALSE","TRUE")</f>
        <v>TRUE</v>
      </c>
      <c r="J1232" t="str" cm="1">
        <f t="array" ref="J1232">_xlfn.SWITCH(LEFT(Table1[[#This Row],[section]],1), "D", "Demographic", "S", "Social", "E", "Economic", "H", "Housing", "")</f>
        <v>Economic</v>
      </c>
      <c r="K1232" t="s">
        <v>4535</v>
      </c>
      <c r="L1232" t="s">
        <v>4536</v>
      </c>
      <c r="M1232" t="str">
        <f>IF(Table1[[#This Row],[used]], _xlfn.CONCAT("🆔 ", Table1[[#This Row],[variable]], ": ",Table1[[#This Row],[alias]]), "")</f>
        <v>🆔 B08105C_007E: Worked at home</v>
      </c>
      <c r="O1232" t="s">
        <v>4330</v>
      </c>
      <c r="P1232" t="s">
        <v>4581</v>
      </c>
      <c r="Q1232" t="s">
        <v>41</v>
      </c>
      <c r="R1232" t="s">
        <v>4595</v>
      </c>
      <c r="S1232" t="b">
        <v>1</v>
      </c>
      <c r="T1232" t="b">
        <v>1</v>
      </c>
      <c r="U1232" t="b">
        <v>1</v>
      </c>
      <c r="V1232" t="b">
        <v>1</v>
      </c>
      <c r="W1232" t="b">
        <v>1</v>
      </c>
      <c r="X1232" t="b">
        <v>1</v>
      </c>
      <c r="Y1232" t="b">
        <v>1</v>
      </c>
      <c r="Z1232" t="b">
        <v>1</v>
      </c>
      <c r="AA1232" t="b">
        <v>1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</row>
    <row r="1233" spans="1:33" x14ac:dyDescent="0.25">
      <c r="A1233" t="s">
        <v>681</v>
      </c>
      <c r="B1233">
        <v>6</v>
      </c>
      <c r="C1233" t="b">
        <v>0</v>
      </c>
      <c r="D1233" t="s">
        <v>4281</v>
      </c>
      <c r="E1233" t="s">
        <v>4579</v>
      </c>
      <c r="F1233" t="s">
        <v>4594</v>
      </c>
      <c r="G1233" t="s">
        <v>4332</v>
      </c>
      <c r="H1233">
        <v>1232</v>
      </c>
      <c r="I1233" t="str">
        <f>IF(ISBLANK(Table1[[#This Row],[oid]]),"FALSE","TRUE")</f>
        <v>TRUE</v>
      </c>
      <c r="J1233" t="str" cm="1">
        <f t="array" ref="J1233">_xlfn.SWITCH(LEFT(Table1[[#This Row],[section]],1), "D", "Demographic", "S", "Social", "E", "Economic", "H", "Housing", "")</f>
        <v>Economic</v>
      </c>
      <c r="K1233" t="s">
        <v>4535</v>
      </c>
      <c r="L1233" t="s">
        <v>4536</v>
      </c>
      <c r="M1233" t="str">
        <f>IF(Table1[[#This Row],[used]], _xlfn.CONCAT("🆔 ", Table1[[#This Row],[variable]], ": ",Table1[[#This Row],[alias]]), "")</f>
        <v>🆔 B08105C_007E: Worked from home</v>
      </c>
      <c r="O1233" t="s">
        <v>4333</v>
      </c>
      <c r="P1233" t="s">
        <v>4581</v>
      </c>
      <c r="Q1233" t="s">
        <v>41</v>
      </c>
      <c r="R1233" t="s">
        <v>4595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1</v>
      </c>
      <c r="AC1233" t="b">
        <v>1</v>
      </c>
      <c r="AD1233" t="b">
        <v>1</v>
      </c>
      <c r="AE1233" t="b">
        <v>1</v>
      </c>
      <c r="AF1233" t="b">
        <v>1</v>
      </c>
      <c r="AG1233" t="b">
        <v>1</v>
      </c>
    </row>
    <row r="1234" spans="1:33" x14ac:dyDescent="0.25">
      <c r="A1234" t="s">
        <v>33</v>
      </c>
      <c r="B1234">
        <v>15</v>
      </c>
      <c r="C1234" t="b">
        <v>1</v>
      </c>
      <c r="D1234" t="s">
        <v>4281</v>
      </c>
      <c r="E1234" t="s">
        <v>4596</v>
      </c>
      <c r="F1234" t="s">
        <v>4597</v>
      </c>
      <c r="G1234" t="s">
        <v>325</v>
      </c>
      <c r="H1234">
        <v>1233</v>
      </c>
      <c r="I1234" t="str">
        <f>IF(ISBLANK(Table1[[#This Row],[oid]]),"FALSE","TRUE")</f>
        <v>TRUE</v>
      </c>
      <c r="J1234" t="str" cm="1">
        <f t="array" ref="J1234">_xlfn.SWITCH(LEFT(Table1[[#This Row],[section]],1), "D", "Demographic", "S", "Social", "E", "Economic", "H", "Housing", "")</f>
        <v>Economic</v>
      </c>
      <c r="K1234" t="s">
        <v>4535</v>
      </c>
      <c r="L1234" t="s">
        <v>4536</v>
      </c>
      <c r="M1234" t="str">
        <f>IF(Table1[[#This Row],[used]], _xlfn.CONCAT("🆔 ", Table1[[#This Row],[variable]], ": ",Table1[[#This Row],[alias]]), "")</f>
        <v>🆔 B08105D_001E: Asian alone</v>
      </c>
      <c r="O1234" t="s">
        <v>39</v>
      </c>
      <c r="P1234" t="s">
        <v>4598</v>
      </c>
      <c r="Q1234" t="s">
        <v>41</v>
      </c>
      <c r="R1234" t="s">
        <v>4599</v>
      </c>
      <c r="S1234" t="b">
        <v>1</v>
      </c>
      <c r="T1234" t="b">
        <v>1</v>
      </c>
      <c r="U1234" t="b">
        <v>1</v>
      </c>
      <c r="V1234" t="b">
        <v>1</v>
      </c>
      <c r="W1234" t="b">
        <v>1</v>
      </c>
      <c r="X1234" t="b">
        <v>1</v>
      </c>
      <c r="Y1234" t="b">
        <v>1</v>
      </c>
      <c r="Z1234" t="b">
        <v>1</v>
      </c>
      <c r="AA1234" t="b">
        <v>1</v>
      </c>
      <c r="AB1234" t="b">
        <v>1</v>
      </c>
      <c r="AC1234" t="b">
        <v>1</v>
      </c>
      <c r="AD1234" t="b">
        <v>1</v>
      </c>
      <c r="AE1234" t="b">
        <v>1</v>
      </c>
      <c r="AF1234" t="b">
        <v>1</v>
      </c>
      <c r="AG1234" t="b">
        <v>1</v>
      </c>
    </row>
    <row r="1235" spans="1:33" x14ac:dyDescent="0.25">
      <c r="A1235" t="s">
        <v>33</v>
      </c>
      <c r="B1235">
        <v>15</v>
      </c>
      <c r="C1235" t="b">
        <v>1</v>
      </c>
      <c r="D1235" t="s">
        <v>4281</v>
      </c>
      <c r="E1235" t="s">
        <v>4596</v>
      </c>
      <c r="F1235" t="s">
        <v>4600</v>
      </c>
      <c r="G1235" t="s">
        <v>4540</v>
      </c>
      <c r="H1235">
        <v>1234</v>
      </c>
      <c r="I1235" t="str">
        <f>IF(ISBLANK(Table1[[#This Row],[oid]]),"FALSE","TRUE")</f>
        <v>TRUE</v>
      </c>
      <c r="J1235" t="str" cm="1">
        <f t="array" ref="J1235">_xlfn.SWITCH(LEFT(Table1[[#This Row],[section]],1), "D", "Demographic", "S", "Social", "E", "Economic", "H", "Housing", "")</f>
        <v>Economic</v>
      </c>
      <c r="K1235" t="s">
        <v>4535</v>
      </c>
      <c r="L1235" t="s">
        <v>4536</v>
      </c>
      <c r="M1235" t="str">
        <f>IF(Table1[[#This Row],[used]], _xlfn.CONCAT("🆔 ", Table1[[#This Row],[variable]], ": ",Table1[[#This Row],[alias]]), "")</f>
        <v>🆔 B08105D_002E: Car truck or van-drove alone</v>
      </c>
      <c r="O1235" t="s">
        <v>4541</v>
      </c>
      <c r="P1235" t="s">
        <v>4598</v>
      </c>
      <c r="Q1235" t="s">
        <v>41</v>
      </c>
      <c r="R1235" t="s">
        <v>4601</v>
      </c>
      <c r="S1235" t="b">
        <v>1</v>
      </c>
      <c r="T1235" t="b">
        <v>1</v>
      </c>
      <c r="U1235" t="b">
        <v>1</v>
      </c>
      <c r="V1235" t="b">
        <v>1</v>
      </c>
      <c r="W1235" t="b">
        <v>1</v>
      </c>
      <c r="X1235" t="b">
        <v>1</v>
      </c>
      <c r="Y1235" t="b">
        <v>1</v>
      </c>
      <c r="Z1235" t="b">
        <v>1</v>
      </c>
      <c r="AA1235" t="b">
        <v>1</v>
      </c>
      <c r="AB1235" t="b">
        <v>1</v>
      </c>
      <c r="AC1235" t="b">
        <v>1</v>
      </c>
      <c r="AD1235" t="b">
        <v>1</v>
      </c>
      <c r="AE1235" t="b">
        <v>1</v>
      </c>
      <c r="AF1235" t="b">
        <v>1</v>
      </c>
      <c r="AG1235" t="b">
        <v>1</v>
      </c>
    </row>
    <row r="1236" spans="1:33" x14ac:dyDescent="0.25">
      <c r="A1236" t="s">
        <v>33</v>
      </c>
      <c r="B1236">
        <v>15</v>
      </c>
      <c r="C1236" t="b">
        <v>1</v>
      </c>
      <c r="D1236" t="s">
        <v>4281</v>
      </c>
      <c r="E1236" t="s">
        <v>4596</v>
      </c>
      <c r="F1236" t="s">
        <v>4602</v>
      </c>
      <c r="G1236" t="s">
        <v>4544</v>
      </c>
      <c r="H1236">
        <v>1235</v>
      </c>
      <c r="I1236" t="str">
        <f>IF(ISBLANK(Table1[[#This Row],[oid]]),"FALSE","TRUE")</f>
        <v>TRUE</v>
      </c>
      <c r="J1236" t="str" cm="1">
        <f t="array" ref="J1236">_xlfn.SWITCH(LEFT(Table1[[#This Row],[section]],1), "D", "Demographic", "S", "Social", "E", "Economic", "H", "Housing", "")</f>
        <v>Economic</v>
      </c>
      <c r="K1236" t="s">
        <v>4535</v>
      </c>
      <c r="L1236" t="s">
        <v>4536</v>
      </c>
      <c r="M1236" t="str">
        <f>IF(Table1[[#This Row],[used]], _xlfn.CONCAT("🆔 ", Table1[[#This Row],[variable]], ": ",Table1[[#This Row],[alias]]), "")</f>
        <v>🆔 B08105D_003E: Car truck or van-carpooled</v>
      </c>
      <c r="O1236" t="s">
        <v>4545</v>
      </c>
      <c r="P1236" t="s">
        <v>4598</v>
      </c>
      <c r="Q1236" t="s">
        <v>41</v>
      </c>
      <c r="R1236" t="s">
        <v>4603</v>
      </c>
      <c r="S1236" t="b">
        <v>1</v>
      </c>
      <c r="T1236" t="b">
        <v>1</v>
      </c>
      <c r="U1236" t="b">
        <v>1</v>
      </c>
      <c r="V1236" t="b">
        <v>1</v>
      </c>
      <c r="W1236" t="b">
        <v>1</v>
      </c>
      <c r="X1236" t="b">
        <v>1</v>
      </c>
      <c r="Y1236" t="b">
        <v>1</v>
      </c>
      <c r="Z1236" t="b">
        <v>1</v>
      </c>
      <c r="AA1236" t="b">
        <v>1</v>
      </c>
      <c r="AB1236" t="b">
        <v>1</v>
      </c>
      <c r="AC1236" t="b">
        <v>1</v>
      </c>
      <c r="AD1236" t="b">
        <v>1</v>
      </c>
      <c r="AE1236" t="b">
        <v>1</v>
      </c>
      <c r="AF1236" t="b">
        <v>1</v>
      </c>
      <c r="AG1236" t="b">
        <v>1</v>
      </c>
    </row>
    <row r="1237" spans="1:33" x14ac:dyDescent="0.25">
      <c r="A1237" t="s">
        <v>32</v>
      </c>
      <c r="B1237">
        <v>1</v>
      </c>
      <c r="C1237" t="b">
        <v>0</v>
      </c>
      <c r="D1237" t="s">
        <v>4281</v>
      </c>
      <c r="E1237" t="s">
        <v>4596</v>
      </c>
      <c r="F1237" t="s">
        <v>4604</v>
      </c>
      <c r="G1237" t="s">
        <v>4302</v>
      </c>
      <c r="H1237">
        <v>1236</v>
      </c>
      <c r="I1237" t="str">
        <f>IF(ISBLANK(Table1[[#This Row],[oid]]),"FALSE","TRUE")</f>
        <v>TRUE</v>
      </c>
      <c r="J1237" t="str" cm="1">
        <f t="array" ref="J1237">_xlfn.SWITCH(LEFT(Table1[[#This Row],[section]],1), "D", "Demographic", "S", "Social", "E", "Economic", "H", "Housing", "")</f>
        <v>Economic</v>
      </c>
      <c r="K1237" t="s">
        <v>4535</v>
      </c>
      <c r="L1237" t="s">
        <v>4536</v>
      </c>
      <c r="M1237" t="str">
        <f>IF(Table1[[#This Row],[used]], _xlfn.CONCAT("🆔 ", Table1[[#This Row],[variable]], ": ",Table1[[#This Row],[alias]]), "")</f>
        <v>🆔 B08105D_004E: Public transportation</v>
      </c>
      <c r="O1237" t="s">
        <v>4303</v>
      </c>
      <c r="P1237" t="s">
        <v>4605</v>
      </c>
      <c r="Q1237" t="s">
        <v>41</v>
      </c>
      <c r="R1237" t="s">
        <v>4606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</row>
    <row r="1238" spans="1:33" x14ac:dyDescent="0.25">
      <c r="A1238" t="s">
        <v>4309</v>
      </c>
      <c r="B1238">
        <v>14</v>
      </c>
      <c r="C1238" t="b">
        <v>0</v>
      </c>
      <c r="D1238" t="s">
        <v>4281</v>
      </c>
      <c r="E1238" t="s">
        <v>4596</v>
      </c>
      <c r="F1238" t="s">
        <v>4604</v>
      </c>
      <c r="G1238" t="s">
        <v>4550</v>
      </c>
      <c r="H1238">
        <v>1237</v>
      </c>
      <c r="I1238" t="str">
        <f>IF(ISBLANK(Table1[[#This Row],[oid]]),"FALSE","TRUE")</f>
        <v>TRUE</v>
      </c>
      <c r="J1238" t="str" cm="1">
        <f t="array" ref="J1238">_xlfn.SWITCH(LEFT(Table1[[#This Row],[section]],1), "D", "Demographic", "S", "Social", "E", "Economic", "H", "Housing", "")</f>
        <v>Economic</v>
      </c>
      <c r="K1238" t="s">
        <v>4535</v>
      </c>
      <c r="L1238" t="s">
        <v>4536</v>
      </c>
      <c r="M1238" t="str">
        <f>IF(Table1[[#This Row],[used]], _xlfn.CONCAT("🆔 ", Table1[[#This Row],[variable]], ": ",Table1[[#This Row],[alias]]), "")</f>
        <v>🆔 B08105D_004E: Public transportation excluding taxicab</v>
      </c>
      <c r="O1238" t="s">
        <v>4551</v>
      </c>
      <c r="P1238" t="s">
        <v>4598</v>
      </c>
      <c r="Q1238" t="s">
        <v>41</v>
      </c>
      <c r="R1238" t="s">
        <v>4606</v>
      </c>
      <c r="S1238" t="b">
        <v>1</v>
      </c>
      <c r="T1238" t="b">
        <v>1</v>
      </c>
      <c r="U1238" t="b">
        <v>1</v>
      </c>
      <c r="V1238" t="b">
        <v>1</v>
      </c>
      <c r="W1238" t="b">
        <v>1</v>
      </c>
      <c r="X1238" t="b">
        <v>1</v>
      </c>
      <c r="Y1238" t="b">
        <v>1</v>
      </c>
      <c r="Z1238" t="b">
        <v>1</v>
      </c>
      <c r="AA1238" t="b">
        <v>1</v>
      </c>
      <c r="AB1238" t="b">
        <v>1</v>
      </c>
      <c r="AC1238" t="b">
        <v>1</v>
      </c>
      <c r="AD1238" t="b">
        <v>1</v>
      </c>
      <c r="AE1238" t="b">
        <v>1</v>
      </c>
      <c r="AF1238" t="b">
        <v>1</v>
      </c>
      <c r="AG1238" t="b">
        <v>0</v>
      </c>
    </row>
    <row r="1239" spans="1:33" x14ac:dyDescent="0.25">
      <c r="A1239" t="s">
        <v>33</v>
      </c>
      <c r="B1239">
        <v>15</v>
      </c>
      <c r="C1239" t="b">
        <v>1</v>
      </c>
      <c r="D1239" t="s">
        <v>4281</v>
      </c>
      <c r="E1239" t="s">
        <v>4596</v>
      </c>
      <c r="F1239" t="s">
        <v>4607</v>
      </c>
      <c r="G1239" t="s">
        <v>4321</v>
      </c>
      <c r="H1239">
        <v>1238</v>
      </c>
      <c r="I1239" t="str">
        <f>IF(ISBLANK(Table1[[#This Row],[oid]]),"FALSE","TRUE")</f>
        <v>TRUE</v>
      </c>
      <c r="J1239" t="str" cm="1">
        <f t="array" ref="J1239">_xlfn.SWITCH(LEFT(Table1[[#This Row],[section]],1), "D", "Demographic", "S", "Social", "E", "Economic", "H", "Housing", "")</f>
        <v>Economic</v>
      </c>
      <c r="K1239" t="s">
        <v>4535</v>
      </c>
      <c r="L1239" t="s">
        <v>4536</v>
      </c>
      <c r="M1239" t="str">
        <f>IF(Table1[[#This Row],[used]], _xlfn.CONCAT("🆔 ", Table1[[#This Row],[variable]], ": ",Table1[[#This Row],[alias]]), "")</f>
        <v>🆔 B08105D_005E: Walked</v>
      </c>
      <c r="O1239" t="s">
        <v>4322</v>
      </c>
      <c r="P1239" t="s">
        <v>4598</v>
      </c>
      <c r="Q1239" t="s">
        <v>41</v>
      </c>
      <c r="R1239" t="s">
        <v>4608</v>
      </c>
      <c r="S1239" t="b">
        <v>1</v>
      </c>
      <c r="T1239" t="b">
        <v>1</v>
      </c>
      <c r="U1239" t="b">
        <v>1</v>
      </c>
      <c r="V1239" t="b">
        <v>1</v>
      </c>
      <c r="W1239" t="b">
        <v>1</v>
      </c>
      <c r="X1239" t="b">
        <v>1</v>
      </c>
      <c r="Y1239" t="b">
        <v>1</v>
      </c>
      <c r="Z1239" t="b">
        <v>1</v>
      </c>
      <c r="AA1239" t="b">
        <v>1</v>
      </c>
      <c r="AB1239" t="b">
        <v>1</v>
      </c>
      <c r="AC1239" t="b">
        <v>1</v>
      </c>
      <c r="AD1239" t="b">
        <v>1</v>
      </c>
      <c r="AE1239" t="b">
        <v>1</v>
      </c>
      <c r="AF1239" t="b">
        <v>1</v>
      </c>
      <c r="AG1239" t="b">
        <v>1</v>
      </c>
    </row>
    <row r="1240" spans="1:33" x14ac:dyDescent="0.25">
      <c r="A1240" t="s">
        <v>32</v>
      </c>
      <c r="B1240">
        <v>1</v>
      </c>
      <c r="C1240" t="b">
        <v>0</v>
      </c>
      <c r="D1240" t="s">
        <v>4281</v>
      </c>
      <c r="E1240" t="s">
        <v>4596</v>
      </c>
      <c r="F1240" t="s">
        <v>4609</v>
      </c>
      <c r="G1240" t="s">
        <v>4555</v>
      </c>
      <c r="H1240">
        <v>1239</v>
      </c>
      <c r="I1240" t="str">
        <f>IF(ISBLANK(Table1[[#This Row],[oid]]),"FALSE","TRUE")</f>
        <v>TRUE</v>
      </c>
      <c r="J1240" t="str" cm="1">
        <f t="array" ref="J1240">_xlfn.SWITCH(LEFT(Table1[[#This Row],[section]],1), "D", "Demographic", "S", "Social", "E", "Economic", "H", "Housing", "")</f>
        <v>Economic</v>
      </c>
      <c r="K1240" t="s">
        <v>4535</v>
      </c>
      <c r="L1240" t="s">
        <v>4536</v>
      </c>
      <c r="M1240" t="str">
        <f>IF(Table1[[#This Row],[used]], _xlfn.CONCAT("🆔 ", Table1[[#This Row],[variable]], ": ",Table1[[#This Row],[alias]]), "")</f>
        <v>🆔 B08105D_006E: Taxi or ride-hailing services motorcycle bicycle or other means</v>
      </c>
      <c r="O1240" t="s">
        <v>4556</v>
      </c>
      <c r="P1240" t="s">
        <v>4605</v>
      </c>
      <c r="Q1240" t="s">
        <v>41</v>
      </c>
      <c r="R1240" t="s">
        <v>4610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</row>
    <row r="1241" spans="1:33" x14ac:dyDescent="0.25">
      <c r="A1241" t="s">
        <v>4309</v>
      </c>
      <c r="B1241">
        <v>14</v>
      </c>
      <c r="C1241" t="b">
        <v>0</v>
      </c>
      <c r="D1241" t="s">
        <v>4281</v>
      </c>
      <c r="E1241" t="s">
        <v>4596</v>
      </c>
      <c r="F1241" t="s">
        <v>4609</v>
      </c>
      <c r="G1241" t="s">
        <v>4558</v>
      </c>
      <c r="H1241">
        <v>1240</v>
      </c>
      <c r="I1241" t="str">
        <f>IF(ISBLANK(Table1[[#This Row],[oid]]),"FALSE","TRUE")</f>
        <v>TRUE</v>
      </c>
      <c r="J1241" t="str" cm="1">
        <f t="array" ref="J1241">_xlfn.SWITCH(LEFT(Table1[[#This Row],[section]],1), "D", "Demographic", "S", "Social", "E", "Economic", "H", "Housing", "")</f>
        <v>Economic</v>
      </c>
      <c r="K1241" t="s">
        <v>4535</v>
      </c>
      <c r="L1241" t="s">
        <v>4536</v>
      </c>
      <c r="M1241" t="str">
        <f>IF(Table1[[#This Row],[used]], _xlfn.CONCAT("🆔 ", Table1[[#This Row],[variable]], ": ",Table1[[#This Row],[alias]]), "")</f>
        <v>🆔 B08105D_006E: Taxicab motorcycle bicycle or other means</v>
      </c>
      <c r="O1241" t="s">
        <v>4559</v>
      </c>
      <c r="P1241" t="s">
        <v>4598</v>
      </c>
      <c r="Q1241" t="s">
        <v>41</v>
      </c>
      <c r="R1241" t="s">
        <v>4610</v>
      </c>
      <c r="S1241" t="b">
        <v>1</v>
      </c>
      <c r="T1241" t="b">
        <v>1</v>
      </c>
      <c r="U1241" t="b">
        <v>1</v>
      </c>
      <c r="V1241" t="b">
        <v>1</v>
      </c>
      <c r="W1241" t="b">
        <v>1</v>
      </c>
      <c r="X1241" t="b">
        <v>1</v>
      </c>
      <c r="Y1241" t="b">
        <v>1</v>
      </c>
      <c r="Z1241" t="b">
        <v>1</v>
      </c>
      <c r="AA1241" t="b">
        <v>1</v>
      </c>
      <c r="AB1241" t="b">
        <v>1</v>
      </c>
      <c r="AC1241" t="b">
        <v>1</v>
      </c>
      <c r="AD1241" t="b">
        <v>1</v>
      </c>
      <c r="AE1241" t="b">
        <v>1</v>
      </c>
      <c r="AF1241" t="b">
        <v>1</v>
      </c>
      <c r="AG1241" t="b">
        <v>0</v>
      </c>
    </row>
    <row r="1242" spans="1:33" x14ac:dyDescent="0.25">
      <c r="A1242" t="s">
        <v>676</v>
      </c>
      <c r="B1242">
        <v>9</v>
      </c>
      <c r="C1242" t="b">
        <v>0</v>
      </c>
      <c r="D1242" t="s">
        <v>4281</v>
      </c>
      <c r="E1242" t="s">
        <v>4596</v>
      </c>
      <c r="F1242" t="s">
        <v>4611</v>
      </c>
      <c r="G1242" t="s">
        <v>4329</v>
      </c>
      <c r="H1242">
        <v>1241</v>
      </c>
      <c r="I1242" t="str">
        <f>IF(ISBLANK(Table1[[#This Row],[oid]]),"FALSE","TRUE")</f>
        <v>TRUE</v>
      </c>
      <c r="J1242" t="str" cm="1">
        <f t="array" ref="J1242">_xlfn.SWITCH(LEFT(Table1[[#This Row],[section]],1), "D", "Demographic", "S", "Social", "E", "Economic", "H", "Housing", "")</f>
        <v>Economic</v>
      </c>
      <c r="K1242" t="s">
        <v>4535</v>
      </c>
      <c r="L1242" t="s">
        <v>4536</v>
      </c>
      <c r="M1242" t="str">
        <f>IF(Table1[[#This Row],[used]], _xlfn.CONCAT("🆔 ", Table1[[#This Row],[variable]], ": ",Table1[[#This Row],[alias]]), "")</f>
        <v>🆔 B08105D_007E: Worked at home</v>
      </c>
      <c r="O1242" t="s">
        <v>4330</v>
      </c>
      <c r="P1242" t="s">
        <v>4598</v>
      </c>
      <c r="Q1242" t="s">
        <v>41</v>
      </c>
      <c r="R1242" t="s">
        <v>4612</v>
      </c>
      <c r="S1242" t="b">
        <v>1</v>
      </c>
      <c r="T1242" t="b">
        <v>1</v>
      </c>
      <c r="U1242" t="b">
        <v>1</v>
      </c>
      <c r="V1242" t="b">
        <v>1</v>
      </c>
      <c r="W1242" t="b">
        <v>1</v>
      </c>
      <c r="X1242" t="b">
        <v>1</v>
      </c>
      <c r="Y1242" t="b">
        <v>1</v>
      </c>
      <c r="Z1242" t="b">
        <v>1</v>
      </c>
      <c r="AA1242" t="b">
        <v>1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</row>
    <row r="1243" spans="1:33" x14ac:dyDescent="0.25">
      <c r="A1243" t="s">
        <v>681</v>
      </c>
      <c r="B1243">
        <v>6</v>
      </c>
      <c r="C1243" t="b">
        <v>0</v>
      </c>
      <c r="D1243" t="s">
        <v>4281</v>
      </c>
      <c r="E1243" t="s">
        <v>4596</v>
      </c>
      <c r="F1243" t="s">
        <v>4611</v>
      </c>
      <c r="G1243" t="s">
        <v>4332</v>
      </c>
      <c r="H1243">
        <v>1242</v>
      </c>
      <c r="I1243" t="str">
        <f>IF(ISBLANK(Table1[[#This Row],[oid]]),"FALSE","TRUE")</f>
        <v>TRUE</v>
      </c>
      <c r="J1243" t="str" cm="1">
        <f t="array" ref="J1243">_xlfn.SWITCH(LEFT(Table1[[#This Row],[section]],1), "D", "Demographic", "S", "Social", "E", "Economic", "H", "Housing", "")</f>
        <v>Economic</v>
      </c>
      <c r="K1243" t="s">
        <v>4535</v>
      </c>
      <c r="L1243" t="s">
        <v>4536</v>
      </c>
      <c r="M1243" t="str">
        <f>IF(Table1[[#This Row],[used]], _xlfn.CONCAT("🆔 ", Table1[[#This Row],[variable]], ": ",Table1[[#This Row],[alias]]), "")</f>
        <v>🆔 B08105D_007E: Worked from home</v>
      </c>
      <c r="O1243" t="s">
        <v>4333</v>
      </c>
      <c r="P1243" t="s">
        <v>4598</v>
      </c>
      <c r="Q1243" t="s">
        <v>41</v>
      </c>
      <c r="R1243" t="s">
        <v>4612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1</v>
      </c>
      <c r="AC1243" t="b">
        <v>1</v>
      </c>
      <c r="AD1243" t="b">
        <v>1</v>
      </c>
      <c r="AE1243" t="b">
        <v>1</v>
      </c>
      <c r="AF1243" t="b">
        <v>1</v>
      </c>
      <c r="AG1243" t="b">
        <v>1</v>
      </c>
    </row>
    <row r="1244" spans="1:33" x14ac:dyDescent="0.25">
      <c r="A1244" t="s">
        <v>33</v>
      </c>
      <c r="B1244">
        <v>15</v>
      </c>
      <c r="C1244" t="b">
        <v>1</v>
      </c>
      <c r="D1244" t="s">
        <v>4281</v>
      </c>
      <c r="E1244" t="s">
        <v>4613</v>
      </c>
      <c r="F1244" t="s">
        <v>4614</v>
      </c>
      <c r="G1244" t="s">
        <v>329</v>
      </c>
      <c r="H1244">
        <v>1243</v>
      </c>
      <c r="I1244" t="str">
        <f>IF(ISBLANK(Table1[[#This Row],[oid]]),"FALSE","TRUE")</f>
        <v>TRUE</v>
      </c>
      <c r="J1244" t="str" cm="1">
        <f t="array" ref="J1244">_xlfn.SWITCH(LEFT(Table1[[#This Row],[section]],1), "D", "Demographic", "S", "Social", "E", "Economic", "H", "Housing", "")</f>
        <v>Economic</v>
      </c>
      <c r="K1244" t="s">
        <v>4535</v>
      </c>
      <c r="L1244" t="s">
        <v>4536</v>
      </c>
      <c r="M1244" t="str">
        <f>IF(Table1[[#This Row],[used]], _xlfn.CONCAT("🆔 ", Table1[[#This Row],[variable]], ": ",Table1[[#This Row],[alias]]), "")</f>
        <v>🆔 B08105E_001E: Native Hawaiian and Other Pacific Islander alone</v>
      </c>
      <c r="O1244" t="s">
        <v>39</v>
      </c>
      <c r="P1244" t="s">
        <v>4615</v>
      </c>
      <c r="Q1244" t="s">
        <v>41</v>
      </c>
      <c r="R1244" t="s">
        <v>4616</v>
      </c>
      <c r="S1244" t="b">
        <v>1</v>
      </c>
      <c r="T1244" t="b">
        <v>1</v>
      </c>
      <c r="U1244" t="b">
        <v>1</v>
      </c>
      <c r="V1244" t="b">
        <v>1</v>
      </c>
      <c r="W1244" t="b">
        <v>1</v>
      </c>
      <c r="X1244" t="b">
        <v>1</v>
      </c>
      <c r="Y1244" t="b">
        <v>1</v>
      </c>
      <c r="Z1244" t="b">
        <v>1</v>
      </c>
      <c r="AA1244" t="b">
        <v>1</v>
      </c>
      <c r="AB1244" t="b">
        <v>1</v>
      </c>
      <c r="AC1244" t="b">
        <v>1</v>
      </c>
      <c r="AD1244" t="b">
        <v>1</v>
      </c>
      <c r="AE1244" t="b">
        <v>1</v>
      </c>
      <c r="AF1244" t="b">
        <v>1</v>
      </c>
      <c r="AG1244" t="b">
        <v>1</v>
      </c>
    </row>
    <row r="1245" spans="1:33" x14ac:dyDescent="0.25">
      <c r="A1245" t="s">
        <v>33</v>
      </c>
      <c r="B1245">
        <v>15</v>
      </c>
      <c r="C1245" t="b">
        <v>1</v>
      </c>
      <c r="D1245" t="s">
        <v>4281</v>
      </c>
      <c r="E1245" t="s">
        <v>4613</v>
      </c>
      <c r="F1245" t="s">
        <v>4617</v>
      </c>
      <c r="G1245" t="s">
        <v>4540</v>
      </c>
      <c r="H1245">
        <v>1244</v>
      </c>
      <c r="I1245" t="str">
        <f>IF(ISBLANK(Table1[[#This Row],[oid]]),"FALSE","TRUE")</f>
        <v>TRUE</v>
      </c>
      <c r="J1245" t="str" cm="1">
        <f t="array" ref="J1245">_xlfn.SWITCH(LEFT(Table1[[#This Row],[section]],1), "D", "Demographic", "S", "Social", "E", "Economic", "H", "Housing", "")</f>
        <v>Economic</v>
      </c>
      <c r="K1245" t="s">
        <v>4535</v>
      </c>
      <c r="L1245" t="s">
        <v>4536</v>
      </c>
      <c r="M1245" t="str">
        <f>IF(Table1[[#This Row],[used]], _xlfn.CONCAT("🆔 ", Table1[[#This Row],[variable]], ": ",Table1[[#This Row],[alias]]), "")</f>
        <v>🆔 B08105E_002E: Car truck or van-drove alone</v>
      </c>
      <c r="O1245" t="s">
        <v>4541</v>
      </c>
      <c r="P1245" t="s">
        <v>4615</v>
      </c>
      <c r="Q1245" t="s">
        <v>41</v>
      </c>
      <c r="R1245" t="s">
        <v>4618</v>
      </c>
      <c r="S1245" t="b">
        <v>1</v>
      </c>
      <c r="T1245" t="b">
        <v>1</v>
      </c>
      <c r="U1245" t="b">
        <v>1</v>
      </c>
      <c r="V1245" t="b">
        <v>1</v>
      </c>
      <c r="W1245" t="b">
        <v>1</v>
      </c>
      <c r="X1245" t="b">
        <v>1</v>
      </c>
      <c r="Y1245" t="b">
        <v>1</v>
      </c>
      <c r="Z1245" t="b">
        <v>1</v>
      </c>
      <c r="AA1245" t="b">
        <v>1</v>
      </c>
      <c r="AB1245" t="b">
        <v>1</v>
      </c>
      <c r="AC1245" t="b">
        <v>1</v>
      </c>
      <c r="AD1245" t="b">
        <v>1</v>
      </c>
      <c r="AE1245" t="b">
        <v>1</v>
      </c>
      <c r="AF1245" t="b">
        <v>1</v>
      </c>
      <c r="AG1245" t="b">
        <v>1</v>
      </c>
    </row>
    <row r="1246" spans="1:33" x14ac:dyDescent="0.25">
      <c r="A1246" t="s">
        <v>33</v>
      </c>
      <c r="B1246">
        <v>15</v>
      </c>
      <c r="C1246" t="b">
        <v>1</v>
      </c>
      <c r="D1246" t="s">
        <v>4281</v>
      </c>
      <c r="E1246" t="s">
        <v>4613</v>
      </c>
      <c r="F1246" t="s">
        <v>4619</v>
      </c>
      <c r="G1246" t="s">
        <v>4544</v>
      </c>
      <c r="H1246">
        <v>1245</v>
      </c>
      <c r="I1246" t="str">
        <f>IF(ISBLANK(Table1[[#This Row],[oid]]),"FALSE","TRUE")</f>
        <v>TRUE</v>
      </c>
      <c r="J1246" t="str" cm="1">
        <f t="array" ref="J1246">_xlfn.SWITCH(LEFT(Table1[[#This Row],[section]],1), "D", "Demographic", "S", "Social", "E", "Economic", "H", "Housing", "")</f>
        <v>Economic</v>
      </c>
      <c r="K1246" t="s">
        <v>4535</v>
      </c>
      <c r="L1246" t="s">
        <v>4536</v>
      </c>
      <c r="M1246" t="str">
        <f>IF(Table1[[#This Row],[used]], _xlfn.CONCAT("🆔 ", Table1[[#This Row],[variable]], ": ",Table1[[#This Row],[alias]]), "")</f>
        <v>🆔 B08105E_003E: Car truck or van-carpooled</v>
      </c>
      <c r="O1246" t="s">
        <v>4545</v>
      </c>
      <c r="P1246" t="s">
        <v>4615</v>
      </c>
      <c r="Q1246" t="s">
        <v>41</v>
      </c>
      <c r="R1246" t="s">
        <v>4620</v>
      </c>
      <c r="S1246" t="b">
        <v>1</v>
      </c>
      <c r="T1246" t="b">
        <v>1</v>
      </c>
      <c r="U1246" t="b">
        <v>1</v>
      </c>
      <c r="V1246" t="b">
        <v>1</v>
      </c>
      <c r="W1246" t="b">
        <v>1</v>
      </c>
      <c r="X1246" t="b">
        <v>1</v>
      </c>
      <c r="Y1246" t="b">
        <v>1</v>
      </c>
      <c r="Z1246" t="b">
        <v>1</v>
      </c>
      <c r="AA1246" t="b">
        <v>1</v>
      </c>
      <c r="AB1246" t="b">
        <v>1</v>
      </c>
      <c r="AC1246" t="b">
        <v>1</v>
      </c>
      <c r="AD1246" t="b">
        <v>1</v>
      </c>
      <c r="AE1246" t="b">
        <v>1</v>
      </c>
      <c r="AF1246" t="b">
        <v>1</v>
      </c>
      <c r="AG1246" t="b">
        <v>1</v>
      </c>
    </row>
    <row r="1247" spans="1:33" x14ac:dyDescent="0.25">
      <c r="A1247" t="s">
        <v>32</v>
      </c>
      <c r="B1247">
        <v>1</v>
      </c>
      <c r="C1247" t="b">
        <v>0</v>
      </c>
      <c r="D1247" t="s">
        <v>4281</v>
      </c>
      <c r="E1247" t="s">
        <v>4613</v>
      </c>
      <c r="F1247" t="s">
        <v>4621</v>
      </c>
      <c r="G1247" t="s">
        <v>4302</v>
      </c>
      <c r="H1247">
        <v>1246</v>
      </c>
      <c r="I1247" t="str">
        <f>IF(ISBLANK(Table1[[#This Row],[oid]]),"FALSE","TRUE")</f>
        <v>TRUE</v>
      </c>
      <c r="J1247" t="str" cm="1">
        <f t="array" ref="J1247">_xlfn.SWITCH(LEFT(Table1[[#This Row],[section]],1), "D", "Demographic", "S", "Social", "E", "Economic", "H", "Housing", "")</f>
        <v>Economic</v>
      </c>
      <c r="K1247" t="s">
        <v>4535</v>
      </c>
      <c r="L1247" t="s">
        <v>4536</v>
      </c>
      <c r="M1247" t="str">
        <f>IF(Table1[[#This Row],[used]], _xlfn.CONCAT("🆔 ", Table1[[#This Row],[variable]], ": ",Table1[[#This Row],[alias]]), "")</f>
        <v>🆔 B08105E_004E: Public transportation</v>
      </c>
      <c r="O1247" t="s">
        <v>4303</v>
      </c>
      <c r="P1247" t="s">
        <v>4622</v>
      </c>
      <c r="Q1247" t="s">
        <v>41</v>
      </c>
      <c r="R1247" t="s">
        <v>4623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</row>
    <row r="1248" spans="1:33" x14ac:dyDescent="0.25">
      <c r="A1248" t="s">
        <v>4309</v>
      </c>
      <c r="B1248">
        <v>14</v>
      </c>
      <c r="C1248" t="b">
        <v>0</v>
      </c>
      <c r="D1248" t="s">
        <v>4281</v>
      </c>
      <c r="E1248" t="s">
        <v>4613</v>
      </c>
      <c r="F1248" t="s">
        <v>4621</v>
      </c>
      <c r="G1248" t="s">
        <v>4550</v>
      </c>
      <c r="H1248">
        <v>1247</v>
      </c>
      <c r="I1248" t="str">
        <f>IF(ISBLANK(Table1[[#This Row],[oid]]),"FALSE","TRUE")</f>
        <v>TRUE</v>
      </c>
      <c r="J1248" t="str" cm="1">
        <f t="array" ref="J1248">_xlfn.SWITCH(LEFT(Table1[[#This Row],[section]],1), "D", "Demographic", "S", "Social", "E", "Economic", "H", "Housing", "")</f>
        <v>Economic</v>
      </c>
      <c r="K1248" t="s">
        <v>4535</v>
      </c>
      <c r="L1248" t="s">
        <v>4536</v>
      </c>
      <c r="M1248" t="str">
        <f>IF(Table1[[#This Row],[used]], _xlfn.CONCAT("🆔 ", Table1[[#This Row],[variable]], ": ",Table1[[#This Row],[alias]]), "")</f>
        <v>🆔 B08105E_004E: Public transportation excluding taxicab</v>
      </c>
      <c r="O1248" t="s">
        <v>4551</v>
      </c>
      <c r="P1248" t="s">
        <v>4615</v>
      </c>
      <c r="Q1248" t="s">
        <v>41</v>
      </c>
      <c r="R1248" t="s">
        <v>4623</v>
      </c>
      <c r="S1248" t="b">
        <v>1</v>
      </c>
      <c r="T1248" t="b">
        <v>1</v>
      </c>
      <c r="U1248" t="b">
        <v>1</v>
      </c>
      <c r="V1248" t="b">
        <v>1</v>
      </c>
      <c r="W1248" t="b">
        <v>1</v>
      </c>
      <c r="X1248" t="b">
        <v>1</v>
      </c>
      <c r="Y1248" t="b">
        <v>1</v>
      </c>
      <c r="Z1248" t="b">
        <v>1</v>
      </c>
      <c r="AA1248" t="b">
        <v>1</v>
      </c>
      <c r="AB1248" t="b">
        <v>1</v>
      </c>
      <c r="AC1248" t="b">
        <v>1</v>
      </c>
      <c r="AD1248" t="b">
        <v>1</v>
      </c>
      <c r="AE1248" t="b">
        <v>1</v>
      </c>
      <c r="AF1248" t="b">
        <v>1</v>
      </c>
      <c r="AG1248" t="b">
        <v>0</v>
      </c>
    </row>
    <row r="1249" spans="1:33" x14ac:dyDescent="0.25">
      <c r="A1249" t="s">
        <v>33</v>
      </c>
      <c r="B1249">
        <v>15</v>
      </c>
      <c r="C1249" t="b">
        <v>1</v>
      </c>
      <c r="D1249" t="s">
        <v>4281</v>
      </c>
      <c r="E1249" t="s">
        <v>4613</v>
      </c>
      <c r="F1249" t="s">
        <v>4624</v>
      </c>
      <c r="G1249" t="s">
        <v>4321</v>
      </c>
      <c r="H1249">
        <v>1248</v>
      </c>
      <c r="I1249" t="str">
        <f>IF(ISBLANK(Table1[[#This Row],[oid]]),"FALSE","TRUE")</f>
        <v>TRUE</v>
      </c>
      <c r="J1249" t="str" cm="1">
        <f t="array" ref="J1249">_xlfn.SWITCH(LEFT(Table1[[#This Row],[section]],1), "D", "Demographic", "S", "Social", "E", "Economic", "H", "Housing", "")</f>
        <v>Economic</v>
      </c>
      <c r="K1249" t="s">
        <v>4535</v>
      </c>
      <c r="L1249" t="s">
        <v>4536</v>
      </c>
      <c r="M1249" t="str">
        <f>IF(Table1[[#This Row],[used]], _xlfn.CONCAT("🆔 ", Table1[[#This Row],[variable]], ": ",Table1[[#This Row],[alias]]), "")</f>
        <v>🆔 B08105E_005E: Walked</v>
      </c>
      <c r="O1249" t="s">
        <v>4322</v>
      </c>
      <c r="P1249" t="s">
        <v>4615</v>
      </c>
      <c r="Q1249" t="s">
        <v>41</v>
      </c>
      <c r="R1249" t="s">
        <v>4625</v>
      </c>
      <c r="S1249" t="b">
        <v>1</v>
      </c>
      <c r="T1249" t="b">
        <v>1</v>
      </c>
      <c r="U1249" t="b">
        <v>1</v>
      </c>
      <c r="V1249" t="b">
        <v>1</v>
      </c>
      <c r="W1249" t="b">
        <v>1</v>
      </c>
      <c r="X1249" t="b">
        <v>1</v>
      </c>
      <c r="Y1249" t="b">
        <v>1</v>
      </c>
      <c r="Z1249" t="b">
        <v>1</v>
      </c>
      <c r="AA1249" t="b">
        <v>1</v>
      </c>
      <c r="AB1249" t="b">
        <v>1</v>
      </c>
      <c r="AC1249" t="b">
        <v>1</v>
      </c>
      <c r="AD1249" t="b">
        <v>1</v>
      </c>
      <c r="AE1249" t="b">
        <v>1</v>
      </c>
      <c r="AF1249" t="b">
        <v>1</v>
      </c>
      <c r="AG1249" t="b">
        <v>1</v>
      </c>
    </row>
    <row r="1250" spans="1:33" x14ac:dyDescent="0.25">
      <c r="A1250" t="s">
        <v>32</v>
      </c>
      <c r="B1250">
        <v>1</v>
      </c>
      <c r="C1250" t="b">
        <v>0</v>
      </c>
      <c r="D1250" t="s">
        <v>4281</v>
      </c>
      <c r="E1250" t="s">
        <v>4613</v>
      </c>
      <c r="F1250" t="s">
        <v>4626</v>
      </c>
      <c r="G1250" t="s">
        <v>4555</v>
      </c>
      <c r="H1250">
        <v>1249</v>
      </c>
      <c r="I1250" t="str">
        <f>IF(ISBLANK(Table1[[#This Row],[oid]]),"FALSE","TRUE")</f>
        <v>TRUE</v>
      </c>
      <c r="J1250" t="str" cm="1">
        <f t="array" ref="J1250">_xlfn.SWITCH(LEFT(Table1[[#This Row],[section]],1), "D", "Demographic", "S", "Social", "E", "Economic", "H", "Housing", "")</f>
        <v>Economic</v>
      </c>
      <c r="K1250" t="s">
        <v>4535</v>
      </c>
      <c r="L1250" t="s">
        <v>4536</v>
      </c>
      <c r="M1250" t="str">
        <f>IF(Table1[[#This Row],[used]], _xlfn.CONCAT("🆔 ", Table1[[#This Row],[variable]], ": ",Table1[[#This Row],[alias]]), "")</f>
        <v>🆔 B08105E_006E: Taxi or ride-hailing services motorcycle bicycle or other means</v>
      </c>
      <c r="O1250" t="s">
        <v>4556</v>
      </c>
      <c r="P1250" t="s">
        <v>4622</v>
      </c>
      <c r="Q1250" t="s">
        <v>41</v>
      </c>
      <c r="R1250" t="s">
        <v>4627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</row>
    <row r="1251" spans="1:33" x14ac:dyDescent="0.25">
      <c r="A1251" t="s">
        <v>4309</v>
      </c>
      <c r="B1251">
        <v>14</v>
      </c>
      <c r="C1251" t="b">
        <v>0</v>
      </c>
      <c r="D1251" t="s">
        <v>4281</v>
      </c>
      <c r="E1251" t="s">
        <v>4613</v>
      </c>
      <c r="F1251" t="s">
        <v>4626</v>
      </c>
      <c r="G1251" t="s">
        <v>4558</v>
      </c>
      <c r="H1251">
        <v>1250</v>
      </c>
      <c r="I1251" t="str">
        <f>IF(ISBLANK(Table1[[#This Row],[oid]]),"FALSE","TRUE")</f>
        <v>TRUE</v>
      </c>
      <c r="J1251" t="str" cm="1">
        <f t="array" ref="J1251">_xlfn.SWITCH(LEFT(Table1[[#This Row],[section]],1), "D", "Demographic", "S", "Social", "E", "Economic", "H", "Housing", "")</f>
        <v>Economic</v>
      </c>
      <c r="K1251" t="s">
        <v>4535</v>
      </c>
      <c r="L1251" t="s">
        <v>4536</v>
      </c>
      <c r="M1251" t="str">
        <f>IF(Table1[[#This Row],[used]], _xlfn.CONCAT("🆔 ", Table1[[#This Row],[variable]], ": ",Table1[[#This Row],[alias]]), "")</f>
        <v>🆔 B08105E_006E: Taxicab motorcycle bicycle or other means</v>
      </c>
      <c r="O1251" t="s">
        <v>4559</v>
      </c>
      <c r="P1251" t="s">
        <v>4615</v>
      </c>
      <c r="Q1251" t="s">
        <v>41</v>
      </c>
      <c r="R1251" t="s">
        <v>4627</v>
      </c>
      <c r="S1251" t="b">
        <v>1</v>
      </c>
      <c r="T1251" t="b">
        <v>1</v>
      </c>
      <c r="U1251" t="b">
        <v>1</v>
      </c>
      <c r="V1251" t="b">
        <v>1</v>
      </c>
      <c r="W1251" t="b">
        <v>1</v>
      </c>
      <c r="X1251" t="b">
        <v>1</v>
      </c>
      <c r="Y1251" t="b">
        <v>1</v>
      </c>
      <c r="Z1251" t="b">
        <v>1</v>
      </c>
      <c r="AA1251" t="b">
        <v>1</v>
      </c>
      <c r="AB1251" t="b">
        <v>1</v>
      </c>
      <c r="AC1251" t="b">
        <v>1</v>
      </c>
      <c r="AD1251" t="b">
        <v>1</v>
      </c>
      <c r="AE1251" t="b">
        <v>1</v>
      </c>
      <c r="AF1251" t="b">
        <v>1</v>
      </c>
      <c r="AG1251" t="b">
        <v>0</v>
      </c>
    </row>
    <row r="1252" spans="1:33" x14ac:dyDescent="0.25">
      <c r="A1252" t="s">
        <v>676</v>
      </c>
      <c r="B1252">
        <v>9</v>
      </c>
      <c r="C1252" t="b">
        <v>0</v>
      </c>
      <c r="D1252" t="s">
        <v>4281</v>
      </c>
      <c r="E1252" t="s">
        <v>4613</v>
      </c>
      <c r="F1252" t="s">
        <v>4628</v>
      </c>
      <c r="G1252" t="s">
        <v>4329</v>
      </c>
      <c r="H1252">
        <v>1251</v>
      </c>
      <c r="I1252" t="str">
        <f>IF(ISBLANK(Table1[[#This Row],[oid]]),"FALSE","TRUE")</f>
        <v>TRUE</v>
      </c>
      <c r="J1252" t="str" cm="1">
        <f t="array" ref="J1252">_xlfn.SWITCH(LEFT(Table1[[#This Row],[section]],1), "D", "Demographic", "S", "Social", "E", "Economic", "H", "Housing", "")</f>
        <v>Economic</v>
      </c>
      <c r="K1252" t="s">
        <v>4535</v>
      </c>
      <c r="L1252" t="s">
        <v>4536</v>
      </c>
      <c r="M1252" t="str">
        <f>IF(Table1[[#This Row],[used]], _xlfn.CONCAT("🆔 ", Table1[[#This Row],[variable]], ": ",Table1[[#This Row],[alias]]), "")</f>
        <v>🆔 B08105E_007E: Worked at home</v>
      </c>
      <c r="O1252" t="s">
        <v>4330</v>
      </c>
      <c r="P1252" t="s">
        <v>4615</v>
      </c>
      <c r="Q1252" t="s">
        <v>41</v>
      </c>
      <c r="R1252" t="s">
        <v>4629</v>
      </c>
      <c r="S1252" t="b">
        <v>1</v>
      </c>
      <c r="T1252" t="b">
        <v>1</v>
      </c>
      <c r="U1252" t="b">
        <v>1</v>
      </c>
      <c r="V1252" t="b">
        <v>1</v>
      </c>
      <c r="W1252" t="b">
        <v>1</v>
      </c>
      <c r="X1252" t="b">
        <v>1</v>
      </c>
      <c r="Y1252" t="b">
        <v>1</v>
      </c>
      <c r="Z1252" t="b">
        <v>1</v>
      </c>
      <c r="AA1252" t="b">
        <v>1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</row>
    <row r="1253" spans="1:33" x14ac:dyDescent="0.25">
      <c r="A1253" t="s">
        <v>681</v>
      </c>
      <c r="B1253">
        <v>6</v>
      </c>
      <c r="C1253" t="b">
        <v>0</v>
      </c>
      <c r="D1253" t="s">
        <v>4281</v>
      </c>
      <c r="E1253" t="s">
        <v>4613</v>
      </c>
      <c r="F1253" t="s">
        <v>4628</v>
      </c>
      <c r="G1253" t="s">
        <v>4332</v>
      </c>
      <c r="H1253">
        <v>1252</v>
      </c>
      <c r="I1253" t="str">
        <f>IF(ISBLANK(Table1[[#This Row],[oid]]),"FALSE","TRUE")</f>
        <v>TRUE</v>
      </c>
      <c r="J1253" t="str" cm="1">
        <f t="array" ref="J1253">_xlfn.SWITCH(LEFT(Table1[[#This Row],[section]],1), "D", "Demographic", "S", "Social", "E", "Economic", "H", "Housing", "")</f>
        <v>Economic</v>
      </c>
      <c r="K1253" t="s">
        <v>4535</v>
      </c>
      <c r="L1253" t="s">
        <v>4536</v>
      </c>
      <c r="M1253" t="str">
        <f>IF(Table1[[#This Row],[used]], _xlfn.CONCAT("🆔 ", Table1[[#This Row],[variable]], ": ",Table1[[#This Row],[alias]]), "")</f>
        <v>🆔 B08105E_007E: Worked from home</v>
      </c>
      <c r="O1253" t="s">
        <v>4333</v>
      </c>
      <c r="P1253" t="s">
        <v>4615</v>
      </c>
      <c r="Q1253" t="s">
        <v>41</v>
      </c>
      <c r="R1253" t="s">
        <v>4629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1</v>
      </c>
      <c r="AC1253" t="b">
        <v>1</v>
      </c>
      <c r="AD1253" t="b">
        <v>1</v>
      </c>
      <c r="AE1253" t="b">
        <v>1</v>
      </c>
      <c r="AF1253" t="b">
        <v>1</v>
      </c>
      <c r="AG1253" t="b">
        <v>1</v>
      </c>
    </row>
    <row r="1254" spans="1:33" x14ac:dyDescent="0.25">
      <c r="A1254" t="s">
        <v>33</v>
      </c>
      <c r="B1254">
        <v>15</v>
      </c>
      <c r="C1254" t="b">
        <v>1</v>
      </c>
      <c r="D1254" t="s">
        <v>4281</v>
      </c>
      <c r="E1254" t="s">
        <v>4630</v>
      </c>
      <c r="F1254" t="s">
        <v>4631</v>
      </c>
      <c r="G1254" t="s">
        <v>4632</v>
      </c>
      <c r="H1254">
        <v>1253</v>
      </c>
      <c r="I1254" t="str">
        <f>IF(ISBLANK(Table1[[#This Row],[oid]]),"FALSE","TRUE")</f>
        <v>TRUE</v>
      </c>
      <c r="J1254" t="str" cm="1">
        <f t="array" ref="J1254">_xlfn.SWITCH(LEFT(Table1[[#This Row],[section]],1), "D", "Demographic", "S", "Social", "E", "Economic", "H", "Housing", "")</f>
        <v>Economic</v>
      </c>
      <c r="K1254" t="s">
        <v>4535</v>
      </c>
      <c r="L1254" t="s">
        <v>4536</v>
      </c>
      <c r="M1254" t="str">
        <f>IF(Table1[[#This Row],[used]], _xlfn.CONCAT("🆔 ", Table1[[#This Row],[variable]], ": ",Table1[[#This Row],[alias]]), "")</f>
        <v>🆔 B08105F_001E: Some Other Race alone</v>
      </c>
      <c r="O1254" t="s">
        <v>39</v>
      </c>
      <c r="P1254" t="s">
        <v>4633</v>
      </c>
      <c r="Q1254" t="s">
        <v>41</v>
      </c>
      <c r="R1254" t="s">
        <v>4634</v>
      </c>
      <c r="S1254" t="b">
        <v>1</v>
      </c>
      <c r="T1254" t="b">
        <v>1</v>
      </c>
      <c r="U1254" t="b">
        <v>1</v>
      </c>
      <c r="V1254" t="b">
        <v>1</v>
      </c>
      <c r="W1254" t="b">
        <v>1</v>
      </c>
      <c r="X1254" t="b">
        <v>1</v>
      </c>
      <c r="Y1254" t="b">
        <v>1</v>
      </c>
      <c r="Z1254" t="b">
        <v>1</v>
      </c>
      <c r="AA1254" t="b">
        <v>1</v>
      </c>
      <c r="AB1254" t="b">
        <v>1</v>
      </c>
      <c r="AC1254" t="b">
        <v>1</v>
      </c>
      <c r="AD1254" t="b">
        <v>1</v>
      </c>
      <c r="AE1254" t="b">
        <v>1</v>
      </c>
      <c r="AF1254" t="b">
        <v>1</v>
      </c>
      <c r="AG1254" t="b">
        <v>1</v>
      </c>
    </row>
    <row r="1255" spans="1:33" x14ac:dyDescent="0.25">
      <c r="A1255" t="s">
        <v>33</v>
      </c>
      <c r="B1255">
        <v>15</v>
      </c>
      <c r="C1255" t="b">
        <v>1</v>
      </c>
      <c r="D1255" t="s">
        <v>4281</v>
      </c>
      <c r="E1255" t="s">
        <v>4630</v>
      </c>
      <c r="F1255" t="s">
        <v>4635</v>
      </c>
      <c r="G1255" t="s">
        <v>4540</v>
      </c>
      <c r="H1255">
        <v>1254</v>
      </c>
      <c r="I1255" t="str">
        <f>IF(ISBLANK(Table1[[#This Row],[oid]]),"FALSE","TRUE")</f>
        <v>TRUE</v>
      </c>
      <c r="J1255" t="str" cm="1">
        <f t="array" ref="J1255">_xlfn.SWITCH(LEFT(Table1[[#This Row],[section]],1), "D", "Demographic", "S", "Social", "E", "Economic", "H", "Housing", "")</f>
        <v>Economic</v>
      </c>
      <c r="K1255" t="s">
        <v>4535</v>
      </c>
      <c r="L1255" t="s">
        <v>4536</v>
      </c>
      <c r="M1255" t="str">
        <f>IF(Table1[[#This Row],[used]], _xlfn.CONCAT("🆔 ", Table1[[#This Row],[variable]], ": ",Table1[[#This Row],[alias]]), "")</f>
        <v>🆔 B08105F_002E: Car truck or van-drove alone</v>
      </c>
      <c r="O1255" t="s">
        <v>4541</v>
      </c>
      <c r="P1255" t="s">
        <v>4633</v>
      </c>
      <c r="Q1255" t="s">
        <v>41</v>
      </c>
      <c r="R1255" t="s">
        <v>4636</v>
      </c>
      <c r="S1255" t="b">
        <v>1</v>
      </c>
      <c r="T1255" t="b">
        <v>1</v>
      </c>
      <c r="U1255" t="b">
        <v>1</v>
      </c>
      <c r="V1255" t="b">
        <v>1</v>
      </c>
      <c r="W1255" t="b">
        <v>1</v>
      </c>
      <c r="X1255" t="b">
        <v>1</v>
      </c>
      <c r="Y1255" t="b">
        <v>1</v>
      </c>
      <c r="Z1255" t="b">
        <v>1</v>
      </c>
      <c r="AA1255" t="b">
        <v>1</v>
      </c>
      <c r="AB1255" t="b">
        <v>1</v>
      </c>
      <c r="AC1255" t="b">
        <v>1</v>
      </c>
      <c r="AD1255" t="b">
        <v>1</v>
      </c>
      <c r="AE1255" t="b">
        <v>1</v>
      </c>
      <c r="AF1255" t="b">
        <v>1</v>
      </c>
      <c r="AG1255" t="b">
        <v>1</v>
      </c>
    </row>
    <row r="1256" spans="1:33" x14ac:dyDescent="0.25">
      <c r="A1256" t="s">
        <v>33</v>
      </c>
      <c r="B1256">
        <v>15</v>
      </c>
      <c r="C1256" t="b">
        <v>1</v>
      </c>
      <c r="D1256" t="s">
        <v>4281</v>
      </c>
      <c r="E1256" t="s">
        <v>4630</v>
      </c>
      <c r="F1256" t="s">
        <v>4637</v>
      </c>
      <c r="G1256" t="s">
        <v>4544</v>
      </c>
      <c r="H1256">
        <v>1255</v>
      </c>
      <c r="I1256" t="str">
        <f>IF(ISBLANK(Table1[[#This Row],[oid]]),"FALSE","TRUE")</f>
        <v>TRUE</v>
      </c>
      <c r="J1256" t="str" cm="1">
        <f t="array" ref="J1256">_xlfn.SWITCH(LEFT(Table1[[#This Row],[section]],1), "D", "Demographic", "S", "Social", "E", "Economic", "H", "Housing", "")</f>
        <v>Economic</v>
      </c>
      <c r="K1256" t="s">
        <v>4535</v>
      </c>
      <c r="L1256" t="s">
        <v>4536</v>
      </c>
      <c r="M1256" t="str">
        <f>IF(Table1[[#This Row],[used]], _xlfn.CONCAT("🆔 ", Table1[[#This Row],[variable]], ": ",Table1[[#This Row],[alias]]), "")</f>
        <v>🆔 B08105F_003E: Car truck or van-carpooled</v>
      </c>
      <c r="O1256" t="s">
        <v>4545</v>
      </c>
      <c r="P1256" t="s">
        <v>4633</v>
      </c>
      <c r="Q1256" t="s">
        <v>41</v>
      </c>
      <c r="R1256" t="s">
        <v>4638</v>
      </c>
      <c r="S1256" t="b">
        <v>1</v>
      </c>
      <c r="T1256" t="b">
        <v>1</v>
      </c>
      <c r="U1256" t="b">
        <v>1</v>
      </c>
      <c r="V1256" t="b">
        <v>1</v>
      </c>
      <c r="W1256" t="b">
        <v>1</v>
      </c>
      <c r="X1256" t="b">
        <v>1</v>
      </c>
      <c r="Y1256" t="b">
        <v>1</v>
      </c>
      <c r="Z1256" t="b">
        <v>1</v>
      </c>
      <c r="AA1256" t="b">
        <v>1</v>
      </c>
      <c r="AB1256" t="b">
        <v>1</v>
      </c>
      <c r="AC1256" t="b">
        <v>1</v>
      </c>
      <c r="AD1256" t="b">
        <v>1</v>
      </c>
      <c r="AE1256" t="b">
        <v>1</v>
      </c>
      <c r="AF1256" t="b">
        <v>1</v>
      </c>
      <c r="AG1256" t="b">
        <v>1</v>
      </c>
    </row>
    <row r="1257" spans="1:33" x14ac:dyDescent="0.25">
      <c r="A1257" t="s">
        <v>32</v>
      </c>
      <c r="B1257">
        <v>1</v>
      </c>
      <c r="C1257" t="b">
        <v>0</v>
      </c>
      <c r="D1257" t="s">
        <v>4281</v>
      </c>
      <c r="E1257" t="s">
        <v>4630</v>
      </c>
      <c r="F1257" t="s">
        <v>4639</v>
      </c>
      <c r="G1257" t="s">
        <v>4302</v>
      </c>
      <c r="H1257">
        <v>1256</v>
      </c>
      <c r="I1257" t="str">
        <f>IF(ISBLANK(Table1[[#This Row],[oid]]),"FALSE","TRUE")</f>
        <v>TRUE</v>
      </c>
      <c r="J1257" t="str" cm="1">
        <f t="array" ref="J1257">_xlfn.SWITCH(LEFT(Table1[[#This Row],[section]],1), "D", "Demographic", "S", "Social", "E", "Economic", "H", "Housing", "")</f>
        <v>Economic</v>
      </c>
      <c r="K1257" t="s">
        <v>4535</v>
      </c>
      <c r="L1257" t="s">
        <v>4536</v>
      </c>
      <c r="M1257" t="str">
        <f>IF(Table1[[#This Row],[used]], _xlfn.CONCAT("🆔 ", Table1[[#This Row],[variable]], ": ",Table1[[#This Row],[alias]]), "")</f>
        <v>🆔 B08105F_004E: Public transportation</v>
      </c>
      <c r="O1257" t="s">
        <v>4303</v>
      </c>
      <c r="P1257" t="s">
        <v>4640</v>
      </c>
      <c r="Q1257" t="s">
        <v>41</v>
      </c>
      <c r="R1257" t="s">
        <v>4641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</row>
    <row r="1258" spans="1:33" x14ac:dyDescent="0.25">
      <c r="A1258" t="s">
        <v>4309</v>
      </c>
      <c r="B1258">
        <v>14</v>
      </c>
      <c r="C1258" t="b">
        <v>0</v>
      </c>
      <c r="D1258" t="s">
        <v>4281</v>
      </c>
      <c r="E1258" t="s">
        <v>4630</v>
      </c>
      <c r="F1258" t="s">
        <v>4639</v>
      </c>
      <c r="G1258" t="s">
        <v>4550</v>
      </c>
      <c r="H1258">
        <v>1257</v>
      </c>
      <c r="I1258" t="str">
        <f>IF(ISBLANK(Table1[[#This Row],[oid]]),"FALSE","TRUE")</f>
        <v>TRUE</v>
      </c>
      <c r="J1258" t="str" cm="1">
        <f t="array" ref="J1258">_xlfn.SWITCH(LEFT(Table1[[#This Row],[section]],1), "D", "Demographic", "S", "Social", "E", "Economic", "H", "Housing", "")</f>
        <v>Economic</v>
      </c>
      <c r="K1258" t="s">
        <v>4535</v>
      </c>
      <c r="L1258" t="s">
        <v>4536</v>
      </c>
      <c r="M1258" t="str">
        <f>IF(Table1[[#This Row],[used]], _xlfn.CONCAT("🆔 ", Table1[[#This Row],[variable]], ": ",Table1[[#This Row],[alias]]), "")</f>
        <v>🆔 B08105F_004E: Public transportation excluding taxicab</v>
      </c>
      <c r="O1258" t="s">
        <v>4551</v>
      </c>
      <c r="P1258" t="s">
        <v>4633</v>
      </c>
      <c r="Q1258" t="s">
        <v>41</v>
      </c>
      <c r="R1258" t="s">
        <v>4641</v>
      </c>
      <c r="S1258" t="b">
        <v>1</v>
      </c>
      <c r="T1258" t="b">
        <v>1</v>
      </c>
      <c r="U1258" t="b">
        <v>1</v>
      </c>
      <c r="V1258" t="b">
        <v>1</v>
      </c>
      <c r="W1258" t="b">
        <v>1</v>
      </c>
      <c r="X1258" t="b">
        <v>1</v>
      </c>
      <c r="Y1258" t="b">
        <v>1</v>
      </c>
      <c r="Z1258" t="b">
        <v>1</v>
      </c>
      <c r="AA1258" t="b">
        <v>1</v>
      </c>
      <c r="AB1258" t="b">
        <v>1</v>
      </c>
      <c r="AC1258" t="b">
        <v>1</v>
      </c>
      <c r="AD1258" t="b">
        <v>1</v>
      </c>
      <c r="AE1258" t="b">
        <v>1</v>
      </c>
      <c r="AF1258" t="b">
        <v>1</v>
      </c>
      <c r="AG1258" t="b">
        <v>0</v>
      </c>
    </row>
    <row r="1259" spans="1:33" x14ac:dyDescent="0.25">
      <c r="A1259" t="s">
        <v>33</v>
      </c>
      <c r="B1259">
        <v>15</v>
      </c>
      <c r="C1259" t="b">
        <v>1</v>
      </c>
      <c r="D1259" t="s">
        <v>4281</v>
      </c>
      <c r="E1259" t="s">
        <v>4630</v>
      </c>
      <c r="F1259" t="s">
        <v>4642</v>
      </c>
      <c r="G1259" t="s">
        <v>4321</v>
      </c>
      <c r="H1259">
        <v>1258</v>
      </c>
      <c r="I1259" t="str">
        <f>IF(ISBLANK(Table1[[#This Row],[oid]]),"FALSE","TRUE")</f>
        <v>TRUE</v>
      </c>
      <c r="J1259" t="str" cm="1">
        <f t="array" ref="J1259">_xlfn.SWITCH(LEFT(Table1[[#This Row],[section]],1), "D", "Demographic", "S", "Social", "E", "Economic", "H", "Housing", "")</f>
        <v>Economic</v>
      </c>
      <c r="K1259" t="s">
        <v>4535</v>
      </c>
      <c r="L1259" t="s">
        <v>4536</v>
      </c>
      <c r="M1259" t="str">
        <f>IF(Table1[[#This Row],[used]], _xlfn.CONCAT("🆔 ", Table1[[#This Row],[variable]], ": ",Table1[[#This Row],[alias]]), "")</f>
        <v>🆔 B08105F_005E: Walked</v>
      </c>
      <c r="O1259" t="s">
        <v>4322</v>
      </c>
      <c r="P1259" t="s">
        <v>4633</v>
      </c>
      <c r="Q1259" t="s">
        <v>41</v>
      </c>
      <c r="R1259" t="s">
        <v>4643</v>
      </c>
      <c r="S1259" t="b">
        <v>1</v>
      </c>
      <c r="T1259" t="b">
        <v>1</v>
      </c>
      <c r="U1259" t="b">
        <v>1</v>
      </c>
      <c r="V1259" t="b">
        <v>1</v>
      </c>
      <c r="W1259" t="b">
        <v>1</v>
      </c>
      <c r="X1259" t="b">
        <v>1</v>
      </c>
      <c r="Y1259" t="b">
        <v>1</v>
      </c>
      <c r="Z1259" t="b">
        <v>1</v>
      </c>
      <c r="AA1259" t="b">
        <v>1</v>
      </c>
      <c r="AB1259" t="b">
        <v>1</v>
      </c>
      <c r="AC1259" t="b">
        <v>1</v>
      </c>
      <c r="AD1259" t="b">
        <v>1</v>
      </c>
      <c r="AE1259" t="b">
        <v>1</v>
      </c>
      <c r="AF1259" t="b">
        <v>1</v>
      </c>
      <c r="AG1259" t="b">
        <v>1</v>
      </c>
    </row>
    <row r="1260" spans="1:33" x14ac:dyDescent="0.25">
      <c r="A1260" t="s">
        <v>32</v>
      </c>
      <c r="B1260">
        <v>1</v>
      </c>
      <c r="C1260" t="b">
        <v>0</v>
      </c>
      <c r="D1260" t="s">
        <v>4281</v>
      </c>
      <c r="E1260" t="s">
        <v>4630</v>
      </c>
      <c r="F1260" t="s">
        <v>4644</v>
      </c>
      <c r="G1260" t="s">
        <v>4555</v>
      </c>
      <c r="H1260">
        <v>1259</v>
      </c>
      <c r="I1260" t="str">
        <f>IF(ISBLANK(Table1[[#This Row],[oid]]),"FALSE","TRUE")</f>
        <v>TRUE</v>
      </c>
      <c r="J1260" t="str" cm="1">
        <f t="array" ref="J1260">_xlfn.SWITCH(LEFT(Table1[[#This Row],[section]],1), "D", "Demographic", "S", "Social", "E", "Economic", "H", "Housing", "")</f>
        <v>Economic</v>
      </c>
      <c r="K1260" t="s">
        <v>4535</v>
      </c>
      <c r="L1260" t="s">
        <v>4536</v>
      </c>
      <c r="M1260" t="str">
        <f>IF(Table1[[#This Row],[used]], _xlfn.CONCAT("🆔 ", Table1[[#This Row],[variable]], ": ",Table1[[#This Row],[alias]]), "")</f>
        <v>🆔 B08105F_006E: Taxi or ride-hailing services motorcycle bicycle or other means</v>
      </c>
      <c r="O1260" t="s">
        <v>4556</v>
      </c>
      <c r="P1260" t="s">
        <v>4640</v>
      </c>
      <c r="Q1260" t="s">
        <v>41</v>
      </c>
      <c r="R1260" t="s">
        <v>4645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</row>
    <row r="1261" spans="1:33" x14ac:dyDescent="0.25">
      <c r="A1261" t="s">
        <v>4309</v>
      </c>
      <c r="B1261">
        <v>14</v>
      </c>
      <c r="C1261" t="b">
        <v>0</v>
      </c>
      <c r="D1261" t="s">
        <v>4281</v>
      </c>
      <c r="E1261" t="s">
        <v>4630</v>
      </c>
      <c r="F1261" t="s">
        <v>4644</v>
      </c>
      <c r="G1261" t="s">
        <v>4558</v>
      </c>
      <c r="H1261">
        <v>1260</v>
      </c>
      <c r="I1261" t="str">
        <f>IF(ISBLANK(Table1[[#This Row],[oid]]),"FALSE","TRUE")</f>
        <v>TRUE</v>
      </c>
      <c r="J1261" t="str" cm="1">
        <f t="array" ref="J1261">_xlfn.SWITCH(LEFT(Table1[[#This Row],[section]],1), "D", "Demographic", "S", "Social", "E", "Economic", "H", "Housing", "")</f>
        <v>Economic</v>
      </c>
      <c r="K1261" t="s">
        <v>4535</v>
      </c>
      <c r="L1261" t="s">
        <v>4536</v>
      </c>
      <c r="M1261" t="str">
        <f>IF(Table1[[#This Row],[used]], _xlfn.CONCAT("🆔 ", Table1[[#This Row],[variable]], ": ",Table1[[#This Row],[alias]]), "")</f>
        <v>🆔 B08105F_006E: Taxicab motorcycle bicycle or other means</v>
      </c>
      <c r="O1261" t="s">
        <v>4559</v>
      </c>
      <c r="P1261" t="s">
        <v>4633</v>
      </c>
      <c r="Q1261" t="s">
        <v>41</v>
      </c>
      <c r="R1261" t="s">
        <v>4645</v>
      </c>
      <c r="S1261" t="b">
        <v>1</v>
      </c>
      <c r="T1261" t="b">
        <v>1</v>
      </c>
      <c r="U1261" t="b">
        <v>1</v>
      </c>
      <c r="V1261" t="b">
        <v>1</v>
      </c>
      <c r="W1261" t="b">
        <v>1</v>
      </c>
      <c r="X1261" t="b">
        <v>1</v>
      </c>
      <c r="Y1261" t="b">
        <v>1</v>
      </c>
      <c r="Z1261" t="b">
        <v>1</v>
      </c>
      <c r="AA1261" t="b">
        <v>1</v>
      </c>
      <c r="AB1261" t="b">
        <v>1</v>
      </c>
      <c r="AC1261" t="b">
        <v>1</v>
      </c>
      <c r="AD1261" t="b">
        <v>1</v>
      </c>
      <c r="AE1261" t="b">
        <v>1</v>
      </c>
      <c r="AF1261" t="b">
        <v>1</v>
      </c>
      <c r="AG1261" t="b">
        <v>0</v>
      </c>
    </row>
    <row r="1262" spans="1:33" x14ac:dyDescent="0.25">
      <c r="A1262" t="s">
        <v>676</v>
      </c>
      <c r="B1262">
        <v>9</v>
      </c>
      <c r="C1262" t="b">
        <v>0</v>
      </c>
      <c r="D1262" t="s">
        <v>4281</v>
      </c>
      <c r="E1262" t="s">
        <v>4630</v>
      </c>
      <c r="F1262" t="s">
        <v>4646</v>
      </c>
      <c r="G1262" t="s">
        <v>4329</v>
      </c>
      <c r="H1262">
        <v>1261</v>
      </c>
      <c r="I1262" t="str">
        <f>IF(ISBLANK(Table1[[#This Row],[oid]]),"FALSE","TRUE")</f>
        <v>TRUE</v>
      </c>
      <c r="J1262" t="str" cm="1">
        <f t="array" ref="J1262">_xlfn.SWITCH(LEFT(Table1[[#This Row],[section]],1), "D", "Demographic", "S", "Social", "E", "Economic", "H", "Housing", "")</f>
        <v>Economic</v>
      </c>
      <c r="K1262" t="s">
        <v>4535</v>
      </c>
      <c r="L1262" t="s">
        <v>4536</v>
      </c>
      <c r="M1262" t="str">
        <f>IF(Table1[[#This Row],[used]], _xlfn.CONCAT("🆔 ", Table1[[#This Row],[variable]], ": ",Table1[[#This Row],[alias]]), "")</f>
        <v>🆔 B08105F_007E: Worked at home</v>
      </c>
      <c r="O1262" t="s">
        <v>4330</v>
      </c>
      <c r="P1262" t="s">
        <v>4633</v>
      </c>
      <c r="Q1262" t="s">
        <v>41</v>
      </c>
      <c r="R1262" t="s">
        <v>4647</v>
      </c>
      <c r="S1262" t="b">
        <v>1</v>
      </c>
      <c r="T1262" t="b">
        <v>1</v>
      </c>
      <c r="U1262" t="b">
        <v>1</v>
      </c>
      <c r="V1262" t="b">
        <v>1</v>
      </c>
      <c r="W1262" t="b">
        <v>1</v>
      </c>
      <c r="X1262" t="b">
        <v>1</v>
      </c>
      <c r="Y1262" t="b">
        <v>1</v>
      </c>
      <c r="Z1262" t="b">
        <v>1</v>
      </c>
      <c r="AA1262" t="b">
        <v>1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</row>
    <row r="1263" spans="1:33" x14ac:dyDescent="0.25">
      <c r="A1263" t="s">
        <v>681</v>
      </c>
      <c r="B1263">
        <v>6</v>
      </c>
      <c r="C1263" t="b">
        <v>0</v>
      </c>
      <c r="D1263" t="s">
        <v>4281</v>
      </c>
      <c r="E1263" t="s">
        <v>4630</v>
      </c>
      <c r="F1263" t="s">
        <v>4646</v>
      </c>
      <c r="G1263" t="s">
        <v>4332</v>
      </c>
      <c r="H1263">
        <v>1262</v>
      </c>
      <c r="I1263" t="str">
        <f>IF(ISBLANK(Table1[[#This Row],[oid]]),"FALSE","TRUE")</f>
        <v>TRUE</v>
      </c>
      <c r="J1263" t="str" cm="1">
        <f t="array" ref="J1263">_xlfn.SWITCH(LEFT(Table1[[#This Row],[section]],1), "D", "Demographic", "S", "Social", "E", "Economic", "H", "Housing", "")</f>
        <v>Economic</v>
      </c>
      <c r="K1263" t="s">
        <v>4535</v>
      </c>
      <c r="L1263" t="s">
        <v>4536</v>
      </c>
      <c r="M1263" t="str">
        <f>IF(Table1[[#This Row],[used]], _xlfn.CONCAT("🆔 ", Table1[[#This Row],[variable]], ": ",Table1[[#This Row],[alias]]), "")</f>
        <v>🆔 B08105F_007E: Worked from home</v>
      </c>
      <c r="O1263" t="s">
        <v>4333</v>
      </c>
      <c r="P1263" t="s">
        <v>4633</v>
      </c>
      <c r="Q1263" t="s">
        <v>41</v>
      </c>
      <c r="R1263" t="s">
        <v>4647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1</v>
      </c>
      <c r="AC1263" t="b">
        <v>1</v>
      </c>
      <c r="AD1263" t="b">
        <v>1</v>
      </c>
      <c r="AE1263" t="b">
        <v>1</v>
      </c>
      <c r="AF1263" t="b">
        <v>1</v>
      </c>
      <c r="AG1263" t="b">
        <v>1</v>
      </c>
    </row>
    <row r="1264" spans="1:33" x14ac:dyDescent="0.25">
      <c r="A1264" t="s">
        <v>33</v>
      </c>
      <c r="B1264">
        <v>15</v>
      </c>
      <c r="C1264" t="b">
        <v>1</v>
      </c>
      <c r="D1264" t="s">
        <v>4281</v>
      </c>
      <c r="E1264" t="s">
        <v>4648</v>
      </c>
      <c r="F1264" t="s">
        <v>4649</v>
      </c>
      <c r="G1264" t="s">
        <v>4650</v>
      </c>
      <c r="H1264">
        <v>1263</v>
      </c>
      <c r="I1264" t="str">
        <f>IF(ISBLANK(Table1[[#This Row],[oid]]),"FALSE","TRUE")</f>
        <v>TRUE</v>
      </c>
      <c r="J1264" t="str" cm="1">
        <f t="array" ref="J1264">_xlfn.SWITCH(LEFT(Table1[[#This Row],[section]],1), "D", "Demographic", "S", "Social", "E", "Economic", "H", "Housing", "")</f>
        <v>Economic</v>
      </c>
      <c r="K1264" t="s">
        <v>4535</v>
      </c>
      <c r="L1264" t="s">
        <v>4536</v>
      </c>
      <c r="M1264" t="str">
        <f>IF(Table1[[#This Row],[used]], _xlfn.CONCAT("🆔 ", Table1[[#This Row],[variable]], ": ",Table1[[#This Row],[alias]]), "")</f>
        <v>🆔 B08105G_001E: Two or More Races</v>
      </c>
      <c r="O1264" t="s">
        <v>39</v>
      </c>
      <c r="P1264" t="s">
        <v>4651</v>
      </c>
      <c r="Q1264" t="s">
        <v>41</v>
      </c>
      <c r="R1264" t="s">
        <v>4652</v>
      </c>
      <c r="S1264" t="b">
        <v>1</v>
      </c>
      <c r="T1264" t="b">
        <v>1</v>
      </c>
      <c r="U1264" t="b">
        <v>1</v>
      </c>
      <c r="V1264" t="b">
        <v>1</v>
      </c>
      <c r="W1264" t="b">
        <v>1</v>
      </c>
      <c r="X1264" t="b">
        <v>1</v>
      </c>
      <c r="Y1264" t="b">
        <v>1</v>
      </c>
      <c r="Z1264" t="b">
        <v>1</v>
      </c>
      <c r="AA1264" t="b">
        <v>1</v>
      </c>
      <c r="AB1264" t="b">
        <v>1</v>
      </c>
      <c r="AC1264" t="b">
        <v>1</v>
      </c>
      <c r="AD1264" t="b">
        <v>1</v>
      </c>
      <c r="AE1264" t="b">
        <v>1</v>
      </c>
      <c r="AF1264" t="b">
        <v>1</v>
      </c>
      <c r="AG1264" t="b">
        <v>1</v>
      </c>
    </row>
    <row r="1265" spans="1:33" x14ac:dyDescent="0.25">
      <c r="A1265" t="s">
        <v>33</v>
      </c>
      <c r="B1265">
        <v>15</v>
      </c>
      <c r="C1265" t="b">
        <v>1</v>
      </c>
      <c r="D1265" t="s">
        <v>4281</v>
      </c>
      <c r="E1265" t="s">
        <v>4648</v>
      </c>
      <c r="F1265" t="s">
        <v>4653</v>
      </c>
      <c r="G1265" t="s">
        <v>4540</v>
      </c>
      <c r="H1265">
        <v>1264</v>
      </c>
      <c r="I1265" t="str">
        <f>IF(ISBLANK(Table1[[#This Row],[oid]]),"FALSE","TRUE")</f>
        <v>TRUE</v>
      </c>
      <c r="J1265" t="str" cm="1">
        <f t="array" ref="J1265">_xlfn.SWITCH(LEFT(Table1[[#This Row],[section]],1), "D", "Demographic", "S", "Social", "E", "Economic", "H", "Housing", "")</f>
        <v>Economic</v>
      </c>
      <c r="K1265" t="s">
        <v>4535</v>
      </c>
      <c r="L1265" t="s">
        <v>4536</v>
      </c>
      <c r="M1265" t="str">
        <f>IF(Table1[[#This Row],[used]], _xlfn.CONCAT("🆔 ", Table1[[#This Row],[variable]], ": ",Table1[[#This Row],[alias]]), "")</f>
        <v>🆔 B08105G_002E: Car truck or van-drove alone</v>
      </c>
      <c r="O1265" t="s">
        <v>4541</v>
      </c>
      <c r="P1265" t="s">
        <v>4651</v>
      </c>
      <c r="Q1265" t="s">
        <v>41</v>
      </c>
      <c r="R1265" t="s">
        <v>4654</v>
      </c>
      <c r="S1265" t="b">
        <v>1</v>
      </c>
      <c r="T1265" t="b">
        <v>1</v>
      </c>
      <c r="U1265" t="b">
        <v>1</v>
      </c>
      <c r="V1265" t="b">
        <v>1</v>
      </c>
      <c r="W1265" t="b">
        <v>1</v>
      </c>
      <c r="X1265" t="b">
        <v>1</v>
      </c>
      <c r="Y1265" t="b">
        <v>1</v>
      </c>
      <c r="Z1265" t="b">
        <v>1</v>
      </c>
      <c r="AA1265" t="b">
        <v>1</v>
      </c>
      <c r="AB1265" t="b">
        <v>1</v>
      </c>
      <c r="AC1265" t="b">
        <v>1</v>
      </c>
      <c r="AD1265" t="b">
        <v>1</v>
      </c>
      <c r="AE1265" t="b">
        <v>1</v>
      </c>
      <c r="AF1265" t="b">
        <v>1</v>
      </c>
      <c r="AG1265" t="b">
        <v>1</v>
      </c>
    </row>
    <row r="1266" spans="1:33" x14ac:dyDescent="0.25">
      <c r="A1266" t="s">
        <v>33</v>
      </c>
      <c r="B1266">
        <v>15</v>
      </c>
      <c r="C1266" t="b">
        <v>1</v>
      </c>
      <c r="D1266" t="s">
        <v>4281</v>
      </c>
      <c r="E1266" t="s">
        <v>4648</v>
      </c>
      <c r="F1266" t="s">
        <v>4655</v>
      </c>
      <c r="G1266" t="s">
        <v>4544</v>
      </c>
      <c r="H1266">
        <v>1265</v>
      </c>
      <c r="I1266" t="str">
        <f>IF(ISBLANK(Table1[[#This Row],[oid]]),"FALSE","TRUE")</f>
        <v>TRUE</v>
      </c>
      <c r="J1266" t="str" cm="1">
        <f t="array" ref="J1266">_xlfn.SWITCH(LEFT(Table1[[#This Row],[section]],1), "D", "Demographic", "S", "Social", "E", "Economic", "H", "Housing", "")</f>
        <v>Economic</v>
      </c>
      <c r="K1266" t="s">
        <v>4535</v>
      </c>
      <c r="L1266" t="s">
        <v>4536</v>
      </c>
      <c r="M1266" t="str">
        <f>IF(Table1[[#This Row],[used]], _xlfn.CONCAT("🆔 ", Table1[[#This Row],[variable]], ": ",Table1[[#This Row],[alias]]), "")</f>
        <v>🆔 B08105G_003E: Car truck or van-carpooled</v>
      </c>
      <c r="O1266" t="s">
        <v>4545</v>
      </c>
      <c r="P1266" t="s">
        <v>4651</v>
      </c>
      <c r="Q1266" t="s">
        <v>41</v>
      </c>
      <c r="R1266" t="s">
        <v>4656</v>
      </c>
      <c r="S1266" t="b">
        <v>1</v>
      </c>
      <c r="T1266" t="b">
        <v>1</v>
      </c>
      <c r="U1266" t="b">
        <v>1</v>
      </c>
      <c r="V1266" t="b">
        <v>1</v>
      </c>
      <c r="W1266" t="b">
        <v>1</v>
      </c>
      <c r="X1266" t="b">
        <v>1</v>
      </c>
      <c r="Y1266" t="b">
        <v>1</v>
      </c>
      <c r="Z1266" t="b">
        <v>1</v>
      </c>
      <c r="AA1266" t="b">
        <v>1</v>
      </c>
      <c r="AB1266" t="b">
        <v>1</v>
      </c>
      <c r="AC1266" t="b">
        <v>1</v>
      </c>
      <c r="AD1266" t="b">
        <v>1</v>
      </c>
      <c r="AE1266" t="b">
        <v>1</v>
      </c>
      <c r="AF1266" t="b">
        <v>1</v>
      </c>
      <c r="AG1266" t="b">
        <v>1</v>
      </c>
    </row>
    <row r="1267" spans="1:33" x14ac:dyDescent="0.25">
      <c r="A1267" t="s">
        <v>32</v>
      </c>
      <c r="B1267">
        <v>1</v>
      </c>
      <c r="C1267" t="b">
        <v>0</v>
      </c>
      <c r="D1267" t="s">
        <v>4281</v>
      </c>
      <c r="E1267" t="s">
        <v>4648</v>
      </c>
      <c r="F1267" t="s">
        <v>4657</v>
      </c>
      <c r="G1267" t="s">
        <v>4302</v>
      </c>
      <c r="H1267">
        <v>1266</v>
      </c>
      <c r="I1267" t="str">
        <f>IF(ISBLANK(Table1[[#This Row],[oid]]),"FALSE","TRUE")</f>
        <v>TRUE</v>
      </c>
      <c r="J1267" t="str" cm="1">
        <f t="array" ref="J1267">_xlfn.SWITCH(LEFT(Table1[[#This Row],[section]],1), "D", "Demographic", "S", "Social", "E", "Economic", "H", "Housing", "")</f>
        <v>Economic</v>
      </c>
      <c r="K1267" t="s">
        <v>4535</v>
      </c>
      <c r="L1267" t="s">
        <v>4536</v>
      </c>
      <c r="M1267" t="str">
        <f>IF(Table1[[#This Row],[used]], _xlfn.CONCAT("🆔 ", Table1[[#This Row],[variable]], ": ",Table1[[#This Row],[alias]]), "")</f>
        <v>🆔 B08105G_004E: Public transportation</v>
      </c>
      <c r="O1267" t="s">
        <v>4303</v>
      </c>
      <c r="P1267" t="s">
        <v>4658</v>
      </c>
      <c r="Q1267" t="s">
        <v>41</v>
      </c>
      <c r="R1267" t="s">
        <v>4659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</row>
    <row r="1268" spans="1:33" x14ac:dyDescent="0.25">
      <c r="A1268" t="s">
        <v>4309</v>
      </c>
      <c r="B1268">
        <v>14</v>
      </c>
      <c r="C1268" t="b">
        <v>0</v>
      </c>
      <c r="D1268" t="s">
        <v>4281</v>
      </c>
      <c r="E1268" t="s">
        <v>4648</v>
      </c>
      <c r="F1268" t="s">
        <v>4657</v>
      </c>
      <c r="G1268" t="s">
        <v>4550</v>
      </c>
      <c r="H1268">
        <v>1267</v>
      </c>
      <c r="I1268" t="str">
        <f>IF(ISBLANK(Table1[[#This Row],[oid]]),"FALSE","TRUE")</f>
        <v>TRUE</v>
      </c>
      <c r="J1268" t="str" cm="1">
        <f t="array" ref="J1268">_xlfn.SWITCH(LEFT(Table1[[#This Row],[section]],1), "D", "Demographic", "S", "Social", "E", "Economic", "H", "Housing", "")</f>
        <v>Economic</v>
      </c>
      <c r="K1268" t="s">
        <v>4535</v>
      </c>
      <c r="L1268" t="s">
        <v>4536</v>
      </c>
      <c r="M1268" t="str">
        <f>IF(Table1[[#This Row],[used]], _xlfn.CONCAT("🆔 ", Table1[[#This Row],[variable]], ": ",Table1[[#This Row],[alias]]), "")</f>
        <v>🆔 B08105G_004E: Public transportation excluding taxicab</v>
      </c>
      <c r="O1268" t="s">
        <v>4551</v>
      </c>
      <c r="P1268" t="s">
        <v>4651</v>
      </c>
      <c r="Q1268" t="s">
        <v>41</v>
      </c>
      <c r="R1268" t="s">
        <v>4659</v>
      </c>
      <c r="S1268" t="b">
        <v>1</v>
      </c>
      <c r="T1268" t="b">
        <v>1</v>
      </c>
      <c r="U1268" t="b">
        <v>1</v>
      </c>
      <c r="V1268" t="b">
        <v>1</v>
      </c>
      <c r="W1268" t="b">
        <v>1</v>
      </c>
      <c r="X1268" t="b">
        <v>1</v>
      </c>
      <c r="Y1268" t="b">
        <v>1</v>
      </c>
      <c r="Z1268" t="b">
        <v>1</v>
      </c>
      <c r="AA1268" t="b">
        <v>1</v>
      </c>
      <c r="AB1268" t="b">
        <v>1</v>
      </c>
      <c r="AC1268" t="b">
        <v>1</v>
      </c>
      <c r="AD1268" t="b">
        <v>1</v>
      </c>
      <c r="AE1268" t="b">
        <v>1</v>
      </c>
      <c r="AF1268" t="b">
        <v>1</v>
      </c>
      <c r="AG1268" t="b">
        <v>0</v>
      </c>
    </row>
    <row r="1269" spans="1:33" x14ac:dyDescent="0.25">
      <c r="A1269" t="s">
        <v>33</v>
      </c>
      <c r="B1269">
        <v>15</v>
      </c>
      <c r="C1269" t="b">
        <v>1</v>
      </c>
      <c r="D1269" t="s">
        <v>4281</v>
      </c>
      <c r="E1269" t="s">
        <v>4648</v>
      </c>
      <c r="F1269" t="s">
        <v>4660</v>
      </c>
      <c r="G1269" t="s">
        <v>4321</v>
      </c>
      <c r="H1269">
        <v>1268</v>
      </c>
      <c r="I1269" t="str">
        <f>IF(ISBLANK(Table1[[#This Row],[oid]]),"FALSE","TRUE")</f>
        <v>TRUE</v>
      </c>
      <c r="J1269" t="str" cm="1">
        <f t="array" ref="J1269">_xlfn.SWITCH(LEFT(Table1[[#This Row],[section]],1), "D", "Demographic", "S", "Social", "E", "Economic", "H", "Housing", "")</f>
        <v>Economic</v>
      </c>
      <c r="K1269" t="s">
        <v>4535</v>
      </c>
      <c r="L1269" t="s">
        <v>4536</v>
      </c>
      <c r="M1269" t="str">
        <f>IF(Table1[[#This Row],[used]], _xlfn.CONCAT("🆔 ", Table1[[#This Row],[variable]], ": ",Table1[[#This Row],[alias]]), "")</f>
        <v>🆔 B08105G_005E: Walked</v>
      </c>
      <c r="O1269" t="s">
        <v>4322</v>
      </c>
      <c r="P1269" t="s">
        <v>4651</v>
      </c>
      <c r="Q1269" t="s">
        <v>41</v>
      </c>
      <c r="R1269" t="s">
        <v>4661</v>
      </c>
      <c r="S1269" t="b">
        <v>1</v>
      </c>
      <c r="T1269" t="b">
        <v>1</v>
      </c>
      <c r="U1269" t="b">
        <v>1</v>
      </c>
      <c r="V1269" t="b">
        <v>1</v>
      </c>
      <c r="W1269" t="b">
        <v>1</v>
      </c>
      <c r="X1269" t="b">
        <v>1</v>
      </c>
      <c r="Y1269" t="b">
        <v>1</v>
      </c>
      <c r="Z1269" t="b">
        <v>1</v>
      </c>
      <c r="AA1269" t="b">
        <v>1</v>
      </c>
      <c r="AB1269" t="b">
        <v>1</v>
      </c>
      <c r="AC1269" t="b">
        <v>1</v>
      </c>
      <c r="AD1269" t="b">
        <v>1</v>
      </c>
      <c r="AE1269" t="b">
        <v>1</v>
      </c>
      <c r="AF1269" t="b">
        <v>1</v>
      </c>
      <c r="AG1269" t="b">
        <v>1</v>
      </c>
    </row>
    <row r="1270" spans="1:33" x14ac:dyDescent="0.25">
      <c r="A1270" t="s">
        <v>32</v>
      </c>
      <c r="B1270">
        <v>1</v>
      </c>
      <c r="C1270" t="b">
        <v>0</v>
      </c>
      <c r="D1270" t="s">
        <v>4281</v>
      </c>
      <c r="E1270" t="s">
        <v>4648</v>
      </c>
      <c r="F1270" t="s">
        <v>4662</v>
      </c>
      <c r="G1270" t="s">
        <v>4555</v>
      </c>
      <c r="H1270">
        <v>1269</v>
      </c>
      <c r="I1270" t="str">
        <f>IF(ISBLANK(Table1[[#This Row],[oid]]),"FALSE","TRUE")</f>
        <v>TRUE</v>
      </c>
      <c r="J1270" t="str" cm="1">
        <f t="array" ref="J1270">_xlfn.SWITCH(LEFT(Table1[[#This Row],[section]],1), "D", "Demographic", "S", "Social", "E", "Economic", "H", "Housing", "")</f>
        <v>Economic</v>
      </c>
      <c r="K1270" t="s">
        <v>4535</v>
      </c>
      <c r="L1270" t="s">
        <v>4536</v>
      </c>
      <c r="M1270" t="str">
        <f>IF(Table1[[#This Row],[used]], _xlfn.CONCAT("🆔 ", Table1[[#This Row],[variable]], ": ",Table1[[#This Row],[alias]]), "")</f>
        <v>🆔 B08105G_006E: Taxi or ride-hailing services motorcycle bicycle or other means</v>
      </c>
      <c r="O1270" t="s">
        <v>4556</v>
      </c>
      <c r="P1270" t="s">
        <v>4658</v>
      </c>
      <c r="Q1270" t="s">
        <v>41</v>
      </c>
      <c r="R1270" t="s">
        <v>4663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</row>
    <row r="1271" spans="1:33" x14ac:dyDescent="0.25">
      <c r="A1271" t="s">
        <v>4309</v>
      </c>
      <c r="B1271">
        <v>14</v>
      </c>
      <c r="C1271" t="b">
        <v>0</v>
      </c>
      <c r="D1271" t="s">
        <v>4281</v>
      </c>
      <c r="E1271" t="s">
        <v>4648</v>
      </c>
      <c r="F1271" t="s">
        <v>4662</v>
      </c>
      <c r="G1271" t="s">
        <v>4558</v>
      </c>
      <c r="H1271">
        <v>1270</v>
      </c>
      <c r="I1271" t="str">
        <f>IF(ISBLANK(Table1[[#This Row],[oid]]),"FALSE","TRUE")</f>
        <v>TRUE</v>
      </c>
      <c r="J1271" t="str" cm="1">
        <f t="array" ref="J1271">_xlfn.SWITCH(LEFT(Table1[[#This Row],[section]],1), "D", "Demographic", "S", "Social", "E", "Economic", "H", "Housing", "")</f>
        <v>Economic</v>
      </c>
      <c r="K1271" t="s">
        <v>4535</v>
      </c>
      <c r="L1271" t="s">
        <v>4536</v>
      </c>
      <c r="M1271" t="str">
        <f>IF(Table1[[#This Row],[used]], _xlfn.CONCAT("🆔 ", Table1[[#This Row],[variable]], ": ",Table1[[#This Row],[alias]]), "")</f>
        <v>🆔 B08105G_006E: Taxicab motorcycle bicycle or other means</v>
      </c>
      <c r="O1271" t="s">
        <v>4559</v>
      </c>
      <c r="P1271" t="s">
        <v>4651</v>
      </c>
      <c r="Q1271" t="s">
        <v>41</v>
      </c>
      <c r="R1271" t="s">
        <v>4663</v>
      </c>
      <c r="S1271" t="b">
        <v>1</v>
      </c>
      <c r="T1271" t="b">
        <v>1</v>
      </c>
      <c r="U1271" t="b">
        <v>1</v>
      </c>
      <c r="V1271" t="b">
        <v>1</v>
      </c>
      <c r="W1271" t="b">
        <v>1</v>
      </c>
      <c r="X1271" t="b">
        <v>1</v>
      </c>
      <c r="Y1271" t="b">
        <v>1</v>
      </c>
      <c r="Z1271" t="b">
        <v>1</v>
      </c>
      <c r="AA1271" t="b">
        <v>1</v>
      </c>
      <c r="AB1271" t="b">
        <v>1</v>
      </c>
      <c r="AC1271" t="b">
        <v>1</v>
      </c>
      <c r="AD1271" t="b">
        <v>1</v>
      </c>
      <c r="AE1271" t="b">
        <v>1</v>
      </c>
      <c r="AF1271" t="b">
        <v>1</v>
      </c>
      <c r="AG1271" t="b">
        <v>0</v>
      </c>
    </row>
    <row r="1272" spans="1:33" x14ac:dyDescent="0.25">
      <c r="A1272" t="s">
        <v>676</v>
      </c>
      <c r="B1272">
        <v>9</v>
      </c>
      <c r="C1272" t="b">
        <v>0</v>
      </c>
      <c r="D1272" t="s">
        <v>4281</v>
      </c>
      <c r="E1272" t="s">
        <v>4648</v>
      </c>
      <c r="F1272" t="s">
        <v>4664</v>
      </c>
      <c r="G1272" t="s">
        <v>4329</v>
      </c>
      <c r="H1272">
        <v>1271</v>
      </c>
      <c r="I1272" t="str">
        <f>IF(ISBLANK(Table1[[#This Row],[oid]]),"FALSE","TRUE")</f>
        <v>TRUE</v>
      </c>
      <c r="J1272" t="str" cm="1">
        <f t="array" ref="J1272">_xlfn.SWITCH(LEFT(Table1[[#This Row],[section]],1), "D", "Demographic", "S", "Social", "E", "Economic", "H", "Housing", "")</f>
        <v>Economic</v>
      </c>
      <c r="K1272" t="s">
        <v>4535</v>
      </c>
      <c r="L1272" t="s">
        <v>4536</v>
      </c>
      <c r="M1272" t="str">
        <f>IF(Table1[[#This Row],[used]], _xlfn.CONCAT("🆔 ", Table1[[#This Row],[variable]], ": ",Table1[[#This Row],[alias]]), "")</f>
        <v>🆔 B08105G_007E: Worked at home</v>
      </c>
      <c r="O1272" t="s">
        <v>4330</v>
      </c>
      <c r="P1272" t="s">
        <v>4651</v>
      </c>
      <c r="Q1272" t="s">
        <v>41</v>
      </c>
      <c r="R1272" t="s">
        <v>4665</v>
      </c>
      <c r="S1272" t="b">
        <v>1</v>
      </c>
      <c r="T1272" t="b">
        <v>1</v>
      </c>
      <c r="U1272" t="b">
        <v>1</v>
      </c>
      <c r="V1272" t="b">
        <v>1</v>
      </c>
      <c r="W1272" t="b">
        <v>1</v>
      </c>
      <c r="X1272" t="b">
        <v>1</v>
      </c>
      <c r="Y1272" t="b">
        <v>1</v>
      </c>
      <c r="Z1272" t="b">
        <v>1</v>
      </c>
      <c r="AA1272" t="b">
        <v>1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</row>
    <row r="1273" spans="1:33" x14ac:dyDescent="0.25">
      <c r="A1273" t="s">
        <v>681</v>
      </c>
      <c r="B1273">
        <v>6</v>
      </c>
      <c r="C1273" t="b">
        <v>0</v>
      </c>
      <c r="D1273" t="s">
        <v>4281</v>
      </c>
      <c r="E1273" t="s">
        <v>4648</v>
      </c>
      <c r="F1273" t="s">
        <v>4664</v>
      </c>
      <c r="G1273" t="s">
        <v>4332</v>
      </c>
      <c r="H1273">
        <v>1272</v>
      </c>
      <c r="I1273" t="str">
        <f>IF(ISBLANK(Table1[[#This Row],[oid]]),"FALSE","TRUE")</f>
        <v>TRUE</v>
      </c>
      <c r="J1273" t="str" cm="1">
        <f t="array" ref="J1273">_xlfn.SWITCH(LEFT(Table1[[#This Row],[section]],1), "D", "Demographic", "S", "Social", "E", "Economic", "H", "Housing", "")</f>
        <v>Economic</v>
      </c>
      <c r="K1273" t="s">
        <v>4535</v>
      </c>
      <c r="L1273" t="s">
        <v>4536</v>
      </c>
      <c r="M1273" t="str">
        <f>IF(Table1[[#This Row],[used]], _xlfn.CONCAT("🆔 ", Table1[[#This Row],[variable]], ": ",Table1[[#This Row],[alias]]), "")</f>
        <v>🆔 B08105G_007E: Worked from home</v>
      </c>
      <c r="O1273" t="s">
        <v>4333</v>
      </c>
      <c r="P1273" t="s">
        <v>4651</v>
      </c>
      <c r="Q1273" t="s">
        <v>41</v>
      </c>
      <c r="R1273" t="s">
        <v>4665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1</v>
      </c>
      <c r="AC1273" t="b">
        <v>1</v>
      </c>
      <c r="AD1273" t="b">
        <v>1</v>
      </c>
      <c r="AE1273" t="b">
        <v>1</v>
      </c>
      <c r="AF1273" t="b">
        <v>1</v>
      </c>
      <c r="AG1273" t="b">
        <v>1</v>
      </c>
    </row>
    <row r="1274" spans="1:33" x14ac:dyDescent="0.25">
      <c r="A1274" t="s">
        <v>33</v>
      </c>
      <c r="B1274">
        <v>15</v>
      </c>
      <c r="C1274" t="b">
        <v>1</v>
      </c>
      <c r="D1274" t="s">
        <v>4281</v>
      </c>
      <c r="E1274" t="s">
        <v>4666</v>
      </c>
      <c r="F1274" t="s">
        <v>4667</v>
      </c>
      <c r="G1274" t="s">
        <v>4668</v>
      </c>
      <c r="H1274">
        <v>1273</v>
      </c>
      <c r="I1274" t="str">
        <f>IF(ISBLANK(Table1[[#This Row],[oid]]),"FALSE","TRUE")</f>
        <v>TRUE</v>
      </c>
      <c r="J1274" t="str" cm="1">
        <f t="array" ref="J1274">_xlfn.SWITCH(LEFT(Table1[[#This Row],[section]],1), "D", "Demographic", "S", "Social", "E", "Economic", "H", "Housing", "")</f>
        <v>Economic</v>
      </c>
      <c r="K1274" t="s">
        <v>4535</v>
      </c>
      <c r="L1274" t="s">
        <v>4536</v>
      </c>
      <c r="M1274" t="str">
        <f>IF(Table1[[#This Row],[used]], _xlfn.CONCAT("🆔 ", Table1[[#This Row],[variable]], ": ",Table1[[#This Row],[alias]]), "")</f>
        <v>🆔 B08105H_001E: White alone, not Hispanic or Latino</v>
      </c>
      <c r="O1274" t="s">
        <v>39</v>
      </c>
      <c r="P1274" t="s">
        <v>4669</v>
      </c>
      <c r="Q1274" t="s">
        <v>41</v>
      </c>
      <c r="R1274" t="s">
        <v>4670</v>
      </c>
      <c r="S1274" t="b">
        <v>1</v>
      </c>
      <c r="T1274" t="b">
        <v>1</v>
      </c>
      <c r="U1274" t="b">
        <v>1</v>
      </c>
      <c r="V1274" t="b">
        <v>1</v>
      </c>
      <c r="W1274" t="b">
        <v>1</v>
      </c>
      <c r="X1274" t="b">
        <v>1</v>
      </c>
      <c r="Y1274" t="b">
        <v>1</v>
      </c>
      <c r="Z1274" t="b">
        <v>1</v>
      </c>
      <c r="AA1274" t="b">
        <v>1</v>
      </c>
      <c r="AB1274" t="b">
        <v>1</v>
      </c>
      <c r="AC1274" t="b">
        <v>1</v>
      </c>
      <c r="AD1274" t="b">
        <v>1</v>
      </c>
      <c r="AE1274" t="b">
        <v>1</v>
      </c>
      <c r="AF1274" t="b">
        <v>1</v>
      </c>
      <c r="AG1274" t="b">
        <v>1</v>
      </c>
    </row>
    <row r="1275" spans="1:33" x14ac:dyDescent="0.25">
      <c r="A1275" t="s">
        <v>33</v>
      </c>
      <c r="B1275">
        <v>15</v>
      </c>
      <c r="C1275" t="b">
        <v>1</v>
      </c>
      <c r="D1275" t="s">
        <v>4281</v>
      </c>
      <c r="E1275" t="s">
        <v>4666</v>
      </c>
      <c r="F1275" t="s">
        <v>4671</v>
      </c>
      <c r="G1275" t="s">
        <v>4540</v>
      </c>
      <c r="H1275">
        <v>1274</v>
      </c>
      <c r="I1275" t="str">
        <f>IF(ISBLANK(Table1[[#This Row],[oid]]),"FALSE","TRUE")</f>
        <v>TRUE</v>
      </c>
      <c r="J1275" t="str" cm="1">
        <f t="array" ref="J1275">_xlfn.SWITCH(LEFT(Table1[[#This Row],[section]],1), "D", "Demographic", "S", "Social", "E", "Economic", "H", "Housing", "")</f>
        <v>Economic</v>
      </c>
      <c r="K1275" t="s">
        <v>4535</v>
      </c>
      <c r="L1275" t="s">
        <v>4536</v>
      </c>
      <c r="M1275" t="str">
        <f>IF(Table1[[#This Row],[used]], _xlfn.CONCAT("🆔 ", Table1[[#This Row],[variable]], ": ",Table1[[#This Row],[alias]]), "")</f>
        <v>🆔 B08105H_002E: Car truck or van-drove alone</v>
      </c>
      <c r="O1275" t="s">
        <v>4541</v>
      </c>
      <c r="P1275" t="s">
        <v>4669</v>
      </c>
      <c r="Q1275" t="s">
        <v>41</v>
      </c>
      <c r="R1275" t="s">
        <v>4672</v>
      </c>
      <c r="S1275" t="b">
        <v>1</v>
      </c>
      <c r="T1275" t="b">
        <v>1</v>
      </c>
      <c r="U1275" t="b">
        <v>1</v>
      </c>
      <c r="V1275" t="b">
        <v>1</v>
      </c>
      <c r="W1275" t="b">
        <v>1</v>
      </c>
      <c r="X1275" t="b">
        <v>1</v>
      </c>
      <c r="Y1275" t="b">
        <v>1</v>
      </c>
      <c r="Z1275" t="b">
        <v>1</v>
      </c>
      <c r="AA1275" t="b">
        <v>1</v>
      </c>
      <c r="AB1275" t="b">
        <v>1</v>
      </c>
      <c r="AC1275" t="b">
        <v>1</v>
      </c>
      <c r="AD1275" t="b">
        <v>1</v>
      </c>
      <c r="AE1275" t="b">
        <v>1</v>
      </c>
      <c r="AF1275" t="b">
        <v>1</v>
      </c>
      <c r="AG1275" t="b">
        <v>1</v>
      </c>
    </row>
    <row r="1276" spans="1:33" x14ac:dyDescent="0.25">
      <c r="A1276" t="s">
        <v>33</v>
      </c>
      <c r="B1276">
        <v>15</v>
      </c>
      <c r="C1276" t="b">
        <v>1</v>
      </c>
      <c r="D1276" t="s">
        <v>4281</v>
      </c>
      <c r="E1276" t="s">
        <v>4666</v>
      </c>
      <c r="F1276" t="s">
        <v>4673</v>
      </c>
      <c r="G1276" t="s">
        <v>4544</v>
      </c>
      <c r="H1276">
        <v>1275</v>
      </c>
      <c r="I1276" t="str">
        <f>IF(ISBLANK(Table1[[#This Row],[oid]]),"FALSE","TRUE")</f>
        <v>TRUE</v>
      </c>
      <c r="J1276" t="str" cm="1">
        <f t="array" ref="J1276">_xlfn.SWITCH(LEFT(Table1[[#This Row],[section]],1), "D", "Demographic", "S", "Social", "E", "Economic", "H", "Housing", "")</f>
        <v>Economic</v>
      </c>
      <c r="K1276" t="s">
        <v>4535</v>
      </c>
      <c r="L1276" t="s">
        <v>4536</v>
      </c>
      <c r="M1276" t="str">
        <f>IF(Table1[[#This Row],[used]], _xlfn.CONCAT("🆔 ", Table1[[#This Row],[variable]], ": ",Table1[[#This Row],[alias]]), "")</f>
        <v>🆔 B08105H_003E: Car truck or van-carpooled</v>
      </c>
      <c r="O1276" t="s">
        <v>4545</v>
      </c>
      <c r="P1276" t="s">
        <v>4669</v>
      </c>
      <c r="Q1276" t="s">
        <v>41</v>
      </c>
      <c r="R1276" t="s">
        <v>4674</v>
      </c>
      <c r="S1276" t="b">
        <v>1</v>
      </c>
      <c r="T1276" t="b">
        <v>1</v>
      </c>
      <c r="U1276" t="b">
        <v>1</v>
      </c>
      <c r="V1276" t="b">
        <v>1</v>
      </c>
      <c r="W1276" t="b">
        <v>1</v>
      </c>
      <c r="X1276" t="b">
        <v>1</v>
      </c>
      <c r="Y1276" t="b">
        <v>1</v>
      </c>
      <c r="Z1276" t="b">
        <v>1</v>
      </c>
      <c r="AA1276" t="b">
        <v>1</v>
      </c>
      <c r="AB1276" t="b">
        <v>1</v>
      </c>
      <c r="AC1276" t="b">
        <v>1</v>
      </c>
      <c r="AD1276" t="b">
        <v>1</v>
      </c>
      <c r="AE1276" t="b">
        <v>1</v>
      </c>
      <c r="AF1276" t="b">
        <v>1</v>
      </c>
      <c r="AG1276" t="b">
        <v>1</v>
      </c>
    </row>
    <row r="1277" spans="1:33" x14ac:dyDescent="0.25">
      <c r="A1277" t="s">
        <v>32</v>
      </c>
      <c r="B1277">
        <v>1</v>
      </c>
      <c r="C1277" t="b">
        <v>0</v>
      </c>
      <c r="D1277" t="s">
        <v>4281</v>
      </c>
      <c r="E1277" t="s">
        <v>4666</v>
      </c>
      <c r="F1277" t="s">
        <v>4675</v>
      </c>
      <c r="G1277" t="s">
        <v>4302</v>
      </c>
      <c r="H1277">
        <v>1276</v>
      </c>
      <c r="I1277" t="str">
        <f>IF(ISBLANK(Table1[[#This Row],[oid]]),"FALSE","TRUE")</f>
        <v>TRUE</v>
      </c>
      <c r="J1277" t="str" cm="1">
        <f t="array" ref="J1277">_xlfn.SWITCH(LEFT(Table1[[#This Row],[section]],1), "D", "Demographic", "S", "Social", "E", "Economic", "H", "Housing", "")</f>
        <v>Economic</v>
      </c>
      <c r="K1277" t="s">
        <v>4535</v>
      </c>
      <c r="L1277" t="s">
        <v>4536</v>
      </c>
      <c r="M1277" t="str">
        <f>IF(Table1[[#This Row],[used]], _xlfn.CONCAT("🆔 ", Table1[[#This Row],[variable]], ": ",Table1[[#This Row],[alias]]), "")</f>
        <v>🆔 B08105H_004E: Public transportation</v>
      </c>
      <c r="O1277" t="s">
        <v>4303</v>
      </c>
      <c r="P1277" t="s">
        <v>4676</v>
      </c>
      <c r="Q1277" t="s">
        <v>41</v>
      </c>
      <c r="R1277" t="s">
        <v>4677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</row>
    <row r="1278" spans="1:33" x14ac:dyDescent="0.25">
      <c r="A1278" t="s">
        <v>4309</v>
      </c>
      <c r="B1278">
        <v>14</v>
      </c>
      <c r="C1278" t="b">
        <v>0</v>
      </c>
      <c r="D1278" t="s">
        <v>4281</v>
      </c>
      <c r="E1278" t="s">
        <v>4666</v>
      </c>
      <c r="F1278" t="s">
        <v>4675</v>
      </c>
      <c r="G1278" t="s">
        <v>4550</v>
      </c>
      <c r="H1278">
        <v>1277</v>
      </c>
      <c r="I1278" t="str">
        <f>IF(ISBLANK(Table1[[#This Row],[oid]]),"FALSE","TRUE")</f>
        <v>TRUE</v>
      </c>
      <c r="J1278" t="str" cm="1">
        <f t="array" ref="J1278">_xlfn.SWITCH(LEFT(Table1[[#This Row],[section]],1), "D", "Demographic", "S", "Social", "E", "Economic", "H", "Housing", "")</f>
        <v>Economic</v>
      </c>
      <c r="K1278" t="s">
        <v>4535</v>
      </c>
      <c r="L1278" t="s">
        <v>4536</v>
      </c>
      <c r="M1278" t="str">
        <f>IF(Table1[[#This Row],[used]], _xlfn.CONCAT("🆔 ", Table1[[#This Row],[variable]], ": ",Table1[[#This Row],[alias]]), "")</f>
        <v>🆔 B08105H_004E: Public transportation excluding taxicab</v>
      </c>
      <c r="O1278" t="s">
        <v>4551</v>
      </c>
      <c r="P1278" t="s">
        <v>4669</v>
      </c>
      <c r="Q1278" t="s">
        <v>41</v>
      </c>
      <c r="R1278" t="s">
        <v>4677</v>
      </c>
      <c r="S1278" t="b">
        <v>1</v>
      </c>
      <c r="T1278" t="b">
        <v>1</v>
      </c>
      <c r="U1278" t="b">
        <v>1</v>
      </c>
      <c r="V1278" t="b">
        <v>1</v>
      </c>
      <c r="W1278" t="b">
        <v>1</v>
      </c>
      <c r="X1278" t="b">
        <v>1</v>
      </c>
      <c r="Y1278" t="b">
        <v>1</v>
      </c>
      <c r="Z1278" t="b">
        <v>1</v>
      </c>
      <c r="AA1278" t="b">
        <v>1</v>
      </c>
      <c r="AB1278" t="b">
        <v>1</v>
      </c>
      <c r="AC1278" t="b">
        <v>1</v>
      </c>
      <c r="AD1278" t="b">
        <v>1</v>
      </c>
      <c r="AE1278" t="b">
        <v>1</v>
      </c>
      <c r="AF1278" t="b">
        <v>1</v>
      </c>
      <c r="AG1278" t="b">
        <v>0</v>
      </c>
    </row>
    <row r="1279" spans="1:33" x14ac:dyDescent="0.25">
      <c r="A1279" t="s">
        <v>33</v>
      </c>
      <c r="B1279">
        <v>15</v>
      </c>
      <c r="C1279" t="b">
        <v>1</v>
      </c>
      <c r="D1279" t="s">
        <v>4281</v>
      </c>
      <c r="E1279" t="s">
        <v>4666</v>
      </c>
      <c r="F1279" t="s">
        <v>4678</v>
      </c>
      <c r="G1279" t="s">
        <v>4321</v>
      </c>
      <c r="H1279">
        <v>1278</v>
      </c>
      <c r="I1279" t="str">
        <f>IF(ISBLANK(Table1[[#This Row],[oid]]),"FALSE","TRUE")</f>
        <v>TRUE</v>
      </c>
      <c r="J1279" t="str" cm="1">
        <f t="array" ref="J1279">_xlfn.SWITCH(LEFT(Table1[[#This Row],[section]],1), "D", "Demographic", "S", "Social", "E", "Economic", "H", "Housing", "")</f>
        <v>Economic</v>
      </c>
      <c r="K1279" t="s">
        <v>4535</v>
      </c>
      <c r="L1279" t="s">
        <v>4536</v>
      </c>
      <c r="M1279" t="str">
        <f>IF(Table1[[#This Row],[used]], _xlfn.CONCAT("🆔 ", Table1[[#This Row],[variable]], ": ",Table1[[#This Row],[alias]]), "")</f>
        <v>🆔 B08105H_005E: Walked</v>
      </c>
      <c r="O1279" t="s">
        <v>4322</v>
      </c>
      <c r="P1279" t="s">
        <v>4669</v>
      </c>
      <c r="Q1279" t="s">
        <v>41</v>
      </c>
      <c r="R1279" t="s">
        <v>4679</v>
      </c>
      <c r="S1279" t="b">
        <v>1</v>
      </c>
      <c r="T1279" t="b">
        <v>1</v>
      </c>
      <c r="U1279" t="b">
        <v>1</v>
      </c>
      <c r="V1279" t="b">
        <v>1</v>
      </c>
      <c r="W1279" t="b">
        <v>1</v>
      </c>
      <c r="X1279" t="b">
        <v>1</v>
      </c>
      <c r="Y1279" t="b">
        <v>1</v>
      </c>
      <c r="Z1279" t="b">
        <v>1</v>
      </c>
      <c r="AA1279" t="b">
        <v>1</v>
      </c>
      <c r="AB1279" t="b">
        <v>1</v>
      </c>
      <c r="AC1279" t="b">
        <v>1</v>
      </c>
      <c r="AD1279" t="b">
        <v>1</v>
      </c>
      <c r="AE1279" t="b">
        <v>1</v>
      </c>
      <c r="AF1279" t="b">
        <v>1</v>
      </c>
      <c r="AG1279" t="b">
        <v>1</v>
      </c>
    </row>
    <row r="1280" spans="1:33" x14ac:dyDescent="0.25">
      <c r="A1280" t="s">
        <v>32</v>
      </c>
      <c r="B1280">
        <v>1</v>
      </c>
      <c r="C1280" t="b">
        <v>0</v>
      </c>
      <c r="D1280" t="s">
        <v>4281</v>
      </c>
      <c r="E1280" t="s">
        <v>4666</v>
      </c>
      <c r="F1280" t="s">
        <v>4680</v>
      </c>
      <c r="G1280" t="s">
        <v>4555</v>
      </c>
      <c r="H1280">
        <v>1279</v>
      </c>
      <c r="I1280" t="str">
        <f>IF(ISBLANK(Table1[[#This Row],[oid]]),"FALSE","TRUE")</f>
        <v>TRUE</v>
      </c>
      <c r="J1280" t="str" cm="1">
        <f t="array" ref="J1280">_xlfn.SWITCH(LEFT(Table1[[#This Row],[section]],1), "D", "Demographic", "S", "Social", "E", "Economic", "H", "Housing", "")</f>
        <v>Economic</v>
      </c>
      <c r="K1280" t="s">
        <v>4535</v>
      </c>
      <c r="L1280" t="s">
        <v>4536</v>
      </c>
      <c r="M1280" t="str">
        <f>IF(Table1[[#This Row],[used]], _xlfn.CONCAT("🆔 ", Table1[[#This Row],[variable]], ": ",Table1[[#This Row],[alias]]), "")</f>
        <v>🆔 B08105H_006E: Taxi or ride-hailing services motorcycle bicycle or other means</v>
      </c>
      <c r="O1280" t="s">
        <v>4556</v>
      </c>
      <c r="P1280" t="s">
        <v>4676</v>
      </c>
      <c r="Q1280" t="s">
        <v>41</v>
      </c>
      <c r="R1280" t="s">
        <v>4681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</row>
    <row r="1281" spans="1:33" x14ac:dyDescent="0.25">
      <c r="A1281" t="s">
        <v>4309</v>
      </c>
      <c r="B1281">
        <v>14</v>
      </c>
      <c r="C1281" t="b">
        <v>0</v>
      </c>
      <c r="D1281" t="s">
        <v>4281</v>
      </c>
      <c r="E1281" t="s">
        <v>4666</v>
      </c>
      <c r="F1281" t="s">
        <v>4680</v>
      </c>
      <c r="G1281" t="s">
        <v>4558</v>
      </c>
      <c r="H1281">
        <v>1280</v>
      </c>
      <c r="I1281" t="str">
        <f>IF(ISBLANK(Table1[[#This Row],[oid]]),"FALSE","TRUE")</f>
        <v>TRUE</v>
      </c>
      <c r="J1281" t="str" cm="1">
        <f t="array" ref="J1281">_xlfn.SWITCH(LEFT(Table1[[#This Row],[section]],1), "D", "Demographic", "S", "Social", "E", "Economic", "H", "Housing", "")</f>
        <v>Economic</v>
      </c>
      <c r="K1281" t="s">
        <v>4535</v>
      </c>
      <c r="L1281" t="s">
        <v>4536</v>
      </c>
      <c r="M1281" t="str">
        <f>IF(Table1[[#This Row],[used]], _xlfn.CONCAT("🆔 ", Table1[[#This Row],[variable]], ": ",Table1[[#This Row],[alias]]), "")</f>
        <v>🆔 B08105H_006E: Taxicab motorcycle bicycle or other means</v>
      </c>
      <c r="O1281" t="s">
        <v>4559</v>
      </c>
      <c r="P1281" t="s">
        <v>4669</v>
      </c>
      <c r="Q1281" t="s">
        <v>41</v>
      </c>
      <c r="R1281" t="s">
        <v>4681</v>
      </c>
      <c r="S1281" t="b">
        <v>1</v>
      </c>
      <c r="T1281" t="b">
        <v>1</v>
      </c>
      <c r="U1281" t="b">
        <v>1</v>
      </c>
      <c r="V1281" t="b">
        <v>1</v>
      </c>
      <c r="W1281" t="b">
        <v>1</v>
      </c>
      <c r="X1281" t="b">
        <v>1</v>
      </c>
      <c r="Y1281" t="b">
        <v>1</v>
      </c>
      <c r="Z1281" t="b">
        <v>1</v>
      </c>
      <c r="AA1281" t="b">
        <v>1</v>
      </c>
      <c r="AB1281" t="b">
        <v>1</v>
      </c>
      <c r="AC1281" t="b">
        <v>1</v>
      </c>
      <c r="AD1281" t="b">
        <v>1</v>
      </c>
      <c r="AE1281" t="b">
        <v>1</v>
      </c>
      <c r="AF1281" t="b">
        <v>1</v>
      </c>
      <c r="AG1281" t="b">
        <v>0</v>
      </c>
    </row>
    <row r="1282" spans="1:33" x14ac:dyDescent="0.25">
      <c r="A1282" t="s">
        <v>676</v>
      </c>
      <c r="B1282">
        <v>9</v>
      </c>
      <c r="C1282" t="b">
        <v>0</v>
      </c>
      <c r="D1282" t="s">
        <v>4281</v>
      </c>
      <c r="E1282" t="s">
        <v>4666</v>
      </c>
      <c r="F1282" t="s">
        <v>4682</v>
      </c>
      <c r="G1282" t="s">
        <v>4329</v>
      </c>
      <c r="H1282">
        <v>1281</v>
      </c>
      <c r="I1282" t="str">
        <f>IF(ISBLANK(Table1[[#This Row],[oid]]),"FALSE","TRUE")</f>
        <v>TRUE</v>
      </c>
      <c r="J1282" t="str" cm="1">
        <f t="array" ref="J1282">_xlfn.SWITCH(LEFT(Table1[[#This Row],[section]],1), "D", "Demographic", "S", "Social", "E", "Economic", "H", "Housing", "")</f>
        <v>Economic</v>
      </c>
      <c r="K1282" t="s">
        <v>4535</v>
      </c>
      <c r="L1282" t="s">
        <v>4536</v>
      </c>
      <c r="M1282" t="str">
        <f>IF(Table1[[#This Row],[used]], _xlfn.CONCAT("🆔 ", Table1[[#This Row],[variable]], ": ",Table1[[#This Row],[alias]]), "")</f>
        <v>🆔 B08105H_007E: Worked at home</v>
      </c>
      <c r="O1282" t="s">
        <v>4330</v>
      </c>
      <c r="P1282" t="s">
        <v>4669</v>
      </c>
      <c r="Q1282" t="s">
        <v>41</v>
      </c>
      <c r="R1282" t="s">
        <v>4683</v>
      </c>
      <c r="S1282" t="b">
        <v>1</v>
      </c>
      <c r="T1282" t="b">
        <v>1</v>
      </c>
      <c r="U1282" t="b">
        <v>1</v>
      </c>
      <c r="V1282" t="b">
        <v>1</v>
      </c>
      <c r="W1282" t="b">
        <v>1</v>
      </c>
      <c r="X1282" t="b">
        <v>1</v>
      </c>
      <c r="Y1282" t="b">
        <v>1</v>
      </c>
      <c r="Z1282" t="b">
        <v>1</v>
      </c>
      <c r="AA1282" t="b">
        <v>1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</row>
    <row r="1283" spans="1:33" x14ac:dyDescent="0.25">
      <c r="A1283" t="s">
        <v>681</v>
      </c>
      <c r="B1283">
        <v>6</v>
      </c>
      <c r="C1283" t="b">
        <v>0</v>
      </c>
      <c r="D1283" t="s">
        <v>4281</v>
      </c>
      <c r="E1283" t="s">
        <v>4666</v>
      </c>
      <c r="F1283" t="s">
        <v>4682</v>
      </c>
      <c r="G1283" t="s">
        <v>4332</v>
      </c>
      <c r="H1283">
        <v>1282</v>
      </c>
      <c r="I1283" t="str">
        <f>IF(ISBLANK(Table1[[#This Row],[oid]]),"FALSE","TRUE")</f>
        <v>TRUE</v>
      </c>
      <c r="J1283" t="str" cm="1">
        <f t="array" ref="J1283">_xlfn.SWITCH(LEFT(Table1[[#This Row],[section]],1), "D", "Demographic", "S", "Social", "E", "Economic", "H", "Housing", "")</f>
        <v>Economic</v>
      </c>
      <c r="K1283" t="s">
        <v>4535</v>
      </c>
      <c r="L1283" t="s">
        <v>4536</v>
      </c>
      <c r="M1283" t="str">
        <f>IF(Table1[[#This Row],[used]], _xlfn.CONCAT("🆔 ", Table1[[#This Row],[variable]], ": ",Table1[[#This Row],[alias]]), "")</f>
        <v>🆔 B08105H_007E: Worked from home</v>
      </c>
      <c r="O1283" t="s">
        <v>4333</v>
      </c>
      <c r="P1283" t="s">
        <v>4669</v>
      </c>
      <c r="Q1283" t="s">
        <v>41</v>
      </c>
      <c r="R1283" t="s">
        <v>4683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1</v>
      </c>
      <c r="AC1283" t="b">
        <v>1</v>
      </c>
      <c r="AD1283" t="b">
        <v>1</v>
      </c>
      <c r="AE1283" t="b">
        <v>1</v>
      </c>
      <c r="AF1283" t="b">
        <v>1</v>
      </c>
      <c r="AG1283" t="b">
        <v>1</v>
      </c>
    </row>
    <row r="1284" spans="1:33" x14ac:dyDescent="0.25">
      <c r="A1284" t="s">
        <v>33</v>
      </c>
      <c r="B1284">
        <v>15</v>
      </c>
      <c r="C1284" t="b">
        <v>1</v>
      </c>
      <c r="D1284" t="s">
        <v>4281</v>
      </c>
      <c r="E1284" t="s">
        <v>4684</v>
      </c>
      <c r="F1284" t="s">
        <v>4685</v>
      </c>
      <c r="G1284" t="s">
        <v>385</v>
      </c>
      <c r="H1284">
        <v>1283</v>
      </c>
      <c r="I1284" t="str">
        <f>IF(ISBLANK(Table1[[#This Row],[oid]]),"FALSE","TRUE")</f>
        <v>TRUE</v>
      </c>
      <c r="J1284" t="str" cm="1">
        <f t="array" ref="J1284">_xlfn.SWITCH(LEFT(Table1[[#This Row],[section]],1), "D", "Demographic", "S", "Social", "E", "Economic", "H", "Housing", "")</f>
        <v>Economic</v>
      </c>
      <c r="K1284" t="s">
        <v>4535</v>
      </c>
      <c r="L1284" t="s">
        <v>4536</v>
      </c>
      <c r="M1284" t="str">
        <f>IF(Table1[[#This Row],[used]], _xlfn.CONCAT("🆔 ", Table1[[#This Row],[variable]], ": ",Table1[[#This Row],[alias]]), "")</f>
        <v>🆔 B08105I_001E: Hispanic or Latino</v>
      </c>
      <c r="O1284" t="s">
        <v>39</v>
      </c>
      <c r="P1284" t="s">
        <v>4686</v>
      </c>
      <c r="Q1284" t="s">
        <v>41</v>
      </c>
      <c r="R1284" t="s">
        <v>4687</v>
      </c>
      <c r="S1284" t="b">
        <v>1</v>
      </c>
      <c r="T1284" t="b">
        <v>1</v>
      </c>
      <c r="U1284" t="b">
        <v>1</v>
      </c>
      <c r="V1284" t="b">
        <v>1</v>
      </c>
      <c r="W1284" t="b">
        <v>1</v>
      </c>
      <c r="X1284" t="b">
        <v>1</v>
      </c>
      <c r="Y1284" t="b">
        <v>1</v>
      </c>
      <c r="Z1284" t="b">
        <v>1</v>
      </c>
      <c r="AA1284" t="b">
        <v>1</v>
      </c>
      <c r="AB1284" t="b">
        <v>1</v>
      </c>
      <c r="AC1284" t="b">
        <v>1</v>
      </c>
      <c r="AD1284" t="b">
        <v>1</v>
      </c>
      <c r="AE1284" t="b">
        <v>1</v>
      </c>
      <c r="AF1284" t="b">
        <v>1</v>
      </c>
      <c r="AG1284" t="b">
        <v>1</v>
      </c>
    </row>
    <row r="1285" spans="1:33" x14ac:dyDescent="0.25">
      <c r="A1285" t="s">
        <v>33</v>
      </c>
      <c r="B1285">
        <v>15</v>
      </c>
      <c r="C1285" t="b">
        <v>1</v>
      </c>
      <c r="D1285" t="s">
        <v>4281</v>
      </c>
      <c r="E1285" t="s">
        <v>4684</v>
      </c>
      <c r="F1285" t="s">
        <v>4688</v>
      </c>
      <c r="G1285" t="s">
        <v>4540</v>
      </c>
      <c r="H1285">
        <v>1284</v>
      </c>
      <c r="I1285" t="str">
        <f>IF(ISBLANK(Table1[[#This Row],[oid]]),"FALSE","TRUE")</f>
        <v>TRUE</v>
      </c>
      <c r="J1285" t="str" cm="1">
        <f t="array" ref="J1285">_xlfn.SWITCH(LEFT(Table1[[#This Row],[section]],1), "D", "Demographic", "S", "Social", "E", "Economic", "H", "Housing", "")</f>
        <v>Economic</v>
      </c>
      <c r="K1285" t="s">
        <v>4535</v>
      </c>
      <c r="L1285" t="s">
        <v>4536</v>
      </c>
      <c r="M1285" t="str">
        <f>IF(Table1[[#This Row],[used]], _xlfn.CONCAT("🆔 ", Table1[[#This Row],[variable]], ": ",Table1[[#This Row],[alias]]), "")</f>
        <v>🆔 B08105I_002E: Car truck or van-drove alone</v>
      </c>
      <c r="O1285" t="s">
        <v>4541</v>
      </c>
      <c r="P1285" t="s">
        <v>4686</v>
      </c>
      <c r="Q1285" t="s">
        <v>41</v>
      </c>
      <c r="R1285" t="s">
        <v>4689</v>
      </c>
      <c r="S1285" t="b">
        <v>1</v>
      </c>
      <c r="T1285" t="b">
        <v>1</v>
      </c>
      <c r="U1285" t="b">
        <v>1</v>
      </c>
      <c r="V1285" t="b">
        <v>1</v>
      </c>
      <c r="W1285" t="b">
        <v>1</v>
      </c>
      <c r="X1285" t="b">
        <v>1</v>
      </c>
      <c r="Y1285" t="b">
        <v>1</v>
      </c>
      <c r="Z1285" t="b">
        <v>1</v>
      </c>
      <c r="AA1285" t="b">
        <v>1</v>
      </c>
      <c r="AB1285" t="b">
        <v>1</v>
      </c>
      <c r="AC1285" t="b">
        <v>1</v>
      </c>
      <c r="AD1285" t="b">
        <v>1</v>
      </c>
      <c r="AE1285" t="b">
        <v>1</v>
      </c>
      <c r="AF1285" t="b">
        <v>1</v>
      </c>
      <c r="AG1285" t="b">
        <v>1</v>
      </c>
    </row>
    <row r="1286" spans="1:33" x14ac:dyDescent="0.25">
      <c r="A1286" t="s">
        <v>33</v>
      </c>
      <c r="B1286">
        <v>15</v>
      </c>
      <c r="C1286" t="b">
        <v>1</v>
      </c>
      <c r="D1286" t="s">
        <v>4281</v>
      </c>
      <c r="E1286" t="s">
        <v>4684</v>
      </c>
      <c r="F1286" t="s">
        <v>4690</v>
      </c>
      <c r="G1286" t="s">
        <v>4544</v>
      </c>
      <c r="H1286">
        <v>1285</v>
      </c>
      <c r="I1286" t="str">
        <f>IF(ISBLANK(Table1[[#This Row],[oid]]),"FALSE","TRUE")</f>
        <v>TRUE</v>
      </c>
      <c r="J1286" t="str" cm="1">
        <f t="array" ref="J1286">_xlfn.SWITCH(LEFT(Table1[[#This Row],[section]],1), "D", "Demographic", "S", "Social", "E", "Economic", "H", "Housing", "")</f>
        <v>Economic</v>
      </c>
      <c r="K1286" t="s">
        <v>4535</v>
      </c>
      <c r="L1286" t="s">
        <v>4536</v>
      </c>
      <c r="M1286" t="str">
        <f>IF(Table1[[#This Row],[used]], _xlfn.CONCAT("🆔 ", Table1[[#This Row],[variable]], ": ",Table1[[#This Row],[alias]]), "")</f>
        <v>🆔 B08105I_003E: Car truck or van-carpooled</v>
      </c>
      <c r="O1286" t="s">
        <v>4545</v>
      </c>
      <c r="P1286" t="s">
        <v>4686</v>
      </c>
      <c r="Q1286" t="s">
        <v>41</v>
      </c>
      <c r="R1286" t="s">
        <v>4691</v>
      </c>
      <c r="S1286" t="b">
        <v>1</v>
      </c>
      <c r="T1286" t="b">
        <v>1</v>
      </c>
      <c r="U1286" t="b">
        <v>1</v>
      </c>
      <c r="V1286" t="b">
        <v>1</v>
      </c>
      <c r="W1286" t="b">
        <v>1</v>
      </c>
      <c r="X1286" t="b">
        <v>1</v>
      </c>
      <c r="Y1286" t="b">
        <v>1</v>
      </c>
      <c r="Z1286" t="b">
        <v>1</v>
      </c>
      <c r="AA1286" t="b">
        <v>1</v>
      </c>
      <c r="AB1286" t="b">
        <v>1</v>
      </c>
      <c r="AC1286" t="b">
        <v>1</v>
      </c>
      <c r="AD1286" t="b">
        <v>1</v>
      </c>
      <c r="AE1286" t="b">
        <v>1</v>
      </c>
      <c r="AF1286" t="b">
        <v>1</v>
      </c>
      <c r="AG1286" t="b">
        <v>1</v>
      </c>
    </row>
    <row r="1287" spans="1:33" x14ac:dyDescent="0.25">
      <c r="A1287" t="s">
        <v>32</v>
      </c>
      <c r="B1287">
        <v>1</v>
      </c>
      <c r="C1287" t="b">
        <v>0</v>
      </c>
      <c r="D1287" t="s">
        <v>4281</v>
      </c>
      <c r="E1287" t="s">
        <v>4684</v>
      </c>
      <c r="F1287" t="s">
        <v>4692</v>
      </c>
      <c r="G1287" t="s">
        <v>4302</v>
      </c>
      <c r="H1287">
        <v>1286</v>
      </c>
      <c r="I1287" t="str">
        <f>IF(ISBLANK(Table1[[#This Row],[oid]]),"FALSE","TRUE")</f>
        <v>TRUE</v>
      </c>
      <c r="J1287" t="str" cm="1">
        <f t="array" ref="J1287">_xlfn.SWITCH(LEFT(Table1[[#This Row],[section]],1), "D", "Demographic", "S", "Social", "E", "Economic", "H", "Housing", "")</f>
        <v>Economic</v>
      </c>
      <c r="K1287" t="s">
        <v>4535</v>
      </c>
      <c r="L1287" t="s">
        <v>4536</v>
      </c>
      <c r="M1287" t="str">
        <f>IF(Table1[[#This Row],[used]], _xlfn.CONCAT("🆔 ", Table1[[#This Row],[variable]], ": ",Table1[[#This Row],[alias]]), "")</f>
        <v>🆔 B08105I_004E: Public transportation</v>
      </c>
      <c r="O1287" t="s">
        <v>4303</v>
      </c>
      <c r="P1287" t="s">
        <v>4693</v>
      </c>
      <c r="Q1287" t="s">
        <v>41</v>
      </c>
      <c r="R1287" t="s">
        <v>4694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</row>
    <row r="1288" spans="1:33" x14ac:dyDescent="0.25">
      <c r="A1288" t="s">
        <v>4309</v>
      </c>
      <c r="B1288">
        <v>14</v>
      </c>
      <c r="C1288" t="b">
        <v>0</v>
      </c>
      <c r="D1288" t="s">
        <v>4281</v>
      </c>
      <c r="E1288" t="s">
        <v>4684</v>
      </c>
      <c r="F1288" t="s">
        <v>4692</v>
      </c>
      <c r="G1288" t="s">
        <v>4550</v>
      </c>
      <c r="H1288">
        <v>1287</v>
      </c>
      <c r="I1288" t="str">
        <f>IF(ISBLANK(Table1[[#This Row],[oid]]),"FALSE","TRUE")</f>
        <v>TRUE</v>
      </c>
      <c r="J1288" t="str" cm="1">
        <f t="array" ref="J1288">_xlfn.SWITCH(LEFT(Table1[[#This Row],[section]],1), "D", "Demographic", "S", "Social", "E", "Economic", "H", "Housing", "")</f>
        <v>Economic</v>
      </c>
      <c r="K1288" t="s">
        <v>4535</v>
      </c>
      <c r="L1288" t="s">
        <v>4536</v>
      </c>
      <c r="M1288" t="str">
        <f>IF(Table1[[#This Row],[used]], _xlfn.CONCAT("🆔 ", Table1[[#This Row],[variable]], ": ",Table1[[#This Row],[alias]]), "")</f>
        <v>🆔 B08105I_004E: Public transportation excluding taxicab</v>
      </c>
      <c r="O1288" t="s">
        <v>4551</v>
      </c>
      <c r="P1288" t="s">
        <v>4686</v>
      </c>
      <c r="Q1288" t="s">
        <v>41</v>
      </c>
      <c r="R1288" t="s">
        <v>4694</v>
      </c>
      <c r="S1288" t="b">
        <v>1</v>
      </c>
      <c r="T1288" t="b">
        <v>1</v>
      </c>
      <c r="U1288" t="b">
        <v>1</v>
      </c>
      <c r="V1288" t="b">
        <v>1</v>
      </c>
      <c r="W1288" t="b">
        <v>1</v>
      </c>
      <c r="X1288" t="b">
        <v>1</v>
      </c>
      <c r="Y1288" t="b">
        <v>1</v>
      </c>
      <c r="Z1288" t="b">
        <v>1</v>
      </c>
      <c r="AA1288" t="b">
        <v>1</v>
      </c>
      <c r="AB1288" t="b">
        <v>1</v>
      </c>
      <c r="AC1288" t="b">
        <v>1</v>
      </c>
      <c r="AD1288" t="b">
        <v>1</v>
      </c>
      <c r="AE1288" t="b">
        <v>1</v>
      </c>
      <c r="AF1288" t="b">
        <v>1</v>
      </c>
      <c r="AG1288" t="b">
        <v>0</v>
      </c>
    </row>
    <row r="1289" spans="1:33" x14ac:dyDescent="0.25">
      <c r="A1289" t="s">
        <v>33</v>
      </c>
      <c r="B1289">
        <v>15</v>
      </c>
      <c r="C1289" t="b">
        <v>1</v>
      </c>
      <c r="D1289" t="s">
        <v>4281</v>
      </c>
      <c r="E1289" t="s">
        <v>4684</v>
      </c>
      <c r="F1289" t="s">
        <v>4695</v>
      </c>
      <c r="G1289" t="s">
        <v>4321</v>
      </c>
      <c r="H1289">
        <v>1288</v>
      </c>
      <c r="I1289" t="str">
        <f>IF(ISBLANK(Table1[[#This Row],[oid]]),"FALSE","TRUE")</f>
        <v>TRUE</v>
      </c>
      <c r="J1289" t="str" cm="1">
        <f t="array" ref="J1289">_xlfn.SWITCH(LEFT(Table1[[#This Row],[section]],1), "D", "Demographic", "S", "Social", "E", "Economic", "H", "Housing", "")</f>
        <v>Economic</v>
      </c>
      <c r="K1289" t="s">
        <v>4535</v>
      </c>
      <c r="L1289" t="s">
        <v>4536</v>
      </c>
      <c r="M1289" t="str">
        <f>IF(Table1[[#This Row],[used]], _xlfn.CONCAT("🆔 ", Table1[[#This Row],[variable]], ": ",Table1[[#This Row],[alias]]), "")</f>
        <v>🆔 B08105I_005E: Walked</v>
      </c>
      <c r="O1289" t="s">
        <v>4322</v>
      </c>
      <c r="P1289" t="s">
        <v>4686</v>
      </c>
      <c r="Q1289" t="s">
        <v>41</v>
      </c>
      <c r="R1289" t="s">
        <v>4696</v>
      </c>
      <c r="S1289" t="b">
        <v>1</v>
      </c>
      <c r="T1289" t="b">
        <v>1</v>
      </c>
      <c r="U1289" t="b">
        <v>1</v>
      </c>
      <c r="V1289" t="b">
        <v>1</v>
      </c>
      <c r="W1289" t="b">
        <v>1</v>
      </c>
      <c r="X1289" t="b">
        <v>1</v>
      </c>
      <c r="Y1289" t="b">
        <v>1</v>
      </c>
      <c r="Z1289" t="b">
        <v>1</v>
      </c>
      <c r="AA1289" t="b">
        <v>1</v>
      </c>
      <c r="AB1289" t="b">
        <v>1</v>
      </c>
      <c r="AC1289" t="b">
        <v>1</v>
      </c>
      <c r="AD1289" t="b">
        <v>1</v>
      </c>
      <c r="AE1289" t="b">
        <v>1</v>
      </c>
      <c r="AF1289" t="b">
        <v>1</v>
      </c>
      <c r="AG1289" t="b">
        <v>1</v>
      </c>
    </row>
    <row r="1290" spans="1:33" x14ac:dyDescent="0.25">
      <c r="A1290" t="s">
        <v>32</v>
      </c>
      <c r="B1290">
        <v>1</v>
      </c>
      <c r="C1290" t="b">
        <v>0</v>
      </c>
      <c r="D1290" t="s">
        <v>4281</v>
      </c>
      <c r="E1290" t="s">
        <v>4684</v>
      </c>
      <c r="F1290" t="s">
        <v>4697</v>
      </c>
      <c r="G1290" t="s">
        <v>4555</v>
      </c>
      <c r="H1290">
        <v>1289</v>
      </c>
      <c r="I1290" t="str">
        <f>IF(ISBLANK(Table1[[#This Row],[oid]]),"FALSE","TRUE")</f>
        <v>TRUE</v>
      </c>
      <c r="J1290" t="str" cm="1">
        <f t="array" ref="J1290">_xlfn.SWITCH(LEFT(Table1[[#This Row],[section]],1), "D", "Demographic", "S", "Social", "E", "Economic", "H", "Housing", "")</f>
        <v>Economic</v>
      </c>
      <c r="K1290" t="s">
        <v>4535</v>
      </c>
      <c r="L1290" t="s">
        <v>4536</v>
      </c>
      <c r="M1290" t="str">
        <f>IF(Table1[[#This Row],[used]], _xlfn.CONCAT("🆔 ", Table1[[#This Row],[variable]], ": ",Table1[[#This Row],[alias]]), "")</f>
        <v>🆔 B08105I_006E: Taxi or ride-hailing services motorcycle bicycle or other means</v>
      </c>
      <c r="O1290" t="s">
        <v>4556</v>
      </c>
      <c r="P1290" t="s">
        <v>4693</v>
      </c>
      <c r="Q1290" t="s">
        <v>41</v>
      </c>
      <c r="R1290" t="s">
        <v>4698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</row>
    <row r="1291" spans="1:33" x14ac:dyDescent="0.25">
      <c r="A1291" t="s">
        <v>4309</v>
      </c>
      <c r="B1291">
        <v>14</v>
      </c>
      <c r="C1291" t="b">
        <v>0</v>
      </c>
      <c r="D1291" t="s">
        <v>4281</v>
      </c>
      <c r="E1291" t="s">
        <v>4684</v>
      </c>
      <c r="F1291" t="s">
        <v>4697</v>
      </c>
      <c r="G1291" t="s">
        <v>4558</v>
      </c>
      <c r="H1291">
        <v>1290</v>
      </c>
      <c r="I1291" t="str">
        <f>IF(ISBLANK(Table1[[#This Row],[oid]]),"FALSE","TRUE")</f>
        <v>TRUE</v>
      </c>
      <c r="J1291" t="str" cm="1">
        <f t="array" ref="J1291">_xlfn.SWITCH(LEFT(Table1[[#This Row],[section]],1), "D", "Demographic", "S", "Social", "E", "Economic", "H", "Housing", "")</f>
        <v>Economic</v>
      </c>
      <c r="K1291" t="s">
        <v>4535</v>
      </c>
      <c r="L1291" t="s">
        <v>4536</v>
      </c>
      <c r="M1291" t="str">
        <f>IF(Table1[[#This Row],[used]], _xlfn.CONCAT("🆔 ", Table1[[#This Row],[variable]], ": ",Table1[[#This Row],[alias]]), "")</f>
        <v>🆔 B08105I_006E: Taxicab motorcycle bicycle or other means</v>
      </c>
      <c r="O1291" t="s">
        <v>4559</v>
      </c>
      <c r="P1291" t="s">
        <v>4686</v>
      </c>
      <c r="Q1291" t="s">
        <v>41</v>
      </c>
      <c r="R1291" t="s">
        <v>4698</v>
      </c>
      <c r="S1291" t="b">
        <v>1</v>
      </c>
      <c r="T1291" t="b">
        <v>1</v>
      </c>
      <c r="U1291" t="b">
        <v>1</v>
      </c>
      <c r="V1291" t="b">
        <v>1</v>
      </c>
      <c r="W1291" t="b">
        <v>1</v>
      </c>
      <c r="X1291" t="b">
        <v>1</v>
      </c>
      <c r="Y1291" t="b">
        <v>1</v>
      </c>
      <c r="Z1291" t="b">
        <v>1</v>
      </c>
      <c r="AA1291" t="b">
        <v>1</v>
      </c>
      <c r="AB1291" t="b">
        <v>1</v>
      </c>
      <c r="AC1291" t="b">
        <v>1</v>
      </c>
      <c r="AD1291" t="b">
        <v>1</v>
      </c>
      <c r="AE1291" t="b">
        <v>1</v>
      </c>
      <c r="AF1291" t="b">
        <v>1</v>
      </c>
      <c r="AG1291" t="b">
        <v>0</v>
      </c>
    </row>
    <row r="1292" spans="1:33" x14ac:dyDescent="0.25">
      <c r="A1292" t="s">
        <v>676</v>
      </c>
      <c r="B1292">
        <v>9</v>
      </c>
      <c r="C1292" t="b">
        <v>0</v>
      </c>
      <c r="D1292" t="s">
        <v>4281</v>
      </c>
      <c r="E1292" t="s">
        <v>4684</v>
      </c>
      <c r="F1292" t="s">
        <v>4699</v>
      </c>
      <c r="G1292" t="s">
        <v>4329</v>
      </c>
      <c r="H1292">
        <v>1291</v>
      </c>
      <c r="I1292" t="str">
        <f>IF(ISBLANK(Table1[[#This Row],[oid]]),"FALSE","TRUE")</f>
        <v>TRUE</v>
      </c>
      <c r="J1292" t="str" cm="1">
        <f t="array" ref="J1292">_xlfn.SWITCH(LEFT(Table1[[#This Row],[section]],1), "D", "Demographic", "S", "Social", "E", "Economic", "H", "Housing", "")</f>
        <v>Economic</v>
      </c>
      <c r="K1292" t="s">
        <v>4535</v>
      </c>
      <c r="L1292" t="s">
        <v>4536</v>
      </c>
      <c r="M1292" t="str">
        <f>IF(Table1[[#This Row],[used]], _xlfn.CONCAT("🆔 ", Table1[[#This Row],[variable]], ": ",Table1[[#This Row],[alias]]), "")</f>
        <v>🆔 B08105I_007E: Worked at home</v>
      </c>
      <c r="O1292" t="s">
        <v>4330</v>
      </c>
      <c r="P1292" t="s">
        <v>4686</v>
      </c>
      <c r="Q1292" t="s">
        <v>41</v>
      </c>
      <c r="R1292" t="s">
        <v>4700</v>
      </c>
      <c r="S1292" t="b">
        <v>1</v>
      </c>
      <c r="T1292" t="b">
        <v>1</v>
      </c>
      <c r="U1292" t="b">
        <v>1</v>
      </c>
      <c r="V1292" t="b">
        <v>1</v>
      </c>
      <c r="W1292" t="b">
        <v>1</v>
      </c>
      <c r="X1292" t="b">
        <v>1</v>
      </c>
      <c r="Y1292" t="b">
        <v>1</v>
      </c>
      <c r="Z1292" t="b">
        <v>1</v>
      </c>
      <c r="AA1292" t="b">
        <v>1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</row>
    <row r="1293" spans="1:33" x14ac:dyDescent="0.25">
      <c r="A1293" t="s">
        <v>681</v>
      </c>
      <c r="B1293">
        <v>6</v>
      </c>
      <c r="C1293" t="b">
        <v>0</v>
      </c>
      <c r="D1293" t="s">
        <v>4281</v>
      </c>
      <c r="E1293" t="s">
        <v>4684</v>
      </c>
      <c r="F1293" t="s">
        <v>4699</v>
      </c>
      <c r="G1293" t="s">
        <v>4332</v>
      </c>
      <c r="H1293">
        <v>1292</v>
      </c>
      <c r="I1293" t="str">
        <f>IF(ISBLANK(Table1[[#This Row],[oid]]),"FALSE","TRUE")</f>
        <v>TRUE</v>
      </c>
      <c r="J1293" t="str" cm="1">
        <f t="array" ref="J1293">_xlfn.SWITCH(LEFT(Table1[[#This Row],[section]],1), "D", "Demographic", "S", "Social", "E", "Economic", "H", "Housing", "")</f>
        <v>Economic</v>
      </c>
      <c r="K1293" t="s">
        <v>4535</v>
      </c>
      <c r="L1293" t="s">
        <v>4536</v>
      </c>
      <c r="M1293" t="str">
        <f>IF(Table1[[#This Row],[used]], _xlfn.CONCAT("🆔 ", Table1[[#This Row],[variable]], ": ",Table1[[#This Row],[alias]]), "")</f>
        <v>🆔 B08105I_007E: Worked from home</v>
      </c>
      <c r="O1293" t="s">
        <v>4333</v>
      </c>
      <c r="P1293" t="s">
        <v>4686</v>
      </c>
      <c r="Q1293" t="s">
        <v>41</v>
      </c>
      <c r="R1293" t="s">
        <v>4700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1</v>
      </c>
      <c r="AC1293" t="b">
        <v>1</v>
      </c>
      <c r="AD1293" t="b">
        <v>1</v>
      </c>
      <c r="AE1293" t="b">
        <v>1</v>
      </c>
      <c r="AF1293" t="b">
        <v>1</v>
      </c>
      <c r="AG1293" t="b">
        <v>1</v>
      </c>
    </row>
    <row r="1294" spans="1:33" x14ac:dyDescent="0.25">
      <c r="A1294" t="s">
        <v>33</v>
      </c>
      <c r="B1294">
        <v>15</v>
      </c>
      <c r="C1294" t="b">
        <v>1</v>
      </c>
      <c r="D1294" t="s">
        <v>4701</v>
      </c>
      <c r="E1294" t="s">
        <v>4702</v>
      </c>
      <c r="F1294" t="s">
        <v>4703</v>
      </c>
      <c r="G1294" t="s">
        <v>4704</v>
      </c>
      <c r="H1294">
        <v>1293</v>
      </c>
      <c r="I1294" t="str">
        <f>IF(ISBLANK(Table1[[#This Row],[oid]]),"FALSE","TRUE")</f>
        <v>TRUE</v>
      </c>
      <c r="J1294" t="str" cm="1">
        <f t="array" ref="J1294">_xlfn.SWITCH(LEFT(Table1[[#This Row],[section]],1), "D", "Demographic", "S", "Social", "E", "Economic", "H", "Housing", "")</f>
        <v>Economic</v>
      </c>
      <c r="K1294" t="s">
        <v>4705</v>
      </c>
      <c r="L1294" t="s">
        <v>4706</v>
      </c>
      <c r="M1294" t="str">
        <f>IF(Table1[[#This Row],[used]], _xlfn.CONCAT("🆔 ", Table1[[#This Row],[variable]], ": ",Table1[[#This Row],[alias]]), "")</f>
        <v>🆔 C24010_001E: Civilian Employed Population 16+ years</v>
      </c>
      <c r="O1294" t="s">
        <v>39</v>
      </c>
      <c r="P1294" t="s">
        <v>4707</v>
      </c>
      <c r="Q1294" t="s">
        <v>41</v>
      </c>
      <c r="R1294" t="s">
        <v>4708</v>
      </c>
      <c r="S1294" t="b">
        <v>1</v>
      </c>
      <c r="T1294" t="b">
        <v>1</v>
      </c>
      <c r="U1294" t="b">
        <v>1</v>
      </c>
      <c r="V1294" t="b">
        <v>1</v>
      </c>
      <c r="W1294" t="b">
        <v>1</v>
      </c>
      <c r="X1294" t="b">
        <v>1</v>
      </c>
      <c r="Y1294" t="b">
        <v>1</v>
      </c>
      <c r="Z1294" t="b">
        <v>1</v>
      </c>
      <c r="AA1294" t="b">
        <v>1</v>
      </c>
      <c r="AB1294" t="b">
        <v>1</v>
      </c>
      <c r="AC1294" t="b">
        <v>1</v>
      </c>
      <c r="AD1294" t="b">
        <v>1</v>
      </c>
      <c r="AE1294" t="b">
        <v>1</v>
      </c>
      <c r="AF1294" t="b">
        <v>1</v>
      </c>
      <c r="AG1294" t="b">
        <v>1</v>
      </c>
    </row>
    <row r="1295" spans="1:33" x14ac:dyDescent="0.25">
      <c r="A1295" t="s">
        <v>33</v>
      </c>
      <c r="B1295">
        <v>15</v>
      </c>
      <c r="C1295" t="b">
        <v>1</v>
      </c>
      <c r="D1295" t="s">
        <v>4701</v>
      </c>
      <c r="E1295" t="s">
        <v>4702</v>
      </c>
      <c r="F1295" t="s">
        <v>4709</v>
      </c>
      <c r="G1295" t="s">
        <v>51</v>
      </c>
      <c r="H1295">
        <v>1294</v>
      </c>
      <c r="I1295" t="str">
        <f>IF(ISBLANK(Table1[[#This Row],[oid]]),"FALSE","TRUE")</f>
        <v>TRUE</v>
      </c>
      <c r="J1295" t="str" cm="1">
        <f t="array" ref="J1295">_xlfn.SWITCH(LEFT(Table1[[#This Row],[section]],1), "D", "Demographic", "S", "Social", "E", "Economic", "H", "Housing", "")</f>
        <v>Economic</v>
      </c>
      <c r="K1295" t="s">
        <v>4705</v>
      </c>
      <c r="L1295" t="s">
        <v>4706</v>
      </c>
      <c r="M1295" t="str">
        <f>IF(Table1[[#This Row],[used]], _xlfn.CONCAT("🆔 ", Table1[[#This Row],[variable]], ": ",Table1[[#This Row],[alias]]), "")</f>
        <v>🆔 C24010_002E: Male</v>
      </c>
      <c r="O1295" t="s">
        <v>52</v>
      </c>
      <c r="P1295" t="s">
        <v>4707</v>
      </c>
      <c r="Q1295" t="s">
        <v>41</v>
      </c>
      <c r="R1295" t="s">
        <v>4710</v>
      </c>
      <c r="S1295" t="b">
        <v>1</v>
      </c>
      <c r="T1295" t="b">
        <v>1</v>
      </c>
      <c r="U1295" t="b">
        <v>1</v>
      </c>
      <c r="V1295" t="b">
        <v>1</v>
      </c>
      <c r="W1295" t="b">
        <v>1</v>
      </c>
      <c r="X1295" t="b">
        <v>1</v>
      </c>
      <c r="Y1295" t="b">
        <v>1</v>
      </c>
      <c r="Z1295" t="b">
        <v>1</v>
      </c>
      <c r="AA1295" t="b">
        <v>1</v>
      </c>
      <c r="AB1295" t="b">
        <v>1</v>
      </c>
      <c r="AC1295" t="b">
        <v>1</v>
      </c>
      <c r="AD1295" t="b">
        <v>1</v>
      </c>
      <c r="AE1295" t="b">
        <v>1</v>
      </c>
      <c r="AF1295" t="b">
        <v>1</v>
      </c>
      <c r="AG1295" t="b">
        <v>1</v>
      </c>
    </row>
    <row r="1296" spans="1:33" x14ac:dyDescent="0.25">
      <c r="A1296" t="s">
        <v>33</v>
      </c>
      <c r="B1296">
        <v>15</v>
      </c>
      <c r="C1296" t="b">
        <v>1</v>
      </c>
      <c r="D1296" t="s">
        <v>4701</v>
      </c>
      <c r="E1296" t="s">
        <v>4702</v>
      </c>
      <c r="F1296" t="s">
        <v>4711</v>
      </c>
      <c r="G1296" t="s">
        <v>4712</v>
      </c>
      <c r="H1296">
        <v>1295</v>
      </c>
      <c r="I1296" t="str">
        <f>IF(ISBLANK(Table1[[#This Row],[oid]]),"FALSE","TRUE")</f>
        <v>TRUE</v>
      </c>
      <c r="J1296" t="str" cm="1">
        <f t="array" ref="J1296">_xlfn.SWITCH(LEFT(Table1[[#This Row],[section]],1), "D", "Demographic", "S", "Social", "E", "Economic", "H", "Housing", "")</f>
        <v>Economic</v>
      </c>
      <c r="K1296" t="s">
        <v>4705</v>
      </c>
      <c r="L1296" t="s">
        <v>4706</v>
      </c>
      <c r="M1296" t="str">
        <f>IF(Table1[[#This Row],[used]], _xlfn.CONCAT("🆔 ", Table1[[#This Row],[variable]], ": ",Table1[[#This Row],[alias]]), "")</f>
        <v>🆔 C24010_003E: Male: Management business science and arts occupations</v>
      </c>
      <c r="O1296" t="s">
        <v>4713</v>
      </c>
      <c r="P1296" t="s">
        <v>4707</v>
      </c>
      <c r="Q1296" t="s">
        <v>41</v>
      </c>
      <c r="R1296" t="s">
        <v>4714</v>
      </c>
      <c r="S1296" t="b">
        <v>1</v>
      </c>
      <c r="T1296" t="b">
        <v>1</v>
      </c>
      <c r="U1296" t="b">
        <v>1</v>
      </c>
      <c r="V1296" t="b">
        <v>1</v>
      </c>
      <c r="W1296" t="b">
        <v>1</v>
      </c>
      <c r="X1296" t="b">
        <v>1</v>
      </c>
      <c r="Y1296" t="b">
        <v>1</v>
      </c>
      <c r="Z1296" t="b">
        <v>1</v>
      </c>
      <c r="AA1296" t="b">
        <v>1</v>
      </c>
      <c r="AB1296" t="b">
        <v>1</v>
      </c>
      <c r="AC1296" t="b">
        <v>1</v>
      </c>
      <c r="AD1296" t="b">
        <v>1</v>
      </c>
      <c r="AE1296" t="b">
        <v>1</v>
      </c>
      <c r="AF1296" t="b">
        <v>1</v>
      </c>
      <c r="AG1296" t="b">
        <v>1</v>
      </c>
    </row>
    <row r="1297" spans="1:33" x14ac:dyDescent="0.25">
      <c r="A1297" t="s">
        <v>33</v>
      </c>
      <c r="B1297">
        <v>15</v>
      </c>
      <c r="C1297" t="b">
        <v>1</v>
      </c>
      <c r="D1297" t="s">
        <v>4701</v>
      </c>
      <c r="E1297" t="s">
        <v>4702</v>
      </c>
      <c r="F1297" t="s">
        <v>4715</v>
      </c>
      <c r="G1297" t="s">
        <v>4716</v>
      </c>
      <c r="H1297">
        <v>1296</v>
      </c>
      <c r="I1297" t="str">
        <f>IF(ISBLANK(Table1[[#This Row],[oid]]),"FALSE","TRUE")</f>
        <v>TRUE</v>
      </c>
      <c r="J1297" t="str" cm="1">
        <f t="array" ref="J1297">_xlfn.SWITCH(LEFT(Table1[[#This Row],[section]],1), "D", "Demographic", "S", "Social", "E", "Economic", "H", "Housing", "")</f>
        <v>Economic</v>
      </c>
      <c r="K1297" t="s">
        <v>4705</v>
      </c>
      <c r="L1297" t="s">
        <v>4706</v>
      </c>
      <c r="M1297" t="str">
        <f>IF(Table1[[#This Row],[used]], _xlfn.CONCAT("🆔 ", Table1[[#This Row],[variable]], ": ",Table1[[#This Row],[alias]]), "")</f>
        <v>🆔 C24010_004E: Male: Management business science and arts occupations: Management business and financial occupations</v>
      </c>
      <c r="O1297" t="s">
        <v>4717</v>
      </c>
      <c r="P1297" t="s">
        <v>4707</v>
      </c>
      <c r="Q1297" t="s">
        <v>41</v>
      </c>
      <c r="R1297" t="s">
        <v>4718</v>
      </c>
      <c r="S1297" t="b">
        <v>1</v>
      </c>
      <c r="T1297" t="b">
        <v>1</v>
      </c>
      <c r="U1297" t="b">
        <v>1</v>
      </c>
      <c r="V1297" t="b">
        <v>1</v>
      </c>
      <c r="W1297" t="b">
        <v>1</v>
      </c>
      <c r="X1297" t="b">
        <v>1</v>
      </c>
      <c r="Y1297" t="b">
        <v>1</v>
      </c>
      <c r="Z1297" t="b">
        <v>1</v>
      </c>
      <c r="AA1297" t="b">
        <v>1</v>
      </c>
      <c r="AB1297" t="b">
        <v>1</v>
      </c>
      <c r="AC1297" t="b">
        <v>1</v>
      </c>
      <c r="AD1297" t="b">
        <v>1</v>
      </c>
      <c r="AE1297" t="b">
        <v>1</v>
      </c>
      <c r="AF1297" t="b">
        <v>1</v>
      </c>
      <c r="AG1297" t="b">
        <v>1</v>
      </c>
    </row>
    <row r="1298" spans="1:33" x14ac:dyDescent="0.25">
      <c r="A1298" t="s">
        <v>33</v>
      </c>
      <c r="B1298">
        <v>15</v>
      </c>
      <c r="C1298" t="b">
        <v>1</v>
      </c>
      <c r="D1298" t="s">
        <v>4701</v>
      </c>
      <c r="E1298" t="s">
        <v>4702</v>
      </c>
      <c r="F1298" t="s">
        <v>4719</v>
      </c>
      <c r="G1298" t="s">
        <v>4720</v>
      </c>
      <c r="H1298">
        <v>1297</v>
      </c>
      <c r="I1298" t="str">
        <f>IF(ISBLANK(Table1[[#This Row],[oid]]),"FALSE","TRUE")</f>
        <v>TRUE</v>
      </c>
      <c r="J1298" t="str" cm="1">
        <f t="array" ref="J1298">_xlfn.SWITCH(LEFT(Table1[[#This Row],[section]],1), "D", "Demographic", "S", "Social", "E", "Economic", "H", "Housing", "")</f>
        <v>Economic</v>
      </c>
      <c r="K1298" t="s">
        <v>4705</v>
      </c>
      <c r="L1298" t="s">
        <v>4706</v>
      </c>
      <c r="M1298" t="str">
        <f>IF(Table1[[#This Row],[used]], _xlfn.CONCAT("🆔 ", Table1[[#This Row],[variable]], ": ",Table1[[#This Row],[alias]]), "")</f>
        <v>🆔 C24010_005E: Male: Management business science and arts occupations: Management business and financial occupations: Management occupations</v>
      </c>
      <c r="O1298" t="s">
        <v>4721</v>
      </c>
      <c r="P1298" t="s">
        <v>4707</v>
      </c>
      <c r="Q1298" t="s">
        <v>41</v>
      </c>
      <c r="R1298" t="s">
        <v>4722</v>
      </c>
      <c r="S1298" t="b">
        <v>1</v>
      </c>
      <c r="T1298" t="b">
        <v>1</v>
      </c>
      <c r="U1298" t="b">
        <v>1</v>
      </c>
      <c r="V1298" t="b">
        <v>1</v>
      </c>
      <c r="W1298" t="b">
        <v>1</v>
      </c>
      <c r="X1298" t="b">
        <v>1</v>
      </c>
      <c r="Y1298" t="b">
        <v>1</v>
      </c>
      <c r="Z1298" t="b">
        <v>1</v>
      </c>
      <c r="AA1298" t="b">
        <v>1</v>
      </c>
      <c r="AB1298" t="b">
        <v>1</v>
      </c>
      <c r="AC1298" t="b">
        <v>1</v>
      </c>
      <c r="AD1298" t="b">
        <v>1</v>
      </c>
      <c r="AE1298" t="b">
        <v>1</v>
      </c>
      <c r="AF1298" t="b">
        <v>1</v>
      </c>
      <c r="AG1298" t="b">
        <v>1</v>
      </c>
    </row>
    <row r="1299" spans="1:33" x14ac:dyDescent="0.25">
      <c r="A1299" t="s">
        <v>33</v>
      </c>
      <c r="B1299">
        <v>15</v>
      </c>
      <c r="C1299" t="b">
        <v>1</v>
      </c>
      <c r="D1299" t="s">
        <v>4701</v>
      </c>
      <c r="E1299" t="s">
        <v>4702</v>
      </c>
      <c r="F1299" t="s">
        <v>4723</v>
      </c>
      <c r="G1299" t="s">
        <v>4724</v>
      </c>
      <c r="H1299">
        <v>1298</v>
      </c>
      <c r="I1299" t="str">
        <f>IF(ISBLANK(Table1[[#This Row],[oid]]),"FALSE","TRUE")</f>
        <v>TRUE</v>
      </c>
      <c r="J1299" t="str" cm="1">
        <f t="array" ref="J1299">_xlfn.SWITCH(LEFT(Table1[[#This Row],[section]],1), "D", "Demographic", "S", "Social", "E", "Economic", "H", "Housing", "")</f>
        <v>Economic</v>
      </c>
      <c r="K1299" t="s">
        <v>4705</v>
      </c>
      <c r="L1299" t="s">
        <v>4706</v>
      </c>
      <c r="M1299" t="str">
        <f>IF(Table1[[#This Row],[used]], _xlfn.CONCAT("🆔 ", Table1[[#This Row],[variable]], ": ",Table1[[#This Row],[alias]]), "")</f>
        <v>🆔 C24010_006E: Male: Management business science and arts occupations: Management business and financial occupations: Business and financial operations occupations</v>
      </c>
      <c r="O1299" t="s">
        <v>4725</v>
      </c>
      <c r="P1299" t="s">
        <v>4707</v>
      </c>
      <c r="Q1299" t="s">
        <v>41</v>
      </c>
      <c r="R1299" t="s">
        <v>4726</v>
      </c>
      <c r="S1299" t="b">
        <v>1</v>
      </c>
      <c r="T1299" t="b">
        <v>1</v>
      </c>
      <c r="U1299" t="b">
        <v>1</v>
      </c>
      <c r="V1299" t="b">
        <v>1</v>
      </c>
      <c r="W1299" t="b">
        <v>1</v>
      </c>
      <c r="X1299" t="b">
        <v>1</v>
      </c>
      <c r="Y1299" t="b">
        <v>1</v>
      </c>
      <c r="Z1299" t="b">
        <v>1</v>
      </c>
      <c r="AA1299" t="b">
        <v>1</v>
      </c>
      <c r="AB1299" t="b">
        <v>1</v>
      </c>
      <c r="AC1299" t="b">
        <v>1</v>
      </c>
      <c r="AD1299" t="b">
        <v>1</v>
      </c>
      <c r="AE1299" t="b">
        <v>1</v>
      </c>
      <c r="AF1299" t="b">
        <v>1</v>
      </c>
      <c r="AG1299" t="b">
        <v>1</v>
      </c>
    </row>
    <row r="1300" spans="1:33" x14ac:dyDescent="0.25">
      <c r="A1300" t="s">
        <v>33</v>
      </c>
      <c r="B1300">
        <v>15</v>
      </c>
      <c r="C1300" t="b">
        <v>1</v>
      </c>
      <c r="D1300" t="s">
        <v>4701</v>
      </c>
      <c r="E1300" t="s">
        <v>4702</v>
      </c>
      <c r="F1300" t="s">
        <v>4727</v>
      </c>
      <c r="G1300" t="s">
        <v>4728</v>
      </c>
      <c r="H1300">
        <v>1299</v>
      </c>
      <c r="I1300" t="str">
        <f>IF(ISBLANK(Table1[[#This Row],[oid]]),"FALSE","TRUE")</f>
        <v>TRUE</v>
      </c>
      <c r="J1300" t="str" cm="1">
        <f t="array" ref="J1300">_xlfn.SWITCH(LEFT(Table1[[#This Row],[section]],1), "D", "Demographic", "S", "Social", "E", "Economic", "H", "Housing", "")</f>
        <v>Economic</v>
      </c>
      <c r="K1300" t="s">
        <v>4705</v>
      </c>
      <c r="L1300" t="s">
        <v>4706</v>
      </c>
      <c r="M1300" t="str">
        <f>IF(Table1[[#This Row],[used]], _xlfn.CONCAT("🆔 ", Table1[[#This Row],[variable]], ": ",Table1[[#This Row],[alias]]), "")</f>
        <v>🆔 C24010_007E: Male: Management business science and arts occupations: Computer engineering and science occupations</v>
      </c>
      <c r="O1300" t="s">
        <v>4729</v>
      </c>
      <c r="P1300" t="s">
        <v>4707</v>
      </c>
      <c r="Q1300" t="s">
        <v>41</v>
      </c>
      <c r="R1300" t="s">
        <v>4730</v>
      </c>
      <c r="S1300" t="b">
        <v>1</v>
      </c>
      <c r="T1300" t="b">
        <v>1</v>
      </c>
      <c r="U1300" t="b">
        <v>1</v>
      </c>
      <c r="V1300" t="b">
        <v>1</v>
      </c>
      <c r="W1300" t="b">
        <v>1</v>
      </c>
      <c r="X1300" t="b">
        <v>1</v>
      </c>
      <c r="Y1300" t="b">
        <v>1</v>
      </c>
      <c r="Z1300" t="b">
        <v>1</v>
      </c>
      <c r="AA1300" t="b">
        <v>1</v>
      </c>
      <c r="AB1300" t="b">
        <v>1</v>
      </c>
      <c r="AC1300" t="b">
        <v>1</v>
      </c>
      <c r="AD1300" t="b">
        <v>1</v>
      </c>
      <c r="AE1300" t="b">
        <v>1</v>
      </c>
      <c r="AF1300" t="b">
        <v>1</v>
      </c>
      <c r="AG1300" t="b">
        <v>1</v>
      </c>
    </row>
    <row r="1301" spans="1:33" x14ac:dyDescent="0.25">
      <c r="A1301" t="s">
        <v>33</v>
      </c>
      <c r="B1301">
        <v>15</v>
      </c>
      <c r="C1301" t="b">
        <v>1</v>
      </c>
      <c r="D1301" t="s">
        <v>4701</v>
      </c>
      <c r="E1301" t="s">
        <v>4702</v>
      </c>
      <c r="F1301" t="s">
        <v>4731</v>
      </c>
      <c r="G1301" t="s">
        <v>4732</v>
      </c>
      <c r="H1301">
        <v>1300</v>
      </c>
      <c r="I1301" t="str">
        <f>IF(ISBLANK(Table1[[#This Row],[oid]]),"FALSE","TRUE")</f>
        <v>TRUE</v>
      </c>
      <c r="J1301" t="str" cm="1">
        <f t="array" ref="J1301">_xlfn.SWITCH(LEFT(Table1[[#This Row],[section]],1), "D", "Demographic", "S", "Social", "E", "Economic", "H", "Housing", "")</f>
        <v>Economic</v>
      </c>
      <c r="K1301" t="s">
        <v>4705</v>
      </c>
      <c r="L1301" t="s">
        <v>4706</v>
      </c>
      <c r="M1301" t="str">
        <f>IF(Table1[[#This Row],[used]], _xlfn.CONCAT("🆔 ", Table1[[#This Row],[variable]], ": ",Table1[[#This Row],[alias]]), "")</f>
        <v>🆔 C24010_008E: Male: Management business science and arts occupations: Computer engineering and science occupations: Computer and mathematical occupations</v>
      </c>
      <c r="O1301" t="s">
        <v>4733</v>
      </c>
      <c r="P1301" t="s">
        <v>4707</v>
      </c>
      <c r="Q1301" t="s">
        <v>41</v>
      </c>
      <c r="R1301" t="s">
        <v>4734</v>
      </c>
      <c r="S1301" t="b">
        <v>1</v>
      </c>
      <c r="T1301" t="b">
        <v>1</v>
      </c>
      <c r="U1301" t="b">
        <v>1</v>
      </c>
      <c r="V1301" t="b">
        <v>1</v>
      </c>
      <c r="W1301" t="b">
        <v>1</v>
      </c>
      <c r="X1301" t="b">
        <v>1</v>
      </c>
      <c r="Y1301" t="b">
        <v>1</v>
      </c>
      <c r="Z1301" t="b">
        <v>1</v>
      </c>
      <c r="AA1301" t="b">
        <v>1</v>
      </c>
      <c r="AB1301" t="b">
        <v>1</v>
      </c>
      <c r="AC1301" t="b">
        <v>1</v>
      </c>
      <c r="AD1301" t="b">
        <v>1</v>
      </c>
      <c r="AE1301" t="b">
        <v>1</v>
      </c>
      <c r="AF1301" t="b">
        <v>1</v>
      </c>
      <c r="AG1301" t="b">
        <v>1</v>
      </c>
    </row>
    <row r="1302" spans="1:33" x14ac:dyDescent="0.25">
      <c r="A1302" t="s">
        <v>33</v>
      </c>
      <c r="B1302">
        <v>15</v>
      </c>
      <c r="C1302" t="b">
        <v>1</v>
      </c>
      <c r="D1302" t="s">
        <v>4701</v>
      </c>
      <c r="E1302" t="s">
        <v>4702</v>
      </c>
      <c r="F1302" t="s">
        <v>4735</v>
      </c>
      <c r="G1302" t="s">
        <v>4736</v>
      </c>
      <c r="H1302">
        <v>1301</v>
      </c>
      <c r="I1302" t="str">
        <f>IF(ISBLANK(Table1[[#This Row],[oid]]),"FALSE","TRUE")</f>
        <v>TRUE</v>
      </c>
      <c r="J1302" t="str" cm="1">
        <f t="array" ref="J1302">_xlfn.SWITCH(LEFT(Table1[[#This Row],[section]],1), "D", "Demographic", "S", "Social", "E", "Economic", "H", "Housing", "")</f>
        <v>Economic</v>
      </c>
      <c r="K1302" t="s">
        <v>4705</v>
      </c>
      <c r="L1302" t="s">
        <v>4706</v>
      </c>
      <c r="M1302" t="str">
        <f>IF(Table1[[#This Row],[used]], _xlfn.CONCAT("🆔 ", Table1[[#This Row],[variable]], ": ",Table1[[#This Row],[alias]]), "")</f>
        <v>🆔 C24010_009E: Male: Management business science and arts occupations: Computer engineering and science occupations: Architecture and engineering occupations</v>
      </c>
      <c r="O1302" t="s">
        <v>4737</v>
      </c>
      <c r="P1302" t="s">
        <v>4707</v>
      </c>
      <c r="Q1302" t="s">
        <v>41</v>
      </c>
      <c r="R1302" t="s">
        <v>4738</v>
      </c>
      <c r="S1302" t="b">
        <v>1</v>
      </c>
      <c r="T1302" t="b">
        <v>1</v>
      </c>
      <c r="U1302" t="b">
        <v>1</v>
      </c>
      <c r="V1302" t="b">
        <v>1</v>
      </c>
      <c r="W1302" t="b">
        <v>1</v>
      </c>
      <c r="X1302" t="b">
        <v>1</v>
      </c>
      <c r="Y1302" t="b">
        <v>1</v>
      </c>
      <c r="Z1302" t="b">
        <v>1</v>
      </c>
      <c r="AA1302" t="b">
        <v>1</v>
      </c>
      <c r="AB1302" t="b">
        <v>1</v>
      </c>
      <c r="AC1302" t="b">
        <v>1</v>
      </c>
      <c r="AD1302" t="b">
        <v>1</v>
      </c>
      <c r="AE1302" t="b">
        <v>1</v>
      </c>
      <c r="AF1302" t="b">
        <v>1</v>
      </c>
      <c r="AG1302" t="b">
        <v>1</v>
      </c>
    </row>
    <row r="1303" spans="1:33" x14ac:dyDescent="0.25">
      <c r="A1303" t="s">
        <v>33</v>
      </c>
      <c r="B1303">
        <v>15</v>
      </c>
      <c r="C1303" t="b">
        <v>1</v>
      </c>
      <c r="D1303" t="s">
        <v>4701</v>
      </c>
      <c r="E1303" t="s">
        <v>4702</v>
      </c>
      <c r="F1303" t="s">
        <v>4739</v>
      </c>
      <c r="G1303" t="s">
        <v>4740</v>
      </c>
      <c r="H1303">
        <v>1302</v>
      </c>
      <c r="I1303" t="str">
        <f>IF(ISBLANK(Table1[[#This Row],[oid]]),"FALSE","TRUE")</f>
        <v>TRUE</v>
      </c>
      <c r="J1303" t="str" cm="1">
        <f t="array" ref="J1303">_xlfn.SWITCH(LEFT(Table1[[#This Row],[section]],1), "D", "Demographic", "S", "Social", "E", "Economic", "H", "Housing", "")</f>
        <v>Economic</v>
      </c>
      <c r="K1303" t="s">
        <v>4705</v>
      </c>
      <c r="L1303" t="s">
        <v>4706</v>
      </c>
      <c r="M1303" t="str">
        <f>IF(Table1[[#This Row],[used]], _xlfn.CONCAT("🆔 ", Table1[[#This Row],[variable]], ": ",Table1[[#This Row],[alias]]), "")</f>
        <v>🆔 C24010_010E: Male: Management business science and arts occupations: Computer engineering and science occupations: Life physical and social science occupations</v>
      </c>
      <c r="O1303" t="s">
        <v>4741</v>
      </c>
      <c r="P1303" t="s">
        <v>4707</v>
      </c>
      <c r="Q1303" t="s">
        <v>41</v>
      </c>
      <c r="R1303" t="s">
        <v>4742</v>
      </c>
      <c r="S1303" t="b">
        <v>1</v>
      </c>
      <c r="T1303" t="b">
        <v>1</v>
      </c>
      <c r="U1303" t="b">
        <v>1</v>
      </c>
      <c r="V1303" t="b">
        <v>1</v>
      </c>
      <c r="W1303" t="b">
        <v>1</v>
      </c>
      <c r="X1303" t="b">
        <v>1</v>
      </c>
      <c r="Y1303" t="b">
        <v>1</v>
      </c>
      <c r="Z1303" t="b">
        <v>1</v>
      </c>
      <c r="AA1303" t="b">
        <v>1</v>
      </c>
      <c r="AB1303" t="b">
        <v>1</v>
      </c>
      <c r="AC1303" t="b">
        <v>1</v>
      </c>
      <c r="AD1303" t="b">
        <v>1</v>
      </c>
      <c r="AE1303" t="b">
        <v>1</v>
      </c>
      <c r="AF1303" t="b">
        <v>1</v>
      </c>
      <c r="AG1303" t="b">
        <v>1</v>
      </c>
    </row>
    <row r="1304" spans="1:33" x14ac:dyDescent="0.25">
      <c r="A1304" t="s">
        <v>33</v>
      </c>
      <c r="B1304">
        <v>15</v>
      </c>
      <c r="C1304" t="b">
        <v>1</v>
      </c>
      <c r="D1304" t="s">
        <v>4701</v>
      </c>
      <c r="E1304" t="s">
        <v>4702</v>
      </c>
      <c r="F1304" t="s">
        <v>4743</v>
      </c>
      <c r="G1304" t="s">
        <v>4744</v>
      </c>
      <c r="H1304">
        <v>1303</v>
      </c>
      <c r="I1304" t="str">
        <f>IF(ISBLANK(Table1[[#This Row],[oid]]),"FALSE","TRUE")</f>
        <v>TRUE</v>
      </c>
      <c r="J1304" t="str" cm="1">
        <f t="array" ref="J1304">_xlfn.SWITCH(LEFT(Table1[[#This Row],[section]],1), "D", "Demographic", "S", "Social", "E", "Economic", "H", "Housing", "")</f>
        <v>Economic</v>
      </c>
      <c r="K1304" t="s">
        <v>4705</v>
      </c>
      <c r="L1304" t="s">
        <v>4706</v>
      </c>
      <c r="M1304" t="str">
        <f>IF(Table1[[#This Row],[used]], _xlfn.CONCAT("🆔 ", Table1[[#This Row],[variable]], ": ",Table1[[#This Row],[alias]]), "")</f>
        <v>🆔 C24010_011E: Male: Management business science and arts occupations: Education legal community service arts and media occupations</v>
      </c>
      <c r="O1304" t="s">
        <v>4745</v>
      </c>
      <c r="P1304" t="s">
        <v>4707</v>
      </c>
      <c r="Q1304" t="s">
        <v>41</v>
      </c>
      <c r="R1304" t="s">
        <v>4746</v>
      </c>
      <c r="S1304" t="b">
        <v>1</v>
      </c>
      <c r="T1304" t="b">
        <v>1</v>
      </c>
      <c r="U1304" t="b">
        <v>1</v>
      </c>
      <c r="V1304" t="b">
        <v>1</v>
      </c>
      <c r="W1304" t="b">
        <v>1</v>
      </c>
      <c r="X1304" t="b">
        <v>1</v>
      </c>
      <c r="Y1304" t="b">
        <v>1</v>
      </c>
      <c r="Z1304" t="b">
        <v>1</v>
      </c>
      <c r="AA1304" t="b">
        <v>1</v>
      </c>
      <c r="AB1304" t="b">
        <v>1</v>
      </c>
      <c r="AC1304" t="b">
        <v>1</v>
      </c>
      <c r="AD1304" t="b">
        <v>1</v>
      </c>
      <c r="AE1304" t="b">
        <v>1</v>
      </c>
      <c r="AF1304" t="b">
        <v>1</v>
      </c>
      <c r="AG1304" t="b">
        <v>1</v>
      </c>
    </row>
    <row r="1305" spans="1:33" x14ac:dyDescent="0.25">
      <c r="A1305" t="s">
        <v>33</v>
      </c>
      <c r="B1305">
        <v>15</v>
      </c>
      <c r="C1305" t="b">
        <v>1</v>
      </c>
      <c r="D1305" t="s">
        <v>4701</v>
      </c>
      <c r="E1305" t="s">
        <v>4702</v>
      </c>
      <c r="F1305" t="s">
        <v>4747</v>
      </c>
      <c r="G1305" t="s">
        <v>4748</v>
      </c>
      <c r="H1305">
        <v>1304</v>
      </c>
      <c r="I1305" t="str">
        <f>IF(ISBLANK(Table1[[#This Row],[oid]]),"FALSE","TRUE")</f>
        <v>TRUE</v>
      </c>
      <c r="J1305" t="str" cm="1">
        <f t="array" ref="J1305">_xlfn.SWITCH(LEFT(Table1[[#This Row],[section]],1), "D", "Demographic", "S", "Social", "E", "Economic", "H", "Housing", "")</f>
        <v>Economic</v>
      </c>
      <c r="K1305" t="s">
        <v>4705</v>
      </c>
      <c r="L1305" t="s">
        <v>4706</v>
      </c>
      <c r="M1305" t="str">
        <f>IF(Table1[[#This Row],[used]], _xlfn.CONCAT("🆔 ", Table1[[#This Row],[variable]], ": ",Table1[[#This Row],[alias]]), "")</f>
        <v>🆔 C24010_012E: Male: Management business science and arts occupations: Education legal community service arts and media occupations: Community and social service occupations</v>
      </c>
      <c r="O1305" t="s">
        <v>4749</v>
      </c>
      <c r="P1305" t="s">
        <v>4707</v>
      </c>
      <c r="Q1305" t="s">
        <v>41</v>
      </c>
      <c r="R1305" t="s">
        <v>4750</v>
      </c>
      <c r="S1305" t="b">
        <v>1</v>
      </c>
      <c r="T1305" t="b">
        <v>1</v>
      </c>
      <c r="U1305" t="b">
        <v>1</v>
      </c>
      <c r="V1305" t="b">
        <v>1</v>
      </c>
      <c r="W1305" t="b">
        <v>1</v>
      </c>
      <c r="X1305" t="b">
        <v>1</v>
      </c>
      <c r="Y1305" t="b">
        <v>1</v>
      </c>
      <c r="Z1305" t="b">
        <v>1</v>
      </c>
      <c r="AA1305" t="b">
        <v>1</v>
      </c>
      <c r="AB1305" t="b">
        <v>1</v>
      </c>
      <c r="AC1305" t="b">
        <v>1</v>
      </c>
      <c r="AD1305" t="b">
        <v>1</v>
      </c>
      <c r="AE1305" t="b">
        <v>1</v>
      </c>
      <c r="AF1305" t="b">
        <v>1</v>
      </c>
      <c r="AG1305" t="b">
        <v>1</v>
      </c>
    </row>
    <row r="1306" spans="1:33" x14ac:dyDescent="0.25">
      <c r="A1306" t="s">
        <v>33</v>
      </c>
      <c r="B1306">
        <v>15</v>
      </c>
      <c r="C1306" t="b">
        <v>1</v>
      </c>
      <c r="D1306" t="s">
        <v>4701</v>
      </c>
      <c r="E1306" t="s">
        <v>4702</v>
      </c>
      <c r="F1306" t="s">
        <v>4751</v>
      </c>
      <c r="G1306" t="s">
        <v>4752</v>
      </c>
      <c r="H1306">
        <v>1305</v>
      </c>
      <c r="I1306" t="str">
        <f>IF(ISBLANK(Table1[[#This Row],[oid]]),"FALSE","TRUE")</f>
        <v>TRUE</v>
      </c>
      <c r="J1306" t="str" cm="1">
        <f t="array" ref="J1306">_xlfn.SWITCH(LEFT(Table1[[#This Row],[section]],1), "D", "Demographic", "S", "Social", "E", "Economic", "H", "Housing", "")</f>
        <v>Economic</v>
      </c>
      <c r="K1306" t="s">
        <v>4705</v>
      </c>
      <c r="L1306" t="s">
        <v>4706</v>
      </c>
      <c r="M1306" t="str">
        <f>IF(Table1[[#This Row],[used]], _xlfn.CONCAT("🆔 ", Table1[[#This Row],[variable]], ": ",Table1[[#This Row],[alias]]), "")</f>
        <v>🆔 C24010_013E: Male: Management business science and arts occupations: Education legal community service arts and media occupations: Legal occupations</v>
      </c>
      <c r="O1306" t="s">
        <v>4753</v>
      </c>
      <c r="P1306" t="s">
        <v>4707</v>
      </c>
      <c r="Q1306" t="s">
        <v>41</v>
      </c>
      <c r="R1306" t="s">
        <v>4754</v>
      </c>
      <c r="S1306" t="b">
        <v>1</v>
      </c>
      <c r="T1306" t="b">
        <v>1</v>
      </c>
      <c r="U1306" t="b">
        <v>1</v>
      </c>
      <c r="V1306" t="b">
        <v>1</v>
      </c>
      <c r="W1306" t="b">
        <v>1</v>
      </c>
      <c r="X1306" t="b">
        <v>1</v>
      </c>
      <c r="Y1306" t="b">
        <v>1</v>
      </c>
      <c r="Z1306" t="b">
        <v>1</v>
      </c>
      <c r="AA1306" t="b">
        <v>1</v>
      </c>
      <c r="AB1306" t="b">
        <v>1</v>
      </c>
      <c r="AC1306" t="b">
        <v>1</v>
      </c>
      <c r="AD1306" t="b">
        <v>1</v>
      </c>
      <c r="AE1306" t="b">
        <v>1</v>
      </c>
      <c r="AF1306" t="b">
        <v>1</v>
      </c>
      <c r="AG1306" t="b">
        <v>1</v>
      </c>
    </row>
    <row r="1307" spans="1:33" x14ac:dyDescent="0.25">
      <c r="A1307" t="s">
        <v>3555</v>
      </c>
      <c r="B1307">
        <v>8</v>
      </c>
      <c r="C1307" t="b">
        <v>0</v>
      </c>
      <c r="D1307" t="s">
        <v>4701</v>
      </c>
      <c r="E1307" t="s">
        <v>4702</v>
      </c>
      <c r="F1307" t="s">
        <v>4755</v>
      </c>
      <c r="G1307" t="s">
        <v>4756</v>
      </c>
      <c r="H1307">
        <v>1306</v>
      </c>
      <c r="I1307" t="str">
        <f>IF(ISBLANK(Table1[[#This Row],[oid]]),"FALSE","TRUE")</f>
        <v>TRUE</v>
      </c>
      <c r="J1307" t="str" cm="1">
        <f t="array" ref="J1307">_xlfn.SWITCH(LEFT(Table1[[#This Row],[section]],1), "D", "Demographic", "S", "Social", "E", "Economic", "H", "Housing", "")</f>
        <v>Economic</v>
      </c>
      <c r="K1307" t="s">
        <v>4705</v>
      </c>
      <c r="L1307" t="s">
        <v>4706</v>
      </c>
      <c r="M1307" t="str">
        <f>IF(Table1[[#This Row],[used]], _xlfn.CONCAT("🆔 ", Table1[[#This Row],[variable]], ": ",Table1[[#This Row],[alias]]), "")</f>
        <v>🆔 C24010_014E: Male: Management business science and arts occupations: Education legal community service arts and media occupations: Education training and library occupations</v>
      </c>
      <c r="O1307" t="s">
        <v>4757</v>
      </c>
      <c r="P1307" t="s">
        <v>4707</v>
      </c>
      <c r="Q1307" t="s">
        <v>41</v>
      </c>
      <c r="R1307" t="s">
        <v>4758</v>
      </c>
      <c r="S1307" t="b">
        <v>1</v>
      </c>
      <c r="T1307" t="b">
        <v>1</v>
      </c>
      <c r="U1307" t="b">
        <v>1</v>
      </c>
      <c r="V1307" t="b">
        <v>1</v>
      </c>
      <c r="W1307" t="b">
        <v>1</v>
      </c>
      <c r="X1307" t="b">
        <v>1</v>
      </c>
      <c r="Y1307" t="b">
        <v>1</v>
      </c>
      <c r="Z1307" t="b">
        <v>1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</row>
    <row r="1308" spans="1:33" x14ac:dyDescent="0.25">
      <c r="A1308" t="s">
        <v>3560</v>
      </c>
      <c r="B1308">
        <v>7</v>
      </c>
      <c r="C1308" t="b">
        <v>0</v>
      </c>
      <c r="D1308" t="s">
        <v>4701</v>
      </c>
      <c r="E1308" t="s">
        <v>4702</v>
      </c>
      <c r="F1308" t="s">
        <v>4755</v>
      </c>
      <c r="G1308" t="s">
        <v>4759</v>
      </c>
      <c r="H1308">
        <v>1307</v>
      </c>
      <c r="I1308" t="str">
        <f>IF(ISBLANK(Table1[[#This Row],[oid]]),"FALSE","TRUE")</f>
        <v>TRUE</v>
      </c>
      <c r="J1308" t="str" cm="1">
        <f t="array" ref="J1308">_xlfn.SWITCH(LEFT(Table1[[#This Row],[section]],1), "D", "Demographic", "S", "Social", "E", "Economic", "H", "Housing", "")</f>
        <v>Economic</v>
      </c>
      <c r="K1308" t="s">
        <v>4705</v>
      </c>
      <c r="L1308" t="s">
        <v>4706</v>
      </c>
      <c r="M1308" t="str">
        <f>IF(Table1[[#This Row],[used]], _xlfn.CONCAT("🆔 ", Table1[[#This Row],[variable]], ": ",Table1[[#This Row],[alias]]), "")</f>
        <v>🆔 C24010_014E: Male: Management business science and arts occupations: Education legal community service arts and media occupations: Educational instruction and library occupations</v>
      </c>
      <c r="O1308" t="s">
        <v>4760</v>
      </c>
      <c r="P1308" t="s">
        <v>4707</v>
      </c>
      <c r="Q1308" t="s">
        <v>41</v>
      </c>
      <c r="R1308" t="s">
        <v>4758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1</v>
      </c>
      <c r="AB1308" t="b">
        <v>1</v>
      </c>
      <c r="AC1308" t="b">
        <v>1</v>
      </c>
      <c r="AD1308" t="b">
        <v>1</v>
      </c>
      <c r="AE1308" t="b">
        <v>1</v>
      </c>
      <c r="AF1308" t="b">
        <v>1</v>
      </c>
      <c r="AG1308" t="b">
        <v>1</v>
      </c>
    </row>
    <row r="1309" spans="1:33" x14ac:dyDescent="0.25">
      <c r="A1309" t="s">
        <v>33</v>
      </c>
      <c r="B1309">
        <v>15</v>
      </c>
      <c r="C1309" t="b">
        <v>1</v>
      </c>
      <c r="D1309" t="s">
        <v>4701</v>
      </c>
      <c r="E1309" t="s">
        <v>4702</v>
      </c>
      <c r="F1309" t="s">
        <v>4761</v>
      </c>
      <c r="G1309" t="s">
        <v>4762</v>
      </c>
      <c r="H1309">
        <v>1308</v>
      </c>
      <c r="I1309" t="str">
        <f>IF(ISBLANK(Table1[[#This Row],[oid]]),"FALSE","TRUE")</f>
        <v>TRUE</v>
      </c>
      <c r="J1309" t="str" cm="1">
        <f t="array" ref="J1309">_xlfn.SWITCH(LEFT(Table1[[#This Row],[section]],1), "D", "Demographic", "S", "Social", "E", "Economic", "H", "Housing", "")</f>
        <v>Economic</v>
      </c>
      <c r="K1309" t="s">
        <v>4705</v>
      </c>
      <c r="L1309" t="s">
        <v>4706</v>
      </c>
      <c r="M1309" t="str">
        <f>IF(Table1[[#This Row],[used]], _xlfn.CONCAT("🆔 ", Table1[[#This Row],[variable]], ": ",Table1[[#This Row],[alias]]), "")</f>
        <v>🆔 C24010_015E: Male: Management business science and arts occupations: Education legal community service arts and media occupations: Arts design entertainment sports and media occupations</v>
      </c>
      <c r="O1309" t="s">
        <v>4763</v>
      </c>
      <c r="P1309" t="s">
        <v>4707</v>
      </c>
      <c r="Q1309" t="s">
        <v>41</v>
      </c>
      <c r="R1309" t="s">
        <v>4764</v>
      </c>
      <c r="S1309" t="b">
        <v>1</v>
      </c>
      <c r="T1309" t="b">
        <v>1</v>
      </c>
      <c r="U1309" t="b">
        <v>1</v>
      </c>
      <c r="V1309" t="b">
        <v>1</v>
      </c>
      <c r="W1309" t="b">
        <v>1</v>
      </c>
      <c r="X1309" t="b">
        <v>1</v>
      </c>
      <c r="Y1309" t="b">
        <v>1</v>
      </c>
      <c r="Z1309" t="b">
        <v>1</v>
      </c>
      <c r="AA1309" t="b">
        <v>1</v>
      </c>
      <c r="AB1309" t="b">
        <v>1</v>
      </c>
      <c r="AC1309" t="b">
        <v>1</v>
      </c>
      <c r="AD1309" t="b">
        <v>1</v>
      </c>
      <c r="AE1309" t="b">
        <v>1</v>
      </c>
      <c r="AF1309" t="b">
        <v>1</v>
      </c>
      <c r="AG1309" t="b">
        <v>1</v>
      </c>
    </row>
    <row r="1310" spans="1:33" x14ac:dyDescent="0.25">
      <c r="A1310" t="s">
        <v>33</v>
      </c>
      <c r="B1310">
        <v>15</v>
      </c>
      <c r="C1310" t="b">
        <v>1</v>
      </c>
      <c r="D1310" t="s">
        <v>4701</v>
      </c>
      <c r="E1310" t="s">
        <v>4702</v>
      </c>
      <c r="F1310" t="s">
        <v>4765</v>
      </c>
      <c r="G1310" t="s">
        <v>4766</v>
      </c>
      <c r="H1310">
        <v>1309</v>
      </c>
      <c r="I1310" t="str">
        <f>IF(ISBLANK(Table1[[#This Row],[oid]]),"FALSE","TRUE")</f>
        <v>TRUE</v>
      </c>
      <c r="J1310" t="str" cm="1">
        <f t="array" ref="J1310">_xlfn.SWITCH(LEFT(Table1[[#This Row],[section]],1), "D", "Demographic", "S", "Social", "E", "Economic", "H", "Housing", "")</f>
        <v>Economic</v>
      </c>
      <c r="K1310" t="s">
        <v>4705</v>
      </c>
      <c r="L1310" t="s">
        <v>4706</v>
      </c>
      <c r="M1310" t="str">
        <f>IF(Table1[[#This Row],[used]], _xlfn.CONCAT("🆔 ", Table1[[#This Row],[variable]], ": ",Table1[[#This Row],[alias]]), "")</f>
        <v>🆔 C24010_016E: Male: Management business science and arts occupations: Healthcare practitioners and technical occupations</v>
      </c>
      <c r="O1310" t="s">
        <v>4767</v>
      </c>
      <c r="P1310" t="s">
        <v>4707</v>
      </c>
      <c r="Q1310" t="s">
        <v>41</v>
      </c>
      <c r="R1310" t="s">
        <v>4768</v>
      </c>
      <c r="S1310" t="b">
        <v>1</v>
      </c>
      <c r="T1310" t="b">
        <v>1</v>
      </c>
      <c r="U1310" t="b">
        <v>1</v>
      </c>
      <c r="V1310" t="b">
        <v>1</v>
      </c>
      <c r="W1310" t="b">
        <v>1</v>
      </c>
      <c r="X1310" t="b">
        <v>1</v>
      </c>
      <c r="Y1310" t="b">
        <v>1</v>
      </c>
      <c r="Z1310" t="b">
        <v>1</v>
      </c>
      <c r="AA1310" t="b">
        <v>1</v>
      </c>
      <c r="AB1310" t="b">
        <v>1</v>
      </c>
      <c r="AC1310" t="b">
        <v>1</v>
      </c>
      <c r="AD1310" t="b">
        <v>1</v>
      </c>
      <c r="AE1310" t="b">
        <v>1</v>
      </c>
      <c r="AF1310" t="b">
        <v>1</v>
      </c>
      <c r="AG1310" t="b">
        <v>1</v>
      </c>
    </row>
    <row r="1311" spans="1:33" x14ac:dyDescent="0.25">
      <c r="A1311" t="s">
        <v>33</v>
      </c>
      <c r="B1311">
        <v>15</v>
      </c>
      <c r="C1311" t="b">
        <v>1</v>
      </c>
      <c r="D1311" t="s">
        <v>4701</v>
      </c>
      <c r="E1311" t="s">
        <v>4702</v>
      </c>
      <c r="F1311" t="s">
        <v>4769</v>
      </c>
      <c r="G1311" t="s">
        <v>4770</v>
      </c>
      <c r="H1311">
        <v>1310</v>
      </c>
      <c r="I1311" t="str">
        <f>IF(ISBLANK(Table1[[#This Row],[oid]]),"FALSE","TRUE")</f>
        <v>TRUE</v>
      </c>
      <c r="J1311" t="str" cm="1">
        <f t="array" ref="J1311">_xlfn.SWITCH(LEFT(Table1[[#This Row],[section]],1), "D", "Demographic", "S", "Social", "E", "Economic", "H", "Housing", "")</f>
        <v>Economic</v>
      </c>
      <c r="K1311" t="s">
        <v>4705</v>
      </c>
      <c r="L1311" t="s">
        <v>4706</v>
      </c>
      <c r="M1311" t="str">
        <f>IF(Table1[[#This Row],[used]], _xlfn.CONCAT("🆔 ", Table1[[#This Row],[variable]], ": ",Table1[[#This Row],[alias]]), "")</f>
        <v>🆔 C24010_017E: Male: Management business science and arts occupations: Healthcare practitioners and technical occupations: Health diagnosing and treating practitioners and other technical occupations</v>
      </c>
      <c r="O1311" t="s">
        <v>4771</v>
      </c>
      <c r="P1311" t="s">
        <v>4707</v>
      </c>
      <c r="Q1311" t="s">
        <v>41</v>
      </c>
      <c r="R1311" t="s">
        <v>4772</v>
      </c>
      <c r="S1311" t="b">
        <v>1</v>
      </c>
      <c r="T1311" t="b">
        <v>1</v>
      </c>
      <c r="U1311" t="b">
        <v>1</v>
      </c>
      <c r="V1311" t="b">
        <v>1</v>
      </c>
      <c r="W1311" t="b">
        <v>1</v>
      </c>
      <c r="X1311" t="b">
        <v>1</v>
      </c>
      <c r="Y1311" t="b">
        <v>1</v>
      </c>
      <c r="Z1311" t="b">
        <v>1</v>
      </c>
      <c r="AA1311" t="b">
        <v>1</v>
      </c>
      <c r="AB1311" t="b">
        <v>1</v>
      </c>
      <c r="AC1311" t="b">
        <v>1</v>
      </c>
      <c r="AD1311" t="b">
        <v>1</v>
      </c>
      <c r="AE1311" t="b">
        <v>1</v>
      </c>
      <c r="AF1311" t="b">
        <v>1</v>
      </c>
      <c r="AG1311" t="b">
        <v>1</v>
      </c>
    </row>
    <row r="1312" spans="1:33" x14ac:dyDescent="0.25">
      <c r="A1312" t="s">
        <v>33</v>
      </c>
      <c r="B1312">
        <v>15</v>
      </c>
      <c r="C1312" t="b">
        <v>1</v>
      </c>
      <c r="D1312" t="s">
        <v>4701</v>
      </c>
      <c r="E1312" t="s">
        <v>4702</v>
      </c>
      <c r="F1312" t="s">
        <v>4773</v>
      </c>
      <c r="G1312" t="s">
        <v>4774</v>
      </c>
      <c r="H1312">
        <v>1311</v>
      </c>
      <c r="I1312" t="str">
        <f>IF(ISBLANK(Table1[[#This Row],[oid]]),"FALSE","TRUE")</f>
        <v>TRUE</v>
      </c>
      <c r="J1312" t="str" cm="1">
        <f t="array" ref="J1312">_xlfn.SWITCH(LEFT(Table1[[#This Row],[section]],1), "D", "Demographic", "S", "Social", "E", "Economic", "H", "Housing", "")</f>
        <v>Economic</v>
      </c>
      <c r="K1312" t="s">
        <v>4705</v>
      </c>
      <c r="L1312" t="s">
        <v>4706</v>
      </c>
      <c r="M1312" t="str">
        <f>IF(Table1[[#This Row],[used]], _xlfn.CONCAT("🆔 ", Table1[[#This Row],[variable]], ": ",Table1[[#This Row],[alias]]), "")</f>
        <v>🆔 C24010_018E: Male: Management business science and arts occupations: Healthcare practitioners and technical occupations: Health technologists and technicians</v>
      </c>
      <c r="O1312" t="s">
        <v>4775</v>
      </c>
      <c r="P1312" t="s">
        <v>4707</v>
      </c>
      <c r="Q1312" t="s">
        <v>41</v>
      </c>
      <c r="R1312" t="s">
        <v>4776</v>
      </c>
      <c r="S1312" t="b">
        <v>1</v>
      </c>
      <c r="T1312" t="b">
        <v>1</v>
      </c>
      <c r="U1312" t="b">
        <v>1</v>
      </c>
      <c r="V1312" t="b">
        <v>1</v>
      </c>
      <c r="W1312" t="b">
        <v>1</v>
      </c>
      <c r="X1312" t="b">
        <v>1</v>
      </c>
      <c r="Y1312" t="b">
        <v>1</v>
      </c>
      <c r="Z1312" t="b">
        <v>1</v>
      </c>
      <c r="AA1312" t="b">
        <v>1</v>
      </c>
      <c r="AB1312" t="b">
        <v>1</v>
      </c>
      <c r="AC1312" t="b">
        <v>1</v>
      </c>
      <c r="AD1312" t="b">
        <v>1</v>
      </c>
      <c r="AE1312" t="b">
        <v>1</v>
      </c>
      <c r="AF1312" t="b">
        <v>1</v>
      </c>
      <c r="AG1312" t="b">
        <v>1</v>
      </c>
    </row>
    <row r="1313" spans="1:33" x14ac:dyDescent="0.25">
      <c r="A1313" t="s">
        <v>33</v>
      </c>
      <c r="B1313">
        <v>15</v>
      </c>
      <c r="C1313" t="b">
        <v>1</v>
      </c>
      <c r="D1313" t="s">
        <v>4701</v>
      </c>
      <c r="E1313" t="s">
        <v>4702</v>
      </c>
      <c r="F1313" t="s">
        <v>4777</v>
      </c>
      <c r="G1313" t="s">
        <v>4778</v>
      </c>
      <c r="H1313">
        <v>1312</v>
      </c>
      <c r="I1313" t="str">
        <f>IF(ISBLANK(Table1[[#This Row],[oid]]),"FALSE","TRUE")</f>
        <v>TRUE</v>
      </c>
      <c r="J1313" t="str" cm="1">
        <f t="array" ref="J1313">_xlfn.SWITCH(LEFT(Table1[[#This Row],[section]],1), "D", "Demographic", "S", "Social", "E", "Economic", "H", "Housing", "")</f>
        <v>Economic</v>
      </c>
      <c r="K1313" t="s">
        <v>4705</v>
      </c>
      <c r="L1313" t="s">
        <v>4706</v>
      </c>
      <c r="M1313" t="str">
        <f>IF(Table1[[#This Row],[used]], _xlfn.CONCAT("🆔 ", Table1[[#This Row],[variable]], ": ",Table1[[#This Row],[alias]]), "")</f>
        <v>🆔 C24010_019E: Male: Service occupations</v>
      </c>
      <c r="O1313" t="s">
        <v>4779</v>
      </c>
      <c r="P1313" t="s">
        <v>4707</v>
      </c>
      <c r="Q1313" t="s">
        <v>41</v>
      </c>
      <c r="R1313" t="s">
        <v>4780</v>
      </c>
      <c r="S1313" t="b">
        <v>1</v>
      </c>
      <c r="T1313" t="b">
        <v>1</v>
      </c>
      <c r="U1313" t="b">
        <v>1</v>
      </c>
      <c r="V1313" t="b">
        <v>1</v>
      </c>
      <c r="W1313" t="b">
        <v>1</v>
      </c>
      <c r="X1313" t="b">
        <v>1</v>
      </c>
      <c r="Y1313" t="b">
        <v>1</v>
      </c>
      <c r="Z1313" t="b">
        <v>1</v>
      </c>
      <c r="AA1313" t="b">
        <v>1</v>
      </c>
      <c r="AB1313" t="b">
        <v>1</v>
      </c>
      <c r="AC1313" t="b">
        <v>1</v>
      </c>
      <c r="AD1313" t="b">
        <v>1</v>
      </c>
      <c r="AE1313" t="b">
        <v>1</v>
      </c>
      <c r="AF1313" t="b">
        <v>1</v>
      </c>
      <c r="AG1313" t="b">
        <v>1</v>
      </c>
    </row>
    <row r="1314" spans="1:33" x14ac:dyDescent="0.25">
      <c r="A1314" t="s">
        <v>33</v>
      </c>
      <c r="B1314">
        <v>15</v>
      </c>
      <c r="C1314" t="b">
        <v>1</v>
      </c>
      <c r="D1314" t="s">
        <v>4701</v>
      </c>
      <c r="E1314" t="s">
        <v>4702</v>
      </c>
      <c r="F1314" t="s">
        <v>4781</v>
      </c>
      <c r="G1314" t="s">
        <v>4782</v>
      </c>
      <c r="H1314">
        <v>1313</v>
      </c>
      <c r="I1314" t="str">
        <f>IF(ISBLANK(Table1[[#This Row],[oid]]),"FALSE","TRUE")</f>
        <v>TRUE</v>
      </c>
      <c r="J1314" t="str" cm="1">
        <f t="array" ref="J1314">_xlfn.SWITCH(LEFT(Table1[[#This Row],[section]],1), "D", "Demographic", "S", "Social", "E", "Economic", "H", "Housing", "")</f>
        <v>Economic</v>
      </c>
      <c r="K1314" t="s">
        <v>4705</v>
      </c>
      <c r="L1314" t="s">
        <v>4706</v>
      </c>
      <c r="M1314" t="str">
        <f>IF(Table1[[#This Row],[used]], _xlfn.CONCAT("🆔 ", Table1[[#This Row],[variable]], ": ",Table1[[#This Row],[alias]]), "")</f>
        <v>🆔 C24010_020E: Male: Service occupations: Healthcare support occupations</v>
      </c>
      <c r="O1314" t="s">
        <v>4783</v>
      </c>
      <c r="P1314" t="s">
        <v>4707</v>
      </c>
      <c r="Q1314" t="s">
        <v>41</v>
      </c>
      <c r="R1314" t="s">
        <v>4784</v>
      </c>
      <c r="S1314" t="b">
        <v>1</v>
      </c>
      <c r="T1314" t="b">
        <v>1</v>
      </c>
      <c r="U1314" t="b">
        <v>1</v>
      </c>
      <c r="V1314" t="b">
        <v>1</v>
      </c>
      <c r="W1314" t="b">
        <v>1</v>
      </c>
      <c r="X1314" t="b">
        <v>1</v>
      </c>
      <c r="Y1314" t="b">
        <v>1</v>
      </c>
      <c r="Z1314" t="b">
        <v>1</v>
      </c>
      <c r="AA1314" t="b">
        <v>1</v>
      </c>
      <c r="AB1314" t="b">
        <v>1</v>
      </c>
      <c r="AC1314" t="b">
        <v>1</v>
      </c>
      <c r="AD1314" t="b">
        <v>1</v>
      </c>
      <c r="AE1314" t="b">
        <v>1</v>
      </c>
      <c r="AF1314" t="b">
        <v>1</v>
      </c>
      <c r="AG1314" t="b">
        <v>1</v>
      </c>
    </row>
    <row r="1315" spans="1:33" x14ac:dyDescent="0.25">
      <c r="A1315" t="s">
        <v>33</v>
      </c>
      <c r="B1315">
        <v>15</v>
      </c>
      <c r="C1315" t="b">
        <v>1</v>
      </c>
      <c r="D1315" t="s">
        <v>4701</v>
      </c>
      <c r="E1315" t="s">
        <v>4702</v>
      </c>
      <c r="F1315" t="s">
        <v>4785</v>
      </c>
      <c r="G1315" t="s">
        <v>4786</v>
      </c>
      <c r="H1315">
        <v>1314</v>
      </c>
      <c r="I1315" t="str">
        <f>IF(ISBLANK(Table1[[#This Row],[oid]]),"FALSE","TRUE")</f>
        <v>TRUE</v>
      </c>
      <c r="J1315" t="str" cm="1">
        <f t="array" ref="J1315">_xlfn.SWITCH(LEFT(Table1[[#This Row],[section]],1), "D", "Demographic", "S", "Social", "E", "Economic", "H", "Housing", "")</f>
        <v>Economic</v>
      </c>
      <c r="K1315" t="s">
        <v>4705</v>
      </c>
      <c r="L1315" t="s">
        <v>4706</v>
      </c>
      <c r="M1315" t="str">
        <f>IF(Table1[[#This Row],[used]], _xlfn.CONCAT("🆔 ", Table1[[#This Row],[variable]], ": ",Table1[[#This Row],[alias]]), "")</f>
        <v>🆔 C24010_021E: Male: Service occupations: Protective service occupations</v>
      </c>
      <c r="O1315" t="s">
        <v>4787</v>
      </c>
      <c r="P1315" t="s">
        <v>4707</v>
      </c>
      <c r="Q1315" t="s">
        <v>41</v>
      </c>
      <c r="R1315" t="s">
        <v>4788</v>
      </c>
      <c r="S1315" t="b">
        <v>1</v>
      </c>
      <c r="T1315" t="b">
        <v>1</v>
      </c>
      <c r="U1315" t="b">
        <v>1</v>
      </c>
      <c r="V1315" t="b">
        <v>1</v>
      </c>
      <c r="W1315" t="b">
        <v>1</v>
      </c>
      <c r="X1315" t="b">
        <v>1</v>
      </c>
      <c r="Y1315" t="b">
        <v>1</v>
      </c>
      <c r="Z1315" t="b">
        <v>1</v>
      </c>
      <c r="AA1315" t="b">
        <v>1</v>
      </c>
      <c r="AB1315" t="b">
        <v>1</v>
      </c>
      <c r="AC1315" t="b">
        <v>1</v>
      </c>
      <c r="AD1315" t="b">
        <v>1</v>
      </c>
      <c r="AE1315" t="b">
        <v>1</v>
      </c>
      <c r="AF1315" t="b">
        <v>1</v>
      </c>
      <c r="AG1315" t="b">
        <v>1</v>
      </c>
    </row>
    <row r="1316" spans="1:33" x14ac:dyDescent="0.25">
      <c r="A1316" t="s">
        <v>3555</v>
      </c>
      <c r="B1316">
        <v>8</v>
      </c>
      <c r="C1316" t="b">
        <v>0</v>
      </c>
      <c r="D1316" t="s">
        <v>4701</v>
      </c>
      <c r="E1316" t="s">
        <v>4702</v>
      </c>
      <c r="F1316" t="s">
        <v>4789</v>
      </c>
      <c r="G1316" t="s">
        <v>4790</v>
      </c>
      <c r="H1316">
        <v>1315</v>
      </c>
      <c r="I1316" t="str">
        <f>IF(ISBLANK(Table1[[#This Row],[oid]]),"FALSE","TRUE")</f>
        <v>TRUE</v>
      </c>
      <c r="J1316" t="str" cm="1">
        <f t="array" ref="J1316">_xlfn.SWITCH(LEFT(Table1[[#This Row],[section]],1), "D", "Demographic", "S", "Social", "E", "Economic", "H", "Housing", "")</f>
        <v>Economic</v>
      </c>
      <c r="K1316" t="s">
        <v>4705</v>
      </c>
      <c r="L1316" t="s">
        <v>4706</v>
      </c>
      <c r="M1316" t="str">
        <f>IF(Table1[[#This Row],[used]], _xlfn.CONCAT("🆔 ", Table1[[#This Row],[variable]], ": ",Table1[[#This Row],[alias]]), "")</f>
        <v>🆔 C24010_022E: Male: Service occupations: Protective service occupations: Fire fighting and prevention and other protective service workers including supervisors</v>
      </c>
      <c r="O1316" t="s">
        <v>4791</v>
      </c>
      <c r="P1316" t="s">
        <v>4707</v>
      </c>
      <c r="Q1316" t="s">
        <v>41</v>
      </c>
      <c r="R1316" t="s">
        <v>4792</v>
      </c>
      <c r="S1316" t="b">
        <v>1</v>
      </c>
      <c r="T1316" t="b">
        <v>1</v>
      </c>
      <c r="U1316" t="b">
        <v>1</v>
      </c>
      <c r="V1316" t="b">
        <v>1</v>
      </c>
      <c r="W1316" t="b">
        <v>1</v>
      </c>
      <c r="X1316" t="b">
        <v>1</v>
      </c>
      <c r="Y1316" t="b">
        <v>1</v>
      </c>
      <c r="Z1316" t="b">
        <v>1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</row>
    <row r="1317" spans="1:33" x14ac:dyDescent="0.25">
      <c r="A1317" t="s">
        <v>3560</v>
      </c>
      <c r="B1317">
        <v>7</v>
      </c>
      <c r="C1317" t="b">
        <v>0</v>
      </c>
      <c r="D1317" t="s">
        <v>4701</v>
      </c>
      <c r="E1317" t="s">
        <v>4702</v>
      </c>
      <c r="F1317" t="s">
        <v>4789</v>
      </c>
      <c r="G1317" t="s">
        <v>4793</v>
      </c>
      <c r="H1317">
        <v>1316</v>
      </c>
      <c r="I1317" t="str">
        <f>IF(ISBLANK(Table1[[#This Row],[oid]]),"FALSE","TRUE")</f>
        <v>TRUE</v>
      </c>
      <c r="J1317" t="str" cm="1">
        <f t="array" ref="J1317">_xlfn.SWITCH(LEFT(Table1[[#This Row],[section]],1), "D", "Demographic", "S", "Social", "E", "Economic", "H", "Housing", "")</f>
        <v>Economic</v>
      </c>
      <c r="K1317" t="s">
        <v>4705</v>
      </c>
      <c r="L1317" t="s">
        <v>4706</v>
      </c>
      <c r="M1317" t="str">
        <f>IF(Table1[[#This Row],[used]], _xlfn.CONCAT("🆔 ", Table1[[#This Row],[variable]], ": ",Table1[[#This Row],[alias]]), "")</f>
        <v>🆔 C24010_022E: Male: Service occupations: Protective service occupations: Firefighting and prevention and other protective service workers including supervisors</v>
      </c>
      <c r="O1317" t="s">
        <v>4794</v>
      </c>
      <c r="P1317" t="s">
        <v>4707</v>
      </c>
      <c r="Q1317" t="s">
        <v>41</v>
      </c>
      <c r="R1317" t="s">
        <v>4792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1</v>
      </c>
      <c r="AB1317" t="b">
        <v>1</v>
      </c>
      <c r="AC1317" t="b">
        <v>1</v>
      </c>
      <c r="AD1317" t="b">
        <v>1</v>
      </c>
      <c r="AE1317" t="b">
        <v>1</v>
      </c>
      <c r="AF1317" t="b">
        <v>1</v>
      </c>
      <c r="AG1317" t="b">
        <v>1</v>
      </c>
    </row>
    <row r="1318" spans="1:33" x14ac:dyDescent="0.25">
      <c r="A1318" t="s">
        <v>33</v>
      </c>
      <c r="B1318">
        <v>15</v>
      </c>
      <c r="C1318" t="b">
        <v>1</v>
      </c>
      <c r="D1318" t="s">
        <v>4701</v>
      </c>
      <c r="E1318" t="s">
        <v>4702</v>
      </c>
      <c r="F1318" t="s">
        <v>4795</v>
      </c>
      <c r="G1318" t="s">
        <v>4796</v>
      </c>
      <c r="H1318">
        <v>1317</v>
      </c>
      <c r="I1318" t="str">
        <f>IF(ISBLANK(Table1[[#This Row],[oid]]),"FALSE","TRUE")</f>
        <v>TRUE</v>
      </c>
      <c r="J1318" t="str" cm="1">
        <f t="array" ref="J1318">_xlfn.SWITCH(LEFT(Table1[[#This Row],[section]],1), "D", "Demographic", "S", "Social", "E", "Economic", "H", "Housing", "")</f>
        <v>Economic</v>
      </c>
      <c r="K1318" t="s">
        <v>4705</v>
      </c>
      <c r="L1318" t="s">
        <v>4706</v>
      </c>
      <c r="M1318" t="str">
        <f>IF(Table1[[#This Row],[used]], _xlfn.CONCAT("🆔 ", Table1[[#This Row],[variable]], ": ",Table1[[#This Row],[alias]]), "")</f>
        <v>🆔 C24010_023E: Male: Service occupations: Protective service occupations: Law enforcement workers including supervisors</v>
      </c>
      <c r="O1318" t="s">
        <v>4797</v>
      </c>
      <c r="P1318" t="s">
        <v>4707</v>
      </c>
      <c r="Q1318" t="s">
        <v>41</v>
      </c>
      <c r="R1318" t="s">
        <v>4798</v>
      </c>
      <c r="S1318" t="b">
        <v>1</v>
      </c>
      <c r="T1318" t="b">
        <v>1</v>
      </c>
      <c r="U1318" t="b">
        <v>1</v>
      </c>
      <c r="V1318" t="b">
        <v>1</v>
      </c>
      <c r="W1318" t="b">
        <v>1</v>
      </c>
      <c r="X1318" t="b">
        <v>1</v>
      </c>
      <c r="Y1318" t="b">
        <v>1</v>
      </c>
      <c r="Z1318" t="b">
        <v>1</v>
      </c>
      <c r="AA1318" t="b">
        <v>1</v>
      </c>
      <c r="AB1318" t="b">
        <v>1</v>
      </c>
      <c r="AC1318" t="b">
        <v>1</v>
      </c>
      <c r="AD1318" t="b">
        <v>1</v>
      </c>
      <c r="AE1318" t="b">
        <v>1</v>
      </c>
      <c r="AF1318" t="b">
        <v>1</v>
      </c>
      <c r="AG1318" t="b">
        <v>1</v>
      </c>
    </row>
    <row r="1319" spans="1:33" x14ac:dyDescent="0.25">
      <c r="A1319" t="s">
        <v>33</v>
      </c>
      <c r="B1319">
        <v>15</v>
      </c>
      <c r="C1319" t="b">
        <v>1</v>
      </c>
      <c r="D1319" t="s">
        <v>4701</v>
      </c>
      <c r="E1319" t="s">
        <v>4702</v>
      </c>
      <c r="F1319" t="s">
        <v>4799</v>
      </c>
      <c r="G1319" t="s">
        <v>4800</v>
      </c>
      <c r="H1319">
        <v>1318</v>
      </c>
      <c r="I1319" t="str">
        <f>IF(ISBLANK(Table1[[#This Row],[oid]]),"FALSE","TRUE")</f>
        <v>TRUE</v>
      </c>
      <c r="J1319" t="str" cm="1">
        <f t="array" ref="J1319">_xlfn.SWITCH(LEFT(Table1[[#This Row],[section]],1), "D", "Demographic", "S", "Social", "E", "Economic", "H", "Housing", "")</f>
        <v>Economic</v>
      </c>
      <c r="K1319" t="s">
        <v>4705</v>
      </c>
      <c r="L1319" t="s">
        <v>4706</v>
      </c>
      <c r="M1319" t="str">
        <f>IF(Table1[[#This Row],[used]], _xlfn.CONCAT("🆔 ", Table1[[#This Row],[variable]], ": ",Table1[[#This Row],[alias]]), "")</f>
        <v>🆔 C24010_024E: Male: Service occupations: Food preparation and serving related occupations</v>
      </c>
      <c r="O1319" t="s">
        <v>4801</v>
      </c>
      <c r="P1319" t="s">
        <v>4707</v>
      </c>
      <c r="Q1319" t="s">
        <v>41</v>
      </c>
      <c r="R1319" t="s">
        <v>4802</v>
      </c>
      <c r="S1319" t="b">
        <v>1</v>
      </c>
      <c r="T1319" t="b">
        <v>1</v>
      </c>
      <c r="U1319" t="b">
        <v>1</v>
      </c>
      <c r="V1319" t="b">
        <v>1</v>
      </c>
      <c r="W1319" t="b">
        <v>1</v>
      </c>
      <c r="X1319" t="b">
        <v>1</v>
      </c>
      <c r="Y1319" t="b">
        <v>1</v>
      </c>
      <c r="Z1319" t="b">
        <v>1</v>
      </c>
      <c r="AA1319" t="b">
        <v>1</v>
      </c>
      <c r="AB1319" t="b">
        <v>1</v>
      </c>
      <c r="AC1319" t="b">
        <v>1</v>
      </c>
      <c r="AD1319" t="b">
        <v>1</v>
      </c>
      <c r="AE1319" t="b">
        <v>1</v>
      </c>
      <c r="AF1319" t="b">
        <v>1</v>
      </c>
      <c r="AG1319" t="b">
        <v>1</v>
      </c>
    </row>
    <row r="1320" spans="1:33" x14ac:dyDescent="0.25">
      <c r="A1320" t="s">
        <v>33</v>
      </c>
      <c r="B1320">
        <v>15</v>
      </c>
      <c r="C1320" t="b">
        <v>1</v>
      </c>
      <c r="D1320" t="s">
        <v>4701</v>
      </c>
      <c r="E1320" t="s">
        <v>4702</v>
      </c>
      <c r="F1320" t="s">
        <v>4803</v>
      </c>
      <c r="G1320" t="s">
        <v>4804</v>
      </c>
      <c r="H1320">
        <v>1319</v>
      </c>
      <c r="I1320" t="str">
        <f>IF(ISBLANK(Table1[[#This Row],[oid]]),"FALSE","TRUE")</f>
        <v>TRUE</v>
      </c>
      <c r="J1320" t="str" cm="1">
        <f t="array" ref="J1320">_xlfn.SWITCH(LEFT(Table1[[#This Row],[section]],1), "D", "Demographic", "S", "Social", "E", "Economic", "H", "Housing", "")</f>
        <v>Economic</v>
      </c>
      <c r="K1320" t="s">
        <v>4705</v>
      </c>
      <c r="L1320" t="s">
        <v>4706</v>
      </c>
      <c r="M1320" t="str">
        <f>IF(Table1[[#This Row],[used]], _xlfn.CONCAT("🆔 ", Table1[[#This Row],[variable]], ": ",Table1[[#This Row],[alias]]), "")</f>
        <v>🆔 C24010_025E: Male: Service occupations: Building and grounds cleaning and maintenance occupations</v>
      </c>
      <c r="O1320" t="s">
        <v>4805</v>
      </c>
      <c r="P1320" t="s">
        <v>4707</v>
      </c>
      <c r="Q1320" t="s">
        <v>41</v>
      </c>
      <c r="R1320" t="s">
        <v>4806</v>
      </c>
      <c r="S1320" t="b">
        <v>1</v>
      </c>
      <c r="T1320" t="b">
        <v>1</v>
      </c>
      <c r="U1320" t="b">
        <v>1</v>
      </c>
      <c r="V1320" t="b">
        <v>1</v>
      </c>
      <c r="W1320" t="b">
        <v>1</v>
      </c>
      <c r="X1320" t="b">
        <v>1</v>
      </c>
      <c r="Y1320" t="b">
        <v>1</v>
      </c>
      <c r="Z1320" t="b">
        <v>1</v>
      </c>
      <c r="AA1320" t="b">
        <v>1</v>
      </c>
      <c r="AB1320" t="b">
        <v>1</v>
      </c>
      <c r="AC1320" t="b">
        <v>1</v>
      </c>
      <c r="AD1320" t="b">
        <v>1</v>
      </c>
      <c r="AE1320" t="b">
        <v>1</v>
      </c>
      <c r="AF1320" t="b">
        <v>1</v>
      </c>
      <c r="AG1320" t="b">
        <v>1</v>
      </c>
    </row>
    <row r="1321" spans="1:33" x14ac:dyDescent="0.25">
      <c r="A1321" t="s">
        <v>33</v>
      </c>
      <c r="B1321">
        <v>15</v>
      </c>
      <c r="C1321" t="b">
        <v>1</v>
      </c>
      <c r="D1321" t="s">
        <v>4701</v>
      </c>
      <c r="E1321" t="s">
        <v>4702</v>
      </c>
      <c r="F1321" t="s">
        <v>4807</v>
      </c>
      <c r="G1321" t="s">
        <v>4808</v>
      </c>
      <c r="H1321">
        <v>1320</v>
      </c>
      <c r="I1321" t="str">
        <f>IF(ISBLANK(Table1[[#This Row],[oid]]),"FALSE","TRUE")</f>
        <v>TRUE</v>
      </c>
      <c r="J1321" t="str" cm="1">
        <f t="array" ref="J1321">_xlfn.SWITCH(LEFT(Table1[[#This Row],[section]],1), "D", "Demographic", "S", "Social", "E", "Economic", "H", "Housing", "")</f>
        <v>Economic</v>
      </c>
      <c r="K1321" t="s">
        <v>4705</v>
      </c>
      <c r="L1321" t="s">
        <v>4706</v>
      </c>
      <c r="M1321" t="str">
        <f>IF(Table1[[#This Row],[used]], _xlfn.CONCAT("🆔 ", Table1[[#This Row],[variable]], ": ",Table1[[#This Row],[alias]]), "")</f>
        <v>🆔 C24010_026E: Male: Service occupations: Personal care and service occupations</v>
      </c>
      <c r="O1321" t="s">
        <v>4809</v>
      </c>
      <c r="P1321" t="s">
        <v>4707</v>
      </c>
      <c r="Q1321" t="s">
        <v>41</v>
      </c>
      <c r="R1321" t="s">
        <v>4810</v>
      </c>
      <c r="S1321" t="b">
        <v>1</v>
      </c>
      <c r="T1321" t="b">
        <v>1</v>
      </c>
      <c r="U1321" t="b">
        <v>1</v>
      </c>
      <c r="V1321" t="b">
        <v>1</v>
      </c>
      <c r="W1321" t="b">
        <v>1</v>
      </c>
      <c r="X1321" t="b">
        <v>1</v>
      </c>
      <c r="Y1321" t="b">
        <v>1</v>
      </c>
      <c r="Z1321" t="b">
        <v>1</v>
      </c>
      <c r="AA1321" t="b">
        <v>1</v>
      </c>
      <c r="AB1321" t="b">
        <v>1</v>
      </c>
      <c r="AC1321" t="b">
        <v>1</v>
      </c>
      <c r="AD1321" t="b">
        <v>1</v>
      </c>
      <c r="AE1321" t="b">
        <v>1</v>
      </c>
      <c r="AF1321" t="b">
        <v>1</v>
      </c>
      <c r="AG1321" t="b">
        <v>1</v>
      </c>
    </row>
    <row r="1322" spans="1:33" x14ac:dyDescent="0.25">
      <c r="A1322" t="s">
        <v>33</v>
      </c>
      <c r="B1322">
        <v>15</v>
      </c>
      <c r="C1322" t="b">
        <v>1</v>
      </c>
      <c r="D1322" t="s">
        <v>4701</v>
      </c>
      <c r="E1322" t="s">
        <v>4702</v>
      </c>
      <c r="F1322" t="s">
        <v>4811</v>
      </c>
      <c r="G1322" t="s">
        <v>4812</v>
      </c>
      <c r="H1322">
        <v>1321</v>
      </c>
      <c r="I1322" t="str">
        <f>IF(ISBLANK(Table1[[#This Row],[oid]]),"FALSE","TRUE")</f>
        <v>TRUE</v>
      </c>
      <c r="J1322" t="str" cm="1">
        <f t="array" ref="J1322">_xlfn.SWITCH(LEFT(Table1[[#This Row],[section]],1), "D", "Demographic", "S", "Social", "E", "Economic", "H", "Housing", "")</f>
        <v>Economic</v>
      </c>
      <c r="K1322" t="s">
        <v>4705</v>
      </c>
      <c r="L1322" t="s">
        <v>4706</v>
      </c>
      <c r="M1322" t="str">
        <f>IF(Table1[[#This Row],[used]], _xlfn.CONCAT("🆔 ", Table1[[#This Row],[variable]], ": ",Table1[[#This Row],[alias]]), "")</f>
        <v>🆔 C24010_027E: Male: Sales and office occupations</v>
      </c>
      <c r="O1322" t="s">
        <v>4813</v>
      </c>
      <c r="P1322" t="s">
        <v>4707</v>
      </c>
      <c r="Q1322" t="s">
        <v>41</v>
      </c>
      <c r="R1322" t="s">
        <v>4814</v>
      </c>
      <c r="S1322" t="b">
        <v>1</v>
      </c>
      <c r="T1322" t="b">
        <v>1</v>
      </c>
      <c r="U1322" t="b">
        <v>1</v>
      </c>
      <c r="V1322" t="b">
        <v>1</v>
      </c>
      <c r="W1322" t="b">
        <v>1</v>
      </c>
      <c r="X1322" t="b">
        <v>1</v>
      </c>
      <c r="Y1322" t="b">
        <v>1</v>
      </c>
      <c r="Z1322" t="b">
        <v>1</v>
      </c>
      <c r="AA1322" t="b">
        <v>1</v>
      </c>
      <c r="AB1322" t="b">
        <v>1</v>
      </c>
      <c r="AC1322" t="b">
        <v>1</v>
      </c>
      <c r="AD1322" t="b">
        <v>1</v>
      </c>
      <c r="AE1322" t="b">
        <v>1</v>
      </c>
      <c r="AF1322" t="b">
        <v>1</v>
      </c>
      <c r="AG1322" t="b">
        <v>1</v>
      </c>
    </row>
    <row r="1323" spans="1:33" x14ac:dyDescent="0.25">
      <c r="A1323" t="s">
        <v>33</v>
      </c>
      <c r="B1323">
        <v>15</v>
      </c>
      <c r="C1323" t="b">
        <v>1</v>
      </c>
      <c r="D1323" t="s">
        <v>4701</v>
      </c>
      <c r="E1323" t="s">
        <v>4702</v>
      </c>
      <c r="F1323" t="s">
        <v>4815</v>
      </c>
      <c r="G1323" t="s">
        <v>4816</v>
      </c>
      <c r="H1323">
        <v>1322</v>
      </c>
      <c r="I1323" t="str">
        <f>IF(ISBLANK(Table1[[#This Row],[oid]]),"FALSE","TRUE")</f>
        <v>TRUE</v>
      </c>
      <c r="J1323" t="str" cm="1">
        <f t="array" ref="J1323">_xlfn.SWITCH(LEFT(Table1[[#This Row],[section]],1), "D", "Demographic", "S", "Social", "E", "Economic", "H", "Housing", "")</f>
        <v>Economic</v>
      </c>
      <c r="K1323" t="s">
        <v>4705</v>
      </c>
      <c r="L1323" t="s">
        <v>4706</v>
      </c>
      <c r="M1323" t="str">
        <f>IF(Table1[[#This Row],[used]], _xlfn.CONCAT("🆔 ", Table1[[#This Row],[variable]], ": ",Table1[[#This Row],[alias]]), "")</f>
        <v>🆔 C24010_028E: Male: Sales and office occupations: Sales and related occupations</v>
      </c>
      <c r="O1323" t="s">
        <v>4817</v>
      </c>
      <c r="P1323" t="s">
        <v>4707</v>
      </c>
      <c r="Q1323" t="s">
        <v>41</v>
      </c>
      <c r="R1323" t="s">
        <v>4818</v>
      </c>
      <c r="S1323" t="b">
        <v>1</v>
      </c>
      <c r="T1323" t="b">
        <v>1</v>
      </c>
      <c r="U1323" t="b">
        <v>1</v>
      </c>
      <c r="V1323" t="b">
        <v>1</v>
      </c>
      <c r="W1323" t="b">
        <v>1</v>
      </c>
      <c r="X1323" t="b">
        <v>1</v>
      </c>
      <c r="Y1323" t="b">
        <v>1</v>
      </c>
      <c r="Z1323" t="b">
        <v>1</v>
      </c>
      <c r="AA1323" t="b">
        <v>1</v>
      </c>
      <c r="AB1323" t="b">
        <v>1</v>
      </c>
      <c r="AC1323" t="b">
        <v>1</v>
      </c>
      <c r="AD1323" t="b">
        <v>1</v>
      </c>
      <c r="AE1323" t="b">
        <v>1</v>
      </c>
      <c r="AF1323" t="b">
        <v>1</v>
      </c>
      <c r="AG1323" t="b">
        <v>1</v>
      </c>
    </row>
    <row r="1324" spans="1:33" x14ac:dyDescent="0.25">
      <c r="A1324" t="s">
        <v>33</v>
      </c>
      <c r="B1324">
        <v>15</v>
      </c>
      <c r="C1324" t="b">
        <v>1</v>
      </c>
      <c r="D1324" t="s">
        <v>4701</v>
      </c>
      <c r="E1324" t="s">
        <v>4702</v>
      </c>
      <c r="F1324" t="s">
        <v>4819</v>
      </c>
      <c r="G1324" t="s">
        <v>4820</v>
      </c>
      <c r="H1324">
        <v>1323</v>
      </c>
      <c r="I1324" t="str">
        <f>IF(ISBLANK(Table1[[#This Row],[oid]]),"FALSE","TRUE")</f>
        <v>TRUE</v>
      </c>
      <c r="J1324" t="str" cm="1">
        <f t="array" ref="J1324">_xlfn.SWITCH(LEFT(Table1[[#This Row],[section]],1), "D", "Demographic", "S", "Social", "E", "Economic", "H", "Housing", "")</f>
        <v>Economic</v>
      </c>
      <c r="K1324" t="s">
        <v>4705</v>
      </c>
      <c r="L1324" t="s">
        <v>4706</v>
      </c>
      <c r="M1324" t="str">
        <f>IF(Table1[[#This Row],[used]], _xlfn.CONCAT("🆔 ", Table1[[#This Row],[variable]], ": ",Table1[[#This Row],[alias]]), "")</f>
        <v>🆔 C24010_029E: Male: Sales and office occupations: Office and administrative support occupations</v>
      </c>
      <c r="O1324" t="s">
        <v>4821</v>
      </c>
      <c r="P1324" t="s">
        <v>4707</v>
      </c>
      <c r="Q1324" t="s">
        <v>41</v>
      </c>
      <c r="R1324" t="s">
        <v>4822</v>
      </c>
      <c r="S1324" t="b">
        <v>1</v>
      </c>
      <c r="T1324" t="b">
        <v>1</v>
      </c>
      <c r="U1324" t="b">
        <v>1</v>
      </c>
      <c r="V1324" t="b">
        <v>1</v>
      </c>
      <c r="W1324" t="b">
        <v>1</v>
      </c>
      <c r="X1324" t="b">
        <v>1</v>
      </c>
      <c r="Y1324" t="b">
        <v>1</v>
      </c>
      <c r="Z1324" t="b">
        <v>1</v>
      </c>
      <c r="AA1324" t="b">
        <v>1</v>
      </c>
      <c r="AB1324" t="b">
        <v>1</v>
      </c>
      <c r="AC1324" t="b">
        <v>1</v>
      </c>
      <c r="AD1324" t="b">
        <v>1</v>
      </c>
      <c r="AE1324" t="b">
        <v>1</v>
      </c>
      <c r="AF1324" t="b">
        <v>1</v>
      </c>
      <c r="AG1324" t="b">
        <v>1</v>
      </c>
    </row>
    <row r="1325" spans="1:33" x14ac:dyDescent="0.25">
      <c r="A1325" t="s">
        <v>33</v>
      </c>
      <c r="B1325">
        <v>15</v>
      </c>
      <c r="C1325" t="b">
        <v>1</v>
      </c>
      <c r="D1325" t="s">
        <v>4701</v>
      </c>
      <c r="E1325" t="s">
        <v>4702</v>
      </c>
      <c r="F1325" t="s">
        <v>4823</v>
      </c>
      <c r="G1325" t="s">
        <v>4824</v>
      </c>
      <c r="H1325">
        <v>1324</v>
      </c>
      <c r="I1325" t="str">
        <f>IF(ISBLANK(Table1[[#This Row],[oid]]),"FALSE","TRUE")</f>
        <v>TRUE</v>
      </c>
      <c r="J1325" t="str" cm="1">
        <f t="array" ref="J1325">_xlfn.SWITCH(LEFT(Table1[[#This Row],[section]],1), "D", "Demographic", "S", "Social", "E", "Economic", "H", "Housing", "")</f>
        <v>Economic</v>
      </c>
      <c r="K1325" t="s">
        <v>4705</v>
      </c>
      <c r="L1325" t="s">
        <v>4706</v>
      </c>
      <c r="M1325" t="str">
        <f>IF(Table1[[#This Row],[used]], _xlfn.CONCAT("🆔 ", Table1[[#This Row],[variable]], ": ",Table1[[#This Row],[alias]]), "")</f>
        <v>🆔 C24010_030E: Male: Natural resources construction and maintenance occupations</v>
      </c>
      <c r="O1325" t="s">
        <v>4825</v>
      </c>
      <c r="P1325" t="s">
        <v>4707</v>
      </c>
      <c r="Q1325" t="s">
        <v>41</v>
      </c>
      <c r="R1325" t="s">
        <v>4826</v>
      </c>
      <c r="S1325" t="b">
        <v>1</v>
      </c>
      <c r="T1325" t="b">
        <v>1</v>
      </c>
      <c r="U1325" t="b">
        <v>1</v>
      </c>
      <c r="V1325" t="b">
        <v>1</v>
      </c>
      <c r="W1325" t="b">
        <v>1</v>
      </c>
      <c r="X1325" t="b">
        <v>1</v>
      </c>
      <c r="Y1325" t="b">
        <v>1</v>
      </c>
      <c r="Z1325" t="b">
        <v>1</v>
      </c>
      <c r="AA1325" t="b">
        <v>1</v>
      </c>
      <c r="AB1325" t="b">
        <v>1</v>
      </c>
      <c r="AC1325" t="b">
        <v>1</v>
      </c>
      <c r="AD1325" t="b">
        <v>1</v>
      </c>
      <c r="AE1325" t="b">
        <v>1</v>
      </c>
      <c r="AF1325" t="b">
        <v>1</v>
      </c>
      <c r="AG1325" t="b">
        <v>1</v>
      </c>
    </row>
    <row r="1326" spans="1:33" x14ac:dyDescent="0.25">
      <c r="A1326" t="s">
        <v>33</v>
      </c>
      <c r="B1326">
        <v>15</v>
      </c>
      <c r="C1326" t="b">
        <v>1</v>
      </c>
      <c r="D1326" t="s">
        <v>4701</v>
      </c>
      <c r="E1326" t="s">
        <v>4702</v>
      </c>
      <c r="F1326" t="s">
        <v>4827</v>
      </c>
      <c r="G1326" t="s">
        <v>4828</v>
      </c>
      <c r="H1326">
        <v>1325</v>
      </c>
      <c r="I1326" t="str">
        <f>IF(ISBLANK(Table1[[#This Row],[oid]]),"FALSE","TRUE")</f>
        <v>TRUE</v>
      </c>
      <c r="J1326" t="str" cm="1">
        <f t="array" ref="J1326">_xlfn.SWITCH(LEFT(Table1[[#This Row],[section]],1), "D", "Demographic", "S", "Social", "E", "Economic", "H", "Housing", "")</f>
        <v>Economic</v>
      </c>
      <c r="K1326" t="s">
        <v>4705</v>
      </c>
      <c r="L1326" t="s">
        <v>4706</v>
      </c>
      <c r="M1326" t="str">
        <f>IF(Table1[[#This Row],[used]], _xlfn.CONCAT("🆔 ", Table1[[#This Row],[variable]], ": ",Table1[[#This Row],[alias]]), "")</f>
        <v>🆔 C24010_031E: Male: Natural resources construction and maintenance occupations: Farming fishing and forestry occupations</v>
      </c>
      <c r="O1326" t="s">
        <v>4829</v>
      </c>
      <c r="P1326" t="s">
        <v>4707</v>
      </c>
      <c r="Q1326" t="s">
        <v>41</v>
      </c>
      <c r="R1326" t="s">
        <v>4830</v>
      </c>
      <c r="S1326" t="b">
        <v>1</v>
      </c>
      <c r="T1326" t="b">
        <v>1</v>
      </c>
      <c r="U1326" t="b">
        <v>1</v>
      </c>
      <c r="V1326" t="b">
        <v>1</v>
      </c>
      <c r="W1326" t="b">
        <v>1</v>
      </c>
      <c r="X1326" t="b">
        <v>1</v>
      </c>
      <c r="Y1326" t="b">
        <v>1</v>
      </c>
      <c r="Z1326" t="b">
        <v>1</v>
      </c>
      <c r="AA1326" t="b">
        <v>1</v>
      </c>
      <c r="AB1326" t="b">
        <v>1</v>
      </c>
      <c r="AC1326" t="b">
        <v>1</v>
      </c>
      <c r="AD1326" t="b">
        <v>1</v>
      </c>
      <c r="AE1326" t="b">
        <v>1</v>
      </c>
      <c r="AF1326" t="b">
        <v>1</v>
      </c>
      <c r="AG1326" t="b">
        <v>1</v>
      </c>
    </row>
    <row r="1327" spans="1:33" x14ac:dyDescent="0.25">
      <c r="A1327" t="s">
        <v>33</v>
      </c>
      <c r="B1327">
        <v>15</v>
      </c>
      <c r="C1327" t="b">
        <v>1</v>
      </c>
      <c r="D1327" t="s">
        <v>4701</v>
      </c>
      <c r="E1327" t="s">
        <v>4702</v>
      </c>
      <c r="F1327" t="s">
        <v>4831</v>
      </c>
      <c r="G1327" t="s">
        <v>4832</v>
      </c>
      <c r="H1327">
        <v>1326</v>
      </c>
      <c r="I1327" t="str">
        <f>IF(ISBLANK(Table1[[#This Row],[oid]]),"FALSE","TRUE")</f>
        <v>TRUE</v>
      </c>
      <c r="J1327" t="str" cm="1">
        <f t="array" ref="J1327">_xlfn.SWITCH(LEFT(Table1[[#This Row],[section]],1), "D", "Demographic", "S", "Social", "E", "Economic", "H", "Housing", "")</f>
        <v>Economic</v>
      </c>
      <c r="K1327" t="s">
        <v>4705</v>
      </c>
      <c r="L1327" t="s">
        <v>4706</v>
      </c>
      <c r="M1327" t="str">
        <f>IF(Table1[[#This Row],[used]], _xlfn.CONCAT("🆔 ", Table1[[#This Row],[variable]], ": ",Table1[[#This Row],[alias]]), "")</f>
        <v>🆔 C24010_032E: Male: Natural resources construction and maintenance occupations: Construction and extraction occupations</v>
      </c>
      <c r="O1327" t="s">
        <v>4833</v>
      </c>
      <c r="P1327" t="s">
        <v>4707</v>
      </c>
      <c r="Q1327" t="s">
        <v>41</v>
      </c>
      <c r="R1327" t="s">
        <v>4834</v>
      </c>
      <c r="S1327" t="b">
        <v>1</v>
      </c>
      <c r="T1327" t="b">
        <v>1</v>
      </c>
      <c r="U1327" t="b">
        <v>1</v>
      </c>
      <c r="V1327" t="b">
        <v>1</v>
      </c>
      <c r="W1327" t="b">
        <v>1</v>
      </c>
      <c r="X1327" t="b">
        <v>1</v>
      </c>
      <c r="Y1327" t="b">
        <v>1</v>
      </c>
      <c r="Z1327" t="b">
        <v>1</v>
      </c>
      <c r="AA1327" t="b">
        <v>1</v>
      </c>
      <c r="AB1327" t="b">
        <v>1</v>
      </c>
      <c r="AC1327" t="b">
        <v>1</v>
      </c>
      <c r="AD1327" t="b">
        <v>1</v>
      </c>
      <c r="AE1327" t="b">
        <v>1</v>
      </c>
      <c r="AF1327" t="b">
        <v>1</v>
      </c>
      <c r="AG1327" t="b">
        <v>1</v>
      </c>
    </row>
    <row r="1328" spans="1:33" x14ac:dyDescent="0.25">
      <c r="A1328" t="s">
        <v>33</v>
      </c>
      <c r="B1328">
        <v>15</v>
      </c>
      <c r="C1328" t="b">
        <v>1</v>
      </c>
      <c r="D1328" t="s">
        <v>4701</v>
      </c>
      <c r="E1328" t="s">
        <v>4702</v>
      </c>
      <c r="F1328" t="s">
        <v>4835</v>
      </c>
      <c r="G1328" t="s">
        <v>4836</v>
      </c>
      <c r="H1328">
        <v>1327</v>
      </c>
      <c r="I1328" t="str">
        <f>IF(ISBLANK(Table1[[#This Row],[oid]]),"FALSE","TRUE")</f>
        <v>TRUE</v>
      </c>
      <c r="J1328" t="str" cm="1">
        <f t="array" ref="J1328">_xlfn.SWITCH(LEFT(Table1[[#This Row],[section]],1), "D", "Demographic", "S", "Social", "E", "Economic", "H", "Housing", "")</f>
        <v>Economic</v>
      </c>
      <c r="K1328" t="s">
        <v>4705</v>
      </c>
      <c r="L1328" t="s">
        <v>4706</v>
      </c>
      <c r="M1328" t="str">
        <f>IF(Table1[[#This Row],[used]], _xlfn.CONCAT("🆔 ", Table1[[#This Row],[variable]], ": ",Table1[[#This Row],[alias]]), "")</f>
        <v>🆔 C24010_033E: Male: Natural resources construction and maintenance occupations: Installation maintenance and repair occupations</v>
      </c>
      <c r="O1328" t="s">
        <v>4837</v>
      </c>
      <c r="P1328" t="s">
        <v>4707</v>
      </c>
      <c r="Q1328" t="s">
        <v>41</v>
      </c>
      <c r="R1328" t="s">
        <v>4838</v>
      </c>
      <c r="S1328" t="b">
        <v>1</v>
      </c>
      <c r="T1328" t="b">
        <v>1</v>
      </c>
      <c r="U1328" t="b">
        <v>1</v>
      </c>
      <c r="V1328" t="b">
        <v>1</v>
      </c>
      <c r="W1328" t="b">
        <v>1</v>
      </c>
      <c r="X1328" t="b">
        <v>1</v>
      </c>
      <c r="Y1328" t="b">
        <v>1</v>
      </c>
      <c r="Z1328" t="b">
        <v>1</v>
      </c>
      <c r="AA1328" t="b">
        <v>1</v>
      </c>
      <c r="AB1328" t="b">
        <v>1</v>
      </c>
      <c r="AC1328" t="b">
        <v>1</v>
      </c>
      <c r="AD1328" t="b">
        <v>1</v>
      </c>
      <c r="AE1328" t="b">
        <v>1</v>
      </c>
      <c r="AF1328" t="b">
        <v>1</v>
      </c>
      <c r="AG1328" t="b">
        <v>1</v>
      </c>
    </row>
    <row r="1329" spans="1:33" x14ac:dyDescent="0.25">
      <c r="A1329" t="s">
        <v>33</v>
      </c>
      <c r="B1329">
        <v>15</v>
      </c>
      <c r="C1329" t="b">
        <v>1</v>
      </c>
      <c r="D1329" t="s">
        <v>4701</v>
      </c>
      <c r="E1329" t="s">
        <v>4702</v>
      </c>
      <c r="F1329" t="s">
        <v>4839</v>
      </c>
      <c r="G1329" t="s">
        <v>4840</v>
      </c>
      <c r="H1329">
        <v>1328</v>
      </c>
      <c r="I1329" t="str">
        <f>IF(ISBLANK(Table1[[#This Row],[oid]]),"FALSE","TRUE")</f>
        <v>TRUE</v>
      </c>
      <c r="J1329" t="str" cm="1">
        <f t="array" ref="J1329">_xlfn.SWITCH(LEFT(Table1[[#This Row],[section]],1), "D", "Demographic", "S", "Social", "E", "Economic", "H", "Housing", "")</f>
        <v>Economic</v>
      </c>
      <c r="K1329" t="s">
        <v>4705</v>
      </c>
      <c r="L1329" t="s">
        <v>4706</v>
      </c>
      <c r="M1329" t="str">
        <f>IF(Table1[[#This Row],[used]], _xlfn.CONCAT("🆔 ", Table1[[#This Row],[variable]], ": ",Table1[[#This Row],[alias]]), "")</f>
        <v>🆔 C24010_034E: Male: Production transportation and material moving occupations</v>
      </c>
      <c r="O1329" t="s">
        <v>4841</v>
      </c>
      <c r="P1329" t="s">
        <v>4707</v>
      </c>
      <c r="Q1329" t="s">
        <v>41</v>
      </c>
      <c r="R1329" t="s">
        <v>4842</v>
      </c>
      <c r="S1329" t="b">
        <v>1</v>
      </c>
      <c r="T1329" t="b">
        <v>1</v>
      </c>
      <c r="U1329" t="b">
        <v>1</v>
      </c>
      <c r="V1329" t="b">
        <v>1</v>
      </c>
      <c r="W1329" t="b">
        <v>1</v>
      </c>
      <c r="X1329" t="b">
        <v>1</v>
      </c>
      <c r="Y1329" t="b">
        <v>1</v>
      </c>
      <c r="Z1329" t="b">
        <v>1</v>
      </c>
      <c r="AA1329" t="b">
        <v>1</v>
      </c>
      <c r="AB1329" t="b">
        <v>1</v>
      </c>
      <c r="AC1329" t="b">
        <v>1</v>
      </c>
      <c r="AD1329" t="b">
        <v>1</v>
      </c>
      <c r="AE1329" t="b">
        <v>1</v>
      </c>
      <c r="AF1329" t="b">
        <v>1</v>
      </c>
      <c r="AG1329" t="b">
        <v>1</v>
      </c>
    </row>
    <row r="1330" spans="1:33" x14ac:dyDescent="0.25">
      <c r="A1330" t="s">
        <v>33</v>
      </c>
      <c r="B1330">
        <v>15</v>
      </c>
      <c r="C1330" t="b">
        <v>1</v>
      </c>
      <c r="D1330" t="s">
        <v>4701</v>
      </c>
      <c r="E1330" t="s">
        <v>4702</v>
      </c>
      <c r="F1330" t="s">
        <v>4843</v>
      </c>
      <c r="G1330" t="s">
        <v>4844</v>
      </c>
      <c r="H1330">
        <v>1329</v>
      </c>
      <c r="I1330" t="str">
        <f>IF(ISBLANK(Table1[[#This Row],[oid]]),"FALSE","TRUE")</f>
        <v>TRUE</v>
      </c>
      <c r="J1330" t="str" cm="1">
        <f t="array" ref="J1330">_xlfn.SWITCH(LEFT(Table1[[#This Row],[section]],1), "D", "Demographic", "S", "Social", "E", "Economic", "H", "Housing", "")</f>
        <v>Economic</v>
      </c>
      <c r="K1330" t="s">
        <v>4705</v>
      </c>
      <c r="L1330" t="s">
        <v>4706</v>
      </c>
      <c r="M1330" t="str">
        <f>IF(Table1[[#This Row],[used]], _xlfn.CONCAT("🆔 ", Table1[[#This Row],[variable]], ": ",Table1[[#This Row],[alias]]), "")</f>
        <v>🆔 C24010_035E: Male: Production transportation and material moving occupations: Production occupations</v>
      </c>
      <c r="O1330" t="s">
        <v>4845</v>
      </c>
      <c r="P1330" t="s">
        <v>4707</v>
      </c>
      <c r="Q1330" t="s">
        <v>41</v>
      </c>
      <c r="R1330" t="s">
        <v>4846</v>
      </c>
      <c r="S1330" t="b">
        <v>1</v>
      </c>
      <c r="T1330" t="b">
        <v>1</v>
      </c>
      <c r="U1330" t="b">
        <v>1</v>
      </c>
      <c r="V1330" t="b">
        <v>1</v>
      </c>
      <c r="W1330" t="b">
        <v>1</v>
      </c>
      <c r="X1330" t="b">
        <v>1</v>
      </c>
      <c r="Y1330" t="b">
        <v>1</v>
      </c>
      <c r="Z1330" t="b">
        <v>1</v>
      </c>
      <c r="AA1330" t="b">
        <v>1</v>
      </c>
      <c r="AB1330" t="b">
        <v>1</v>
      </c>
      <c r="AC1330" t="b">
        <v>1</v>
      </c>
      <c r="AD1330" t="b">
        <v>1</v>
      </c>
      <c r="AE1330" t="b">
        <v>1</v>
      </c>
      <c r="AF1330" t="b">
        <v>1</v>
      </c>
      <c r="AG1330" t="b">
        <v>1</v>
      </c>
    </row>
    <row r="1331" spans="1:33" x14ac:dyDescent="0.25">
      <c r="A1331" t="s">
        <v>33</v>
      </c>
      <c r="B1331">
        <v>15</v>
      </c>
      <c r="C1331" t="b">
        <v>1</v>
      </c>
      <c r="D1331" t="s">
        <v>4701</v>
      </c>
      <c r="E1331" t="s">
        <v>4702</v>
      </c>
      <c r="F1331" t="s">
        <v>4847</v>
      </c>
      <c r="G1331" t="s">
        <v>4848</v>
      </c>
      <c r="H1331">
        <v>1330</v>
      </c>
      <c r="I1331" t="str">
        <f>IF(ISBLANK(Table1[[#This Row],[oid]]),"FALSE","TRUE")</f>
        <v>TRUE</v>
      </c>
      <c r="J1331" t="str" cm="1">
        <f t="array" ref="J1331">_xlfn.SWITCH(LEFT(Table1[[#This Row],[section]],1), "D", "Demographic", "S", "Social", "E", "Economic", "H", "Housing", "")</f>
        <v>Economic</v>
      </c>
      <c r="K1331" t="s">
        <v>4705</v>
      </c>
      <c r="L1331" t="s">
        <v>4706</v>
      </c>
      <c r="M1331" t="str">
        <f>IF(Table1[[#This Row],[used]], _xlfn.CONCAT("🆔 ", Table1[[#This Row],[variable]], ": ",Table1[[#This Row],[alias]]), "")</f>
        <v>🆔 C24010_036E: Male: Production transportation and material moving occupations: Transportation occupations</v>
      </c>
      <c r="O1331" t="s">
        <v>4849</v>
      </c>
      <c r="P1331" t="s">
        <v>4707</v>
      </c>
      <c r="Q1331" t="s">
        <v>41</v>
      </c>
      <c r="R1331" t="s">
        <v>4850</v>
      </c>
      <c r="S1331" t="b">
        <v>1</v>
      </c>
      <c r="T1331" t="b">
        <v>1</v>
      </c>
      <c r="U1331" t="b">
        <v>1</v>
      </c>
      <c r="V1331" t="b">
        <v>1</v>
      </c>
      <c r="W1331" t="b">
        <v>1</v>
      </c>
      <c r="X1331" t="b">
        <v>1</v>
      </c>
      <c r="Y1331" t="b">
        <v>1</v>
      </c>
      <c r="Z1331" t="b">
        <v>1</v>
      </c>
      <c r="AA1331" t="b">
        <v>1</v>
      </c>
      <c r="AB1331" t="b">
        <v>1</v>
      </c>
      <c r="AC1331" t="b">
        <v>1</v>
      </c>
      <c r="AD1331" t="b">
        <v>1</v>
      </c>
      <c r="AE1331" t="b">
        <v>1</v>
      </c>
      <c r="AF1331" t="b">
        <v>1</v>
      </c>
      <c r="AG1331" t="b">
        <v>1</v>
      </c>
    </row>
    <row r="1332" spans="1:33" x14ac:dyDescent="0.25">
      <c r="A1332" t="s">
        <v>33</v>
      </c>
      <c r="B1332">
        <v>15</v>
      </c>
      <c r="C1332" t="b">
        <v>1</v>
      </c>
      <c r="D1332" t="s">
        <v>4701</v>
      </c>
      <c r="E1332" t="s">
        <v>4702</v>
      </c>
      <c r="F1332" t="s">
        <v>4851</v>
      </c>
      <c r="G1332" t="s">
        <v>4852</v>
      </c>
      <c r="H1332">
        <v>1331</v>
      </c>
      <c r="I1332" t="str">
        <f>IF(ISBLANK(Table1[[#This Row],[oid]]),"FALSE","TRUE")</f>
        <v>TRUE</v>
      </c>
      <c r="J1332" t="str" cm="1">
        <f t="array" ref="J1332">_xlfn.SWITCH(LEFT(Table1[[#This Row],[section]],1), "D", "Demographic", "S", "Social", "E", "Economic", "H", "Housing", "")</f>
        <v>Economic</v>
      </c>
      <c r="K1332" t="s">
        <v>4705</v>
      </c>
      <c r="L1332" t="s">
        <v>4706</v>
      </c>
      <c r="M1332" t="str">
        <f>IF(Table1[[#This Row],[used]], _xlfn.CONCAT("🆔 ", Table1[[#This Row],[variable]], ": ",Table1[[#This Row],[alias]]), "")</f>
        <v>🆔 C24010_037E: Male: Production transportation and material moving occupations: Material moving occupations</v>
      </c>
      <c r="O1332" t="s">
        <v>4853</v>
      </c>
      <c r="P1332" t="s">
        <v>4707</v>
      </c>
      <c r="Q1332" t="s">
        <v>41</v>
      </c>
      <c r="R1332" t="s">
        <v>4854</v>
      </c>
      <c r="S1332" t="b">
        <v>1</v>
      </c>
      <c r="T1332" t="b">
        <v>1</v>
      </c>
      <c r="U1332" t="b">
        <v>1</v>
      </c>
      <c r="V1332" t="b">
        <v>1</v>
      </c>
      <c r="W1332" t="b">
        <v>1</v>
      </c>
      <c r="X1332" t="b">
        <v>1</v>
      </c>
      <c r="Y1332" t="b">
        <v>1</v>
      </c>
      <c r="Z1332" t="b">
        <v>1</v>
      </c>
      <c r="AA1332" t="b">
        <v>1</v>
      </c>
      <c r="AB1332" t="b">
        <v>1</v>
      </c>
      <c r="AC1332" t="b">
        <v>1</v>
      </c>
      <c r="AD1332" t="b">
        <v>1</v>
      </c>
      <c r="AE1332" t="b">
        <v>1</v>
      </c>
      <c r="AF1332" t="b">
        <v>1</v>
      </c>
      <c r="AG1332" t="b">
        <v>1</v>
      </c>
    </row>
    <row r="1333" spans="1:33" x14ac:dyDescent="0.25">
      <c r="A1333" t="s">
        <v>33</v>
      </c>
      <c r="B1333">
        <v>15</v>
      </c>
      <c r="C1333" t="b">
        <v>1</v>
      </c>
      <c r="D1333" t="s">
        <v>4701</v>
      </c>
      <c r="E1333" t="s">
        <v>4702</v>
      </c>
      <c r="F1333" t="s">
        <v>4855</v>
      </c>
      <c r="G1333" t="s">
        <v>55</v>
      </c>
      <c r="H1333">
        <v>1332</v>
      </c>
      <c r="I1333" t="str">
        <f>IF(ISBLANK(Table1[[#This Row],[oid]]),"FALSE","TRUE")</f>
        <v>TRUE</v>
      </c>
      <c r="J1333" t="str" cm="1">
        <f t="array" ref="J1333">_xlfn.SWITCH(LEFT(Table1[[#This Row],[section]],1), "D", "Demographic", "S", "Social", "E", "Economic", "H", "Housing", "")</f>
        <v>Economic</v>
      </c>
      <c r="K1333" t="s">
        <v>4705</v>
      </c>
      <c r="L1333" t="s">
        <v>4706</v>
      </c>
      <c r="M1333" t="str">
        <f>IF(Table1[[#This Row],[used]], _xlfn.CONCAT("🆔 ", Table1[[#This Row],[variable]], ": ",Table1[[#This Row],[alias]]), "")</f>
        <v>🆔 C24010_038E: Female</v>
      </c>
      <c r="O1333" t="s">
        <v>56</v>
      </c>
      <c r="P1333" t="s">
        <v>4707</v>
      </c>
      <c r="Q1333" t="s">
        <v>41</v>
      </c>
      <c r="R1333" t="s">
        <v>4856</v>
      </c>
      <c r="S1333" t="b">
        <v>1</v>
      </c>
      <c r="T1333" t="b">
        <v>1</v>
      </c>
      <c r="U1333" t="b">
        <v>1</v>
      </c>
      <c r="V1333" t="b">
        <v>1</v>
      </c>
      <c r="W1333" t="b">
        <v>1</v>
      </c>
      <c r="X1333" t="b">
        <v>1</v>
      </c>
      <c r="Y1333" t="b">
        <v>1</v>
      </c>
      <c r="Z1333" t="b">
        <v>1</v>
      </c>
      <c r="AA1333" t="b">
        <v>1</v>
      </c>
      <c r="AB1333" t="b">
        <v>1</v>
      </c>
      <c r="AC1333" t="b">
        <v>1</v>
      </c>
      <c r="AD1333" t="b">
        <v>1</v>
      </c>
      <c r="AE1333" t="b">
        <v>1</v>
      </c>
      <c r="AF1333" t="b">
        <v>1</v>
      </c>
      <c r="AG1333" t="b">
        <v>1</v>
      </c>
    </row>
    <row r="1334" spans="1:33" x14ac:dyDescent="0.25">
      <c r="A1334" t="s">
        <v>33</v>
      </c>
      <c r="B1334">
        <v>15</v>
      </c>
      <c r="C1334" t="b">
        <v>1</v>
      </c>
      <c r="D1334" t="s">
        <v>4701</v>
      </c>
      <c r="E1334" t="s">
        <v>4702</v>
      </c>
      <c r="F1334" t="s">
        <v>4857</v>
      </c>
      <c r="G1334" t="s">
        <v>4858</v>
      </c>
      <c r="H1334">
        <v>1333</v>
      </c>
      <c r="I1334" t="str">
        <f>IF(ISBLANK(Table1[[#This Row],[oid]]),"FALSE","TRUE")</f>
        <v>TRUE</v>
      </c>
      <c r="J1334" t="str" cm="1">
        <f t="array" ref="J1334">_xlfn.SWITCH(LEFT(Table1[[#This Row],[section]],1), "D", "Demographic", "S", "Social", "E", "Economic", "H", "Housing", "")</f>
        <v>Economic</v>
      </c>
      <c r="K1334" t="s">
        <v>4705</v>
      </c>
      <c r="L1334" t="s">
        <v>4706</v>
      </c>
      <c r="M1334" t="str">
        <f>IF(Table1[[#This Row],[used]], _xlfn.CONCAT("🆔 ", Table1[[#This Row],[variable]], ": ",Table1[[#This Row],[alias]]), "")</f>
        <v>🆔 C24010_039E: Female: Management business science and arts occupations</v>
      </c>
      <c r="O1334" t="s">
        <v>4859</v>
      </c>
      <c r="P1334" t="s">
        <v>4707</v>
      </c>
      <c r="Q1334" t="s">
        <v>41</v>
      </c>
      <c r="R1334" t="s">
        <v>4860</v>
      </c>
      <c r="S1334" t="b">
        <v>1</v>
      </c>
      <c r="T1334" t="b">
        <v>1</v>
      </c>
      <c r="U1334" t="b">
        <v>1</v>
      </c>
      <c r="V1334" t="b">
        <v>1</v>
      </c>
      <c r="W1334" t="b">
        <v>1</v>
      </c>
      <c r="X1334" t="b">
        <v>1</v>
      </c>
      <c r="Y1334" t="b">
        <v>1</v>
      </c>
      <c r="Z1334" t="b">
        <v>1</v>
      </c>
      <c r="AA1334" t="b">
        <v>1</v>
      </c>
      <c r="AB1334" t="b">
        <v>1</v>
      </c>
      <c r="AC1334" t="b">
        <v>1</v>
      </c>
      <c r="AD1334" t="b">
        <v>1</v>
      </c>
      <c r="AE1334" t="b">
        <v>1</v>
      </c>
      <c r="AF1334" t="b">
        <v>1</v>
      </c>
      <c r="AG1334" t="b">
        <v>1</v>
      </c>
    </row>
    <row r="1335" spans="1:33" x14ac:dyDescent="0.25">
      <c r="A1335" t="s">
        <v>33</v>
      </c>
      <c r="B1335">
        <v>15</v>
      </c>
      <c r="C1335" t="b">
        <v>1</v>
      </c>
      <c r="D1335" t="s">
        <v>4701</v>
      </c>
      <c r="E1335" t="s">
        <v>4702</v>
      </c>
      <c r="F1335" t="s">
        <v>4861</v>
      </c>
      <c r="G1335" t="s">
        <v>4862</v>
      </c>
      <c r="H1335">
        <v>1334</v>
      </c>
      <c r="I1335" t="str">
        <f>IF(ISBLANK(Table1[[#This Row],[oid]]),"FALSE","TRUE")</f>
        <v>TRUE</v>
      </c>
      <c r="J1335" t="str" cm="1">
        <f t="array" ref="J1335">_xlfn.SWITCH(LEFT(Table1[[#This Row],[section]],1), "D", "Demographic", "S", "Social", "E", "Economic", "H", "Housing", "")</f>
        <v>Economic</v>
      </c>
      <c r="K1335" t="s">
        <v>4705</v>
      </c>
      <c r="L1335" t="s">
        <v>4706</v>
      </c>
      <c r="M1335" t="str">
        <f>IF(Table1[[#This Row],[used]], _xlfn.CONCAT("🆔 ", Table1[[#This Row],[variable]], ": ",Table1[[#This Row],[alias]]), "")</f>
        <v>🆔 C24010_040E: Female: Management business science and arts occupations: Management business and financial occupations</v>
      </c>
      <c r="O1335" t="s">
        <v>4863</v>
      </c>
      <c r="P1335" t="s">
        <v>4707</v>
      </c>
      <c r="Q1335" t="s">
        <v>41</v>
      </c>
      <c r="R1335" t="s">
        <v>4864</v>
      </c>
      <c r="S1335" t="b">
        <v>1</v>
      </c>
      <c r="T1335" t="b">
        <v>1</v>
      </c>
      <c r="U1335" t="b">
        <v>1</v>
      </c>
      <c r="V1335" t="b">
        <v>1</v>
      </c>
      <c r="W1335" t="b">
        <v>1</v>
      </c>
      <c r="X1335" t="b">
        <v>1</v>
      </c>
      <c r="Y1335" t="b">
        <v>1</v>
      </c>
      <c r="Z1335" t="b">
        <v>1</v>
      </c>
      <c r="AA1335" t="b">
        <v>1</v>
      </c>
      <c r="AB1335" t="b">
        <v>1</v>
      </c>
      <c r="AC1335" t="b">
        <v>1</v>
      </c>
      <c r="AD1335" t="b">
        <v>1</v>
      </c>
      <c r="AE1335" t="b">
        <v>1</v>
      </c>
      <c r="AF1335" t="b">
        <v>1</v>
      </c>
      <c r="AG1335" t="b">
        <v>1</v>
      </c>
    </row>
    <row r="1336" spans="1:33" x14ac:dyDescent="0.25">
      <c r="A1336" t="s">
        <v>33</v>
      </c>
      <c r="B1336">
        <v>15</v>
      </c>
      <c r="C1336" t="b">
        <v>1</v>
      </c>
      <c r="D1336" t="s">
        <v>4701</v>
      </c>
      <c r="E1336" t="s">
        <v>4702</v>
      </c>
      <c r="F1336" t="s">
        <v>4865</v>
      </c>
      <c r="G1336" t="s">
        <v>4866</v>
      </c>
      <c r="H1336">
        <v>1335</v>
      </c>
      <c r="I1336" t="str">
        <f>IF(ISBLANK(Table1[[#This Row],[oid]]),"FALSE","TRUE")</f>
        <v>TRUE</v>
      </c>
      <c r="J1336" t="str" cm="1">
        <f t="array" ref="J1336">_xlfn.SWITCH(LEFT(Table1[[#This Row],[section]],1), "D", "Demographic", "S", "Social", "E", "Economic", "H", "Housing", "")</f>
        <v>Economic</v>
      </c>
      <c r="K1336" t="s">
        <v>4705</v>
      </c>
      <c r="L1336" t="s">
        <v>4706</v>
      </c>
      <c r="M1336" t="str">
        <f>IF(Table1[[#This Row],[used]], _xlfn.CONCAT("🆔 ", Table1[[#This Row],[variable]], ": ",Table1[[#This Row],[alias]]), "")</f>
        <v>🆔 C24010_041E: Female: Management business science and arts occupations: Management business and financial occupations: Management occupations</v>
      </c>
      <c r="O1336" t="s">
        <v>4867</v>
      </c>
      <c r="P1336" t="s">
        <v>4707</v>
      </c>
      <c r="Q1336" t="s">
        <v>41</v>
      </c>
      <c r="R1336" t="s">
        <v>4868</v>
      </c>
      <c r="S1336" t="b">
        <v>1</v>
      </c>
      <c r="T1336" t="b">
        <v>1</v>
      </c>
      <c r="U1336" t="b">
        <v>1</v>
      </c>
      <c r="V1336" t="b">
        <v>1</v>
      </c>
      <c r="W1336" t="b">
        <v>1</v>
      </c>
      <c r="X1336" t="b">
        <v>1</v>
      </c>
      <c r="Y1336" t="b">
        <v>1</v>
      </c>
      <c r="Z1336" t="b">
        <v>1</v>
      </c>
      <c r="AA1336" t="b">
        <v>1</v>
      </c>
      <c r="AB1336" t="b">
        <v>1</v>
      </c>
      <c r="AC1336" t="b">
        <v>1</v>
      </c>
      <c r="AD1336" t="b">
        <v>1</v>
      </c>
      <c r="AE1336" t="b">
        <v>1</v>
      </c>
      <c r="AF1336" t="b">
        <v>1</v>
      </c>
      <c r="AG1336" t="b">
        <v>1</v>
      </c>
    </row>
    <row r="1337" spans="1:33" x14ac:dyDescent="0.25">
      <c r="A1337" t="s">
        <v>33</v>
      </c>
      <c r="B1337">
        <v>15</v>
      </c>
      <c r="C1337" t="b">
        <v>1</v>
      </c>
      <c r="D1337" t="s">
        <v>4701</v>
      </c>
      <c r="E1337" t="s">
        <v>4702</v>
      </c>
      <c r="F1337" t="s">
        <v>4869</v>
      </c>
      <c r="G1337" t="s">
        <v>4870</v>
      </c>
      <c r="H1337">
        <v>1336</v>
      </c>
      <c r="I1337" t="str">
        <f>IF(ISBLANK(Table1[[#This Row],[oid]]),"FALSE","TRUE")</f>
        <v>TRUE</v>
      </c>
      <c r="J1337" t="str" cm="1">
        <f t="array" ref="J1337">_xlfn.SWITCH(LEFT(Table1[[#This Row],[section]],1), "D", "Demographic", "S", "Social", "E", "Economic", "H", "Housing", "")</f>
        <v>Economic</v>
      </c>
      <c r="K1337" t="s">
        <v>4705</v>
      </c>
      <c r="L1337" t="s">
        <v>4706</v>
      </c>
      <c r="M1337" t="str">
        <f>IF(Table1[[#This Row],[used]], _xlfn.CONCAT("🆔 ", Table1[[#This Row],[variable]], ": ",Table1[[#This Row],[alias]]), "")</f>
        <v>🆔 C24010_042E: Female: Management business science and arts occupations: Management business and financial occupations: Business and financial operations occupations</v>
      </c>
      <c r="O1337" t="s">
        <v>4871</v>
      </c>
      <c r="P1337" t="s">
        <v>4707</v>
      </c>
      <c r="Q1337" t="s">
        <v>41</v>
      </c>
      <c r="R1337" t="s">
        <v>4872</v>
      </c>
      <c r="S1337" t="b">
        <v>1</v>
      </c>
      <c r="T1337" t="b">
        <v>1</v>
      </c>
      <c r="U1337" t="b">
        <v>1</v>
      </c>
      <c r="V1337" t="b">
        <v>1</v>
      </c>
      <c r="W1337" t="b">
        <v>1</v>
      </c>
      <c r="X1337" t="b">
        <v>1</v>
      </c>
      <c r="Y1337" t="b">
        <v>1</v>
      </c>
      <c r="Z1337" t="b">
        <v>1</v>
      </c>
      <c r="AA1337" t="b">
        <v>1</v>
      </c>
      <c r="AB1337" t="b">
        <v>1</v>
      </c>
      <c r="AC1337" t="b">
        <v>1</v>
      </c>
      <c r="AD1337" t="b">
        <v>1</v>
      </c>
      <c r="AE1337" t="b">
        <v>1</v>
      </c>
      <c r="AF1337" t="b">
        <v>1</v>
      </c>
      <c r="AG1337" t="b">
        <v>1</v>
      </c>
    </row>
    <row r="1338" spans="1:33" x14ac:dyDescent="0.25">
      <c r="A1338" t="s">
        <v>33</v>
      </c>
      <c r="B1338">
        <v>15</v>
      </c>
      <c r="C1338" t="b">
        <v>1</v>
      </c>
      <c r="D1338" t="s">
        <v>4701</v>
      </c>
      <c r="E1338" t="s">
        <v>4702</v>
      </c>
      <c r="F1338" t="s">
        <v>4873</v>
      </c>
      <c r="G1338" t="s">
        <v>4874</v>
      </c>
      <c r="H1338">
        <v>1337</v>
      </c>
      <c r="I1338" t="str">
        <f>IF(ISBLANK(Table1[[#This Row],[oid]]),"FALSE","TRUE")</f>
        <v>TRUE</v>
      </c>
      <c r="J1338" t="str" cm="1">
        <f t="array" ref="J1338">_xlfn.SWITCH(LEFT(Table1[[#This Row],[section]],1), "D", "Demographic", "S", "Social", "E", "Economic", "H", "Housing", "")</f>
        <v>Economic</v>
      </c>
      <c r="K1338" t="s">
        <v>4705</v>
      </c>
      <c r="L1338" t="s">
        <v>4706</v>
      </c>
      <c r="M1338" t="str">
        <f>IF(Table1[[#This Row],[used]], _xlfn.CONCAT("🆔 ", Table1[[#This Row],[variable]], ": ",Table1[[#This Row],[alias]]), "")</f>
        <v>🆔 C24010_043E: Female: Management business science and arts occupations: Computer engineering and science occupations</v>
      </c>
      <c r="O1338" t="s">
        <v>4875</v>
      </c>
      <c r="P1338" t="s">
        <v>4707</v>
      </c>
      <c r="Q1338" t="s">
        <v>41</v>
      </c>
      <c r="R1338" t="s">
        <v>4876</v>
      </c>
      <c r="S1338" t="b">
        <v>1</v>
      </c>
      <c r="T1338" t="b">
        <v>1</v>
      </c>
      <c r="U1338" t="b">
        <v>1</v>
      </c>
      <c r="V1338" t="b">
        <v>1</v>
      </c>
      <c r="W1338" t="b">
        <v>1</v>
      </c>
      <c r="X1338" t="b">
        <v>1</v>
      </c>
      <c r="Y1338" t="b">
        <v>1</v>
      </c>
      <c r="Z1338" t="b">
        <v>1</v>
      </c>
      <c r="AA1338" t="b">
        <v>1</v>
      </c>
      <c r="AB1338" t="b">
        <v>1</v>
      </c>
      <c r="AC1338" t="b">
        <v>1</v>
      </c>
      <c r="AD1338" t="b">
        <v>1</v>
      </c>
      <c r="AE1338" t="b">
        <v>1</v>
      </c>
      <c r="AF1338" t="b">
        <v>1</v>
      </c>
      <c r="AG1338" t="b">
        <v>1</v>
      </c>
    </row>
    <row r="1339" spans="1:33" x14ac:dyDescent="0.25">
      <c r="A1339" t="s">
        <v>33</v>
      </c>
      <c r="B1339">
        <v>15</v>
      </c>
      <c r="C1339" t="b">
        <v>1</v>
      </c>
      <c r="D1339" t="s">
        <v>4701</v>
      </c>
      <c r="E1339" t="s">
        <v>4702</v>
      </c>
      <c r="F1339" t="s">
        <v>4877</v>
      </c>
      <c r="G1339" t="s">
        <v>4878</v>
      </c>
      <c r="H1339">
        <v>1338</v>
      </c>
      <c r="I1339" t="str">
        <f>IF(ISBLANK(Table1[[#This Row],[oid]]),"FALSE","TRUE")</f>
        <v>TRUE</v>
      </c>
      <c r="J1339" t="str" cm="1">
        <f t="array" ref="J1339">_xlfn.SWITCH(LEFT(Table1[[#This Row],[section]],1), "D", "Demographic", "S", "Social", "E", "Economic", "H", "Housing", "")</f>
        <v>Economic</v>
      </c>
      <c r="K1339" t="s">
        <v>4705</v>
      </c>
      <c r="L1339" t="s">
        <v>4706</v>
      </c>
      <c r="M1339" t="str">
        <f>IF(Table1[[#This Row],[used]], _xlfn.CONCAT("🆔 ", Table1[[#This Row],[variable]], ": ",Table1[[#This Row],[alias]]), "")</f>
        <v>🆔 C24010_044E: Female: Management business science and arts occupations: Computer engineering and science occupations: Computer and mathematical occupations</v>
      </c>
      <c r="O1339" t="s">
        <v>4879</v>
      </c>
      <c r="P1339" t="s">
        <v>4707</v>
      </c>
      <c r="Q1339" t="s">
        <v>41</v>
      </c>
      <c r="R1339" t="s">
        <v>4880</v>
      </c>
      <c r="S1339" t="b">
        <v>1</v>
      </c>
      <c r="T1339" t="b">
        <v>1</v>
      </c>
      <c r="U1339" t="b">
        <v>1</v>
      </c>
      <c r="V1339" t="b">
        <v>1</v>
      </c>
      <c r="W1339" t="b">
        <v>1</v>
      </c>
      <c r="X1339" t="b">
        <v>1</v>
      </c>
      <c r="Y1339" t="b">
        <v>1</v>
      </c>
      <c r="Z1339" t="b">
        <v>1</v>
      </c>
      <c r="AA1339" t="b">
        <v>1</v>
      </c>
      <c r="AB1339" t="b">
        <v>1</v>
      </c>
      <c r="AC1339" t="b">
        <v>1</v>
      </c>
      <c r="AD1339" t="b">
        <v>1</v>
      </c>
      <c r="AE1339" t="b">
        <v>1</v>
      </c>
      <c r="AF1339" t="b">
        <v>1</v>
      </c>
      <c r="AG1339" t="b">
        <v>1</v>
      </c>
    </row>
    <row r="1340" spans="1:33" x14ac:dyDescent="0.25">
      <c r="A1340" t="s">
        <v>33</v>
      </c>
      <c r="B1340">
        <v>15</v>
      </c>
      <c r="C1340" t="b">
        <v>1</v>
      </c>
      <c r="D1340" t="s">
        <v>4701</v>
      </c>
      <c r="E1340" t="s">
        <v>4702</v>
      </c>
      <c r="F1340" t="s">
        <v>4881</v>
      </c>
      <c r="G1340" t="s">
        <v>4882</v>
      </c>
      <c r="H1340">
        <v>1339</v>
      </c>
      <c r="I1340" t="str">
        <f>IF(ISBLANK(Table1[[#This Row],[oid]]),"FALSE","TRUE")</f>
        <v>TRUE</v>
      </c>
      <c r="J1340" t="str" cm="1">
        <f t="array" ref="J1340">_xlfn.SWITCH(LEFT(Table1[[#This Row],[section]],1), "D", "Demographic", "S", "Social", "E", "Economic", "H", "Housing", "")</f>
        <v>Economic</v>
      </c>
      <c r="K1340" t="s">
        <v>4705</v>
      </c>
      <c r="L1340" t="s">
        <v>4706</v>
      </c>
      <c r="M1340" t="str">
        <f>IF(Table1[[#This Row],[used]], _xlfn.CONCAT("🆔 ", Table1[[#This Row],[variable]], ": ",Table1[[#This Row],[alias]]), "")</f>
        <v>🆔 C24010_045E: Female: Management business science and arts occupations: Computer engineering and science occupations: Architecture and engineering occupations</v>
      </c>
      <c r="O1340" t="s">
        <v>4883</v>
      </c>
      <c r="P1340" t="s">
        <v>4707</v>
      </c>
      <c r="Q1340" t="s">
        <v>41</v>
      </c>
      <c r="R1340" t="s">
        <v>4884</v>
      </c>
      <c r="S1340" t="b">
        <v>1</v>
      </c>
      <c r="T1340" t="b">
        <v>1</v>
      </c>
      <c r="U1340" t="b">
        <v>1</v>
      </c>
      <c r="V1340" t="b">
        <v>1</v>
      </c>
      <c r="W1340" t="b">
        <v>1</v>
      </c>
      <c r="X1340" t="b">
        <v>1</v>
      </c>
      <c r="Y1340" t="b">
        <v>1</v>
      </c>
      <c r="Z1340" t="b">
        <v>1</v>
      </c>
      <c r="AA1340" t="b">
        <v>1</v>
      </c>
      <c r="AB1340" t="b">
        <v>1</v>
      </c>
      <c r="AC1340" t="b">
        <v>1</v>
      </c>
      <c r="AD1340" t="b">
        <v>1</v>
      </c>
      <c r="AE1340" t="b">
        <v>1</v>
      </c>
      <c r="AF1340" t="b">
        <v>1</v>
      </c>
      <c r="AG1340" t="b">
        <v>1</v>
      </c>
    </row>
    <row r="1341" spans="1:33" x14ac:dyDescent="0.25">
      <c r="A1341" t="s">
        <v>33</v>
      </c>
      <c r="B1341">
        <v>15</v>
      </c>
      <c r="C1341" t="b">
        <v>1</v>
      </c>
      <c r="D1341" t="s">
        <v>4701</v>
      </c>
      <c r="E1341" t="s">
        <v>4702</v>
      </c>
      <c r="F1341" t="s">
        <v>4885</v>
      </c>
      <c r="G1341" t="s">
        <v>4886</v>
      </c>
      <c r="H1341">
        <v>1340</v>
      </c>
      <c r="I1341" t="str">
        <f>IF(ISBLANK(Table1[[#This Row],[oid]]),"FALSE","TRUE")</f>
        <v>TRUE</v>
      </c>
      <c r="J1341" t="str" cm="1">
        <f t="array" ref="J1341">_xlfn.SWITCH(LEFT(Table1[[#This Row],[section]],1), "D", "Demographic", "S", "Social", "E", "Economic", "H", "Housing", "")</f>
        <v>Economic</v>
      </c>
      <c r="K1341" t="s">
        <v>4705</v>
      </c>
      <c r="L1341" t="s">
        <v>4706</v>
      </c>
      <c r="M1341" t="str">
        <f>IF(Table1[[#This Row],[used]], _xlfn.CONCAT("🆔 ", Table1[[#This Row],[variable]], ": ",Table1[[#This Row],[alias]]), "")</f>
        <v>🆔 C24010_046E: Female: Management business science and arts occupations: Computer engineering and science occupations: Life physical and social science occupations</v>
      </c>
      <c r="O1341" t="s">
        <v>4887</v>
      </c>
      <c r="P1341" t="s">
        <v>4707</v>
      </c>
      <c r="Q1341" t="s">
        <v>41</v>
      </c>
      <c r="R1341" t="s">
        <v>4888</v>
      </c>
      <c r="S1341" t="b">
        <v>1</v>
      </c>
      <c r="T1341" t="b">
        <v>1</v>
      </c>
      <c r="U1341" t="b">
        <v>1</v>
      </c>
      <c r="V1341" t="b">
        <v>1</v>
      </c>
      <c r="W1341" t="b">
        <v>1</v>
      </c>
      <c r="X1341" t="b">
        <v>1</v>
      </c>
      <c r="Y1341" t="b">
        <v>1</v>
      </c>
      <c r="Z1341" t="b">
        <v>1</v>
      </c>
      <c r="AA1341" t="b">
        <v>1</v>
      </c>
      <c r="AB1341" t="b">
        <v>1</v>
      </c>
      <c r="AC1341" t="b">
        <v>1</v>
      </c>
      <c r="AD1341" t="b">
        <v>1</v>
      </c>
      <c r="AE1341" t="b">
        <v>1</v>
      </c>
      <c r="AF1341" t="b">
        <v>1</v>
      </c>
      <c r="AG1341" t="b">
        <v>1</v>
      </c>
    </row>
    <row r="1342" spans="1:33" x14ac:dyDescent="0.25">
      <c r="A1342" t="s">
        <v>33</v>
      </c>
      <c r="B1342">
        <v>15</v>
      </c>
      <c r="C1342" t="b">
        <v>1</v>
      </c>
      <c r="D1342" t="s">
        <v>4701</v>
      </c>
      <c r="E1342" t="s">
        <v>4702</v>
      </c>
      <c r="F1342" t="s">
        <v>4889</v>
      </c>
      <c r="G1342" t="s">
        <v>4890</v>
      </c>
      <c r="H1342">
        <v>1341</v>
      </c>
      <c r="I1342" t="str">
        <f>IF(ISBLANK(Table1[[#This Row],[oid]]),"FALSE","TRUE")</f>
        <v>TRUE</v>
      </c>
      <c r="J1342" t="str" cm="1">
        <f t="array" ref="J1342">_xlfn.SWITCH(LEFT(Table1[[#This Row],[section]],1), "D", "Demographic", "S", "Social", "E", "Economic", "H", "Housing", "")</f>
        <v>Economic</v>
      </c>
      <c r="K1342" t="s">
        <v>4705</v>
      </c>
      <c r="L1342" t="s">
        <v>4706</v>
      </c>
      <c r="M1342" t="str">
        <f>IF(Table1[[#This Row],[used]], _xlfn.CONCAT("🆔 ", Table1[[#This Row],[variable]], ": ",Table1[[#This Row],[alias]]), "")</f>
        <v>🆔 C24010_047E: Female: Management business science and arts occupations: Education legal community service arts and media occupations</v>
      </c>
      <c r="O1342" t="s">
        <v>4891</v>
      </c>
      <c r="P1342" t="s">
        <v>4707</v>
      </c>
      <c r="Q1342" t="s">
        <v>41</v>
      </c>
      <c r="R1342" t="s">
        <v>4892</v>
      </c>
      <c r="S1342" t="b">
        <v>1</v>
      </c>
      <c r="T1342" t="b">
        <v>1</v>
      </c>
      <c r="U1342" t="b">
        <v>1</v>
      </c>
      <c r="V1342" t="b">
        <v>1</v>
      </c>
      <c r="W1342" t="b">
        <v>1</v>
      </c>
      <c r="X1342" t="b">
        <v>1</v>
      </c>
      <c r="Y1342" t="b">
        <v>1</v>
      </c>
      <c r="Z1342" t="b">
        <v>1</v>
      </c>
      <c r="AA1342" t="b">
        <v>1</v>
      </c>
      <c r="AB1342" t="b">
        <v>1</v>
      </c>
      <c r="AC1342" t="b">
        <v>1</v>
      </c>
      <c r="AD1342" t="b">
        <v>1</v>
      </c>
      <c r="AE1342" t="b">
        <v>1</v>
      </c>
      <c r="AF1342" t="b">
        <v>1</v>
      </c>
      <c r="AG1342" t="b">
        <v>1</v>
      </c>
    </row>
    <row r="1343" spans="1:33" x14ac:dyDescent="0.25">
      <c r="A1343" t="s">
        <v>33</v>
      </c>
      <c r="B1343">
        <v>15</v>
      </c>
      <c r="C1343" t="b">
        <v>1</v>
      </c>
      <c r="D1343" t="s">
        <v>4701</v>
      </c>
      <c r="E1343" t="s">
        <v>4702</v>
      </c>
      <c r="F1343" t="s">
        <v>4893</v>
      </c>
      <c r="G1343" t="s">
        <v>4894</v>
      </c>
      <c r="H1343">
        <v>1342</v>
      </c>
      <c r="I1343" t="str">
        <f>IF(ISBLANK(Table1[[#This Row],[oid]]),"FALSE","TRUE")</f>
        <v>TRUE</v>
      </c>
      <c r="J1343" t="str" cm="1">
        <f t="array" ref="J1343">_xlfn.SWITCH(LEFT(Table1[[#This Row],[section]],1), "D", "Demographic", "S", "Social", "E", "Economic", "H", "Housing", "")</f>
        <v>Economic</v>
      </c>
      <c r="K1343" t="s">
        <v>4705</v>
      </c>
      <c r="L1343" t="s">
        <v>4706</v>
      </c>
      <c r="M1343" t="str">
        <f>IF(Table1[[#This Row],[used]], _xlfn.CONCAT("🆔 ", Table1[[#This Row],[variable]], ": ",Table1[[#This Row],[alias]]), "")</f>
        <v>🆔 C24010_048E: Female: Management business science and arts occupations: Education legal community service arts and media occupations: Community and social service occupations</v>
      </c>
      <c r="O1343" t="s">
        <v>4895</v>
      </c>
      <c r="P1343" t="s">
        <v>4707</v>
      </c>
      <c r="Q1343" t="s">
        <v>41</v>
      </c>
      <c r="R1343" t="s">
        <v>4896</v>
      </c>
      <c r="S1343" t="b">
        <v>1</v>
      </c>
      <c r="T1343" t="b">
        <v>1</v>
      </c>
      <c r="U1343" t="b">
        <v>1</v>
      </c>
      <c r="V1343" t="b">
        <v>1</v>
      </c>
      <c r="W1343" t="b">
        <v>1</v>
      </c>
      <c r="X1343" t="b">
        <v>1</v>
      </c>
      <c r="Y1343" t="b">
        <v>1</v>
      </c>
      <c r="Z1343" t="b">
        <v>1</v>
      </c>
      <c r="AA1343" t="b">
        <v>1</v>
      </c>
      <c r="AB1343" t="b">
        <v>1</v>
      </c>
      <c r="AC1343" t="b">
        <v>1</v>
      </c>
      <c r="AD1343" t="b">
        <v>1</v>
      </c>
      <c r="AE1343" t="b">
        <v>1</v>
      </c>
      <c r="AF1343" t="b">
        <v>1</v>
      </c>
      <c r="AG1343" t="b">
        <v>1</v>
      </c>
    </row>
    <row r="1344" spans="1:33" x14ac:dyDescent="0.25">
      <c r="A1344" t="s">
        <v>33</v>
      </c>
      <c r="B1344">
        <v>15</v>
      </c>
      <c r="C1344" t="b">
        <v>1</v>
      </c>
      <c r="D1344" t="s">
        <v>4701</v>
      </c>
      <c r="E1344" t="s">
        <v>4702</v>
      </c>
      <c r="F1344" t="s">
        <v>4897</v>
      </c>
      <c r="G1344" t="s">
        <v>4898</v>
      </c>
      <c r="H1344">
        <v>1343</v>
      </c>
      <c r="I1344" t="str">
        <f>IF(ISBLANK(Table1[[#This Row],[oid]]),"FALSE","TRUE")</f>
        <v>TRUE</v>
      </c>
      <c r="J1344" t="str" cm="1">
        <f t="array" ref="J1344">_xlfn.SWITCH(LEFT(Table1[[#This Row],[section]],1), "D", "Demographic", "S", "Social", "E", "Economic", "H", "Housing", "")</f>
        <v>Economic</v>
      </c>
      <c r="K1344" t="s">
        <v>4705</v>
      </c>
      <c r="L1344" t="s">
        <v>4706</v>
      </c>
      <c r="M1344" t="str">
        <f>IF(Table1[[#This Row],[used]], _xlfn.CONCAT("🆔 ", Table1[[#This Row],[variable]], ": ",Table1[[#This Row],[alias]]), "")</f>
        <v>🆔 C24010_049E: Female: Management business science and arts occupations: Education legal community service arts and media occupations: Legal occupations</v>
      </c>
      <c r="O1344" t="s">
        <v>4899</v>
      </c>
      <c r="P1344" t="s">
        <v>4707</v>
      </c>
      <c r="Q1344" t="s">
        <v>41</v>
      </c>
      <c r="R1344" t="s">
        <v>4900</v>
      </c>
      <c r="S1344" t="b">
        <v>1</v>
      </c>
      <c r="T1344" t="b">
        <v>1</v>
      </c>
      <c r="U1344" t="b">
        <v>1</v>
      </c>
      <c r="V1344" t="b">
        <v>1</v>
      </c>
      <c r="W1344" t="b">
        <v>1</v>
      </c>
      <c r="X1344" t="b">
        <v>1</v>
      </c>
      <c r="Y1344" t="b">
        <v>1</v>
      </c>
      <c r="Z1344" t="b">
        <v>1</v>
      </c>
      <c r="AA1344" t="b">
        <v>1</v>
      </c>
      <c r="AB1344" t="b">
        <v>1</v>
      </c>
      <c r="AC1344" t="b">
        <v>1</v>
      </c>
      <c r="AD1344" t="b">
        <v>1</v>
      </c>
      <c r="AE1344" t="b">
        <v>1</v>
      </c>
      <c r="AF1344" t="b">
        <v>1</v>
      </c>
      <c r="AG1344" t="b">
        <v>1</v>
      </c>
    </row>
    <row r="1345" spans="1:33" x14ac:dyDescent="0.25">
      <c r="A1345" t="s">
        <v>3555</v>
      </c>
      <c r="B1345">
        <v>8</v>
      </c>
      <c r="C1345" t="b">
        <v>0</v>
      </c>
      <c r="D1345" t="s">
        <v>4701</v>
      </c>
      <c r="E1345" t="s">
        <v>4702</v>
      </c>
      <c r="F1345" t="s">
        <v>4901</v>
      </c>
      <c r="G1345" t="s">
        <v>4902</v>
      </c>
      <c r="H1345">
        <v>1344</v>
      </c>
      <c r="I1345" t="str">
        <f>IF(ISBLANK(Table1[[#This Row],[oid]]),"FALSE","TRUE")</f>
        <v>TRUE</v>
      </c>
      <c r="J1345" t="str" cm="1">
        <f t="array" ref="J1345">_xlfn.SWITCH(LEFT(Table1[[#This Row],[section]],1), "D", "Demographic", "S", "Social", "E", "Economic", "H", "Housing", "")</f>
        <v>Economic</v>
      </c>
      <c r="K1345" t="s">
        <v>4705</v>
      </c>
      <c r="L1345" t="s">
        <v>4706</v>
      </c>
      <c r="M1345" t="str">
        <f>IF(Table1[[#This Row],[used]], _xlfn.CONCAT("🆔 ", Table1[[#This Row],[variable]], ": ",Table1[[#This Row],[alias]]), "")</f>
        <v>🆔 C24010_050E: Female: Management business science and arts occupations: Education legal community service arts and media occupations: Education training and library occupations</v>
      </c>
      <c r="O1345" t="s">
        <v>4903</v>
      </c>
      <c r="P1345" t="s">
        <v>4707</v>
      </c>
      <c r="Q1345" t="s">
        <v>41</v>
      </c>
      <c r="R1345" t="s">
        <v>4904</v>
      </c>
      <c r="S1345" t="b">
        <v>1</v>
      </c>
      <c r="T1345" t="b">
        <v>1</v>
      </c>
      <c r="U1345" t="b">
        <v>1</v>
      </c>
      <c r="V1345" t="b">
        <v>1</v>
      </c>
      <c r="W1345" t="b">
        <v>1</v>
      </c>
      <c r="X1345" t="b">
        <v>1</v>
      </c>
      <c r="Y1345" t="b">
        <v>1</v>
      </c>
      <c r="Z1345" t="b">
        <v>1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</row>
    <row r="1346" spans="1:33" x14ac:dyDescent="0.25">
      <c r="A1346" t="s">
        <v>3560</v>
      </c>
      <c r="B1346">
        <v>7</v>
      </c>
      <c r="C1346" t="b">
        <v>0</v>
      </c>
      <c r="D1346" t="s">
        <v>4701</v>
      </c>
      <c r="E1346" t="s">
        <v>4702</v>
      </c>
      <c r="F1346" t="s">
        <v>4901</v>
      </c>
      <c r="G1346" t="s">
        <v>4905</v>
      </c>
      <c r="H1346">
        <v>1345</v>
      </c>
      <c r="I1346" t="str">
        <f>IF(ISBLANK(Table1[[#This Row],[oid]]),"FALSE","TRUE")</f>
        <v>TRUE</v>
      </c>
      <c r="J1346" t="str" cm="1">
        <f t="array" ref="J1346">_xlfn.SWITCH(LEFT(Table1[[#This Row],[section]],1), "D", "Demographic", "S", "Social", "E", "Economic", "H", "Housing", "")</f>
        <v>Economic</v>
      </c>
      <c r="K1346" t="s">
        <v>4705</v>
      </c>
      <c r="L1346" t="s">
        <v>4706</v>
      </c>
      <c r="M1346" t="str">
        <f>IF(Table1[[#This Row],[used]], _xlfn.CONCAT("🆔 ", Table1[[#This Row],[variable]], ": ",Table1[[#This Row],[alias]]), "")</f>
        <v>🆔 C24010_050E: Female: Management business science and arts occupations: Education legal community service arts and media occupations: Educational instruction and library occupations</v>
      </c>
      <c r="O1346" t="s">
        <v>4906</v>
      </c>
      <c r="P1346" t="s">
        <v>4707</v>
      </c>
      <c r="Q1346" t="s">
        <v>41</v>
      </c>
      <c r="R1346" t="s">
        <v>4904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1</v>
      </c>
      <c r="AB1346" t="b">
        <v>1</v>
      </c>
      <c r="AC1346" t="b">
        <v>1</v>
      </c>
      <c r="AD1346" t="b">
        <v>1</v>
      </c>
      <c r="AE1346" t="b">
        <v>1</v>
      </c>
      <c r="AF1346" t="b">
        <v>1</v>
      </c>
      <c r="AG1346" t="b">
        <v>1</v>
      </c>
    </row>
    <row r="1347" spans="1:33" x14ac:dyDescent="0.25">
      <c r="A1347" t="s">
        <v>33</v>
      </c>
      <c r="B1347">
        <v>15</v>
      </c>
      <c r="C1347" t="b">
        <v>1</v>
      </c>
      <c r="D1347" t="s">
        <v>4701</v>
      </c>
      <c r="E1347" t="s">
        <v>4702</v>
      </c>
      <c r="F1347" t="s">
        <v>4907</v>
      </c>
      <c r="G1347" t="s">
        <v>4908</v>
      </c>
      <c r="H1347">
        <v>1346</v>
      </c>
      <c r="I1347" t="str">
        <f>IF(ISBLANK(Table1[[#This Row],[oid]]),"FALSE","TRUE")</f>
        <v>TRUE</v>
      </c>
      <c r="J1347" t="str" cm="1">
        <f t="array" ref="J1347">_xlfn.SWITCH(LEFT(Table1[[#This Row],[section]],1), "D", "Demographic", "S", "Social", "E", "Economic", "H", "Housing", "")</f>
        <v>Economic</v>
      </c>
      <c r="K1347" t="s">
        <v>4705</v>
      </c>
      <c r="L1347" t="s">
        <v>4706</v>
      </c>
      <c r="M1347" t="str">
        <f>IF(Table1[[#This Row],[used]], _xlfn.CONCAT("🆔 ", Table1[[#This Row],[variable]], ": ",Table1[[#This Row],[alias]]), "")</f>
        <v>🆔 C24010_051E: Female: Management business science and arts occupations: Education legal community service arts and media occupations: Arts design entertainment sports and media occupations</v>
      </c>
      <c r="O1347" t="s">
        <v>4909</v>
      </c>
      <c r="P1347" t="s">
        <v>4707</v>
      </c>
      <c r="Q1347" t="s">
        <v>41</v>
      </c>
      <c r="R1347" t="s">
        <v>4910</v>
      </c>
      <c r="S1347" t="b">
        <v>1</v>
      </c>
      <c r="T1347" t="b">
        <v>1</v>
      </c>
      <c r="U1347" t="b">
        <v>1</v>
      </c>
      <c r="V1347" t="b">
        <v>1</v>
      </c>
      <c r="W1347" t="b">
        <v>1</v>
      </c>
      <c r="X1347" t="b">
        <v>1</v>
      </c>
      <c r="Y1347" t="b">
        <v>1</v>
      </c>
      <c r="Z1347" t="b">
        <v>1</v>
      </c>
      <c r="AA1347" t="b">
        <v>1</v>
      </c>
      <c r="AB1347" t="b">
        <v>1</v>
      </c>
      <c r="AC1347" t="b">
        <v>1</v>
      </c>
      <c r="AD1347" t="b">
        <v>1</v>
      </c>
      <c r="AE1347" t="b">
        <v>1</v>
      </c>
      <c r="AF1347" t="b">
        <v>1</v>
      </c>
      <c r="AG1347" t="b">
        <v>1</v>
      </c>
    </row>
    <row r="1348" spans="1:33" x14ac:dyDescent="0.25">
      <c r="A1348" t="s">
        <v>33</v>
      </c>
      <c r="B1348">
        <v>15</v>
      </c>
      <c r="C1348" t="b">
        <v>1</v>
      </c>
      <c r="D1348" t="s">
        <v>4701</v>
      </c>
      <c r="E1348" t="s">
        <v>4702</v>
      </c>
      <c r="F1348" t="s">
        <v>4911</v>
      </c>
      <c r="G1348" t="s">
        <v>4912</v>
      </c>
      <c r="H1348">
        <v>1347</v>
      </c>
      <c r="I1348" t="str">
        <f>IF(ISBLANK(Table1[[#This Row],[oid]]),"FALSE","TRUE")</f>
        <v>TRUE</v>
      </c>
      <c r="J1348" t="str" cm="1">
        <f t="array" ref="J1348">_xlfn.SWITCH(LEFT(Table1[[#This Row],[section]],1), "D", "Demographic", "S", "Social", "E", "Economic", "H", "Housing", "")</f>
        <v>Economic</v>
      </c>
      <c r="K1348" t="s">
        <v>4705</v>
      </c>
      <c r="L1348" t="s">
        <v>4706</v>
      </c>
      <c r="M1348" t="str">
        <f>IF(Table1[[#This Row],[used]], _xlfn.CONCAT("🆔 ", Table1[[#This Row],[variable]], ": ",Table1[[#This Row],[alias]]), "")</f>
        <v>🆔 C24010_052E: Female: Management business science and arts occupations: Healthcare practitioners and technical occupations</v>
      </c>
      <c r="O1348" t="s">
        <v>4913</v>
      </c>
      <c r="P1348" t="s">
        <v>4707</v>
      </c>
      <c r="Q1348" t="s">
        <v>41</v>
      </c>
      <c r="R1348" t="s">
        <v>4914</v>
      </c>
      <c r="S1348" t="b">
        <v>1</v>
      </c>
      <c r="T1348" t="b">
        <v>1</v>
      </c>
      <c r="U1348" t="b">
        <v>1</v>
      </c>
      <c r="V1348" t="b">
        <v>1</v>
      </c>
      <c r="W1348" t="b">
        <v>1</v>
      </c>
      <c r="X1348" t="b">
        <v>1</v>
      </c>
      <c r="Y1348" t="b">
        <v>1</v>
      </c>
      <c r="Z1348" t="b">
        <v>1</v>
      </c>
      <c r="AA1348" t="b">
        <v>1</v>
      </c>
      <c r="AB1348" t="b">
        <v>1</v>
      </c>
      <c r="AC1348" t="b">
        <v>1</v>
      </c>
      <c r="AD1348" t="b">
        <v>1</v>
      </c>
      <c r="AE1348" t="b">
        <v>1</v>
      </c>
      <c r="AF1348" t="b">
        <v>1</v>
      </c>
      <c r="AG1348" t="b">
        <v>1</v>
      </c>
    </row>
    <row r="1349" spans="1:33" x14ac:dyDescent="0.25">
      <c r="A1349" t="s">
        <v>33</v>
      </c>
      <c r="B1349">
        <v>15</v>
      </c>
      <c r="C1349" t="b">
        <v>1</v>
      </c>
      <c r="D1349" t="s">
        <v>4701</v>
      </c>
      <c r="E1349" t="s">
        <v>4702</v>
      </c>
      <c r="F1349" t="s">
        <v>4915</v>
      </c>
      <c r="G1349" t="s">
        <v>4916</v>
      </c>
      <c r="H1349">
        <v>1348</v>
      </c>
      <c r="I1349" t="str">
        <f>IF(ISBLANK(Table1[[#This Row],[oid]]),"FALSE","TRUE")</f>
        <v>TRUE</v>
      </c>
      <c r="J1349" t="str" cm="1">
        <f t="array" ref="J1349">_xlfn.SWITCH(LEFT(Table1[[#This Row],[section]],1), "D", "Demographic", "S", "Social", "E", "Economic", "H", "Housing", "")</f>
        <v>Economic</v>
      </c>
      <c r="K1349" t="s">
        <v>4705</v>
      </c>
      <c r="L1349" t="s">
        <v>4706</v>
      </c>
      <c r="M1349" t="str">
        <f>IF(Table1[[#This Row],[used]], _xlfn.CONCAT("🆔 ", Table1[[#This Row],[variable]], ": ",Table1[[#This Row],[alias]]), "")</f>
        <v>🆔 C24010_053E: Female: Management business science and arts occupations: Healthcare practitioners and technical occupations: Health diagnosing and treating practitioners and other technical occupations</v>
      </c>
      <c r="O1349" t="s">
        <v>4917</v>
      </c>
      <c r="P1349" t="s">
        <v>4707</v>
      </c>
      <c r="Q1349" t="s">
        <v>41</v>
      </c>
      <c r="R1349" t="s">
        <v>4918</v>
      </c>
      <c r="S1349" t="b">
        <v>1</v>
      </c>
      <c r="T1349" t="b">
        <v>1</v>
      </c>
      <c r="U1349" t="b">
        <v>1</v>
      </c>
      <c r="V1349" t="b">
        <v>1</v>
      </c>
      <c r="W1349" t="b">
        <v>1</v>
      </c>
      <c r="X1349" t="b">
        <v>1</v>
      </c>
      <c r="Y1349" t="b">
        <v>1</v>
      </c>
      <c r="Z1349" t="b">
        <v>1</v>
      </c>
      <c r="AA1349" t="b">
        <v>1</v>
      </c>
      <c r="AB1349" t="b">
        <v>1</v>
      </c>
      <c r="AC1349" t="b">
        <v>1</v>
      </c>
      <c r="AD1349" t="b">
        <v>1</v>
      </c>
      <c r="AE1349" t="b">
        <v>1</v>
      </c>
      <c r="AF1349" t="b">
        <v>1</v>
      </c>
      <c r="AG1349" t="b">
        <v>1</v>
      </c>
    </row>
    <row r="1350" spans="1:33" x14ac:dyDescent="0.25">
      <c r="A1350" t="s">
        <v>33</v>
      </c>
      <c r="B1350">
        <v>15</v>
      </c>
      <c r="C1350" t="b">
        <v>1</v>
      </c>
      <c r="D1350" t="s">
        <v>4701</v>
      </c>
      <c r="E1350" t="s">
        <v>4702</v>
      </c>
      <c r="F1350" t="s">
        <v>4919</v>
      </c>
      <c r="G1350" t="s">
        <v>4920</v>
      </c>
      <c r="H1350">
        <v>1349</v>
      </c>
      <c r="I1350" t="str">
        <f>IF(ISBLANK(Table1[[#This Row],[oid]]),"FALSE","TRUE")</f>
        <v>TRUE</v>
      </c>
      <c r="J1350" t="str" cm="1">
        <f t="array" ref="J1350">_xlfn.SWITCH(LEFT(Table1[[#This Row],[section]],1), "D", "Demographic", "S", "Social", "E", "Economic", "H", "Housing", "")</f>
        <v>Economic</v>
      </c>
      <c r="K1350" t="s">
        <v>4705</v>
      </c>
      <c r="L1350" t="s">
        <v>4706</v>
      </c>
      <c r="M1350" t="str">
        <f>IF(Table1[[#This Row],[used]], _xlfn.CONCAT("🆔 ", Table1[[#This Row],[variable]], ": ",Table1[[#This Row],[alias]]), "")</f>
        <v>🆔 C24010_054E: Female: Management business science and arts occupations: Healthcare practitioners and technical occupations: Health technologists and technicians</v>
      </c>
      <c r="O1350" t="s">
        <v>4921</v>
      </c>
      <c r="P1350" t="s">
        <v>4707</v>
      </c>
      <c r="Q1350" t="s">
        <v>41</v>
      </c>
      <c r="R1350" t="s">
        <v>4922</v>
      </c>
      <c r="S1350" t="b">
        <v>1</v>
      </c>
      <c r="T1350" t="b">
        <v>1</v>
      </c>
      <c r="U1350" t="b">
        <v>1</v>
      </c>
      <c r="V1350" t="b">
        <v>1</v>
      </c>
      <c r="W1350" t="b">
        <v>1</v>
      </c>
      <c r="X1350" t="b">
        <v>1</v>
      </c>
      <c r="Y1350" t="b">
        <v>1</v>
      </c>
      <c r="Z1350" t="b">
        <v>1</v>
      </c>
      <c r="AA1350" t="b">
        <v>1</v>
      </c>
      <c r="AB1350" t="b">
        <v>1</v>
      </c>
      <c r="AC1350" t="b">
        <v>1</v>
      </c>
      <c r="AD1350" t="b">
        <v>1</v>
      </c>
      <c r="AE1350" t="b">
        <v>1</v>
      </c>
      <c r="AF1350" t="b">
        <v>1</v>
      </c>
      <c r="AG1350" t="b">
        <v>1</v>
      </c>
    </row>
    <row r="1351" spans="1:33" x14ac:dyDescent="0.25">
      <c r="A1351" t="s">
        <v>33</v>
      </c>
      <c r="B1351">
        <v>15</v>
      </c>
      <c r="C1351" t="b">
        <v>1</v>
      </c>
      <c r="D1351" t="s">
        <v>4701</v>
      </c>
      <c r="E1351" t="s">
        <v>4702</v>
      </c>
      <c r="F1351" t="s">
        <v>4923</v>
      </c>
      <c r="G1351" t="s">
        <v>4924</v>
      </c>
      <c r="H1351">
        <v>1350</v>
      </c>
      <c r="I1351" t="str">
        <f>IF(ISBLANK(Table1[[#This Row],[oid]]),"FALSE","TRUE")</f>
        <v>TRUE</v>
      </c>
      <c r="J1351" t="str" cm="1">
        <f t="array" ref="J1351">_xlfn.SWITCH(LEFT(Table1[[#This Row],[section]],1), "D", "Demographic", "S", "Social", "E", "Economic", "H", "Housing", "")</f>
        <v>Economic</v>
      </c>
      <c r="K1351" t="s">
        <v>4705</v>
      </c>
      <c r="L1351" t="s">
        <v>4706</v>
      </c>
      <c r="M1351" t="str">
        <f>IF(Table1[[#This Row],[used]], _xlfn.CONCAT("🆔 ", Table1[[#This Row],[variable]], ": ",Table1[[#This Row],[alias]]), "")</f>
        <v>🆔 C24010_055E: Female: Service occupations</v>
      </c>
      <c r="O1351" t="s">
        <v>4925</v>
      </c>
      <c r="P1351" t="s">
        <v>4707</v>
      </c>
      <c r="Q1351" t="s">
        <v>41</v>
      </c>
      <c r="R1351" t="s">
        <v>4926</v>
      </c>
      <c r="S1351" t="b">
        <v>1</v>
      </c>
      <c r="T1351" t="b">
        <v>1</v>
      </c>
      <c r="U1351" t="b">
        <v>1</v>
      </c>
      <c r="V1351" t="b">
        <v>1</v>
      </c>
      <c r="W1351" t="b">
        <v>1</v>
      </c>
      <c r="X1351" t="b">
        <v>1</v>
      </c>
      <c r="Y1351" t="b">
        <v>1</v>
      </c>
      <c r="Z1351" t="b">
        <v>1</v>
      </c>
      <c r="AA1351" t="b">
        <v>1</v>
      </c>
      <c r="AB1351" t="b">
        <v>1</v>
      </c>
      <c r="AC1351" t="b">
        <v>1</v>
      </c>
      <c r="AD1351" t="b">
        <v>1</v>
      </c>
      <c r="AE1351" t="b">
        <v>1</v>
      </c>
      <c r="AF1351" t="b">
        <v>1</v>
      </c>
      <c r="AG1351" t="b">
        <v>1</v>
      </c>
    </row>
    <row r="1352" spans="1:33" x14ac:dyDescent="0.25">
      <c r="A1352" t="s">
        <v>33</v>
      </c>
      <c r="B1352">
        <v>15</v>
      </c>
      <c r="C1352" t="b">
        <v>1</v>
      </c>
      <c r="D1352" t="s">
        <v>4701</v>
      </c>
      <c r="E1352" t="s">
        <v>4702</v>
      </c>
      <c r="F1352" t="s">
        <v>4927</v>
      </c>
      <c r="G1352" t="s">
        <v>4928</v>
      </c>
      <c r="H1352">
        <v>1351</v>
      </c>
      <c r="I1352" t="str">
        <f>IF(ISBLANK(Table1[[#This Row],[oid]]),"FALSE","TRUE")</f>
        <v>TRUE</v>
      </c>
      <c r="J1352" t="str" cm="1">
        <f t="array" ref="J1352">_xlfn.SWITCH(LEFT(Table1[[#This Row],[section]],1), "D", "Demographic", "S", "Social", "E", "Economic", "H", "Housing", "")</f>
        <v>Economic</v>
      </c>
      <c r="K1352" t="s">
        <v>4705</v>
      </c>
      <c r="L1352" t="s">
        <v>4706</v>
      </c>
      <c r="M1352" t="str">
        <f>IF(Table1[[#This Row],[used]], _xlfn.CONCAT("🆔 ", Table1[[#This Row],[variable]], ": ",Table1[[#This Row],[alias]]), "")</f>
        <v>🆔 C24010_056E: Female: Service occupations: Healthcare support occupations</v>
      </c>
      <c r="O1352" t="s">
        <v>4929</v>
      </c>
      <c r="P1352" t="s">
        <v>4707</v>
      </c>
      <c r="Q1352" t="s">
        <v>41</v>
      </c>
      <c r="R1352" t="s">
        <v>4930</v>
      </c>
      <c r="S1352" t="b">
        <v>1</v>
      </c>
      <c r="T1352" t="b">
        <v>1</v>
      </c>
      <c r="U1352" t="b">
        <v>1</v>
      </c>
      <c r="V1352" t="b">
        <v>1</v>
      </c>
      <c r="W1352" t="b">
        <v>1</v>
      </c>
      <c r="X1352" t="b">
        <v>1</v>
      </c>
      <c r="Y1352" t="b">
        <v>1</v>
      </c>
      <c r="Z1352" t="b">
        <v>1</v>
      </c>
      <c r="AA1352" t="b">
        <v>1</v>
      </c>
      <c r="AB1352" t="b">
        <v>1</v>
      </c>
      <c r="AC1352" t="b">
        <v>1</v>
      </c>
      <c r="AD1352" t="b">
        <v>1</v>
      </c>
      <c r="AE1352" t="b">
        <v>1</v>
      </c>
      <c r="AF1352" t="b">
        <v>1</v>
      </c>
      <c r="AG1352" t="b">
        <v>1</v>
      </c>
    </row>
    <row r="1353" spans="1:33" x14ac:dyDescent="0.25">
      <c r="A1353" t="s">
        <v>33</v>
      </c>
      <c r="B1353">
        <v>15</v>
      </c>
      <c r="C1353" t="b">
        <v>1</v>
      </c>
      <c r="D1353" t="s">
        <v>4701</v>
      </c>
      <c r="E1353" t="s">
        <v>4702</v>
      </c>
      <c r="F1353" t="s">
        <v>4931</v>
      </c>
      <c r="G1353" t="s">
        <v>4932</v>
      </c>
      <c r="H1353">
        <v>1352</v>
      </c>
      <c r="I1353" t="str">
        <f>IF(ISBLANK(Table1[[#This Row],[oid]]),"FALSE","TRUE")</f>
        <v>TRUE</v>
      </c>
      <c r="J1353" t="str" cm="1">
        <f t="array" ref="J1353">_xlfn.SWITCH(LEFT(Table1[[#This Row],[section]],1), "D", "Demographic", "S", "Social", "E", "Economic", "H", "Housing", "")</f>
        <v>Economic</v>
      </c>
      <c r="K1353" t="s">
        <v>4705</v>
      </c>
      <c r="L1353" t="s">
        <v>4706</v>
      </c>
      <c r="M1353" t="str">
        <f>IF(Table1[[#This Row],[used]], _xlfn.CONCAT("🆔 ", Table1[[#This Row],[variable]], ": ",Table1[[#This Row],[alias]]), "")</f>
        <v>🆔 C24010_057E: Female: Service occupations: Protective service occupations</v>
      </c>
      <c r="O1353" t="s">
        <v>4933</v>
      </c>
      <c r="P1353" t="s">
        <v>4707</v>
      </c>
      <c r="Q1353" t="s">
        <v>41</v>
      </c>
      <c r="R1353" t="s">
        <v>4934</v>
      </c>
      <c r="S1353" t="b">
        <v>1</v>
      </c>
      <c r="T1353" t="b">
        <v>1</v>
      </c>
      <c r="U1353" t="b">
        <v>1</v>
      </c>
      <c r="V1353" t="b">
        <v>1</v>
      </c>
      <c r="W1353" t="b">
        <v>1</v>
      </c>
      <c r="X1353" t="b">
        <v>1</v>
      </c>
      <c r="Y1353" t="b">
        <v>1</v>
      </c>
      <c r="Z1353" t="b">
        <v>1</v>
      </c>
      <c r="AA1353" t="b">
        <v>1</v>
      </c>
      <c r="AB1353" t="b">
        <v>1</v>
      </c>
      <c r="AC1353" t="b">
        <v>1</v>
      </c>
      <c r="AD1353" t="b">
        <v>1</v>
      </c>
      <c r="AE1353" t="b">
        <v>1</v>
      </c>
      <c r="AF1353" t="b">
        <v>1</v>
      </c>
      <c r="AG1353" t="b">
        <v>1</v>
      </c>
    </row>
    <row r="1354" spans="1:33" x14ac:dyDescent="0.25">
      <c r="A1354" t="s">
        <v>3555</v>
      </c>
      <c r="B1354">
        <v>8</v>
      </c>
      <c r="C1354" t="b">
        <v>0</v>
      </c>
      <c r="D1354" t="s">
        <v>4701</v>
      </c>
      <c r="E1354" t="s">
        <v>4702</v>
      </c>
      <c r="F1354" t="s">
        <v>4935</v>
      </c>
      <c r="G1354" t="s">
        <v>4936</v>
      </c>
      <c r="H1354">
        <v>1353</v>
      </c>
      <c r="I1354" t="str">
        <f>IF(ISBLANK(Table1[[#This Row],[oid]]),"FALSE","TRUE")</f>
        <v>TRUE</v>
      </c>
      <c r="J1354" t="str" cm="1">
        <f t="array" ref="J1354">_xlfn.SWITCH(LEFT(Table1[[#This Row],[section]],1), "D", "Demographic", "S", "Social", "E", "Economic", "H", "Housing", "")</f>
        <v>Economic</v>
      </c>
      <c r="K1354" t="s">
        <v>4705</v>
      </c>
      <c r="L1354" t="s">
        <v>4706</v>
      </c>
      <c r="M1354" t="str">
        <f>IF(Table1[[#This Row],[used]], _xlfn.CONCAT("🆔 ", Table1[[#This Row],[variable]], ": ",Table1[[#This Row],[alias]]), "")</f>
        <v>🆔 C24010_058E: Female: Service occupations: Protective service occupations: Fire fighting and prevention and other protective service workers including supervisors</v>
      </c>
      <c r="O1354" t="s">
        <v>4937</v>
      </c>
      <c r="P1354" t="s">
        <v>4707</v>
      </c>
      <c r="Q1354" t="s">
        <v>41</v>
      </c>
      <c r="R1354" t="s">
        <v>4938</v>
      </c>
      <c r="S1354" t="b">
        <v>1</v>
      </c>
      <c r="T1354" t="b">
        <v>1</v>
      </c>
      <c r="U1354" t="b">
        <v>1</v>
      </c>
      <c r="V1354" t="b">
        <v>1</v>
      </c>
      <c r="W1354" t="b">
        <v>1</v>
      </c>
      <c r="X1354" t="b">
        <v>1</v>
      </c>
      <c r="Y1354" t="b">
        <v>1</v>
      </c>
      <c r="Z1354" t="b">
        <v>1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</row>
    <row r="1355" spans="1:33" x14ac:dyDescent="0.25">
      <c r="A1355" t="s">
        <v>3560</v>
      </c>
      <c r="B1355">
        <v>7</v>
      </c>
      <c r="C1355" t="b">
        <v>0</v>
      </c>
      <c r="D1355" t="s">
        <v>4701</v>
      </c>
      <c r="E1355" t="s">
        <v>4702</v>
      </c>
      <c r="F1355" t="s">
        <v>4935</v>
      </c>
      <c r="G1355" t="s">
        <v>4939</v>
      </c>
      <c r="H1355">
        <v>1354</v>
      </c>
      <c r="I1355" t="str">
        <f>IF(ISBLANK(Table1[[#This Row],[oid]]),"FALSE","TRUE")</f>
        <v>TRUE</v>
      </c>
      <c r="J1355" t="str" cm="1">
        <f t="array" ref="J1355">_xlfn.SWITCH(LEFT(Table1[[#This Row],[section]],1), "D", "Demographic", "S", "Social", "E", "Economic", "H", "Housing", "")</f>
        <v>Economic</v>
      </c>
      <c r="K1355" t="s">
        <v>4705</v>
      </c>
      <c r="L1355" t="s">
        <v>4706</v>
      </c>
      <c r="M1355" t="str">
        <f>IF(Table1[[#This Row],[used]], _xlfn.CONCAT("🆔 ", Table1[[#This Row],[variable]], ": ",Table1[[#This Row],[alias]]), "")</f>
        <v>🆔 C24010_058E: Female: Service occupations: Protective service occupations: Firefighting and prevention and other protective service workers including supervisors</v>
      </c>
      <c r="O1355" t="s">
        <v>4940</v>
      </c>
      <c r="P1355" t="s">
        <v>4707</v>
      </c>
      <c r="Q1355" t="s">
        <v>41</v>
      </c>
      <c r="R1355" t="s">
        <v>4938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1</v>
      </c>
      <c r="AB1355" t="b">
        <v>1</v>
      </c>
      <c r="AC1355" t="b">
        <v>1</v>
      </c>
      <c r="AD1355" t="b">
        <v>1</v>
      </c>
      <c r="AE1355" t="b">
        <v>1</v>
      </c>
      <c r="AF1355" t="b">
        <v>1</v>
      </c>
      <c r="AG1355" t="b">
        <v>1</v>
      </c>
    </row>
    <row r="1356" spans="1:33" x14ac:dyDescent="0.25">
      <c r="A1356" t="s">
        <v>33</v>
      </c>
      <c r="B1356">
        <v>15</v>
      </c>
      <c r="C1356" t="b">
        <v>1</v>
      </c>
      <c r="D1356" t="s">
        <v>4701</v>
      </c>
      <c r="E1356" t="s">
        <v>4702</v>
      </c>
      <c r="F1356" t="s">
        <v>4941</v>
      </c>
      <c r="G1356" t="s">
        <v>4942</v>
      </c>
      <c r="H1356">
        <v>1355</v>
      </c>
      <c r="I1356" t="str">
        <f>IF(ISBLANK(Table1[[#This Row],[oid]]),"FALSE","TRUE")</f>
        <v>TRUE</v>
      </c>
      <c r="J1356" t="str" cm="1">
        <f t="array" ref="J1356">_xlfn.SWITCH(LEFT(Table1[[#This Row],[section]],1), "D", "Demographic", "S", "Social", "E", "Economic", "H", "Housing", "")</f>
        <v>Economic</v>
      </c>
      <c r="K1356" t="s">
        <v>4705</v>
      </c>
      <c r="L1356" t="s">
        <v>4706</v>
      </c>
      <c r="M1356" t="str">
        <f>IF(Table1[[#This Row],[used]], _xlfn.CONCAT("🆔 ", Table1[[#This Row],[variable]], ": ",Table1[[#This Row],[alias]]), "")</f>
        <v>🆔 C24010_059E: Female: Service occupations: Protective service occupations: Law enforcement workers including supervisors</v>
      </c>
      <c r="O1356" t="s">
        <v>4943</v>
      </c>
      <c r="P1356" t="s">
        <v>4707</v>
      </c>
      <c r="Q1356" t="s">
        <v>41</v>
      </c>
      <c r="R1356" t="s">
        <v>4944</v>
      </c>
      <c r="S1356" t="b">
        <v>1</v>
      </c>
      <c r="T1356" t="b">
        <v>1</v>
      </c>
      <c r="U1356" t="b">
        <v>1</v>
      </c>
      <c r="V1356" t="b">
        <v>1</v>
      </c>
      <c r="W1356" t="b">
        <v>1</v>
      </c>
      <c r="X1356" t="b">
        <v>1</v>
      </c>
      <c r="Y1356" t="b">
        <v>1</v>
      </c>
      <c r="Z1356" t="b">
        <v>1</v>
      </c>
      <c r="AA1356" t="b">
        <v>1</v>
      </c>
      <c r="AB1356" t="b">
        <v>1</v>
      </c>
      <c r="AC1356" t="b">
        <v>1</v>
      </c>
      <c r="AD1356" t="b">
        <v>1</v>
      </c>
      <c r="AE1356" t="b">
        <v>1</v>
      </c>
      <c r="AF1356" t="b">
        <v>1</v>
      </c>
      <c r="AG1356" t="b">
        <v>1</v>
      </c>
    </row>
    <row r="1357" spans="1:33" x14ac:dyDescent="0.25">
      <c r="A1357" t="s">
        <v>33</v>
      </c>
      <c r="B1357">
        <v>15</v>
      </c>
      <c r="C1357" t="b">
        <v>1</v>
      </c>
      <c r="D1357" t="s">
        <v>4701</v>
      </c>
      <c r="E1357" t="s">
        <v>4702</v>
      </c>
      <c r="F1357" t="s">
        <v>4945</v>
      </c>
      <c r="G1357" t="s">
        <v>4946</v>
      </c>
      <c r="H1357">
        <v>1356</v>
      </c>
      <c r="I1357" t="str">
        <f>IF(ISBLANK(Table1[[#This Row],[oid]]),"FALSE","TRUE")</f>
        <v>TRUE</v>
      </c>
      <c r="J1357" t="str" cm="1">
        <f t="array" ref="J1357">_xlfn.SWITCH(LEFT(Table1[[#This Row],[section]],1), "D", "Demographic", "S", "Social", "E", "Economic", "H", "Housing", "")</f>
        <v>Economic</v>
      </c>
      <c r="K1357" t="s">
        <v>4705</v>
      </c>
      <c r="L1357" t="s">
        <v>4706</v>
      </c>
      <c r="M1357" t="str">
        <f>IF(Table1[[#This Row],[used]], _xlfn.CONCAT("🆔 ", Table1[[#This Row],[variable]], ": ",Table1[[#This Row],[alias]]), "")</f>
        <v>🆔 C24010_060E: Female: Service occupations: Food preparation and serving related occupations</v>
      </c>
      <c r="O1357" t="s">
        <v>4947</v>
      </c>
      <c r="P1357" t="s">
        <v>4707</v>
      </c>
      <c r="Q1357" t="s">
        <v>41</v>
      </c>
      <c r="R1357" t="s">
        <v>4948</v>
      </c>
      <c r="S1357" t="b">
        <v>1</v>
      </c>
      <c r="T1357" t="b">
        <v>1</v>
      </c>
      <c r="U1357" t="b">
        <v>1</v>
      </c>
      <c r="V1357" t="b">
        <v>1</v>
      </c>
      <c r="W1357" t="b">
        <v>1</v>
      </c>
      <c r="X1357" t="b">
        <v>1</v>
      </c>
      <c r="Y1357" t="b">
        <v>1</v>
      </c>
      <c r="Z1357" t="b">
        <v>1</v>
      </c>
      <c r="AA1357" t="b">
        <v>1</v>
      </c>
      <c r="AB1357" t="b">
        <v>1</v>
      </c>
      <c r="AC1357" t="b">
        <v>1</v>
      </c>
      <c r="AD1357" t="b">
        <v>1</v>
      </c>
      <c r="AE1357" t="b">
        <v>1</v>
      </c>
      <c r="AF1357" t="b">
        <v>1</v>
      </c>
      <c r="AG1357" t="b">
        <v>1</v>
      </c>
    </row>
    <row r="1358" spans="1:33" x14ac:dyDescent="0.25">
      <c r="A1358" t="s">
        <v>33</v>
      </c>
      <c r="B1358">
        <v>15</v>
      </c>
      <c r="C1358" t="b">
        <v>1</v>
      </c>
      <c r="D1358" t="s">
        <v>4701</v>
      </c>
      <c r="E1358" t="s">
        <v>4702</v>
      </c>
      <c r="F1358" t="s">
        <v>4949</v>
      </c>
      <c r="G1358" t="s">
        <v>4950</v>
      </c>
      <c r="H1358">
        <v>1357</v>
      </c>
      <c r="I1358" t="str">
        <f>IF(ISBLANK(Table1[[#This Row],[oid]]),"FALSE","TRUE")</f>
        <v>TRUE</v>
      </c>
      <c r="J1358" t="str" cm="1">
        <f t="array" ref="J1358">_xlfn.SWITCH(LEFT(Table1[[#This Row],[section]],1), "D", "Demographic", "S", "Social", "E", "Economic", "H", "Housing", "")</f>
        <v>Economic</v>
      </c>
      <c r="K1358" t="s">
        <v>4705</v>
      </c>
      <c r="L1358" t="s">
        <v>4706</v>
      </c>
      <c r="M1358" t="str">
        <f>IF(Table1[[#This Row],[used]], _xlfn.CONCAT("🆔 ", Table1[[#This Row],[variable]], ": ",Table1[[#This Row],[alias]]), "")</f>
        <v>🆔 C24010_061E: Female: Service occupations: Building and grounds cleaning and maintenance occupations</v>
      </c>
      <c r="O1358" t="s">
        <v>4951</v>
      </c>
      <c r="P1358" t="s">
        <v>4707</v>
      </c>
      <c r="Q1358" t="s">
        <v>41</v>
      </c>
      <c r="R1358" t="s">
        <v>4952</v>
      </c>
      <c r="S1358" t="b">
        <v>1</v>
      </c>
      <c r="T1358" t="b">
        <v>1</v>
      </c>
      <c r="U1358" t="b">
        <v>1</v>
      </c>
      <c r="V1358" t="b">
        <v>1</v>
      </c>
      <c r="W1358" t="b">
        <v>1</v>
      </c>
      <c r="X1358" t="b">
        <v>1</v>
      </c>
      <c r="Y1358" t="b">
        <v>1</v>
      </c>
      <c r="Z1358" t="b">
        <v>1</v>
      </c>
      <c r="AA1358" t="b">
        <v>1</v>
      </c>
      <c r="AB1358" t="b">
        <v>1</v>
      </c>
      <c r="AC1358" t="b">
        <v>1</v>
      </c>
      <c r="AD1358" t="b">
        <v>1</v>
      </c>
      <c r="AE1358" t="b">
        <v>1</v>
      </c>
      <c r="AF1358" t="b">
        <v>1</v>
      </c>
      <c r="AG1358" t="b">
        <v>1</v>
      </c>
    </row>
    <row r="1359" spans="1:33" x14ac:dyDescent="0.25">
      <c r="A1359" t="s">
        <v>33</v>
      </c>
      <c r="B1359">
        <v>15</v>
      </c>
      <c r="C1359" t="b">
        <v>1</v>
      </c>
      <c r="D1359" t="s">
        <v>4701</v>
      </c>
      <c r="E1359" t="s">
        <v>4702</v>
      </c>
      <c r="F1359" t="s">
        <v>4953</v>
      </c>
      <c r="G1359" t="s">
        <v>4954</v>
      </c>
      <c r="H1359">
        <v>1358</v>
      </c>
      <c r="I1359" t="str">
        <f>IF(ISBLANK(Table1[[#This Row],[oid]]),"FALSE","TRUE")</f>
        <v>TRUE</v>
      </c>
      <c r="J1359" t="str" cm="1">
        <f t="array" ref="J1359">_xlfn.SWITCH(LEFT(Table1[[#This Row],[section]],1), "D", "Demographic", "S", "Social", "E", "Economic", "H", "Housing", "")</f>
        <v>Economic</v>
      </c>
      <c r="K1359" t="s">
        <v>4705</v>
      </c>
      <c r="L1359" t="s">
        <v>4706</v>
      </c>
      <c r="M1359" t="str">
        <f>IF(Table1[[#This Row],[used]], _xlfn.CONCAT("🆔 ", Table1[[#This Row],[variable]], ": ",Table1[[#This Row],[alias]]), "")</f>
        <v>🆔 C24010_062E: Female: Service occupations: Personal care and service occupations</v>
      </c>
      <c r="O1359" t="s">
        <v>4955</v>
      </c>
      <c r="P1359" t="s">
        <v>4707</v>
      </c>
      <c r="Q1359" t="s">
        <v>41</v>
      </c>
      <c r="R1359" t="s">
        <v>4956</v>
      </c>
      <c r="S1359" t="b">
        <v>1</v>
      </c>
      <c r="T1359" t="b">
        <v>1</v>
      </c>
      <c r="U1359" t="b">
        <v>1</v>
      </c>
      <c r="V1359" t="b">
        <v>1</v>
      </c>
      <c r="W1359" t="b">
        <v>1</v>
      </c>
      <c r="X1359" t="b">
        <v>1</v>
      </c>
      <c r="Y1359" t="b">
        <v>1</v>
      </c>
      <c r="Z1359" t="b">
        <v>1</v>
      </c>
      <c r="AA1359" t="b">
        <v>1</v>
      </c>
      <c r="AB1359" t="b">
        <v>1</v>
      </c>
      <c r="AC1359" t="b">
        <v>1</v>
      </c>
      <c r="AD1359" t="b">
        <v>1</v>
      </c>
      <c r="AE1359" t="b">
        <v>1</v>
      </c>
      <c r="AF1359" t="b">
        <v>1</v>
      </c>
      <c r="AG1359" t="b">
        <v>1</v>
      </c>
    </row>
    <row r="1360" spans="1:33" x14ac:dyDescent="0.25">
      <c r="A1360" t="s">
        <v>33</v>
      </c>
      <c r="B1360">
        <v>15</v>
      </c>
      <c r="C1360" t="b">
        <v>1</v>
      </c>
      <c r="D1360" t="s">
        <v>4701</v>
      </c>
      <c r="E1360" t="s">
        <v>4702</v>
      </c>
      <c r="F1360" t="s">
        <v>4957</v>
      </c>
      <c r="G1360" t="s">
        <v>4958</v>
      </c>
      <c r="H1360">
        <v>1359</v>
      </c>
      <c r="I1360" t="str">
        <f>IF(ISBLANK(Table1[[#This Row],[oid]]),"FALSE","TRUE")</f>
        <v>TRUE</v>
      </c>
      <c r="J1360" t="str" cm="1">
        <f t="array" ref="J1360">_xlfn.SWITCH(LEFT(Table1[[#This Row],[section]],1), "D", "Demographic", "S", "Social", "E", "Economic", "H", "Housing", "")</f>
        <v>Economic</v>
      </c>
      <c r="K1360" t="s">
        <v>4705</v>
      </c>
      <c r="L1360" t="s">
        <v>4706</v>
      </c>
      <c r="M1360" t="str">
        <f>IF(Table1[[#This Row],[used]], _xlfn.CONCAT("🆔 ", Table1[[#This Row],[variable]], ": ",Table1[[#This Row],[alias]]), "")</f>
        <v>🆔 C24010_063E: Female: Sales and office occupations</v>
      </c>
      <c r="O1360" t="s">
        <v>4959</v>
      </c>
      <c r="P1360" t="s">
        <v>4707</v>
      </c>
      <c r="Q1360" t="s">
        <v>41</v>
      </c>
      <c r="R1360" t="s">
        <v>4960</v>
      </c>
      <c r="S1360" t="b">
        <v>1</v>
      </c>
      <c r="T1360" t="b">
        <v>1</v>
      </c>
      <c r="U1360" t="b">
        <v>1</v>
      </c>
      <c r="V1360" t="b">
        <v>1</v>
      </c>
      <c r="W1360" t="b">
        <v>1</v>
      </c>
      <c r="X1360" t="b">
        <v>1</v>
      </c>
      <c r="Y1360" t="b">
        <v>1</v>
      </c>
      <c r="Z1360" t="b">
        <v>1</v>
      </c>
      <c r="AA1360" t="b">
        <v>1</v>
      </c>
      <c r="AB1360" t="b">
        <v>1</v>
      </c>
      <c r="AC1360" t="b">
        <v>1</v>
      </c>
      <c r="AD1360" t="b">
        <v>1</v>
      </c>
      <c r="AE1360" t="b">
        <v>1</v>
      </c>
      <c r="AF1360" t="b">
        <v>1</v>
      </c>
      <c r="AG1360" t="b">
        <v>1</v>
      </c>
    </row>
    <row r="1361" spans="1:33" x14ac:dyDescent="0.25">
      <c r="A1361" t="s">
        <v>33</v>
      </c>
      <c r="B1361">
        <v>15</v>
      </c>
      <c r="C1361" t="b">
        <v>1</v>
      </c>
      <c r="D1361" t="s">
        <v>4701</v>
      </c>
      <c r="E1361" t="s">
        <v>4702</v>
      </c>
      <c r="F1361" t="s">
        <v>4961</v>
      </c>
      <c r="G1361" t="s">
        <v>4962</v>
      </c>
      <c r="H1361">
        <v>1360</v>
      </c>
      <c r="I1361" t="str">
        <f>IF(ISBLANK(Table1[[#This Row],[oid]]),"FALSE","TRUE")</f>
        <v>TRUE</v>
      </c>
      <c r="J1361" t="str" cm="1">
        <f t="array" ref="J1361">_xlfn.SWITCH(LEFT(Table1[[#This Row],[section]],1), "D", "Demographic", "S", "Social", "E", "Economic", "H", "Housing", "")</f>
        <v>Economic</v>
      </c>
      <c r="K1361" t="s">
        <v>4705</v>
      </c>
      <c r="L1361" t="s">
        <v>4706</v>
      </c>
      <c r="M1361" t="str">
        <f>IF(Table1[[#This Row],[used]], _xlfn.CONCAT("🆔 ", Table1[[#This Row],[variable]], ": ",Table1[[#This Row],[alias]]), "")</f>
        <v>🆔 C24010_064E: Female: Sales and office occupations: Sales and related occupations</v>
      </c>
      <c r="O1361" t="s">
        <v>4963</v>
      </c>
      <c r="P1361" t="s">
        <v>4707</v>
      </c>
      <c r="Q1361" t="s">
        <v>41</v>
      </c>
      <c r="R1361" t="s">
        <v>4964</v>
      </c>
      <c r="S1361" t="b">
        <v>1</v>
      </c>
      <c r="T1361" t="b">
        <v>1</v>
      </c>
      <c r="U1361" t="b">
        <v>1</v>
      </c>
      <c r="V1361" t="b">
        <v>1</v>
      </c>
      <c r="W1361" t="b">
        <v>1</v>
      </c>
      <c r="X1361" t="b">
        <v>1</v>
      </c>
      <c r="Y1361" t="b">
        <v>1</v>
      </c>
      <c r="Z1361" t="b">
        <v>1</v>
      </c>
      <c r="AA1361" t="b">
        <v>1</v>
      </c>
      <c r="AB1361" t="b">
        <v>1</v>
      </c>
      <c r="AC1361" t="b">
        <v>1</v>
      </c>
      <c r="AD1361" t="b">
        <v>1</v>
      </c>
      <c r="AE1361" t="b">
        <v>1</v>
      </c>
      <c r="AF1361" t="b">
        <v>1</v>
      </c>
      <c r="AG1361" t="b">
        <v>1</v>
      </c>
    </row>
    <row r="1362" spans="1:33" x14ac:dyDescent="0.25">
      <c r="A1362" t="s">
        <v>33</v>
      </c>
      <c r="B1362">
        <v>15</v>
      </c>
      <c r="C1362" t="b">
        <v>1</v>
      </c>
      <c r="D1362" t="s">
        <v>4701</v>
      </c>
      <c r="E1362" t="s">
        <v>4702</v>
      </c>
      <c r="F1362" t="s">
        <v>4965</v>
      </c>
      <c r="G1362" t="s">
        <v>4966</v>
      </c>
      <c r="H1362">
        <v>1361</v>
      </c>
      <c r="I1362" t="str">
        <f>IF(ISBLANK(Table1[[#This Row],[oid]]),"FALSE","TRUE")</f>
        <v>TRUE</v>
      </c>
      <c r="J1362" t="str" cm="1">
        <f t="array" ref="J1362">_xlfn.SWITCH(LEFT(Table1[[#This Row],[section]],1), "D", "Demographic", "S", "Social", "E", "Economic", "H", "Housing", "")</f>
        <v>Economic</v>
      </c>
      <c r="K1362" t="s">
        <v>4705</v>
      </c>
      <c r="L1362" t="s">
        <v>4706</v>
      </c>
      <c r="M1362" t="str">
        <f>IF(Table1[[#This Row],[used]], _xlfn.CONCAT("🆔 ", Table1[[#This Row],[variable]], ": ",Table1[[#This Row],[alias]]), "")</f>
        <v>🆔 C24010_065E: Female: Sales and office occupations: Office and administrative support occupations</v>
      </c>
      <c r="O1362" t="s">
        <v>4967</v>
      </c>
      <c r="P1362" t="s">
        <v>4707</v>
      </c>
      <c r="Q1362" t="s">
        <v>41</v>
      </c>
      <c r="R1362" t="s">
        <v>4968</v>
      </c>
      <c r="S1362" t="b">
        <v>1</v>
      </c>
      <c r="T1362" t="b">
        <v>1</v>
      </c>
      <c r="U1362" t="b">
        <v>1</v>
      </c>
      <c r="V1362" t="b">
        <v>1</v>
      </c>
      <c r="W1362" t="b">
        <v>1</v>
      </c>
      <c r="X1362" t="b">
        <v>1</v>
      </c>
      <c r="Y1362" t="b">
        <v>1</v>
      </c>
      <c r="Z1362" t="b">
        <v>1</v>
      </c>
      <c r="AA1362" t="b">
        <v>1</v>
      </c>
      <c r="AB1362" t="b">
        <v>1</v>
      </c>
      <c r="AC1362" t="b">
        <v>1</v>
      </c>
      <c r="AD1362" t="b">
        <v>1</v>
      </c>
      <c r="AE1362" t="b">
        <v>1</v>
      </c>
      <c r="AF1362" t="b">
        <v>1</v>
      </c>
      <c r="AG1362" t="b">
        <v>1</v>
      </c>
    </row>
    <row r="1363" spans="1:33" x14ac:dyDescent="0.25">
      <c r="A1363" t="s">
        <v>33</v>
      </c>
      <c r="B1363">
        <v>15</v>
      </c>
      <c r="C1363" t="b">
        <v>1</v>
      </c>
      <c r="D1363" t="s">
        <v>4701</v>
      </c>
      <c r="E1363" t="s">
        <v>4702</v>
      </c>
      <c r="F1363" t="s">
        <v>4969</v>
      </c>
      <c r="G1363" t="s">
        <v>4970</v>
      </c>
      <c r="H1363">
        <v>1362</v>
      </c>
      <c r="I1363" t="str">
        <f>IF(ISBLANK(Table1[[#This Row],[oid]]),"FALSE","TRUE")</f>
        <v>TRUE</v>
      </c>
      <c r="J1363" t="str" cm="1">
        <f t="array" ref="J1363">_xlfn.SWITCH(LEFT(Table1[[#This Row],[section]],1), "D", "Demographic", "S", "Social", "E", "Economic", "H", "Housing", "")</f>
        <v>Economic</v>
      </c>
      <c r="K1363" t="s">
        <v>4705</v>
      </c>
      <c r="L1363" t="s">
        <v>4706</v>
      </c>
      <c r="M1363" t="str">
        <f>IF(Table1[[#This Row],[used]], _xlfn.CONCAT("🆔 ", Table1[[#This Row],[variable]], ": ",Table1[[#This Row],[alias]]), "")</f>
        <v>🆔 C24010_066E: Female: Natural resources construction and maintenance occupations</v>
      </c>
      <c r="O1363" t="s">
        <v>4971</v>
      </c>
      <c r="P1363" t="s">
        <v>4707</v>
      </c>
      <c r="Q1363" t="s">
        <v>41</v>
      </c>
      <c r="R1363" t="s">
        <v>4972</v>
      </c>
      <c r="S1363" t="b">
        <v>1</v>
      </c>
      <c r="T1363" t="b">
        <v>1</v>
      </c>
      <c r="U1363" t="b">
        <v>1</v>
      </c>
      <c r="V1363" t="b">
        <v>1</v>
      </c>
      <c r="W1363" t="b">
        <v>1</v>
      </c>
      <c r="X1363" t="b">
        <v>1</v>
      </c>
      <c r="Y1363" t="b">
        <v>1</v>
      </c>
      <c r="Z1363" t="b">
        <v>1</v>
      </c>
      <c r="AA1363" t="b">
        <v>1</v>
      </c>
      <c r="AB1363" t="b">
        <v>1</v>
      </c>
      <c r="AC1363" t="b">
        <v>1</v>
      </c>
      <c r="AD1363" t="b">
        <v>1</v>
      </c>
      <c r="AE1363" t="b">
        <v>1</v>
      </c>
      <c r="AF1363" t="b">
        <v>1</v>
      </c>
      <c r="AG1363" t="b">
        <v>1</v>
      </c>
    </row>
    <row r="1364" spans="1:33" x14ac:dyDescent="0.25">
      <c r="A1364" t="s">
        <v>33</v>
      </c>
      <c r="B1364">
        <v>15</v>
      </c>
      <c r="C1364" t="b">
        <v>1</v>
      </c>
      <c r="D1364" t="s">
        <v>4701</v>
      </c>
      <c r="E1364" t="s">
        <v>4702</v>
      </c>
      <c r="F1364" t="s">
        <v>4973</v>
      </c>
      <c r="G1364" t="s">
        <v>4974</v>
      </c>
      <c r="H1364">
        <v>1363</v>
      </c>
      <c r="I1364" t="str">
        <f>IF(ISBLANK(Table1[[#This Row],[oid]]),"FALSE","TRUE")</f>
        <v>TRUE</v>
      </c>
      <c r="J1364" t="str" cm="1">
        <f t="array" ref="J1364">_xlfn.SWITCH(LEFT(Table1[[#This Row],[section]],1), "D", "Demographic", "S", "Social", "E", "Economic", "H", "Housing", "")</f>
        <v>Economic</v>
      </c>
      <c r="K1364" t="s">
        <v>4705</v>
      </c>
      <c r="L1364" t="s">
        <v>4706</v>
      </c>
      <c r="M1364" t="str">
        <f>IF(Table1[[#This Row],[used]], _xlfn.CONCAT("🆔 ", Table1[[#This Row],[variable]], ": ",Table1[[#This Row],[alias]]), "")</f>
        <v>🆔 C24010_067E: Female: Natural resources construction and maintenance occupations: Farming fishing and forestry occupations</v>
      </c>
      <c r="O1364" t="s">
        <v>4975</v>
      </c>
      <c r="P1364" t="s">
        <v>4707</v>
      </c>
      <c r="Q1364" t="s">
        <v>41</v>
      </c>
      <c r="R1364" t="s">
        <v>4976</v>
      </c>
      <c r="S1364" t="b">
        <v>1</v>
      </c>
      <c r="T1364" t="b">
        <v>1</v>
      </c>
      <c r="U1364" t="b">
        <v>1</v>
      </c>
      <c r="V1364" t="b">
        <v>1</v>
      </c>
      <c r="W1364" t="b">
        <v>1</v>
      </c>
      <c r="X1364" t="b">
        <v>1</v>
      </c>
      <c r="Y1364" t="b">
        <v>1</v>
      </c>
      <c r="Z1364" t="b">
        <v>1</v>
      </c>
      <c r="AA1364" t="b">
        <v>1</v>
      </c>
      <c r="AB1364" t="b">
        <v>1</v>
      </c>
      <c r="AC1364" t="b">
        <v>1</v>
      </c>
      <c r="AD1364" t="b">
        <v>1</v>
      </c>
      <c r="AE1364" t="b">
        <v>1</v>
      </c>
      <c r="AF1364" t="b">
        <v>1</v>
      </c>
      <c r="AG1364" t="b">
        <v>1</v>
      </c>
    </row>
    <row r="1365" spans="1:33" x14ac:dyDescent="0.25">
      <c r="A1365" t="s">
        <v>33</v>
      </c>
      <c r="B1365">
        <v>15</v>
      </c>
      <c r="C1365" t="b">
        <v>1</v>
      </c>
      <c r="D1365" t="s">
        <v>4701</v>
      </c>
      <c r="E1365" t="s">
        <v>4702</v>
      </c>
      <c r="F1365" t="s">
        <v>4977</v>
      </c>
      <c r="G1365" t="s">
        <v>4978</v>
      </c>
      <c r="H1365">
        <v>1364</v>
      </c>
      <c r="I1365" t="str">
        <f>IF(ISBLANK(Table1[[#This Row],[oid]]),"FALSE","TRUE")</f>
        <v>TRUE</v>
      </c>
      <c r="J1365" t="str" cm="1">
        <f t="array" ref="J1365">_xlfn.SWITCH(LEFT(Table1[[#This Row],[section]],1), "D", "Demographic", "S", "Social", "E", "Economic", "H", "Housing", "")</f>
        <v>Economic</v>
      </c>
      <c r="K1365" t="s">
        <v>4705</v>
      </c>
      <c r="L1365" t="s">
        <v>4706</v>
      </c>
      <c r="M1365" t="str">
        <f>IF(Table1[[#This Row],[used]], _xlfn.CONCAT("🆔 ", Table1[[#This Row],[variable]], ": ",Table1[[#This Row],[alias]]), "")</f>
        <v>🆔 C24010_068E: Female: Natural resources construction and maintenance occupations: Construction and extraction occupations</v>
      </c>
      <c r="O1365" t="s">
        <v>4979</v>
      </c>
      <c r="P1365" t="s">
        <v>4707</v>
      </c>
      <c r="Q1365" t="s">
        <v>41</v>
      </c>
      <c r="R1365" t="s">
        <v>4980</v>
      </c>
      <c r="S1365" t="b">
        <v>1</v>
      </c>
      <c r="T1365" t="b">
        <v>1</v>
      </c>
      <c r="U1365" t="b">
        <v>1</v>
      </c>
      <c r="V1365" t="b">
        <v>1</v>
      </c>
      <c r="W1365" t="b">
        <v>1</v>
      </c>
      <c r="X1365" t="b">
        <v>1</v>
      </c>
      <c r="Y1365" t="b">
        <v>1</v>
      </c>
      <c r="Z1365" t="b">
        <v>1</v>
      </c>
      <c r="AA1365" t="b">
        <v>1</v>
      </c>
      <c r="AB1365" t="b">
        <v>1</v>
      </c>
      <c r="AC1365" t="b">
        <v>1</v>
      </c>
      <c r="AD1365" t="b">
        <v>1</v>
      </c>
      <c r="AE1365" t="b">
        <v>1</v>
      </c>
      <c r="AF1365" t="b">
        <v>1</v>
      </c>
      <c r="AG1365" t="b">
        <v>1</v>
      </c>
    </row>
    <row r="1366" spans="1:33" x14ac:dyDescent="0.25">
      <c r="A1366" t="s">
        <v>33</v>
      </c>
      <c r="B1366">
        <v>15</v>
      </c>
      <c r="C1366" t="b">
        <v>1</v>
      </c>
      <c r="D1366" t="s">
        <v>4701</v>
      </c>
      <c r="E1366" t="s">
        <v>4702</v>
      </c>
      <c r="F1366" t="s">
        <v>4981</v>
      </c>
      <c r="G1366" t="s">
        <v>4982</v>
      </c>
      <c r="H1366">
        <v>1365</v>
      </c>
      <c r="I1366" t="str">
        <f>IF(ISBLANK(Table1[[#This Row],[oid]]),"FALSE","TRUE")</f>
        <v>TRUE</v>
      </c>
      <c r="J1366" t="str" cm="1">
        <f t="array" ref="J1366">_xlfn.SWITCH(LEFT(Table1[[#This Row],[section]],1), "D", "Demographic", "S", "Social", "E", "Economic", "H", "Housing", "")</f>
        <v>Economic</v>
      </c>
      <c r="K1366" t="s">
        <v>4705</v>
      </c>
      <c r="L1366" t="s">
        <v>4706</v>
      </c>
      <c r="M1366" t="str">
        <f>IF(Table1[[#This Row],[used]], _xlfn.CONCAT("🆔 ", Table1[[#This Row],[variable]], ": ",Table1[[#This Row],[alias]]), "")</f>
        <v>🆔 C24010_069E: Female: Natural resources construction and maintenance occupations: Installation maintenance and repair occupations</v>
      </c>
      <c r="O1366" t="s">
        <v>4983</v>
      </c>
      <c r="P1366" t="s">
        <v>4707</v>
      </c>
      <c r="Q1366" t="s">
        <v>41</v>
      </c>
      <c r="R1366" t="s">
        <v>4984</v>
      </c>
      <c r="S1366" t="b">
        <v>1</v>
      </c>
      <c r="T1366" t="b">
        <v>1</v>
      </c>
      <c r="U1366" t="b">
        <v>1</v>
      </c>
      <c r="V1366" t="b">
        <v>1</v>
      </c>
      <c r="W1366" t="b">
        <v>1</v>
      </c>
      <c r="X1366" t="b">
        <v>1</v>
      </c>
      <c r="Y1366" t="b">
        <v>1</v>
      </c>
      <c r="Z1366" t="b">
        <v>1</v>
      </c>
      <c r="AA1366" t="b">
        <v>1</v>
      </c>
      <c r="AB1366" t="b">
        <v>1</v>
      </c>
      <c r="AC1366" t="b">
        <v>1</v>
      </c>
      <c r="AD1366" t="b">
        <v>1</v>
      </c>
      <c r="AE1366" t="b">
        <v>1</v>
      </c>
      <c r="AF1366" t="b">
        <v>1</v>
      </c>
      <c r="AG1366" t="b">
        <v>1</v>
      </c>
    </row>
    <row r="1367" spans="1:33" x14ac:dyDescent="0.25">
      <c r="A1367" t="s">
        <v>33</v>
      </c>
      <c r="B1367">
        <v>15</v>
      </c>
      <c r="C1367" t="b">
        <v>1</v>
      </c>
      <c r="D1367" t="s">
        <v>4701</v>
      </c>
      <c r="E1367" t="s">
        <v>4702</v>
      </c>
      <c r="F1367" t="s">
        <v>4985</v>
      </c>
      <c r="G1367" t="s">
        <v>4986</v>
      </c>
      <c r="H1367">
        <v>1366</v>
      </c>
      <c r="I1367" t="str">
        <f>IF(ISBLANK(Table1[[#This Row],[oid]]),"FALSE","TRUE")</f>
        <v>TRUE</v>
      </c>
      <c r="J1367" t="str" cm="1">
        <f t="array" ref="J1367">_xlfn.SWITCH(LEFT(Table1[[#This Row],[section]],1), "D", "Demographic", "S", "Social", "E", "Economic", "H", "Housing", "")</f>
        <v>Economic</v>
      </c>
      <c r="K1367" t="s">
        <v>4705</v>
      </c>
      <c r="L1367" t="s">
        <v>4706</v>
      </c>
      <c r="M1367" t="str">
        <f>IF(Table1[[#This Row],[used]], _xlfn.CONCAT("🆔 ", Table1[[#This Row],[variable]], ": ",Table1[[#This Row],[alias]]), "")</f>
        <v>🆔 C24010_070E: Female: Production transportation and material moving occupations</v>
      </c>
      <c r="O1367" t="s">
        <v>4987</v>
      </c>
      <c r="P1367" t="s">
        <v>4707</v>
      </c>
      <c r="Q1367" t="s">
        <v>41</v>
      </c>
      <c r="R1367" t="s">
        <v>4988</v>
      </c>
      <c r="S1367" t="b">
        <v>1</v>
      </c>
      <c r="T1367" t="b">
        <v>1</v>
      </c>
      <c r="U1367" t="b">
        <v>1</v>
      </c>
      <c r="V1367" t="b">
        <v>1</v>
      </c>
      <c r="W1367" t="b">
        <v>1</v>
      </c>
      <c r="X1367" t="b">
        <v>1</v>
      </c>
      <c r="Y1367" t="b">
        <v>1</v>
      </c>
      <c r="Z1367" t="b">
        <v>1</v>
      </c>
      <c r="AA1367" t="b">
        <v>1</v>
      </c>
      <c r="AB1367" t="b">
        <v>1</v>
      </c>
      <c r="AC1367" t="b">
        <v>1</v>
      </c>
      <c r="AD1367" t="b">
        <v>1</v>
      </c>
      <c r="AE1367" t="b">
        <v>1</v>
      </c>
      <c r="AF1367" t="b">
        <v>1</v>
      </c>
      <c r="AG1367" t="b">
        <v>1</v>
      </c>
    </row>
    <row r="1368" spans="1:33" x14ac:dyDescent="0.25">
      <c r="A1368" t="s">
        <v>33</v>
      </c>
      <c r="B1368">
        <v>15</v>
      </c>
      <c r="C1368" t="b">
        <v>1</v>
      </c>
      <c r="D1368" t="s">
        <v>4701</v>
      </c>
      <c r="E1368" t="s">
        <v>4702</v>
      </c>
      <c r="F1368" t="s">
        <v>4989</v>
      </c>
      <c r="G1368" t="s">
        <v>4990</v>
      </c>
      <c r="H1368">
        <v>1367</v>
      </c>
      <c r="I1368" t="str">
        <f>IF(ISBLANK(Table1[[#This Row],[oid]]),"FALSE","TRUE")</f>
        <v>TRUE</v>
      </c>
      <c r="J1368" t="str" cm="1">
        <f t="array" ref="J1368">_xlfn.SWITCH(LEFT(Table1[[#This Row],[section]],1), "D", "Demographic", "S", "Social", "E", "Economic", "H", "Housing", "")</f>
        <v>Economic</v>
      </c>
      <c r="K1368" t="s">
        <v>4705</v>
      </c>
      <c r="L1368" t="s">
        <v>4706</v>
      </c>
      <c r="M1368" t="str">
        <f>IF(Table1[[#This Row],[used]], _xlfn.CONCAT("🆔 ", Table1[[#This Row],[variable]], ": ",Table1[[#This Row],[alias]]), "")</f>
        <v>🆔 C24010_071E: Female: Production transportation and material moving occupations: Production occupations</v>
      </c>
      <c r="O1368" t="s">
        <v>4991</v>
      </c>
      <c r="P1368" t="s">
        <v>4707</v>
      </c>
      <c r="Q1368" t="s">
        <v>41</v>
      </c>
      <c r="R1368" t="s">
        <v>4992</v>
      </c>
      <c r="S1368" t="b">
        <v>1</v>
      </c>
      <c r="T1368" t="b">
        <v>1</v>
      </c>
      <c r="U1368" t="b">
        <v>1</v>
      </c>
      <c r="V1368" t="b">
        <v>1</v>
      </c>
      <c r="W1368" t="b">
        <v>1</v>
      </c>
      <c r="X1368" t="b">
        <v>1</v>
      </c>
      <c r="Y1368" t="b">
        <v>1</v>
      </c>
      <c r="Z1368" t="b">
        <v>1</v>
      </c>
      <c r="AA1368" t="b">
        <v>1</v>
      </c>
      <c r="AB1368" t="b">
        <v>1</v>
      </c>
      <c r="AC1368" t="b">
        <v>1</v>
      </c>
      <c r="AD1368" t="b">
        <v>1</v>
      </c>
      <c r="AE1368" t="b">
        <v>1</v>
      </c>
      <c r="AF1368" t="b">
        <v>1</v>
      </c>
      <c r="AG1368" t="b">
        <v>1</v>
      </c>
    </row>
    <row r="1369" spans="1:33" x14ac:dyDescent="0.25">
      <c r="A1369" t="s">
        <v>33</v>
      </c>
      <c r="B1369">
        <v>15</v>
      </c>
      <c r="C1369" t="b">
        <v>1</v>
      </c>
      <c r="D1369" t="s">
        <v>4701</v>
      </c>
      <c r="E1369" t="s">
        <v>4702</v>
      </c>
      <c r="F1369" t="s">
        <v>4993</v>
      </c>
      <c r="G1369" t="s">
        <v>4994</v>
      </c>
      <c r="H1369">
        <v>1368</v>
      </c>
      <c r="I1369" t="str">
        <f>IF(ISBLANK(Table1[[#This Row],[oid]]),"FALSE","TRUE")</f>
        <v>TRUE</v>
      </c>
      <c r="J1369" t="str" cm="1">
        <f t="array" ref="J1369">_xlfn.SWITCH(LEFT(Table1[[#This Row],[section]],1), "D", "Demographic", "S", "Social", "E", "Economic", "H", "Housing", "")</f>
        <v>Economic</v>
      </c>
      <c r="K1369" t="s">
        <v>4705</v>
      </c>
      <c r="L1369" t="s">
        <v>4706</v>
      </c>
      <c r="M1369" t="str">
        <f>IF(Table1[[#This Row],[used]], _xlfn.CONCAT("🆔 ", Table1[[#This Row],[variable]], ": ",Table1[[#This Row],[alias]]), "")</f>
        <v>🆔 C24010_072E: Female: Production transportation and material moving occupations: Transportation occupations</v>
      </c>
      <c r="O1369" t="s">
        <v>4995</v>
      </c>
      <c r="P1369" t="s">
        <v>4707</v>
      </c>
      <c r="Q1369" t="s">
        <v>41</v>
      </c>
      <c r="R1369" t="s">
        <v>4996</v>
      </c>
      <c r="S1369" t="b">
        <v>1</v>
      </c>
      <c r="T1369" t="b">
        <v>1</v>
      </c>
      <c r="U1369" t="b">
        <v>1</v>
      </c>
      <c r="V1369" t="b">
        <v>1</v>
      </c>
      <c r="W1369" t="b">
        <v>1</v>
      </c>
      <c r="X1369" t="b">
        <v>1</v>
      </c>
      <c r="Y1369" t="b">
        <v>1</v>
      </c>
      <c r="Z1369" t="b">
        <v>1</v>
      </c>
      <c r="AA1369" t="b">
        <v>1</v>
      </c>
      <c r="AB1369" t="b">
        <v>1</v>
      </c>
      <c r="AC1369" t="b">
        <v>1</v>
      </c>
      <c r="AD1369" t="b">
        <v>1</v>
      </c>
      <c r="AE1369" t="b">
        <v>1</v>
      </c>
      <c r="AF1369" t="b">
        <v>1</v>
      </c>
      <c r="AG1369" t="b">
        <v>1</v>
      </c>
    </row>
    <row r="1370" spans="1:33" x14ac:dyDescent="0.25">
      <c r="A1370" t="s">
        <v>33</v>
      </c>
      <c r="B1370">
        <v>15</v>
      </c>
      <c r="C1370" t="b">
        <v>1</v>
      </c>
      <c r="D1370" t="s">
        <v>4701</v>
      </c>
      <c r="E1370" t="s">
        <v>4702</v>
      </c>
      <c r="F1370" t="s">
        <v>4997</v>
      </c>
      <c r="G1370" t="s">
        <v>4998</v>
      </c>
      <c r="H1370">
        <v>1369</v>
      </c>
      <c r="I1370" t="str">
        <f>IF(ISBLANK(Table1[[#This Row],[oid]]),"FALSE","TRUE")</f>
        <v>TRUE</v>
      </c>
      <c r="J1370" t="str" cm="1">
        <f t="array" ref="J1370">_xlfn.SWITCH(LEFT(Table1[[#This Row],[section]],1), "D", "Demographic", "S", "Social", "E", "Economic", "H", "Housing", "")</f>
        <v>Economic</v>
      </c>
      <c r="K1370" t="s">
        <v>4705</v>
      </c>
      <c r="L1370" t="s">
        <v>4706</v>
      </c>
      <c r="M1370" t="str">
        <f>IF(Table1[[#This Row],[used]], _xlfn.CONCAT("🆔 ", Table1[[#This Row],[variable]], ": ",Table1[[#This Row],[alias]]), "")</f>
        <v>🆔 C24010_073E: Female: Production transportation and material moving occupations: Material moving occupations</v>
      </c>
      <c r="O1370" t="s">
        <v>4999</v>
      </c>
      <c r="P1370" t="s">
        <v>4707</v>
      </c>
      <c r="Q1370" t="s">
        <v>41</v>
      </c>
      <c r="R1370" t="s">
        <v>5000</v>
      </c>
      <c r="S1370" t="b">
        <v>1</v>
      </c>
      <c r="T1370" t="b">
        <v>1</v>
      </c>
      <c r="U1370" t="b">
        <v>1</v>
      </c>
      <c r="V1370" t="b">
        <v>1</v>
      </c>
      <c r="W1370" t="b">
        <v>1</v>
      </c>
      <c r="X1370" t="b">
        <v>1</v>
      </c>
      <c r="Y1370" t="b">
        <v>1</v>
      </c>
      <c r="Z1370" t="b">
        <v>1</v>
      </c>
      <c r="AA1370" t="b">
        <v>1</v>
      </c>
      <c r="AB1370" t="b">
        <v>1</v>
      </c>
      <c r="AC1370" t="b">
        <v>1</v>
      </c>
      <c r="AD1370" t="b">
        <v>1</v>
      </c>
      <c r="AE1370" t="b">
        <v>1</v>
      </c>
      <c r="AF1370" t="b">
        <v>1</v>
      </c>
      <c r="AG1370" t="b">
        <v>1</v>
      </c>
    </row>
    <row r="1371" spans="1:33" x14ac:dyDescent="0.25">
      <c r="A1371" t="s">
        <v>33</v>
      </c>
      <c r="B1371">
        <v>15</v>
      </c>
      <c r="C1371" t="b">
        <v>1</v>
      </c>
      <c r="D1371" t="s">
        <v>4701</v>
      </c>
      <c r="E1371" t="s">
        <v>5001</v>
      </c>
      <c r="F1371" t="s">
        <v>5002</v>
      </c>
      <c r="G1371" t="s">
        <v>4704</v>
      </c>
      <c r="H1371">
        <v>1370</v>
      </c>
      <c r="I1371" t="str">
        <f>IF(ISBLANK(Table1[[#This Row],[oid]]),"FALSE","TRUE")</f>
        <v>TRUE</v>
      </c>
      <c r="J1371" t="str" cm="1">
        <f t="array" ref="J1371">_xlfn.SWITCH(LEFT(Table1[[#This Row],[section]],1), "D", "Demographic", "S", "Social", "E", "Economic", "H", "Housing", "")</f>
        <v>Economic</v>
      </c>
      <c r="K1371" t="s">
        <v>5003</v>
      </c>
      <c r="L1371" t="s">
        <v>5004</v>
      </c>
      <c r="M1371" t="str">
        <f>IF(Table1[[#This Row],[used]], _xlfn.CONCAT("🆔 ", Table1[[#This Row],[variable]], ": ",Table1[[#This Row],[alias]]), "")</f>
        <v>🆔 C24030_001E: Civilian Employed Population 16+ years</v>
      </c>
      <c r="O1371" t="s">
        <v>39</v>
      </c>
      <c r="P1371" t="s">
        <v>5005</v>
      </c>
      <c r="Q1371" t="s">
        <v>41</v>
      </c>
      <c r="R1371" t="s">
        <v>5006</v>
      </c>
      <c r="S1371" t="b">
        <v>1</v>
      </c>
      <c r="T1371" t="b">
        <v>1</v>
      </c>
      <c r="U1371" t="b">
        <v>1</v>
      </c>
      <c r="V1371" t="b">
        <v>1</v>
      </c>
      <c r="W1371" t="b">
        <v>1</v>
      </c>
      <c r="X1371" t="b">
        <v>1</v>
      </c>
      <c r="Y1371" t="b">
        <v>1</v>
      </c>
      <c r="Z1371" t="b">
        <v>1</v>
      </c>
      <c r="AA1371" t="b">
        <v>1</v>
      </c>
      <c r="AB1371" t="b">
        <v>1</v>
      </c>
      <c r="AC1371" t="b">
        <v>1</v>
      </c>
      <c r="AD1371" t="b">
        <v>1</v>
      </c>
      <c r="AE1371" t="b">
        <v>1</v>
      </c>
      <c r="AF1371" t="b">
        <v>1</v>
      </c>
      <c r="AG1371" t="b">
        <v>1</v>
      </c>
    </row>
    <row r="1372" spans="1:33" x14ac:dyDescent="0.25">
      <c r="A1372" t="s">
        <v>33</v>
      </c>
      <c r="B1372">
        <v>15</v>
      </c>
      <c r="C1372" t="b">
        <v>1</v>
      </c>
      <c r="D1372" t="s">
        <v>4701</v>
      </c>
      <c r="E1372" t="s">
        <v>5001</v>
      </c>
      <c r="F1372" t="s">
        <v>5007</v>
      </c>
      <c r="G1372" t="s">
        <v>51</v>
      </c>
      <c r="H1372">
        <v>1371</v>
      </c>
      <c r="I1372" t="str">
        <f>IF(ISBLANK(Table1[[#This Row],[oid]]),"FALSE","TRUE")</f>
        <v>TRUE</v>
      </c>
      <c r="J1372" t="str" cm="1">
        <f t="array" ref="J1372">_xlfn.SWITCH(LEFT(Table1[[#This Row],[section]],1), "D", "Demographic", "S", "Social", "E", "Economic", "H", "Housing", "")</f>
        <v>Economic</v>
      </c>
      <c r="K1372" t="s">
        <v>5003</v>
      </c>
      <c r="L1372" t="s">
        <v>5004</v>
      </c>
      <c r="M1372" t="str">
        <f>IF(Table1[[#This Row],[used]], _xlfn.CONCAT("🆔 ", Table1[[#This Row],[variable]], ": ",Table1[[#This Row],[alias]]), "")</f>
        <v>🆔 C24030_002E: Male</v>
      </c>
      <c r="O1372" t="s">
        <v>52</v>
      </c>
      <c r="P1372" t="s">
        <v>5005</v>
      </c>
      <c r="Q1372" t="s">
        <v>41</v>
      </c>
      <c r="R1372" t="s">
        <v>5008</v>
      </c>
      <c r="S1372" t="b">
        <v>1</v>
      </c>
      <c r="T1372" t="b">
        <v>1</v>
      </c>
      <c r="U1372" t="b">
        <v>1</v>
      </c>
      <c r="V1372" t="b">
        <v>1</v>
      </c>
      <c r="W1372" t="b">
        <v>1</v>
      </c>
      <c r="X1372" t="b">
        <v>1</v>
      </c>
      <c r="Y1372" t="b">
        <v>1</v>
      </c>
      <c r="Z1372" t="b">
        <v>1</v>
      </c>
      <c r="AA1372" t="b">
        <v>1</v>
      </c>
      <c r="AB1372" t="b">
        <v>1</v>
      </c>
      <c r="AC1372" t="b">
        <v>1</v>
      </c>
      <c r="AD1372" t="b">
        <v>1</v>
      </c>
      <c r="AE1372" t="b">
        <v>1</v>
      </c>
      <c r="AF1372" t="b">
        <v>1</v>
      </c>
      <c r="AG1372" t="b">
        <v>1</v>
      </c>
    </row>
    <row r="1373" spans="1:33" x14ac:dyDescent="0.25">
      <c r="A1373" t="s">
        <v>33</v>
      </c>
      <c r="B1373">
        <v>15</v>
      </c>
      <c r="C1373" t="b">
        <v>1</v>
      </c>
      <c r="D1373" t="s">
        <v>4701</v>
      </c>
      <c r="E1373" t="s">
        <v>5001</v>
      </c>
      <c r="F1373" t="s">
        <v>5009</v>
      </c>
      <c r="G1373" t="s">
        <v>5010</v>
      </c>
      <c r="H1373">
        <v>1372</v>
      </c>
      <c r="I1373" t="str">
        <f>IF(ISBLANK(Table1[[#This Row],[oid]]),"FALSE","TRUE")</f>
        <v>TRUE</v>
      </c>
      <c r="J1373" t="str" cm="1">
        <f t="array" ref="J1373">_xlfn.SWITCH(LEFT(Table1[[#This Row],[section]],1), "D", "Demographic", "S", "Social", "E", "Economic", "H", "Housing", "")</f>
        <v>Economic</v>
      </c>
      <c r="K1373" t="s">
        <v>5003</v>
      </c>
      <c r="L1373" t="s">
        <v>5004</v>
      </c>
      <c r="M1373" t="str">
        <f>IF(Table1[[#This Row],[used]], _xlfn.CONCAT("🆔 ", Table1[[#This Row],[variable]], ": ",Table1[[#This Row],[alias]]), "")</f>
        <v>🆔 C24030_003E: Male: Agriculture forestry fishing and hunting and mining</v>
      </c>
      <c r="O1373" t="s">
        <v>5011</v>
      </c>
      <c r="P1373" t="s">
        <v>5005</v>
      </c>
      <c r="Q1373" t="s">
        <v>41</v>
      </c>
      <c r="R1373" t="s">
        <v>5012</v>
      </c>
      <c r="S1373" t="b">
        <v>1</v>
      </c>
      <c r="T1373" t="b">
        <v>1</v>
      </c>
      <c r="U1373" t="b">
        <v>1</v>
      </c>
      <c r="V1373" t="b">
        <v>1</v>
      </c>
      <c r="W1373" t="b">
        <v>1</v>
      </c>
      <c r="X1373" t="b">
        <v>1</v>
      </c>
      <c r="Y1373" t="b">
        <v>1</v>
      </c>
      <c r="Z1373" t="b">
        <v>1</v>
      </c>
      <c r="AA1373" t="b">
        <v>1</v>
      </c>
      <c r="AB1373" t="b">
        <v>1</v>
      </c>
      <c r="AC1373" t="b">
        <v>1</v>
      </c>
      <c r="AD1373" t="b">
        <v>1</v>
      </c>
      <c r="AE1373" t="b">
        <v>1</v>
      </c>
      <c r="AF1373" t="b">
        <v>1</v>
      </c>
      <c r="AG1373" t="b">
        <v>1</v>
      </c>
    </row>
    <row r="1374" spans="1:33" x14ac:dyDescent="0.25">
      <c r="A1374" t="s">
        <v>33</v>
      </c>
      <c r="B1374">
        <v>15</v>
      </c>
      <c r="C1374" t="b">
        <v>1</v>
      </c>
      <c r="D1374" t="s">
        <v>4701</v>
      </c>
      <c r="E1374" t="s">
        <v>5001</v>
      </c>
      <c r="F1374" t="s">
        <v>5013</v>
      </c>
      <c r="G1374" t="s">
        <v>5014</v>
      </c>
      <c r="H1374">
        <v>1373</v>
      </c>
      <c r="I1374" t="str">
        <f>IF(ISBLANK(Table1[[#This Row],[oid]]),"FALSE","TRUE")</f>
        <v>TRUE</v>
      </c>
      <c r="J1374" t="str" cm="1">
        <f t="array" ref="J1374">_xlfn.SWITCH(LEFT(Table1[[#This Row],[section]],1), "D", "Demographic", "S", "Social", "E", "Economic", "H", "Housing", "")</f>
        <v>Economic</v>
      </c>
      <c r="K1374" t="s">
        <v>5003</v>
      </c>
      <c r="L1374" t="s">
        <v>5004</v>
      </c>
      <c r="M1374" t="str">
        <f>IF(Table1[[#This Row],[used]], _xlfn.CONCAT("🆔 ", Table1[[#This Row],[variable]], ": ",Table1[[#This Row],[alias]]), "")</f>
        <v>🆔 C24030_004E: Male: Agriculture forestry fishing and hunting and mining: Agriculture forestry fishing and hunting</v>
      </c>
      <c r="O1374" t="s">
        <v>5015</v>
      </c>
      <c r="P1374" t="s">
        <v>5005</v>
      </c>
      <c r="Q1374" t="s">
        <v>41</v>
      </c>
      <c r="R1374" t="s">
        <v>5016</v>
      </c>
      <c r="S1374" t="b">
        <v>1</v>
      </c>
      <c r="T1374" t="b">
        <v>1</v>
      </c>
      <c r="U1374" t="b">
        <v>1</v>
      </c>
      <c r="V1374" t="b">
        <v>1</v>
      </c>
      <c r="W1374" t="b">
        <v>1</v>
      </c>
      <c r="X1374" t="b">
        <v>1</v>
      </c>
      <c r="Y1374" t="b">
        <v>1</v>
      </c>
      <c r="Z1374" t="b">
        <v>1</v>
      </c>
      <c r="AA1374" t="b">
        <v>1</v>
      </c>
      <c r="AB1374" t="b">
        <v>1</v>
      </c>
      <c r="AC1374" t="b">
        <v>1</v>
      </c>
      <c r="AD1374" t="b">
        <v>1</v>
      </c>
      <c r="AE1374" t="b">
        <v>1</v>
      </c>
      <c r="AF1374" t="b">
        <v>1</v>
      </c>
      <c r="AG1374" t="b">
        <v>1</v>
      </c>
    </row>
    <row r="1375" spans="1:33" x14ac:dyDescent="0.25">
      <c r="A1375" t="s">
        <v>33</v>
      </c>
      <c r="B1375">
        <v>15</v>
      </c>
      <c r="C1375" t="b">
        <v>1</v>
      </c>
      <c r="D1375" t="s">
        <v>4701</v>
      </c>
      <c r="E1375" t="s">
        <v>5001</v>
      </c>
      <c r="F1375" t="s">
        <v>5017</v>
      </c>
      <c r="G1375" t="s">
        <v>5018</v>
      </c>
      <c r="H1375">
        <v>1374</v>
      </c>
      <c r="I1375" t="str">
        <f>IF(ISBLANK(Table1[[#This Row],[oid]]),"FALSE","TRUE")</f>
        <v>TRUE</v>
      </c>
      <c r="J1375" t="str" cm="1">
        <f t="array" ref="J1375">_xlfn.SWITCH(LEFT(Table1[[#This Row],[section]],1), "D", "Demographic", "S", "Social", "E", "Economic", "H", "Housing", "")</f>
        <v>Economic</v>
      </c>
      <c r="K1375" t="s">
        <v>5003</v>
      </c>
      <c r="L1375" t="s">
        <v>5004</v>
      </c>
      <c r="M1375" t="str">
        <f>IF(Table1[[#This Row],[used]], _xlfn.CONCAT("🆔 ", Table1[[#This Row],[variable]], ": ",Table1[[#This Row],[alias]]), "")</f>
        <v>🆔 C24030_005E: Male: Agriculture forestry fishing and hunting and mining: Mining quarrying and oil and gas extraction</v>
      </c>
      <c r="O1375" t="s">
        <v>5019</v>
      </c>
      <c r="P1375" t="s">
        <v>5005</v>
      </c>
      <c r="Q1375" t="s">
        <v>41</v>
      </c>
      <c r="R1375" t="s">
        <v>5020</v>
      </c>
      <c r="S1375" t="b">
        <v>1</v>
      </c>
      <c r="T1375" t="b">
        <v>1</v>
      </c>
      <c r="U1375" t="b">
        <v>1</v>
      </c>
      <c r="V1375" t="b">
        <v>1</v>
      </c>
      <c r="W1375" t="b">
        <v>1</v>
      </c>
      <c r="X1375" t="b">
        <v>1</v>
      </c>
      <c r="Y1375" t="b">
        <v>1</v>
      </c>
      <c r="Z1375" t="b">
        <v>1</v>
      </c>
      <c r="AA1375" t="b">
        <v>1</v>
      </c>
      <c r="AB1375" t="b">
        <v>1</v>
      </c>
      <c r="AC1375" t="b">
        <v>1</v>
      </c>
      <c r="AD1375" t="b">
        <v>1</v>
      </c>
      <c r="AE1375" t="b">
        <v>1</v>
      </c>
      <c r="AF1375" t="b">
        <v>1</v>
      </c>
      <c r="AG1375" t="b">
        <v>1</v>
      </c>
    </row>
    <row r="1376" spans="1:33" x14ac:dyDescent="0.25">
      <c r="A1376" t="s">
        <v>33</v>
      </c>
      <c r="B1376">
        <v>15</v>
      </c>
      <c r="C1376" t="b">
        <v>1</v>
      </c>
      <c r="D1376" t="s">
        <v>4701</v>
      </c>
      <c r="E1376" t="s">
        <v>5001</v>
      </c>
      <c r="F1376" t="s">
        <v>5021</v>
      </c>
      <c r="G1376" t="s">
        <v>5022</v>
      </c>
      <c r="H1376">
        <v>1375</v>
      </c>
      <c r="I1376" t="str">
        <f>IF(ISBLANK(Table1[[#This Row],[oid]]),"FALSE","TRUE")</f>
        <v>TRUE</v>
      </c>
      <c r="J1376" t="str" cm="1">
        <f t="array" ref="J1376">_xlfn.SWITCH(LEFT(Table1[[#This Row],[section]],1), "D", "Demographic", "S", "Social", "E", "Economic", "H", "Housing", "")</f>
        <v>Economic</v>
      </c>
      <c r="K1376" t="s">
        <v>5003</v>
      </c>
      <c r="L1376" t="s">
        <v>5004</v>
      </c>
      <c r="M1376" t="str">
        <f>IF(Table1[[#This Row],[used]], _xlfn.CONCAT("🆔 ", Table1[[#This Row],[variable]], ": ",Table1[[#This Row],[alias]]), "")</f>
        <v>🆔 C24030_006E: Male: Construction</v>
      </c>
      <c r="O1376" t="s">
        <v>5023</v>
      </c>
      <c r="P1376" t="s">
        <v>5005</v>
      </c>
      <c r="Q1376" t="s">
        <v>41</v>
      </c>
      <c r="R1376" t="s">
        <v>5024</v>
      </c>
      <c r="S1376" t="b">
        <v>1</v>
      </c>
      <c r="T1376" t="b">
        <v>1</v>
      </c>
      <c r="U1376" t="b">
        <v>1</v>
      </c>
      <c r="V1376" t="b">
        <v>1</v>
      </c>
      <c r="W1376" t="b">
        <v>1</v>
      </c>
      <c r="X1376" t="b">
        <v>1</v>
      </c>
      <c r="Y1376" t="b">
        <v>1</v>
      </c>
      <c r="Z1376" t="b">
        <v>1</v>
      </c>
      <c r="AA1376" t="b">
        <v>1</v>
      </c>
      <c r="AB1376" t="b">
        <v>1</v>
      </c>
      <c r="AC1376" t="b">
        <v>1</v>
      </c>
      <c r="AD1376" t="b">
        <v>1</v>
      </c>
      <c r="AE1376" t="b">
        <v>1</v>
      </c>
      <c r="AF1376" t="b">
        <v>1</v>
      </c>
      <c r="AG1376" t="b">
        <v>1</v>
      </c>
    </row>
    <row r="1377" spans="1:33" x14ac:dyDescent="0.25">
      <c r="A1377" t="s">
        <v>33</v>
      </c>
      <c r="B1377">
        <v>15</v>
      </c>
      <c r="C1377" t="b">
        <v>1</v>
      </c>
      <c r="D1377" t="s">
        <v>4701</v>
      </c>
      <c r="E1377" t="s">
        <v>5001</v>
      </c>
      <c r="F1377" t="s">
        <v>5025</v>
      </c>
      <c r="G1377" t="s">
        <v>5026</v>
      </c>
      <c r="H1377">
        <v>1376</v>
      </c>
      <c r="I1377" t="str">
        <f>IF(ISBLANK(Table1[[#This Row],[oid]]),"FALSE","TRUE")</f>
        <v>TRUE</v>
      </c>
      <c r="J1377" t="str" cm="1">
        <f t="array" ref="J1377">_xlfn.SWITCH(LEFT(Table1[[#This Row],[section]],1), "D", "Demographic", "S", "Social", "E", "Economic", "H", "Housing", "")</f>
        <v>Economic</v>
      </c>
      <c r="K1377" t="s">
        <v>5003</v>
      </c>
      <c r="L1377" t="s">
        <v>5004</v>
      </c>
      <c r="M1377" t="str">
        <f>IF(Table1[[#This Row],[used]], _xlfn.CONCAT("🆔 ", Table1[[#This Row],[variable]], ": ",Table1[[#This Row],[alias]]), "")</f>
        <v>🆔 C24030_007E: Male: Manufacturing</v>
      </c>
      <c r="O1377" t="s">
        <v>5027</v>
      </c>
      <c r="P1377" t="s">
        <v>5005</v>
      </c>
      <c r="Q1377" t="s">
        <v>41</v>
      </c>
      <c r="R1377" t="s">
        <v>5028</v>
      </c>
      <c r="S1377" t="b">
        <v>1</v>
      </c>
      <c r="T1377" t="b">
        <v>1</v>
      </c>
      <c r="U1377" t="b">
        <v>1</v>
      </c>
      <c r="V1377" t="b">
        <v>1</v>
      </c>
      <c r="W1377" t="b">
        <v>1</v>
      </c>
      <c r="X1377" t="b">
        <v>1</v>
      </c>
      <c r="Y1377" t="b">
        <v>1</v>
      </c>
      <c r="Z1377" t="b">
        <v>1</v>
      </c>
      <c r="AA1377" t="b">
        <v>1</v>
      </c>
      <c r="AB1377" t="b">
        <v>1</v>
      </c>
      <c r="AC1377" t="b">
        <v>1</v>
      </c>
      <c r="AD1377" t="b">
        <v>1</v>
      </c>
      <c r="AE1377" t="b">
        <v>1</v>
      </c>
      <c r="AF1377" t="b">
        <v>1</v>
      </c>
      <c r="AG1377" t="b">
        <v>1</v>
      </c>
    </row>
    <row r="1378" spans="1:33" x14ac:dyDescent="0.25">
      <c r="A1378" t="s">
        <v>33</v>
      </c>
      <c r="B1378">
        <v>15</v>
      </c>
      <c r="C1378" t="b">
        <v>1</v>
      </c>
      <c r="D1378" t="s">
        <v>4701</v>
      </c>
      <c r="E1378" t="s">
        <v>5001</v>
      </c>
      <c r="F1378" t="s">
        <v>5029</v>
      </c>
      <c r="G1378" t="s">
        <v>5030</v>
      </c>
      <c r="H1378">
        <v>1377</v>
      </c>
      <c r="I1378" t="str">
        <f>IF(ISBLANK(Table1[[#This Row],[oid]]),"FALSE","TRUE")</f>
        <v>TRUE</v>
      </c>
      <c r="J1378" t="str" cm="1">
        <f t="array" ref="J1378">_xlfn.SWITCH(LEFT(Table1[[#This Row],[section]],1), "D", "Demographic", "S", "Social", "E", "Economic", "H", "Housing", "")</f>
        <v>Economic</v>
      </c>
      <c r="K1378" t="s">
        <v>5003</v>
      </c>
      <c r="L1378" t="s">
        <v>5004</v>
      </c>
      <c r="M1378" t="str">
        <f>IF(Table1[[#This Row],[used]], _xlfn.CONCAT("🆔 ", Table1[[#This Row],[variable]], ": ",Table1[[#This Row],[alias]]), "")</f>
        <v>🆔 C24030_008E: Male: Wholesale trade</v>
      </c>
      <c r="O1378" t="s">
        <v>5031</v>
      </c>
      <c r="P1378" t="s">
        <v>5005</v>
      </c>
      <c r="Q1378" t="s">
        <v>41</v>
      </c>
      <c r="R1378" t="s">
        <v>5032</v>
      </c>
      <c r="S1378" t="b">
        <v>1</v>
      </c>
      <c r="T1378" t="b">
        <v>1</v>
      </c>
      <c r="U1378" t="b">
        <v>1</v>
      </c>
      <c r="V1378" t="b">
        <v>1</v>
      </c>
      <c r="W1378" t="b">
        <v>1</v>
      </c>
      <c r="X1378" t="b">
        <v>1</v>
      </c>
      <c r="Y1378" t="b">
        <v>1</v>
      </c>
      <c r="Z1378" t="b">
        <v>1</v>
      </c>
      <c r="AA1378" t="b">
        <v>1</v>
      </c>
      <c r="AB1378" t="b">
        <v>1</v>
      </c>
      <c r="AC1378" t="b">
        <v>1</v>
      </c>
      <c r="AD1378" t="b">
        <v>1</v>
      </c>
      <c r="AE1378" t="b">
        <v>1</v>
      </c>
      <c r="AF1378" t="b">
        <v>1</v>
      </c>
      <c r="AG1378" t="b">
        <v>1</v>
      </c>
    </row>
    <row r="1379" spans="1:33" x14ac:dyDescent="0.25">
      <c r="A1379" t="s">
        <v>33</v>
      </c>
      <c r="B1379">
        <v>15</v>
      </c>
      <c r="C1379" t="b">
        <v>1</v>
      </c>
      <c r="D1379" t="s">
        <v>4701</v>
      </c>
      <c r="E1379" t="s">
        <v>5001</v>
      </c>
      <c r="F1379" t="s">
        <v>5033</v>
      </c>
      <c r="G1379" t="s">
        <v>5034</v>
      </c>
      <c r="H1379">
        <v>1378</v>
      </c>
      <c r="I1379" t="str">
        <f>IF(ISBLANK(Table1[[#This Row],[oid]]),"FALSE","TRUE")</f>
        <v>TRUE</v>
      </c>
      <c r="J1379" t="str" cm="1">
        <f t="array" ref="J1379">_xlfn.SWITCH(LEFT(Table1[[#This Row],[section]],1), "D", "Demographic", "S", "Social", "E", "Economic", "H", "Housing", "")</f>
        <v>Economic</v>
      </c>
      <c r="K1379" t="s">
        <v>5003</v>
      </c>
      <c r="L1379" t="s">
        <v>5004</v>
      </c>
      <c r="M1379" t="str">
        <f>IF(Table1[[#This Row],[used]], _xlfn.CONCAT("🆔 ", Table1[[#This Row],[variable]], ": ",Table1[[#This Row],[alias]]), "")</f>
        <v>🆔 C24030_009E: Male: Retail trade</v>
      </c>
      <c r="O1379" t="s">
        <v>5035</v>
      </c>
      <c r="P1379" t="s">
        <v>5005</v>
      </c>
      <c r="Q1379" t="s">
        <v>41</v>
      </c>
      <c r="R1379" t="s">
        <v>5036</v>
      </c>
      <c r="S1379" t="b">
        <v>1</v>
      </c>
      <c r="T1379" t="b">
        <v>1</v>
      </c>
      <c r="U1379" t="b">
        <v>1</v>
      </c>
      <c r="V1379" t="b">
        <v>1</v>
      </c>
      <c r="W1379" t="b">
        <v>1</v>
      </c>
      <c r="X1379" t="b">
        <v>1</v>
      </c>
      <c r="Y1379" t="b">
        <v>1</v>
      </c>
      <c r="Z1379" t="b">
        <v>1</v>
      </c>
      <c r="AA1379" t="b">
        <v>1</v>
      </c>
      <c r="AB1379" t="b">
        <v>1</v>
      </c>
      <c r="AC1379" t="b">
        <v>1</v>
      </c>
      <c r="AD1379" t="b">
        <v>1</v>
      </c>
      <c r="AE1379" t="b">
        <v>1</v>
      </c>
      <c r="AF1379" t="b">
        <v>1</v>
      </c>
      <c r="AG1379" t="b">
        <v>1</v>
      </c>
    </row>
    <row r="1380" spans="1:33" x14ac:dyDescent="0.25">
      <c r="A1380" t="s">
        <v>33</v>
      </c>
      <c r="B1380">
        <v>15</v>
      </c>
      <c r="C1380" t="b">
        <v>1</v>
      </c>
      <c r="D1380" t="s">
        <v>4701</v>
      </c>
      <c r="E1380" t="s">
        <v>5001</v>
      </c>
      <c r="F1380" t="s">
        <v>5037</v>
      </c>
      <c r="G1380" t="s">
        <v>5038</v>
      </c>
      <c r="H1380">
        <v>1379</v>
      </c>
      <c r="I1380" t="str">
        <f>IF(ISBLANK(Table1[[#This Row],[oid]]),"FALSE","TRUE")</f>
        <v>TRUE</v>
      </c>
      <c r="J1380" t="str" cm="1">
        <f t="array" ref="J1380">_xlfn.SWITCH(LEFT(Table1[[#This Row],[section]],1), "D", "Demographic", "S", "Social", "E", "Economic", "H", "Housing", "")</f>
        <v>Economic</v>
      </c>
      <c r="K1380" t="s">
        <v>5003</v>
      </c>
      <c r="L1380" t="s">
        <v>5004</v>
      </c>
      <c r="M1380" t="str">
        <f>IF(Table1[[#This Row],[used]], _xlfn.CONCAT("🆔 ", Table1[[#This Row],[variable]], ": ",Table1[[#This Row],[alias]]), "")</f>
        <v>🆔 C24030_010E: Male: Transportation and warehousing and utilities</v>
      </c>
      <c r="O1380" t="s">
        <v>5039</v>
      </c>
      <c r="P1380" t="s">
        <v>5005</v>
      </c>
      <c r="Q1380" t="s">
        <v>41</v>
      </c>
      <c r="R1380" t="s">
        <v>5040</v>
      </c>
      <c r="S1380" t="b">
        <v>1</v>
      </c>
      <c r="T1380" t="b">
        <v>1</v>
      </c>
      <c r="U1380" t="b">
        <v>1</v>
      </c>
      <c r="V1380" t="b">
        <v>1</v>
      </c>
      <c r="W1380" t="b">
        <v>1</v>
      </c>
      <c r="X1380" t="b">
        <v>1</v>
      </c>
      <c r="Y1380" t="b">
        <v>1</v>
      </c>
      <c r="Z1380" t="b">
        <v>1</v>
      </c>
      <c r="AA1380" t="b">
        <v>1</v>
      </c>
      <c r="AB1380" t="b">
        <v>1</v>
      </c>
      <c r="AC1380" t="b">
        <v>1</v>
      </c>
      <c r="AD1380" t="b">
        <v>1</v>
      </c>
      <c r="AE1380" t="b">
        <v>1</v>
      </c>
      <c r="AF1380" t="b">
        <v>1</v>
      </c>
      <c r="AG1380" t="b">
        <v>1</v>
      </c>
    </row>
    <row r="1381" spans="1:33" x14ac:dyDescent="0.25">
      <c r="A1381" t="s">
        <v>33</v>
      </c>
      <c r="B1381">
        <v>15</v>
      </c>
      <c r="C1381" t="b">
        <v>1</v>
      </c>
      <c r="D1381" t="s">
        <v>4701</v>
      </c>
      <c r="E1381" t="s">
        <v>5001</v>
      </c>
      <c r="F1381" t="s">
        <v>5041</v>
      </c>
      <c r="G1381" t="s">
        <v>5042</v>
      </c>
      <c r="H1381">
        <v>1380</v>
      </c>
      <c r="I1381" t="str">
        <f>IF(ISBLANK(Table1[[#This Row],[oid]]),"FALSE","TRUE")</f>
        <v>TRUE</v>
      </c>
      <c r="J1381" t="str" cm="1">
        <f t="array" ref="J1381">_xlfn.SWITCH(LEFT(Table1[[#This Row],[section]],1), "D", "Demographic", "S", "Social", "E", "Economic", "H", "Housing", "")</f>
        <v>Economic</v>
      </c>
      <c r="K1381" t="s">
        <v>5003</v>
      </c>
      <c r="L1381" t="s">
        <v>5004</v>
      </c>
      <c r="M1381" t="str">
        <f>IF(Table1[[#This Row],[used]], _xlfn.CONCAT("🆔 ", Table1[[#This Row],[variable]], ": ",Table1[[#This Row],[alias]]), "")</f>
        <v>🆔 C24030_011E: Male: Transportation and warehousing and utilities: Transportation and warehousing</v>
      </c>
      <c r="O1381" t="s">
        <v>5043</v>
      </c>
      <c r="P1381" t="s">
        <v>5005</v>
      </c>
      <c r="Q1381" t="s">
        <v>41</v>
      </c>
      <c r="R1381" t="s">
        <v>5044</v>
      </c>
      <c r="S1381" t="b">
        <v>1</v>
      </c>
      <c r="T1381" t="b">
        <v>1</v>
      </c>
      <c r="U1381" t="b">
        <v>1</v>
      </c>
      <c r="V1381" t="b">
        <v>1</v>
      </c>
      <c r="W1381" t="b">
        <v>1</v>
      </c>
      <c r="X1381" t="b">
        <v>1</v>
      </c>
      <c r="Y1381" t="b">
        <v>1</v>
      </c>
      <c r="Z1381" t="b">
        <v>1</v>
      </c>
      <c r="AA1381" t="b">
        <v>1</v>
      </c>
      <c r="AB1381" t="b">
        <v>1</v>
      </c>
      <c r="AC1381" t="b">
        <v>1</v>
      </c>
      <c r="AD1381" t="b">
        <v>1</v>
      </c>
      <c r="AE1381" t="b">
        <v>1</v>
      </c>
      <c r="AF1381" t="b">
        <v>1</v>
      </c>
      <c r="AG1381" t="b">
        <v>1</v>
      </c>
    </row>
    <row r="1382" spans="1:33" x14ac:dyDescent="0.25">
      <c r="A1382" t="s">
        <v>33</v>
      </c>
      <c r="B1382">
        <v>15</v>
      </c>
      <c r="C1382" t="b">
        <v>1</v>
      </c>
      <c r="D1382" t="s">
        <v>4701</v>
      </c>
      <c r="E1382" t="s">
        <v>5001</v>
      </c>
      <c r="F1382" t="s">
        <v>5045</v>
      </c>
      <c r="G1382" t="s">
        <v>5046</v>
      </c>
      <c r="H1382">
        <v>1381</v>
      </c>
      <c r="I1382" t="str">
        <f>IF(ISBLANK(Table1[[#This Row],[oid]]),"FALSE","TRUE")</f>
        <v>TRUE</v>
      </c>
      <c r="J1382" t="str" cm="1">
        <f t="array" ref="J1382">_xlfn.SWITCH(LEFT(Table1[[#This Row],[section]],1), "D", "Demographic", "S", "Social", "E", "Economic", "H", "Housing", "")</f>
        <v>Economic</v>
      </c>
      <c r="K1382" t="s">
        <v>5003</v>
      </c>
      <c r="L1382" t="s">
        <v>5004</v>
      </c>
      <c r="M1382" t="str">
        <f>IF(Table1[[#This Row],[used]], _xlfn.CONCAT("🆔 ", Table1[[#This Row],[variable]], ": ",Table1[[#This Row],[alias]]), "")</f>
        <v>🆔 C24030_012E: Male: Transportation and warehousing and utilities: Utilities</v>
      </c>
      <c r="O1382" t="s">
        <v>5047</v>
      </c>
      <c r="P1382" t="s">
        <v>5005</v>
      </c>
      <c r="Q1382" t="s">
        <v>41</v>
      </c>
      <c r="R1382" t="s">
        <v>5048</v>
      </c>
      <c r="S1382" t="b">
        <v>1</v>
      </c>
      <c r="T1382" t="b">
        <v>1</v>
      </c>
      <c r="U1382" t="b">
        <v>1</v>
      </c>
      <c r="V1382" t="b">
        <v>1</v>
      </c>
      <c r="W1382" t="b">
        <v>1</v>
      </c>
      <c r="X1382" t="b">
        <v>1</v>
      </c>
      <c r="Y1382" t="b">
        <v>1</v>
      </c>
      <c r="Z1382" t="b">
        <v>1</v>
      </c>
      <c r="AA1382" t="b">
        <v>1</v>
      </c>
      <c r="AB1382" t="b">
        <v>1</v>
      </c>
      <c r="AC1382" t="b">
        <v>1</v>
      </c>
      <c r="AD1382" t="b">
        <v>1</v>
      </c>
      <c r="AE1382" t="b">
        <v>1</v>
      </c>
      <c r="AF1382" t="b">
        <v>1</v>
      </c>
      <c r="AG1382" t="b">
        <v>1</v>
      </c>
    </row>
    <row r="1383" spans="1:33" x14ac:dyDescent="0.25">
      <c r="A1383" t="s">
        <v>33</v>
      </c>
      <c r="B1383">
        <v>15</v>
      </c>
      <c r="C1383" t="b">
        <v>1</v>
      </c>
      <c r="D1383" t="s">
        <v>4701</v>
      </c>
      <c r="E1383" t="s">
        <v>5001</v>
      </c>
      <c r="F1383" t="s">
        <v>5049</v>
      </c>
      <c r="G1383" t="s">
        <v>5050</v>
      </c>
      <c r="H1383">
        <v>1382</v>
      </c>
      <c r="I1383" t="str">
        <f>IF(ISBLANK(Table1[[#This Row],[oid]]),"FALSE","TRUE")</f>
        <v>TRUE</v>
      </c>
      <c r="J1383" t="str" cm="1">
        <f t="array" ref="J1383">_xlfn.SWITCH(LEFT(Table1[[#This Row],[section]],1), "D", "Demographic", "S", "Social", "E", "Economic", "H", "Housing", "")</f>
        <v>Economic</v>
      </c>
      <c r="K1383" t="s">
        <v>5003</v>
      </c>
      <c r="L1383" t="s">
        <v>5004</v>
      </c>
      <c r="M1383" t="str">
        <f>IF(Table1[[#This Row],[used]], _xlfn.CONCAT("🆔 ", Table1[[#This Row],[variable]], ": ",Table1[[#This Row],[alias]]), "")</f>
        <v>🆔 C24030_013E: Male: Information</v>
      </c>
      <c r="O1383" t="s">
        <v>5051</v>
      </c>
      <c r="P1383" t="s">
        <v>5005</v>
      </c>
      <c r="Q1383" t="s">
        <v>41</v>
      </c>
      <c r="R1383" t="s">
        <v>5052</v>
      </c>
      <c r="S1383" t="b">
        <v>1</v>
      </c>
      <c r="T1383" t="b">
        <v>1</v>
      </c>
      <c r="U1383" t="b">
        <v>1</v>
      </c>
      <c r="V1383" t="b">
        <v>1</v>
      </c>
      <c r="W1383" t="b">
        <v>1</v>
      </c>
      <c r="X1383" t="b">
        <v>1</v>
      </c>
      <c r="Y1383" t="b">
        <v>1</v>
      </c>
      <c r="Z1383" t="b">
        <v>1</v>
      </c>
      <c r="AA1383" t="b">
        <v>1</v>
      </c>
      <c r="AB1383" t="b">
        <v>1</v>
      </c>
      <c r="AC1383" t="b">
        <v>1</v>
      </c>
      <c r="AD1383" t="b">
        <v>1</v>
      </c>
      <c r="AE1383" t="b">
        <v>1</v>
      </c>
      <c r="AF1383" t="b">
        <v>1</v>
      </c>
      <c r="AG1383" t="b">
        <v>1</v>
      </c>
    </row>
    <row r="1384" spans="1:33" x14ac:dyDescent="0.25">
      <c r="A1384" t="s">
        <v>33</v>
      </c>
      <c r="B1384">
        <v>15</v>
      </c>
      <c r="C1384" t="b">
        <v>1</v>
      </c>
      <c r="D1384" t="s">
        <v>4701</v>
      </c>
      <c r="E1384" t="s">
        <v>5001</v>
      </c>
      <c r="F1384" t="s">
        <v>5053</v>
      </c>
      <c r="G1384" t="s">
        <v>5054</v>
      </c>
      <c r="H1384">
        <v>1383</v>
      </c>
      <c r="I1384" t="str">
        <f>IF(ISBLANK(Table1[[#This Row],[oid]]),"FALSE","TRUE")</f>
        <v>TRUE</v>
      </c>
      <c r="J1384" t="str" cm="1">
        <f t="array" ref="J1384">_xlfn.SWITCH(LEFT(Table1[[#This Row],[section]],1), "D", "Demographic", "S", "Social", "E", "Economic", "H", "Housing", "")</f>
        <v>Economic</v>
      </c>
      <c r="K1384" t="s">
        <v>5003</v>
      </c>
      <c r="L1384" t="s">
        <v>5004</v>
      </c>
      <c r="M1384" t="str">
        <f>IF(Table1[[#This Row],[used]], _xlfn.CONCAT("🆔 ", Table1[[#This Row],[variable]], ": ",Table1[[#This Row],[alias]]), "")</f>
        <v>🆔 C24030_014E: Male: Finance and insurance and real estate and rental and leasing</v>
      </c>
      <c r="O1384" t="s">
        <v>5055</v>
      </c>
      <c r="P1384" t="s">
        <v>5005</v>
      </c>
      <c r="Q1384" t="s">
        <v>41</v>
      </c>
      <c r="R1384" t="s">
        <v>5056</v>
      </c>
      <c r="S1384" t="b">
        <v>1</v>
      </c>
      <c r="T1384" t="b">
        <v>1</v>
      </c>
      <c r="U1384" t="b">
        <v>1</v>
      </c>
      <c r="V1384" t="b">
        <v>1</v>
      </c>
      <c r="W1384" t="b">
        <v>1</v>
      </c>
      <c r="X1384" t="b">
        <v>1</v>
      </c>
      <c r="Y1384" t="b">
        <v>1</v>
      </c>
      <c r="Z1384" t="b">
        <v>1</v>
      </c>
      <c r="AA1384" t="b">
        <v>1</v>
      </c>
      <c r="AB1384" t="b">
        <v>1</v>
      </c>
      <c r="AC1384" t="b">
        <v>1</v>
      </c>
      <c r="AD1384" t="b">
        <v>1</v>
      </c>
      <c r="AE1384" t="b">
        <v>1</v>
      </c>
      <c r="AF1384" t="b">
        <v>1</v>
      </c>
      <c r="AG1384" t="b">
        <v>1</v>
      </c>
    </row>
    <row r="1385" spans="1:33" x14ac:dyDescent="0.25">
      <c r="A1385" t="s">
        <v>33</v>
      </c>
      <c r="B1385">
        <v>15</v>
      </c>
      <c r="C1385" t="b">
        <v>1</v>
      </c>
      <c r="D1385" t="s">
        <v>4701</v>
      </c>
      <c r="E1385" t="s">
        <v>5001</v>
      </c>
      <c r="F1385" t="s">
        <v>5057</v>
      </c>
      <c r="G1385" t="s">
        <v>5058</v>
      </c>
      <c r="H1385">
        <v>1384</v>
      </c>
      <c r="I1385" t="str">
        <f>IF(ISBLANK(Table1[[#This Row],[oid]]),"FALSE","TRUE")</f>
        <v>TRUE</v>
      </c>
      <c r="J1385" t="str" cm="1">
        <f t="array" ref="J1385">_xlfn.SWITCH(LEFT(Table1[[#This Row],[section]],1), "D", "Demographic", "S", "Social", "E", "Economic", "H", "Housing", "")</f>
        <v>Economic</v>
      </c>
      <c r="K1385" t="s">
        <v>5003</v>
      </c>
      <c r="L1385" t="s">
        <v>5004</v>
      </c>
      <c r="M1385" t="str">
        <f>IF(Table1[[#This Row],[used]], _xlfn.CONCAT("🆔 ", Table1[[#This Row],[variable]], ": ",Table1[[#This Row],[alias]]), "")</f>
        <v>🆔 C24030_015E: Male: Finance and insurance and real estate and rental and leasing: Finance and insurance</v>
      </c>
      <c r="O1385" t="s">
        <v>5059</v>
      </c>
      <c r="P1385" t="s">
        <v>5005</v>
      </c>
      <c r="Q1385" t="s">
        <v>41</v>
      </c>
      <c r="R1385" t="s">
        <v>5060</v>
      </c>
      <c r="S1385" t="b">
        <v>1</v>
      </c>
      <c r="T1385" t="b">
        <v>1</v>
      </c>
      <c r="U1385" t="b">
        <v>1</v>
      </c>
      <c r="V1385" t="b">
        <v>1</v>
      </c>
      <c r="W1385" t="b">
        <v>1</v>
      </c>
      <c r="X1385" t="b">
        <v>1</v>
      </c>
      <c r="Y1385" t="b">
        <v>1</v>
      </c>
      <c r="Z1385" t="b">
        <v>1</v>
      </c>
      <c r="AA1385" t="b">
        <v>1</v>
      </c>
      <c r="AB1385" t="b">
        <v>1</v>
      </c>
      <c r="AC1385" t="b">
        <v>1</v>
      </c>
      <c r="AD1385" t="b">
        <v>1</v>
      </c>
      <c r="AE1385" t="b">
        <v>1</v>
      </c>
      <c r="AF1385" t="b">
        <v>1</v>
      </c>
      <c r="AG1385" t="b">
        <v>1</v>
      </c>
    </row>
    <row r="1386" spans="1:33" x14ac:dyDescent="0.25">
      <c r="A1386" t="s">
        <v>33</v>
      </c>
      <c r="B1386">
        <v>15</v>
      </c>
      <c r="C1386" t="b">
        <v>1</v>
      </c>
      <c r="D1386" t="s">
        <v>4701</v>
      </c>
      <c r="E1386" t="s">
        <v>5001</v>
      </c>
      <c r="F1386" t="s">
        <v>5061</v>
      </c>
      <c r="G1386" t="s">
        <v>5062</v>
      </c>
      <c r="H1386">
        <v>1385</v>
      </c>
      <c r="I1386" t="str">
        <f>IF(ISBLANK(Table1[[#This Row],[oid]]),"FALSE","TRUE")</f>
        <v>TRUE</v>
      </c>
      <c r="J1386" t="str" cm="1">
        <f t="array" ref="J1386">_xlfn.SWITCH(LEFT(Table1[[#This Row],[section]],1), "D", "Demographic", "S", "Social", "E", "Economic", "H", "Housing", "")</f>
        <v>Economic</v>
      </c>
      <c r="K1386" t="s">
        <v>5003</v>
      </c>
      <c r="L1386" t="s">
        <v>5004</v>
      </c>
      <c r="M1386" t="str">
        <f>IF(Table1[[#This Row],[used]], _xlfn.CONCAT("🆔 ", Table1[[#This Row],[variable]], ": ",Table1[[#This Row],[alias]]), "")</f>
        <v>🆔 C24030_016E: Male: Finance and insurance and real estate and rental and leasing: Real estate and rental and leasing</v>
      </c>
      <c r="O1386" t="s">
        <v>5063</v>
      </c>
      <c r="P1386" t="s">
        <v>5005</v>
      </c>
      <c r="Q1386" t="s">
        <v>41</v>
      </c>
      <c r="R1386" t="s">
        <v>5064</v>
      </c>
      <c r="S1386" t="b">
        <v>1</v>
      </c>
      <c r="T1386" t="b">
        <v>1</v>
      </c>
      <c r="U1386" t="b">
        <v>1</v>
      </c>
      <c r="V1386" t="b">
        <v>1</v>
      </c>
      <c r="W1386" t="b">
        <v>1</v>
      </c>
      <c r="X1386" t="b">
        <v>1</v>
      </c>
      <c r="Y1386" t="b">
        <v>1</v>
      </c>
      <c r="Z1386" t="b">
        <v>1</v>
      </c>
      <c r="AA1386" t="b">
        <v>1</v>
      </c>
      <c r="AB1386" t="b">
        <v>1</v>
      </c>
      <c r="AC1386" t="b">
        <v>1</v>
      </c>
      <c r="AD1386" t="b">
        <v>1</v>
      </c>
      <c r="AE1386" t="b">
        <v>1</v>
      </c>
      <c r="AF1386" t="b">
        <v>1</v>
      </c>
      <c r="AG1386" t="b">
        <v>1</v>
      </c>
    </row>
    <row r="1387" spans="1:33" x14ac:dyDescent="0.25">
      <c r="A1387" t="s">
        <v>33</v>
      </c>
      <c r="B1387">
        <v>15</v>
      </c>
      <c r="C1387" t="b">
        <v>1</v>
      </c>
      <c r="D1387" t="s">
        <v>4701</v>
      </c>
      <c r="E1387" t="s">
        <v>5001</v>
      </c>
      <c r="F1387" t="s">
        <v>5065</v>
      </c>
      <c r="G1387" t="s">
        <v>5066</v>
      </c>
      <c r="H1387">
        <v>1386</v>
      </c>
      <c r="I1387" t="str">
        <f>IF(ISBLANK(Table1[[#This Row],[oid]]),"FALSE","TRUE")</f>
        <v>TRUE</v>
      </c>
      <c r="J1387" t="str" cm="1">
        <f t="array" ref="J1387">_xlfn.SWITCH(LEFT(Table1[[#This Row],[section]],1), "D", "Demographic", "S", "Social", "E", "Economic", "H", "Housing", "")</f>
        <v>Economic</v>
      </c>
      <c r="K1387" t="s">
        <v>5003</v>
      </c>
      <c r="L1387" t="s">
        <v>5004</v>
      </c>
      <c r="M1387" t="str">
        <f>IF(Table1[[#This Row],[used]], _xlfn.CONCAT("🆔 ", Table1[[#This Row],[variable]], ": ",Table1[[#This Row],[alias]]), "")</f>
        <v>🆔 C24030_017E: Male: Professional scientific and management and administrative and waste management services</v>
      </c>
      <c r="O1387" t="s">
        <v>5067</v>
      </c>
      <c r="P1387" t="s">
        <v>5005</v>
      </c>
      <c r="Q1387" t="s">
        <v>41</v>
      </c>
      <c r="R1387" t="s">
        <v>5068</v>
      </c>
      <c r="S1387" t="b">
        <v>1</v>
      </c>
      <c r="T1387" t="b">
        <v>1</v>
      </c>
      <c r="U1387" t="b">
        <v>1</v>
      </c>
      <c r="V1387" t="b">
        <v>1</v>
      </c>
      <c r="W1387" t="b">
        <v>1</v>
      </c>
      <c r="X1387" t="b">
        <v>1</v>
      </c>
      <c r="Y1387" t="b">
        <v>1</v>
      </c>
      <c r="Z1387" t="b">
        <v>1</v>
      </c>
      <c r="AA1387" t="b">
        <v>1</v>
      </c>
      <c r="AB1387" t="b">
        <v>1</v>
      </c>
      <c r="AC1387" t="b">
        <v>1</v>
      </c>
      <c r="AD1387" t="b">
        <v>1</v>
      </c>
      <c r="AE1387" t="b">
        <v>1</v>
      </c>
      <c r="AF1387" t="b">
        <v>1</v>
      </c>
      <c r="AG1387" t="b">
        <v>1</v>
      </c>
    </row>
    <row r="1388" spans="1:33" x14ac:dyDescent="0.25">
      <c r="A1388" t="s">
        <v>33</v>
      </c>
      <c r="B1388">
        <v>15</v>
      </c>
      <c r="C1388" t="b">
        <v>1</v>
      </c>
      <c r="D1388" t="s">
        <v>4701</v>
      </c>
      <c r="E1388" t="s">
        <v>5001</v>
      </c>
      <c r="F1388" t="s">
        <v>5069</v>
      </c>
      <c r="G1388" t="s">
        <v>5070</v>
      </c>
      <c r="H1388">
        <v>1387</v>
      </c>
      <c r="I1388" t="str">
        <f>IF(ISBLANK(Table1[[#This Row],[oid]]),"FALSE","TRUE")</f>
        <v>TRUE</v>
      </c>
      <c r="J1388" t="str" cm="1">
        <f t="array" ref="J1388">_xlfn.SWITCH(LEFT(Table1[[#This Row],[section]],1), "D", "Demographic", "S", "Social", "E", "Economic", "H", "Housing", "")</f>
        <v>Economic</v>
      </c>
      <c r="K1388" t="s">
        <v>5003</v>
      </c>
      <c r="L1388" t="s">
        <v>5004</v>
      </c>
      <c r="M1388" t="str">
        <f>IF(Table1[[#This Row],[used]], _xlfn.CONCAT("🆔 ", Table1[[#This Row],[variable]], ": ",Table1[[#This Row],[alias]]), "")</f>
        <v>🆔 C24030_018E: Male: Professional scientific and management and administrative and waste management services: Professional scientific and technical services</v>
      </c>
      <c r="O1388" t="s">
        <v>5071</v>
      </c>
      <c r="P1388" t="s">
        <v>5005</v>
      </c>
      <c r="Q1388" t="s">
        <v>41</v>
      </c>
      <c r="R1388" t="s">
        <v>5072</v>
      </c>
      <c r="S1388" t="b">
        <v>1</v>
      </c>
      <c r="T1388" t="b">
        <v>1</v>
      </c>
      <c r="U1388" t="b">
        <v>1</v>
      </c>
      <c r="V1388" t="b">
        <v>1</v>
      </c>
      <c r="W1388" t="b">
        <v>1</v>
      </c>
      <c r="X1388" t="b">
        <v>1</v>
      </c>
      <c r="Y1388" t="b">
        <v>1</v>
      </c>
      <c r="Z1388" t="b">
        <v>1</v>
      </c>
      <c r="AA1388" t="b">
        <v>1</v>
      </c>
      <c r="AB1388" t="b">
        <v>1</v>
      </c>
      <c r="AC1388" t="b">
        <v>1</v>
      </c>
      <c r="AD1388" t="b">
        <v>1</v>
      </c>
      <c r="AE1388" t="b">
        <v>1</v>
      </c>
      <c r="AF1388" t="b">
        <v>1</v>
      </c>
      <c r="AG1388" t="b">
        <v>1</v>
      </c>
    </row>
    <row r="1389" spans="1:33" x14ac:dyDescent="0.25">
      <c r="A1389" t="s">
        <v>33</v>
      </c>
      <c r="B1389">
        <v>15</v>
      </c>
      <c r="C1389" t="b">
        <v>1</v>
      </c>
      <c r="D1389" t="s">
        <v>4701</v>
      </c>
      <c r="E1389" t="s">
        <v>5001</v>
      </c>
      <c r="F1389" t="s">
        <v>5073</v>
      </c>
      <c r="G1389" t="s">
        <v>5074</v>
      </c>
      <c r="H1389">
        <v>1388</v>
      </c>
      <c r="I1389" t="str">
        <f>IF(ISBLANK(Table1[[#This Row],[oid]]),"FALSE","TRUE")</f>
        <v>TRUE</v>
      </c>
      <c r="J1389" t="str" cm="1">
        <f t="array" ref="J1389">_xlfn.SWITCH(LEFT(Table1[[#This Row],[section]],1), "D", "Demographic", "S", "Social", "E", "Economic", "H", "Housing", "")</f>
        <v>Economic</v>
      </c>
      <c r="K1389" t="s">
        <v>5003</v>
      </c>
      <c r="L1389" t="s">
        <v>5004</v>
      </c>
      <c r="M1389" t="str">
        <f>IF(Table1[[#This Row],[used]], _xlfn.CONCAT("🆔 ", Table1[[#This Row],[variable]], ": ",Table1[[#This Row],[alias]]), "")</f>
        <v>🆔 C24030_019E: Male: Professional scientific and management and administrative and waste management services: Management of companies and enterprises</v>
      </c>
      <c r="O1389" t="s">
        <v>5075</v>
      </c>
      <c r="P1389" t="s">
        <v>5005</v>
      </c>
      <c r="Q1389" t="s">
        <v>41</v>
      </c>
      <c r="R1389" t="s">
        <v>5076</v>
      </c>
      <c r="S1389" t="b">
        <v>1</v>
      </c>
      <c r="T1389" t="b">
        <v>1</v>
      </c>
      <c r="U1389" t="b">
        <v>1</v>
      </c>
      <c r="V1389" t="b">
        <v>1</v>
      </c>
      <c r="W1389" t="b">
        <v>1</v>
      </c>
      <c r="X1389" t="b">
        <v>1</v>
      </c>
      <c r="Y1389" t="b">
        <v>1</v>
      </c>
      <c r="Z1389" t="b">
        <v>1</v>
      </c>
      <c r="AA1389" t="b">
        <v>1</v>
      </c>
      <c r="AB1389" t="b">
        <v>1</v>
      </c>
      <c r="AC1389" t="b">
        <v>1</v>
      </c>
      <c r="AD1389" t="b">
        <v>1</v>
      </c>
      <c r="AE1389" t="b">
        <v>1</v>
      </c>
      <c r="AF1389" t="b">
        <v>1</v>
      </c>
      <c r="AG1389" t="b">
        <v>1</v>
      </c>
    </row>
    <row r="1390" spans="1:33" x14ac:dyDescent="0.25">
      <c r="A1390" t="s">
        <v>33</v>
      </c>
      <c r="B1390">
        <v>15</v>
      </c>
      <c r="C1390" t="b">
        <v>1</v>
      </c>
      <c r="D1390" t="s">
        <v>4701</v>
      </c>
      <c r="E1390" t="s">
        <v>5001</v>
      </c>
      <c r="F1390" t="s">
        <v>5077</v>
      </c>
      <c r="G1390" t="s">
        <v>5078</v>
      </c>
      <c r="H1390">
        <v>1389</v>
      </c>
      <c r="I1390" t="str">
        <f>IF(ISBLANK(Table1[[#This Row],[oid]]),"FALSE","TRUE")</f>
        <v>TRUE</v>
      </c>
      <c r="J1390" t="str" cm="1">
        <f t="array" ref="J1390">_xlfn.SWITCH(LEFT(Table1[[#This Row],[section]],1), "D", "Demographic", "S", "Social", "E", "Economic", "H", "Housing", "")</f>
        <v>Economic</v>
      </c>
      <c r="K1390" t="s">
        <v>5003</v>
      </c>
      <c r="L1390" t="s">
        <v>5004</v>
      </c>
      <c r="M1390" t="str">
        <f>IF(Table1[[#This Row],[used]], _xlfn.CONCAT("🆔 ", Table1[[#This Row],[variable]], ": ",Table1[[#This Row],[alias]]), "")</f>
        <v>🆔 C24030_020E: Male: Professional scientific and management and administrative and waste management services: Administrative and support and waste management services</v>
      </c>
      <c r="O1390" t="s">
        <v>5079</v>
      </c>
      <c r="P1390" t="s">
        <v>5005</v>
      </c>
      <c r="Q1390" t="s">
        <v>41</v>
      </c>
      <c r="R1390" t="s">
        <v>5080</v>
      </c>
      <c r="S1390" t="b">
        <v>1</v>
      </c>
      <c r="T1390" t="b">
        <v>1</v>
      </c>
      <c r="U1390" t="b">
        <v>1</v>
      </c>
      <c r="V1390" t="b">
        <v>1</v>
      </c>
      <c r="W1390" t="b">
        <v>1</v>
      </c>
      <c r="X1390" t="b">
        <v>1</v>
      </c>
      <c r="Y1390" t="b">
        <v>1</v>
      </c>
      <c r="Z1390" t="b">
        <v>1</v>
      </c>
      <c r="AA1390" t="b">
        <v>1</v>
      </c>
      <c r="AB1390" t="b">
        <v>1</v>
      </c>
      <c r="AC1390" t="b">
        <v>1</v>
      </c>
      <c r="AD1390" t="b">
        <v>1</v>
      </c>
      <c r="AE1390" t="b">
        <v>1</v>
      </c>
      <c r="AF1390" t="b">
        <v>1</v>
      </c>
      <c r="AG1390" t="b">
        <v>1</v>
      </c>
    </row>
    <row r="1391" spans="1:33" x14ac:dyDescent="0.25">
      <c r="A1391" t="s">
        <v>33</v>
      </c>
      <c r="B1391">
        <v>15</v>
      </c>
      <c r="C1391" t="b">
        <v>1</v>
      </c>
      <c r="D1391" t="s">
        <v>4701</v>
      </c>
      <c r="E1391" t="s">
        <v>5001</v>
      </c>
      <c r="F1391" t="s">
        <v>5081</v>
      </c>
      <c r="G1391" t="s">
        <v>5082</v>
      </c>
      <c r="H1391">
        <v>1390</v>
      </c>
      <c r="I1391" t="str">
        <f>IF(ISBLANK(Table1[[#This Row],[oid]]),"FALSE","TRUE")</f>
        <v>TRUE</v>
      </c>
      <c r="J1391" t="str" cm="1">
        <f t="array" ref="J1391">_xlfn.SWITCH(LEFT(Table1[[#This Row],[section]],1), "D", "Demographic", "S", "Social", "E", "Economic", "H", "Housing", "")</f>
        <v>Economic</v>
      </c>
      <c r="K1391" t="s">
        <v>5003</v>
      </c>
      <c r="L1391" t="s">
        <v>5004</v>
      </c>
      <c r="M1391" t="str">
        <f>IF(Table1[[#This Row],[used]], _xlfn.CONCAT("🆔 ", Table1[[#This Row],[variable]], ": ",Table1[[#This Row],[alias]]), "")</f>
        <v>🆔 C24030_021E: Male: Educational services and health care and social assistance</v>
      </c>
      <c r="O1391" t="s">
        <v>5083</v>
      </c>
      <c r="P1391" t="s">
        <v>5005</v>
      </c>
      <c r="Q1391" t="s">
        <v>41</v>
      </c>
      <c r="R1391" t="s">
        <v>5084</v>
      </c>
      <c r="S1391" t="b">
        <v>1</v>
      </c>
      <c r="T1391" t="b">
        <v>1</v>
      </c>
      <c r="U1391" t="b">
        <v>1</v>
      </c>
      <c r="V1391" t="b">
        <v>1</v>
      </c>
      <c r="W1391" t="b">
        <v>1</v>
      </c>
      <c r="X1391" t="b">
        <v>1</v>
      </c>
      <c r="Y1391" t="b">
        <v>1</v>
      </c>
      <c r="Z1391" t="b">
        <v>1</v>
      </c>
      <c r="AA1391" t="b">
        <v>1</v>
      </c>
      <c r="AB1391" t="b">
        <v>1</v>
      </c>
      <c r="AC1391" t="b">
        <v>1</v>
      </c>
      <c r="AD1391" t="b">
        <v>1</v>
      </c>
      <c r="AE1391" t="b">
        <v>1</v>
      </c>
      <c r="AF1391" t="b">
        <v>1</v>
      </c>
      <c r="AG1391" t="b">
        <v>1</v>
      </c>
    </row>
    <row r="1392" spans="1:33" x14ac:dyDescent="0.25">
      <c r="A1392" t="s">
        <v>33</v>
      </c>
      <c r="B1392">
        <v>15</v>
      </c>
      <c r="C1392" t="b">
        <v>1</v>
      </c>
      <c r="D1392" t="s">
        <v>4701</v>
      </c>
      <c r="E1392" t="s">
        <v>5001</v>
      </c>
      <c r="F1392" t="s">
        <v>5085</v>
      </c>
      <c r="G1392" t="s">
        <v>5086</v>
      </c>
      <c r="H1392">
        <v>1391</v>
      </c>
      <c r="I1392" t="str">
        <f>IF(ISBLANK(Table1[[#This Row],[oid]]),"FALSE","TRUE")</f>
        <v>TRUE</v>
      </c>
      <c r="J1392" t="str" cm="1">
        <f t="array" ref="J1392">_xlfn.SWITCH(LEFT(Table1[[#This Row],[section]],1), "D", "Demographic", "S", "Social", "E", "Economic", "H", "Housing", "")</f>
        <v>Economic</v>
      </c>
      <c r="K1392" t="s">
        <v>5003</v>
      </c>
      <c r="L1392" t="s">
        <v>5004</v>
      </c>
      <c r="M1392" t="str">
        <f>IF(Table1[[#This Row],[used]], _xlfn.CONCAT("🆔 ", Table1[[#This Row],[variable]], ": ",Table1[[#This Row],[alias]]), "")</f>
        <v>🆔 C24030_022E: Male: Educational services and health care and social assistance: Educational services</v>
      </c>
      <c r="O1392" t="s">
        <v>5087</v>
      </c>
      <c r="P1392" t="s">
        <v>5005</v>
      </c>
      <c r="Q1392" t="s">
        <v>41</v>
      </c>
      <c r="R1392" t="s">
        <v>5088</v>
      </c>
      <c r="S1392" t="b">
        <v>1</v>
      </c>
      <c r="T1392" t="b">
        <v>1</v>
      </c>
      <c r="U1392" t="b">
        <v>1</v>
      </c>
      <c r="V1392" t="b">
        <v>1</v>
      </c>
      <c r="W1392" t="b">
        <v>1</v>
      </c>
      <c r="X1392" t="b">
        <v>1</v>
      </c>
      <c r="Y1392" t="b">
        <v>1</v>
      </c>
      <c r="Z1392" t="b">
        <v>1</v>
      </c>
      <c r="AA1392" t="b">
        <v>1</v>
      </c>
      <c r="AB1392" t="b">
        <v>1</v>
      </c>
      <c r="AC1392" t="b">
        <v>1</v>
      </c>
      <c r="AD1392" t="b">
        <v>1</v>
      </c>
      <c r="AE1392" t="b">
        <v>1</v>
      </c>
      <c r="AF1392" t="b">
        <v>1</v>
      </c>
      <c r="AG1392" t="b">
        <v>1</v>
      </c>
    </row>
    <row r="1393" spans="1:33" x14ac:dyDescent="0.25">
      <c r="A1393" t="s">
        <v>33</v>
      </c>
      <c r="B1393">
        <v>15</v>
      </c>
      <c r="C1393" t="b">
        <v>1</v>
      </c>
      <c r="D1393" t="s">
        <v>4701</v>
      </c>
      <c r="E1393" t="s">
        <v>5001</v>
      </c>
      <c r="F1393" t="s">
        <v>5089</v>
      </c>
      <c r="G1393" t="s">
        <v>5090</v>
      </c>
      <c r="H1393">
        <v>1392</v>
      </c>
      <c r="I1393" t="str">
        <f>IF(ISBLANK(Table1[[#This Row],[oid]]),"FALSE","TRUE")</f>
        <v>TRUE</v>
      </c>
      <c r="J1393" t="str" cm="1">
        <f t="array" ref="J1393">_xlfn.SWITCH(LEFT(Table1[[#This Row],[section]],1), "D", "Demographic", "S", "Social", "E", "Economic", "H", "Housing", "")</f>
        <v>Economic</v>
      </c>
      <c r="K1393" t="s">
        <v>5003</v>
      </c>
      <c r="L1393" t="s">
        <v>5004</v>
      </c>
      <c r="M1393" t="str">
        <f>IF(Table1[[#This Row],[used]], _xlfn.CONCAT("🆔 ", Table1[[#This Row],[variable]], ": ",Table1[[#This Row],[alias]]), "")</f>
        <v>🆔 C24030_023E: Male: Educational services and health care and social assistance: Health care and social assistance</v>
      </c>
      <c r="O1393" t="s">
        <v>5091</v>
      </c>
      <c r="P1393" t="s">
        <v>5005</v>
      </c>
      <c r="Q1393" t="s">
        <v>41</v>
      </c>
      <c r="R1393" t="s">
        <v>5092</v>
      </c>
      <c r="S1393" t="b">
        <v>1</v>
      </c>
      <c r="T1393" t="b">
        <v>1</v>
      </c>
      <c r="U1393" t="b">
        <v>1</v>
      </c>
      <c r="V1393" t="b">
        <v>1</v>
      </c>
      <c r="W1393" t="b">
        <v>1</v>
      </c>
      <c r="X1393" t="b">
        <v>1</v>
      </c>
      <c r="Y1393" t="b">
        <v>1</v>
      </c>
      <c r="Z1393" t="b">
        <v>1</v>
      </c>
      <c r="AA1393" t="b">
        <v>1</v>
      </c>
      <c r="AB1393" t="b">
        <v>1</v>
      </c>
      <c r="AC1393" t="b">
        <v>1</v>
      </c>
      <c r="AD1393" t="b">
        <v>1</v>
      </c>
      <c r="AE1393" t="b">
        <v>1</v>
      </c>
      <c r="AF1393" t="b">
        <v>1</v>
      </c>
      <c r="AG1393" t="b">
        <v>1</v>
      </c>
    </row>
    <row r="1394" spans="1:33" x14ac:dyDescent="0.25">
      <c r="A1394" t="s">
        <v>33</v>
      </c>
      <c r="B1394">
        <v>15</v>
      </c>
      <c r="C1394" t="b">
        <v>1</v>
      </c>
      <c r="D1394" t="s">
        <v>4701</v>
      </c>
      <c r="E1394" t="s">
        <v>5001</v>
      </c>
      <c r="F1394" t="s">
        <v>5093</v>
      </c>
      <c r="G1394" t="s">
        <v>5094</v>
      </c>
      <c r="H1394">
        <v>1393</v>
      </c>
      <c r="I1394" t="str">
        <f>IF(ISBLANK(Table1[[#This Row],[oid]]),"FALSE","TRUE")</f>
        <v>TRUE</v>
      </c>
      <c r="J1394" t="str" cm="1">
        <f t="array" ref="J1394">_xlfn.SWITCH(LEFT(Table1[[#This Row],[section]],1), "D", "Demographic", "S", "Social", "E", "Economic", "H", "Housing", "")</f>
        <v>Economic</v>
      </c>
      <c r="K1394" t="s">
        <v>5003</v>
      </c>
      <c r="L1394" t="s">
        <v>5004</v>
      </c>
      <c r="M1394" t="str">
        <f>IF(Table1[[#This Row],[used]], _xlfn.CONCAT("🆔 ", Table1[[#This Row],[variable]], ": ",Table1[[#This Row],[alias]]), "")</f>
        <v>🆔 C24030_024E: Male: Arts entertainment and recreation and accommodation and food services</v>
      </c>
      <c r="O1394" t="s">
        <v>5095</v>
      </c>
      <c r="P1394" t="s">
        <v>5005</v>
      </c>
      <c r="Q1394" t="s">
        <v>41</v>
      </c>
      <c r="R1394" t="s">
        <v>5096</v>
      </c>
      <c r="S1394" t="b">
        <v>1</v>
      </c>
      <c r="T1394" t="b">
        <v>1</v>
      </c>
      <c r="U1394" t="b">
        <v>1</v>
      </c>
      <c r="V1394" t="b">
        <v>1</v>
      </c>
      <c r="W1394" t="b">
        <v>1</v>
      </c>
      <c r="X1394" t="b">
        <v>1</v>
      </c>
      <c r="Y1394" t="b">
        <v>1</v>
      </c>
      <c r="Z1394" t="b">
        <v>1</v>
      </c>
      <c r="AA1394" t="b">
        <v>1</v>
      </c>
      <c r="AB1394" t="b">
        <v>1</v>
      </c>
      <c r="AC1394" t="b">
        <v>1</v>
      </c>
      <c r="AD1394" t="b">
        <v>1</v>
      </c>
      <c r="AE1394" t="b">
        <v>1</v>
      </c>
      <c r="AF1394" t="b">
        <v>1</v>
      </c>
      <c r="AG1394" t="b">
        <v>1</v>
      </c>
    </row>
    <row r="1395" spans="1:33" x14ac:dyDescent="0.25">
      <c r="A1395" t="s">
        <v>33</v>
      </c>
      <c r="B1395">
        <v>15</v>
      </c>
      <c r="C1395" t="b">
        <v>1</v>
      </c>
      <c r="D1395" t="s">
        <v>4701</v>
      </c>
      <c r="E1395" t="s">
        <v>5001</v>
      </c>
      <c r="F1395" t="s">
        <v>5097</v>
      </c>
      <c r="G1395" t="s">
        <v>5098</v>
      </c>
      <c r="H1395">
        <v>1394</v>
      </c>
      <c r="I1395" t="str">
        <f>IF(ISBLANK(Table1[[#This Row],[oid]]),"FALSE","TRUE")</f>
        <v>TRUE</v>
      </c>
      <c r="J1395" t="str" cm="1">
        <f t="array" ref="J1395">_xlfn.SWITCH(LEFT(Table1[[#This Row],[section]],1), "D", "Demographic", "S", "Social", "E", "Economic", "H", "Housing", "")</f>
        <v>Economic</v>
      </c>
      <c r="K1395" t="s">
        <v>5003</v>
      </c>
      <c r="L1395" t="s">
        <v>5004</v>
      </c>
      <c r="M1395" t="str">
        <f>IF(Table1[[#This Row],[used]], _xlfn.CONCAT("🆔 ", Table1[[#This Row],[variable]], ": ",Table1[[#This Row],[alias]]), "")</f>
        <v>🆔 C24030_025E: Male: Arts entertainment and recreation and accommodation and food services: Arts entertainment and recreation</v>
      </c>
      <c r="O1395" t="s">
        <v>5099</v>
      </c>
      <c r="P1395" t="s">
        <v>5005</v>
      </c>
      <c r="Q1395" t="s">
        <v>41</v>
      </c>
      <c r="R1395" t="s">
        <v>5100</v>
      </c>
      <c r="S1395" t="b">
        <v>1</v>
      </c>
      <c r="T1395" t="b">
        <v>1</v>
      </c>
      <c r="U1395" t="b">
        <v>1</v>
      </c>
      <c r="V1395" t="b">
        <v>1</v>
      </c>
      <c r="W1395" t="b">
        <v>1</v>
      </c>
      <c r="X1395" t="b">
        <v>1</v>
      </c>
      <c r="Y1395" t="b">
        <v>1</v>
      </c>
      <c r="Z1395" t="b">
        <v>1</v>
      </c>
      <c r="AA1395" t="b">
        <v>1</v>
      </c>
      <c r="AB1395" t="b">
        <v>1</v>
      </c>
      <c r="AC1395" t="b">
        <v>1</v>
      </c>
      <c r="AD1395" t="b">
        <v>1</v>
      </c>
      <c r="AE1395" t="b">
        <v>1</v>
      </c>
      <c r="AF1395" t="b">
        <v>1</v>
      </c>
      <c r="AG1395" t="b">
        <v>1</v>
      </c>
    </row>
    <row r="1396" spans="1:33" x14ac:dyDescent="0.25">
      <c r="A1396" t="s">
        <v>33</v>
      </c>
      <c r="B1396">
        <v>15</v>
      </c>
      <c r="C1396" t="b">
        <v>1</v>
      </c>
      <c r="D1396" t="s">
        <v>4701</v>
      </c>
      <c r="E1396" t="s">
        <v>5001</v>
      </c>
      <c r="F1396" t="s">
        <v>5101</v>
      </c>
      <c r="G1396" t="s">
        <v>5102</v>
      </c>
      <c r="H1396">
        <v>1395</v>
      </c>
      <c r="I1396" t="str">
        <f>IF(ISBLANK(Table1[[#This Row],[oid]]),"FALSE","TRUE")</f>
        <v>TRUE</v>
      </c>
      <c r="J1396" t="str" cm="1">
        <f t="array" ref="J1396">_xlfn.SWITCH(LEFT(Table1[[#This Row],[section]],1), "D", "Demographic", "S", "Social", "E", "Economic", "H", "Housing", "")</f>
        <v>Economic</v>
      </c>
      <c r="K1396" t="s">
        <v>5003</v>
      </c>
      <c r="L1396" t="s">
        <v>5004</v>
      </c>
      <c r="M1396" t="str">
        <f>IF(Table1[[#This Row],[used]], _xlfn.CONCAT("🆔 ", Table1[[#This Row],[variable]], ": ",Table1[[#This Row],[alias]]), "")</f>
        <v>🆔 C24030_026E: Male: Arts entertainment and recreation and accommodation and food services: Accommodation and food services</v>
      </c>
      <c r="O1396" t="s">
        <v>5103</v>
      </c>
      <c r="P1396" t="s">
        <v>5005</v>
      </c>
      <c r="Q1396" t="s">
        <v>41</v>
      </c>
      <c r="R1396" t="s">
        <v>5104</v>
      </c>
      <c r="S1396" t="b">
        <v>1</v>
      </c>
      <c r="T1396" t="b">
        <v>1</v>
      </c>
      <c r="U1396" t="b">
        <v>1</v>
      </c>
      <c r="V1396" t="b">
        <v>1</v>
      </c>
      <c r="W1396" t="b">
        <v>1</v>
      </c>
      <c r="X1396" t="b">
        <v>1</v>
      </c>
      <c r="Y1396" t="b">
        <v>1</v>
      </c>
      <c r="Z1396" t="b">
        <v>1</v>
      </c>
      <c r="AA1396" t="b">
        <v>1</v>
      </c>
      <c r="AB1396" t="b">
        <v>1</v>
      </c>
      <c r="AC1396" t="b">
        <v>1</v>
      </c>
      <c r="AD1396" t="b">
        <v>1</v>
      </c>
      <c r="AE1396" t="b">
        <v>1</v>
      </c>
      <c r="AF1396" t="b">
        <v>1</v>
      </c>
      <c r="AG1396" t="b">
        <v>1</v>
      </c>
    </row>
    <row r="1397" spans="1:33" x14ac:dyDescent="0.25">
      <c r="A1397" t="s">
        <v>33</v>
      </c>
      <c r="B1397">
        <v>15</v>
      </c>
      <c r="C1397" t="b">
        <v>1</v>
      </c>
      <c r="D1397" t="s">
        <v>4701</v>
      </c>
      <c r="E1397" t="s">
        <v>5001</v>
      </c>
      <c r="F1397" t="s">
        <v>5105</v>
      </c>
      <c r="G1397" t="s">
        <v>5106</v>
      </c>
      <c r="H1397">
        <v>1396</v>
      </c>
      <c r="I1397" t="str">
        <f>IF(ISBLANK(Table1[[#This Row],[oid]]),"FALSE","TRUE")</f>
        <v>TRUE</v>
      </c>
      <c r="J1397" t="str" cm="1">
        <f t="array" ref="J1397">_xlfn.SWITCH(LEFT(Table1[[#This Row],[section]],1), "D", "Demographic", "S", "Social", "E", "Economic", "H", "Housing", "")</f>
        <v>Economic</v>
      </c>
      <c r="K1397" t="s">
        <v>5003</v>
      </c>
      <c r="L1397" t="s">
        <v>5004</v>
      </c>
      <c r="M1397" t="str">
        <f>IF(Table1[[#This Row],[used]], _xlfn.CONCAT("🆔 ", Table1[[#This Row],[variable]], ": ",Table1[[#This Row],[alias]]), "")</f>
        <v>🆔 C24030_027E: Male: Other services except public administration</v>
      </c>
      <c r="O1397" t="s">
        <v>5107</v>
      </c>
      <c r="P1397" t="s">
        <v>5005</v>
      </c>
      <c r="Q1397" t="s">
        <v>41</v>
      </c>
      <c r="R1397" t="s">
        <v>5108</v>
      </c>
      <c r="S1397" t="b">
        <v>1</v>
      </c>
      <c r="T1397" t="b">
        <v>1</v>
      </c>
      <c r="U1397" t="b">
        <v>1</v>
      </c>
      <c r="V1397" t="b">
        <v>1</v>
      </c>
      <c r="W1397" t="b">
        <v>1</v>
      </c>
      <c r="X1397" t="b">
        <v>1</v>
      </c>
      <c r="Y1397" t="b">
        <v>1</v>
      </c>
      <c r="Z1397" t="b">
        <v>1</v>
      </c>
      <c r="AA1397" t="b">
        <v>1</v>
      </c>
      <c r="AB1397" t="b">
        <v>1</v>
      </c>
      <c r="AC1397" t="b">
        <v>1</v>
      </c>
      <c r="AD1397" t="b">
        <v>1</v>
      </c>
      <c r="AE1397" t="b">
        <v>1</v>
      </c>
      <c r="AF1397" t="b">
        <v>1</v>
      </c>
      <c r="AG1397" t="b">
        <v>1</v>
      </c>
    </row>
    <row r="1398" spans="1:33" x14ac:dyDescent="0.25">
      <c r="A1398" t="s">
        <v>33</v>
      </c>
      <c r="B1398">
        <v>15</v>
      </c>
      <c r="C1398" t="b">
        <v>1</v>
      </c>
      <c r="D1398" t="s">
        <v>4701</v>
      </c>
      <c r="E1398" t="s">
        <v>5001</v>
      </c>
      <c r="F1398" t="s">
        <v>5109</v>
      </c>
      <c r="G1398" t="s">
        <v>5110</v>
      </c>
      <c r="H1398">
        <v>1397</v>
      </c>
      <c r="I1398" t="str">
        <f>IF(ISBLANK(Table1[[#This Row],[oid]]),"FALSE","TRUE")</f>
        <v>TRUE</v>
      </c>
      <c r="J1398" t="str" cm="1">
        <f t="array" ref="J1398">_xlfn.SWITCH(LEFT(Table1[[#This Row],[section]],1), "D", "Demographic", "S", "Social", "E", "Economic", "H", "Housing", "")</f>
        <v>Economic</v>
      </c>
      <c r="K1398" t="s">
        <v>5003</v>
      </c>
      <c r="L1398" t="s">
        <v>5004</v>
      </c>
      <c r="M1398" t="str">
        <f>IF(Table1[[#This Row],[used]], _xlfn.CONCAT("🆔 ", Table1[[#This Row],[variable]], ": ",Table1[[#This Row],[alias]]), "")</f>
        <v>🆔 C24030_028E: Male: Public administration</v>
      </c>
      <c r="O1398" t="s">
        <v>5111</v>
      </c>
      <c r="P1398" t="s">
        <v>5005</v>
      </c>
      <c r="Q1398" t="s">
        <v>41</v>
      </c>
      <c r="R1398" t="s">
        <v>5112</v>
      </c>
      <c r="S1398" t="b">
        <v>1</v>
      </c>
      <c r="T1398" t="b">
        <v>1</v>
      </c>
      <c r="U1398" t="b">
        <v>1</v>
      </c>
      <c r="V1398" t="b">
        <v>1</v>
      </c>
      <c r="W1398" t="b">
        <v>1</v>
      </c>
      <c r="X1398" t="b">
        <v>1</v>
      </c>
      <c r="Y1398" t="b">
        <v>1</v>
      </c>
      <c r="Z1398" t="b">
        <v>1</v>
      </c>
      <c r="AA1398" t="b">
        <v>1</v>
      </c>
      <c r="AB1398" t="b">
        <v>1</v>
      </c>
      <c r="AC1398" t="b">
        <v>1</v>
      </c>
      <c r="AD1398" t="b">
        <v>1</v>
      </c>
      <c r="AE1398" t="b">
        <v>1</v>
      </c>
      <c r="AF1398" t="b">
        <v>1</v>
      </c>
      <c r="AG1398" t="b">
        <v>1</v>
      </c>
    </row>
    <row r="1399" spans="1:33" x14ac:dyDescent="0.25">
      <c r="A1399" t="s">
        <v>33</v>
      </c>
      <c r="B1399">
        <v>15</v>
      </c>
      <c r="C1399" t="b">
        <v>1</v>
      </c>
      <c r="D1399" t="s">
        <v>4701</v>
      </c>
      <c r="E1399" t="s">
        <v>5001</v>
      </c>
      <c r="F1399" t="s">
        <v>5113</v>
      </c>
      <c r="G1399" t="s">
        <v>55</v>
      </c>
      <c r="H1399">
        <v>1398</v>
      </c>
      <c r="I1399" t="str">
        <f>IF(ISBLANK(Table1[[#This Row],[oid]]),"FALSE","TRUE")</f>
        <v>TRUE</v>
      </c>
      <c r="J1399" t="str" cm="1">
        <f t="array" ref="J1399">_xlfn.SWITCH(LEFT(Table1[[#This Row],[section]],1), "D", "Demographic", "S", "Social", "E", "Economic", "H", "Housing", "")</f>
        <v>Economic</v>
      </c>
      <c r="K1399" t="s">
        <v>5003</v>
      </c>
      <c r="L1399" t="s">
        <v>5004</v>
      </c>
      <c r="M1399" t="str">
        <f>IF(Table1[[#This Row],[used]], _xlfn.CONCAT("🆔 ", Table1[[#This Row],[variable]], ": ",Table1[[#This Row],[alias]]), "")</f>
        <v>🆔 C24030_029E: Female</v>
      </c>
      <c r="O1399" t="s">
        <v>56</v>
      </c>
      <c r="P1399" t="s">
        <v>5005</v>
      </c>
      <c r="Q1399" t="s">
        <v>41</v>
      </c>
      <c r="R1399" t="s">
        <v>5114</v>
      </c>
      <c r="S1399" t="b">
        <v>1</v>
      </c>
      <c r="T1399" t="b">
        <v>1</v>
      </c>
      <c r="U1399" t="b">
        <v>1</v>
      </c>
      <c r="V1399" t="b">
        <v>1</v>
      </c>
      <c r="W1399" t="b">
        <v>1</v>
      </c>
      <c r="X1399" t="b">
        <v>1</v>
      </c>
      <c r="Y1399" t="b">
        <v>1</v>
      </c>
      <c r="Z1399" t="b">
        <v>1</v>
      </c>
      <c r="AA1399" t="b">
        <v>1</v>
      </c>
      <c r="AB1399" t="b">
        <v>1</v>
      </c>
      <c r="AC1399" t="b">
        <v>1</v>
      </c>
      <c r="AD1399" t="b">
        <v>1</v>
      </c>
      <c r="AE1399" t="b">
        <v>1</v>
      </c>
      <c r="AF1399" t="b">
        <v>1</v>
      </c>
      <c r="AG1399" t="b">
        <v>1</v>
      </c>
    </row>
    <row r="1400" spans="1:33" x14ac:dyDescent="0.25">
      <c r="A1400" t="s">
        <v>33</v>
      </c>
      <c r="B1400">
        <v>15</v>
      </c>
      <c r="C1400" t="b">
        <v>1</v>
      </c>
      <c r="D1400" t="s">
        <v>4701</v>
      </c>
      <c r="E1400" t="s">
        <v>5001</v>
      </c>
      <c r="F1400" t="s">
        <v>5115</v>
      </c>
      <c r="G1400" t="s">
        <v>5116</v>
      </c>
      <c r="H1400">
        <v>1399</v>
      </c>
      <c r="I1400" t="str">
        <f>IF(ISBLANK(Table1[[#This Row],[oid]]),"FALSE","TRUE")</f>
        <v>TRUE</v>
      </c>
      <c r="J1400" t="str" cm="1">
        <f t="array" ref="J1400">_xlfn.SWITCH(LEFT(Table1[[#This Row],[section]],1), "D", "Demographic", "S", "Social", "E", "Economic", "H", "Housing", "")</f>
        <v>Economic</v>
      </c>
      <c r="K1400" t="s">
        <v>5003</v>
      </c>
      <c r="L1400" t="s">
        <v>5004</v>
      </c>
      <c r="M1400" t="str">
        <f>IF(Table1[[#This Row],[used]], _xlfn.CONCAT("🆔 ", Table1[[#This Row],[variable]], ": ",Table1[[#This Row],[alias]]), "")</f>
        <v>🆔 C24030_030E: Female: Agriculture forestry fishing and hunting and mining</v>
      </c>
      <c r="O1400" t="s">
        <v>5117</v>
      </c>
      <c r="P1400" t="s">
        <v>5005</v>
      </c>
      <c r="Q1400" t="s">
        <v>41</v>
      </c>
      <c r="R1400" t="s">
        <v>5118</v>
      </c>
      <c r="S1400" t="b">
        <v>1</v>
      </c>
      <c r="T1400" t="b">
        <v>1</v>
      </c>
      <c r="U1400" t="b">
        <v>1</v>
      </c>
      <c r="V1400" t="b">
        <v>1</v>
      </c>
      <c r="W1400" t="b">
        <v>1</v>
      </c>
      <c r="X1400" t="b">
        <v>1</v>
      </c>
      <c r="Y1400" t="b">
        <v>1</v>
      </c>
      <c r="Z1400" t="b">
        <v>1</v>
      </c>
      <c r="AA1400" t="b">
        <v>1</v>
      </c>
      <c r="AB1400" t="b">
        <v>1</v>
      </c>
      <c r="AC1400" t="b">
        <v>1</v>
      </c>
      <c r="AD1400" t="b">
        <v>1</v>
      </c>
      <c r="AE1400" t="b">
        <v>1</v>
      </c>
      <c r="AF1400" t="b">
        <v>1</v>
      </c>
      <c r="AG1400" t="b">
        <v>1</v>
      </c>
    </row>
    <row r="1401" spans="1:33" x14ac:dyDescent="0.25">
      <c r="A1401" t="s">
        <v>33</v>
      </c>
      <c r="B1401">
        <v>15</v>
      </c>
      <c r="C1401" t="b">
        <v>1</v>
      </c>
      <c r="D1401" t="s">
        <v>4701</v>
      </c>
      <c r="E1401" t="s">
        <v>5001</v>
      </c>
      <c r="F1401" t="s">
        <v>5119</v>
      </c>
      <c r="G1401" t="s">
        <v>5120</v>
      </c>
      <c r="H1401">
        <v>1400</v>
      </c>
      <c r="I1401" t="str">
        <f>IF(ISBLANK(Table1[[#This Row],[oid]]),"FALSE","TRUE")</f>
        <v>TRUE</v>
      </c>
      <c r="J1401" t="str" cm="1">
        <f t="array" ref="J1401">_xlfn.SWITCH(LEFT(Table1[[#This Row],[section]],1), "D", "Demographic", "S", "Social", "E", "Economic", "H", "Housing", "")</f>
        <v>Economic</v>
      </c>
      <c r="K1401" t="s">
        <v>5003</v>
      </c>
      <c r="L1401" t="s">
        <v>5004</v>
      </c>
      <c r="M1401" t="str">
        <f>IF(Table1[[#This Row],[used]], _xlfn.CONCAT("🆔 ", Table1[[#This Row],[variable]], ": ",Table1[[#This Row],[alias]]), "")</f>
        <v>🆔 C24030_031E: Female: Agriculture forestry fishing and hunting and mining: Agriculture forestry fishing and hunting</v>
      </c>
      <c r="O1401" t="s">
        <v>5121</v>
      </c>
      <c r="P1401" t="s">
        <v>5005</v>
      </c>
      <c r="Q1401" t="s">
        <v>41</v>
      </c>
      <c r="R1401" t="s">
        <v>5122</v>
      </c>
      <c r="S1401" t="b">
        <v>1</v>
      </c>
      <c r="T1401" t="b">
        <v>1</v>
      </c>
      <c r="U1401" t="b">
        <v>1</v>
      </c>
      <c r="V1401" t="b">
        <v>1</v>
      </c>
      <c r="W1401" t="b">
        <v>1</v>
      </c>
      <c r="X1401" t="b">
        <v>1</v>
      </c>
      <c r="Y1401" t="b">
        <v>1</v>
      </c>
      <c r="Z1401" t="b">
        <v>1</v>
      </c>
      <c r="AA1401" t="b">
        <v>1</v>
      </c>
      <c r="AB1401" t="b">
        <v>1</v>
      </c>
      <c r="AC1401" t="b">
        <v>1</v>
      </c>
      <c r="AD1401" t="b">
        <v>1</v>
      </c>
      <c r="AE1401" t="b">
        <v>1</v>
      </c>
      <c r="AF1401" t="b">
        <v>1</v>
      </c>
      <c r="AG1401" t="b">
        <v>1</v>
      </c>
    </row>
    <row r="1402" spans="1:33" x14ac:dyDescent="0.25">
      <c r="A1402" t="s">
        <v>33</v>
      </c>
      <c r="B1402">
        <v>15</v>
      </c>
      <c r="C1402" t="b">
        <v>1</v>
      </c>
      <c r="D1402" t="s">
        <v>4701</v>
      </c>
      <c r="E1402" t="s">
        <v>5001</v>
      </c>
      <c r="F1402" t="s">
        <v>5123</v>
      </c>
      <c r="G1402" t="s">
        <v>5124</v>
      </c>
      <c r="H1402">
        <v>1401</v>
      </c>
      <c r="I1402" t="str">
        <f>IF(ISBLANK(Table1[[#This Row],[oid]]),"FALSE","TRUE")</f>
        <v>TRUE</v>
      </c>
      <c r="J1402" t="str" cm="1">
        <f t="array" ref="J1402">_xlfn.SWITCH(LEFT(Table1[[#This Row],[section]],1), "D", "Demographic", "S", "Social", "E", "Economic", "H", "Housing", "")</f>
        <v>Economic</v>
      </c>
      <c r="K1402" t="s">
        <v>5003</v>
      </c>
      <c r="L1402" t="s">
        <v>5004</v>
      </c>
      <c r="M1402" t="str">
        <f>IF(Table1[[#This Row],[used]], _xlfn.CONCAT("🆔 ", Table1[[#This Row],[variable]], ": ",Table1[[#This Row],[alias]]), "")</f>
        <v>🆔 C24030_032E: Female: Agriculture forestry fishing and hunting and mining: Mining quarrying and oil and gas extraction</v>
      </c>
      <c r="O1402" t="s">
        <v>5125</v>
      </c>
      <c r="P1402" t="s">
        <v>5005</v>
      </c>
      <c r="Q1402" t="s">
        <v>41</v>
      </c>
      <c r="R1402" t="s">
        <v>5126</v>
      </c>
      <c r="S1402" t="b">
        <v>1</v>
      </c>
      <c r="T1402" t="b">
        <v>1</v>
      </c>
      <c r="U1402" t="b">
        <v>1</v>
      </c>
      <c r="V1402" t="b">
        <v>1</v>
      </c>
      <c r="W1402" t="b">
        <v>1</v>
      </c>
      <c r="X1402" t="b">
        <v>1</v>
      </c>
      <c r="Y1402" t="b">
        <v>1</v>
      </c>
      <c r="Z1402" t="b">
        <v>1</v>
      </c>
      <c r="AA1402" t="b">
        <v>1</v>
      </c>
      <c r="AB1402" t="b">
        <v>1</v>
      </c>
      <c r="AC1402" t="b">
        <v>1</v>
      </c>
      <c r="AD1402" t="b">
        <v>1</v>
      </c>
      <c r="AE1402" t="b">
        <v>1</v>
      </c>
      <c r="AF1402" t="b">
        <v>1</v>
      </c>
      <c r="AG1402" t="b">
        <v>1</v>
      </c>
    </row>
    <row r="1403" spans="1:33" x14ac:dyDescent="0.25">
      <c r="A1403" t="s">
        <v>33</v>
      </c>
      <c r="B1403">
        <v>15</v>
      </c>
      <c r="C1403" t="b">
        <v>1</v>
      </c>
      <c r="D1403" t="s">
        <v>4701</v>
      </c>
      <c r="E1403" t="s">
        <v>5001</v>
      </c>
      <c r="F1403" t="s">
        <v>5127</v>
      </c>
      <c r="G1403" t="s">
        <v>5128</v>
      </c>
      <c r="H1403">
        <v>1402</v>
      </c>
      <c r="I1403" t="str">
        <f>IF(ISBLANK(Table1[[#This Row],[oid]]),"FALSE","TRUE")</f>
        <v>TRUE</v>
      </c>
      <c r="J1403" t="str" cm="1">
        <f t="array" ref="J1403">_xlfn.SWITCH(LEFT(Table1[[#This Row],[section]],1), "D", "Demographic", "S", "Social", "E", "Economic", "H", "Housing", "")</f>
        <v>Economic</v>
      </c>
      <c r="K1403" t="s">
        <v>5003</v>
      </c>
      <c r="L1403" t="s">
        <v>5004</v>
      </c>
      <c r="M1403" t="str">
        <f>IF(Table1[[#This Row],[used]], _xlfn.CONCAT("🆔 ", Table1[[#This Row],[variable]], ": ",Table1[[#This Row],[alias]]), "")</f>
        <v>🆔 C24030_033E: Female: Construction</v>
      </c>
      <c r="O1403" t="s">
        <v>5129</v>
      </c>
      <c r="P1403" t="s">
        <v>5005</v>
      </c>
      <c r="Q1403" t="s">
        <v>41</v>
      </c>
      <c r="R1403" t="s">
        <v>5130</v>
      </c>
      <c r="S1403" t="b">
        <v>1</v>
      </c>
      <c r="T1403" t="b">
        <v>1</v>
      </c>
      <c r="U1403" t="b">
        <v>1</v>
      </c>
      <c r="V1403" t="b">
        <v>1</v>
      </c>
      <c r="W1403" t="b">
        <v>1</v>
      </c>
      <c r="X1403" t="b">
        <v>1</v>
      </c>
      <c r="Y1403" t="b">
        <v>1</v>
      </c>
      <c r="Z1403" t="b">
        <v>1</v>
      </c>
      <c r="AA1403" t="b">
        <v>1</v>
      </c>
      <c r="AB1403" t="b">
        <v>1</v>
      </c>
      <c r="AC1403" t="b">
        <v>1</v>
      </c>
      <c r="AD1403" t="b">
        <v>1</v>
      </c>
      <c r="AE1403" t="b">
        <v>1</v>
      </c>
      <c r="AF1403" t="b">
        <v>1</v>
      </c>
      <c r="AG1403" t="b">
        <v>1</v>
      </c>
    </row>
    <row r="1404" spans="1:33" x14ac:dyDescent="0.25">
      <c r="A1404" t="s">
        <v>33</v>
      </c>
      <c r="B1404">
        <v>15</v>
      </c>
      <c r="C1404" t="b">
        <v>1</v>
      </c>
      <c r="D1404" t="s">
        <v>4701</v>
      </c>
      <c r="E1404" t="s">
        <v>5001</v>
      </c>
      <c r="F1404" t="s">
        <v>5131</v>
      </c>
      <c r="G1404" t="s">
        <v>5132</v>
      </c>
      <c r="H1404">
        <v>1403</v>
      </c>
      <c r="I1404" t="str">
        <f>IF(ISBLANK(Table1[[#This Row],[oid]]),"FALSE","TRUE")</f>
        <v>TRUE</v>
      </c>
      <c r="J1404" t="str" cm="1">
        <f t="array" ref="J1404">_xlfn.SWITCH(LEFT(Table1[[#This Row],[section]],1), "D", "Demographic", "S", "Social", "E", "Economic", "H", "Housing", "")</f>
        <v>Economic</v>
      </c>
      <c r="K1404" t="s">
        <v>5003</v>
      </c>
      <c r="L1404" t="s">
        <v>5004</v>
      </c>
      <c r="M1404" t="str">
        <f>IF(Table1[[#This Row],[used]], _xlfn.CONCAT("🆔 ", Table1[[#This Row],[variable]], ": ",Table1[[#This Row],[alias]]), "")</f>
        <v>🆔 C24030_034E: Female: Manufacturing</v>
      </c>
      <c r="O1404" t="s">
        <v>5133</v>
      </c>
      <c r="P1404" t="s">
        <v>5005</v>
      </c>
      <c r="Q1404" t="s">
        <v>41</v>
      </c>
      <c r="R1404" t="s">
        <v>5134</v>
      </c>
      <c r="S1404" t="b">
        <v>1</v>
      </c>
      <c r="T1404" t="b">
        <v>1</v>
      </c>
      <c r="U1404" t="b">
        <v>1</v>
      </c>
      <c r="V1404" t="b">
        <v>1</v>
      </c>
      <c r="W1404" t="b">
        <v>1</v>
      </c>
      <c r="X1404" t="b">
        <v>1</v>
      </c>
      <c r="Y1404" t="b">
        <v>1</v>
      </c>
      <c r="Z1404" t="b">
        <v>1</v>
      </c>
      <c r="AA1404" t="b">
        <v>1</v>
      </c>
      <c r="AB1404" t="b">
        <v>1</v>
      </c>
      <c r="AC1404" t="b">
        <v>1</v>
      </c>
      <c r="AD1404" t="b">
        <v>1</v>
      </c>
      <c r="AE1404" t="b">
        <v>1</v>
      </c>
      <c r="AF1404" t="b">
        <v>1</v>
      </c>
      <c r="AG1404" t="b">
        <v>1</v>
      </c>
    </row>
    <row r="1405" spans="1:33" x14ac:dyDescent="0.25">
      <c r="A1405" t="s">
        <v>33</v>
      </c>
      <c r="B1405">
        <v>15</v>
      </c>
      <c r="C1405" t="b">
        <v>1</v>
      </c>
      <c r="D1405" t="s">
        <v>4701</v>
      </c>
      <c r="E1405" t="s">
        <v>5001</v>
      </c>
      <c r="F1405" t="s">
        <v>5135</v>
      </c>
      <c r="G1405" t="s">
        <v>5136</v>
      </c>
      <c r="H1405">
        <v>1404</v>
      </c>
      <c r="I1405" t="str">
        <f>IF(ISBLANK(Table1[[#This Row],[oid]]),"FALSE","TRUE")</f>
        <v>TRUE</v>
      </c>
      <c r="J1405" t="str" cm="1">
        <f t="array" ref="J1405">_xlfn.SWITCH(LEFT(Table1[[#This Row],[section]],1), "D", "Demographic", "S", "Social", "E", "Economic", "H", "Housing", "")</f>
        <v>Economic</v>
      </c>
      <c r="K1405" t="s">
        <v>5003</v>
      </c>
      <c r="L1405" t="s">
        <v>5004</v>
      </c>
      <c r="M1405" t="str">
        <f>IF(Table1[[#This Row],[used]], _xlfn.CONCAT("🆔 ", Table1[[#This Row],[variable]], ": ",Table1[[#This Row],[alias]]), "")</f>
        <v>🆔 C24030_035E: Female: Wholesale trade</v>
      </c>
      <c r="O1405" t="s">
        <v>5137</v>
      </c>
      <c r="P1405" t="s">
        <v>5005</v>
      </c>
      <c r="Q1405" t="s">
        <v>41</v>
      </c>
      <c r="R1405" t="s">
        <v>5138</v>
      </c>
      <c r="S1405" t="b">
        <v>1</v>
      </c>
      <c r="T1405" t="b">
        <v>1</v>
      </c>
      <c r="U1405" t="b">
        <v>1</v>
      </c>
      <c r="V1405" t="b">
        <v>1</v>
      </c>
      <c r="W1405" t="b">
        <v>1</v>
      </c>
      <c r="X1405" t="b">
        <v>1</v>
      </c>
      <c r="Y1405" t="b">
        <v>1</v>
      </c>
      <c r="Z1405" t="b">
        <v>1</v>
      </c>
      <c r="AA1405" t="b">
        <v>1</v>
      </c>
      <c r="AB1405" t="b">
        <v>1</v>
      </c>
      <c r="AC1405" t="b">
        <v>1</v>
      </c>
      <c r="AD1405" t="b">
        <v>1</v>
      </c>
      <c r="AE1405" t="b">
        <v>1</v>
      </c>
      <c r="AF1405" t="b">
        <v>1</v>
      </c>
      <c r="AG1405" t="b">
        <v>1</v>
      </c>
    </row>
    <row r="1406" spans="1:33" x14ac:dyDescent="0.25">
      <c r="A1406" t="s">
        <v>33</v>
      </c>
      <c r="B1406">
        <v>15</v>
      </c>
      <c r="C1406" t="b">
        <v>1</v>
      </c>
      <c r="D1406" t="s">
        <v>4701</v>
      </c>
      <c r="E1406" t="s">
        <v>5001</v>
      </c>
      <c r="F1406" t="s">
        <v>5139</v>
      </c>
      <c r="G1406" t="s">
        <v>5140</v>
      </c>
      <c r="H1406">
        <v>1405</v>
      </c>
      <c r="I1406" t="str">
        <f>IF(ISBLANK(Table1[[#This Row],[oid]]),"FALSE","TRUE")</f>
        <v>TRUE</v>
      </c>
      <c r="J1406" t="str" cm="1">
        <f t="array" ref="J1406">_xlfn.SWITCH(LEFT(Table1[[#This Row],[section]],1), "D", "Demographic", "S", "Social", "E", "Economic", "H", "Housing", "")</f>
        <v>Economic</v>
      </c>
      <c r="K1406" t="s">
        <v>5003</v>
      </c>
      <c r="L1406" t="s">
        <v>5004</v>
      </c>
      <c r="M1406" t="str">
        <f>IF(Table1[[#This Row],[used]], _xlfn.CONCAT("🆔 ", Table1[[#This Row],[variable]], ": ",Table1[[#This Row],[alias]]), "")</f>
        <v>🆔 C24030_036E: Female: Retail trade</v>
      </c>
      <c r="O1406" t="s">
        <v>5141</v>
      </c>
      <c r="P1406" t="s">
        <v>5005</v>
      </c>
      <c r="Q1406" t="s">
        <v>41</v>
      </c>
      <c r="R1406" t="s">
        <v>5142</v>
      </c>
      <c r="S1406" t="b">
        <v>1</v>
      </c>
      <c r="T1406" t="b">
        <v>1</v>
      </c>
      <c r="U1406" t="b">
        <v>1</v>
      </c>
      <c r="V1406" t="b">
        <v>1</v>
      </c>
      <c r="W1406" t="b">
        <v>1</v>
      </c>
      <c r="X1406" t="b">
        <v>1</v>
      </c>
      <c r="Y1406" t="b">
        <v>1</v>
      </c>
      <c r="Z1406" t="b">
        <v>1</v>
      </c>
      <c r="AA1406" t="b">
        <v>1</v>
      </c>
      <c r="AB1406" t="b">
        <v>1</v>
      </c>
      <c r="AC1406" t="b">
        <v>1</v>
      </c>
      <c r="AD1406" t="b">
        <v>1</v>
      </c>
      <c r="AE1406" t="b">
        <v>1</v>
      </c>
      <c r="AF1406" t="b">
        <v>1</v>
      </c>
      <c r="AG1406" t="b">
        <v>1</v>
      </c>
    </row>
    <row r="1407" spans="1:33" x14ac:dyDescent="0.25">
      <c r="A1407" t="s">
        <v>33</v>
      </c>
      <c r="B1407">
        <v>15</v>
      </c>
      <c r="C1407" t="b">
        <v>1</v>
      </c>
      <c r="D1407" t="s">
        <v>4701</v>
      </c>
      <c r="E1407" t="s">
        <v>5001</v>
      </c>
      <c r="F1407" t="s">
        <v>5143</v>
      </c>
      <c r="G1407" t="s">
        <v>5144</v>
      </c>
      <c r="H1407">
        <v>1406</v>
      </c>
      <c r="I1407" t="str">
        <f>IF(ISBLANK(Table1[[#This Row],[oid]]),"FALSE","TRUE")</f>
        <v>TRUE</v>
      </c>
      <c r="J1407" t="str" cm="1">
        <f t="array" ref="J1407">_xlfn.SWITCH(LEFT(Table1[[#This Row],[section]],1), "D", "Demographic", "S", "Social", "E", "Economic", "H", "Housing", "")</f>
        <v>Economic</v>
      </c>
      <c r="K1407" t="s">
        <v>5003</v>
      </c>
      <c r="L1407" t="s">
        <v>5004</v>
      </c>
      <c r="M1407" t="str">
        <f>IF(Table1[[#This Row],[used]], _xlfn.CONCAT("🆔 ", Table1[[#This Row],[variable]], ": ",Table1[[#This Row],[alias]]), "")</f>
        <v>🆔 C24030_037E: Female: Transportation and warehousing and utilities</v>
      </c>
      <c r="O1407" t="s">
        <v>5145</v>
      </c>
      <c r="P1407" t="s">
        <v>5005</v>
      </c>
      <c r="Q1407" t="s">
        <v>41</v>
      </c>
      <c r="R1407" t="s">
        <v>5146</v>
      </c>
      <c r="S1407" t="b">
        <v>1</v>
      </c>
      <c r="T1407" t="b">
        <v>1</v>
      </c>
      <c r="U1407" t="b">
        <v>1</v>
      </c>
      <c r="V1407" t="b">
        <v>1</v>
      </c>
      <c r="W1407" t="b">
        <v>1</v>
      </c>
      <c r="X1407" t="b">
        <v>1</v>
      </c>
      <c r="Y1407" t="b">
        <v>1</v>
      </c>
      <c r="Z1407" t="b">
        <v>1</v>
      </c>
      <c r="AA1407" t="b">
        <v>1</v>
      </c>
      <c r="AB1407" t="b">
        <v>1</v>
      </c>
      <c r="AC1407" t="b">
        <v>1</v>
      </c>
      <c r="AD1407" t="b">
        <v>1</v>
      </c>
      <c r="AE1407" t="b">
        <v>1</v>
      </c>
      <c r="AF1407" t="b">
        <v>1</v>
      </c>
      <c r="AG1407" t="b">
        <v>1</v>
      </c>
    </row>
    <row r="1408" spans="1:33" x14ac:dyDescent="0.25">
      <c r="A1408" t="s">
        <v>33</v>
      </c>
      <c r="B1408">
        <v>15</v>
      </c>
      <c r="C1408" t="b">
        <v>1</v>
      </c>
      <c r="D1408" t="s">
        <v>4701</v>
      </c>
      <c r="E1408" t="s">
        <v>5001</v>
      </c>
      <c r="F1408" t="s">
        <v>5147</v>
      </c>
      <c r="G1408" t="s">
        <v>5148</v>
      </c>
      <c r="H1408">
        <v>1407</v>
      </c>
      <c r="I1408" t="str">
        <f>IF(ISBLANK(Table1[[#This Row],[oid]]),"FALSE","TRUE")</f>
        <v>TRUE</v>
      </c>
      <c r="J1408" t="str" cm="1">
        <f t="array" ref="J1408">_xlfn.SWITCH(LEFT(Table1[[#This Row],[section]],1), "D", "Demographic", "S", "Social", "E", "Economic", "H", "Housing", "")</f>
        <v>Economic</v>
      </c>
      <c r="K1408" t="s">
        <v>5003</v>
      </c>
      <c r="L1408" t="s">
        <v>5004</v>
      </c>
      <c r="M1408" t="str">
        <f>IF(Table1[[#This Row],[used]], _xlfn.CONCAT("🆔 ", Table1[[#This Row],[variable]], ": ",Table1[[#This Row],[alias]]), "")</f>
        <v>🆔 C24030_038E: Female: Transportation and warehousing and utilities: Transportation and warehousing</v>
      </c>
      <c r="O1408" t="s">
        <v>5149</v>
      </c>
      <c r="P1408" t="s">
        <v>5005</v>
      </c>
      <c r="Q1408" t="s">
        <v>41</v>
      </c>
      <c r="R1408" t="s">
        <v>5150</v>
      </c>
      <c r="S1408" t="b">
        <v>1</v>
      </c>
      <c r="T1408" t="b">
        <v>1</v>
      </c>
      <c r="U1408" t="b">
        <v>1</v>
      </c>
      <c r="V1408" t="b">
        <v>1</v>
      </c>
      <c r="W1408" t="b">
        <v>1</v>
      </c>
      <c r="X1408" t="b">
        <v>1</v>
      </c>
      <c r="Y1408" t="b">
        <v>1</v>
      </c>
      <c r="Z1408" t="b">
        <v>1</v>
      </c>
      <c r="AA1408" t="b">
        <v>1</v>
      </c>
      <c r="AB1408" t="b">
        <v>1</v>
      </c>
      <c r="AC1408" t="b">
        <v>1</v>
      </c>
      <c r="AD1408" t="b">
        <v>1</v>
      </c>
      <c r="AE1408" t="b">
        <v>1</v>
      </c>
      <c r="AF1408" t="b">
        <v>1</v>
      </c>
      <c r="AG1408" t="b">
        <v>1</v>
      </c>
    </row>
    <row r="1409" spans="1:33" x14ac:dyDescent="0.25">
      <c r="A1409" t="s">
        <v>33</v>
      </c>
      <c r="B1409">
        <v>15</v>
      </c>
      <c r="C1409" t="b">
        <v>1</v>
      </c>
      <c r="D1409" t="s">
        <v>4701</v>
      </c>
      <c r="E1409" t="s">
        <v>5001</v>
      </c>
      <c r="F1409" t="s">
        <v>5151</v>
      </c>
      <c r="G1409" t="s">
        <v>5152</v>
      </c>
      <c r="H1409">
        <v>1408</v>
      </c>
      <c r="I1409" t="str">
        <f>IF(ISBLANK(Table1[[#This Row],[oid]]),"FALSE","TRUE")</f>
        <v>TRUE</v>
      </c>
      <c r="J1409" t="str" cm="1">
        <f t="array" ref="J1409">_xlfn.SWITCH(LEFT(Table1[[#This Row],[section]],1), "D", "Demographic", "S", "Social", "E", "Economic", "H", "Housing", "")</f>
        <v>Economic</v>
      </c>
      <c r="K1409" t="s">
        <v>5003</v>
      </c>
      <c r="L1409" t="s">
        <v>5004</v>
      </c>
      <c r="M1409" t="str">
        <f>IF(Table1[[#This Row],[used]], _xlfn.CONCAT("🆔 ", Table1[[#This Row],[variable]], ": ",Table1[[#This Row],[alias]]), "")</f>
        <v>🆔 C24030_039E: Female: Transportation and warehousing and utilities: Utilities</v>
      </c>
      <c r="O1409" t="s">
        <v>5153</v>
      </c>
      <c r="P1409" t="s">
        <v>5005</v>
      </c>
      <c r="Q1409" t="s">
        <v>41</v>
      </c>
      <c r="R1409" t="s">
        <v>5154</v>
      </c>
      <c r="S1409" t="b">
        <v>1</v>
      </c>
      <c r="T1409" t="b">
        <v>1</v>
      </c>
      <c r="U1409" t="b">
        <v>1</v>
      </c>
      <c r="V1409" t="b">
        <v>1</v>
      </c>
      <c r="W1409" t="b">
        <v>1</v>
      </c>
      <c r="X1409" t="b">
        <v>1</v>
      </c>
      <c r="Y1409" t="b">
        <v>1</v>
      </c>
      <c r="Z1409" t="b">
        <v>1</v>
      </c>
      <c r="AA1409" t="b">
        <v>1</v>
      </c>
      <c r="AB1409" t="b">
        <v>1</v>
      </c>
      <c r="AC1409" t="b">
        <v>1</v>
      </c>
      <c r="AD1409" t="b">
        <v>1</v>
      </c>
      <c r="AE1409" t="b">
        <v>1</v>
      </c>
      <c r="AF1409" t="b">
        <v>1</v>
      </c>
      <c r="AG1409" t="b">
        <v>1</v>
      </c>
    </row>
    <row r="1410" spans="1:33" x14ac:dyDescent="0.25">
      <c r="A1410" t="s">
        <v>33</v>
      </c>
      <c r="B1410">
        <v>15</v>
      </c>
      <c r="C1410" t="b">
        <v>1</v>
      </c>
      <c r="D1410" t="s">
        <v>4701</v>
      </c>
      <c r="E1410" t="s">
        <v>5001</v>
      </c>
      <c r="F1410" t="s">
        <v>5155</v>
      </c>
      <c r="G1410" t="s">
        <v>5156</v>
      </c>
      <c r="H1410">
        <v>1409</v>
      </c>
      <c r="I1410" t="str">
        <f>IF(ISBLANK(Table1[[#This Row],[oid]]),"FALSE","TRUE")</f>
        <v>TRUE</v>
      </c>
      <c r="J1410" t="str" cm="1">
        <f t="array" ref="J1410">_xlfn.SWITCH(LEFT(Table1[[#This Row],[section]],1), "D", "Demographic", "S", "Social", "E", "Economic", "H", "Housing", "")</f>
        <v>Economic</v>
      </c>
      <c r="K1410" t="s">
        <v>5003</v>
      </c>
      <c r="L1410" t="s">
        <v>5004</v>
      </c>
      <c r="M1410" t="str">
        <f>IF(Table1[[#This Row],[used]], _xlfn.CONCAT("🆔 ", Table1[[#This Row],[variable]], ": ",Table1[[#This Row],[alias]]), "")</f>
        <v>🆔 C24030_040E: Female: Information</v>
      </c>
      <c r="O1410" t="s">
        <v>5157</v>
      </c>
      <c r="P1410" t="s">
        <v>5005</v>
      </c>
      <c r="Q1410" t="s">
        <v>41</v>
      </c>
      <c r="R1410" t="s">
        <v>5158</v>
      </c>
      <c r="S1410" t="b">
        <v>1</v>
      </c>
      <c r="T1410" t="b">
        <v>1</v>
      </c>
      <c r="U1410" t="b">
        <v>1</v>
      </c>
      <c r="V1410" t="b">
        <v>1</v>
      </c>
      <c r="W1410" t="b">
        <v>1</v>
      </c>
      <c r="X1410" t="b">
        <v>1</v>
      </c>
      <c r="Y1410" t="b">
        <v>1</v>
      </c>
      <c r="Z1410" t="b">
        <v>1</v>
      </c>
      <c r="AA1410" t="b">
        <v>1</v>
      </c>
      <c r="AB1410" t="b">
        <v>1</v>
      </c>
      <c r="AC1410" t="b">
        <v>1</v>
      </c>
      <c r="AD1410" t="b">
        <v>1</v>
      </c>
      <c r="AE1410" t="b">
        <v>1</v>
      </c>
      <c r="AF1410" t="b">
        <v>1</v>
      </c>
      <c r="AG1410" t="b">
        <v>1</v>
      </c>
    </row>
    <row r="1411" spans="1:33" x14ac:dyDescent="0.25">
      <c r="A1411" t="s">
        <v>33</v>
      </c>
      <c r="B1411">
        <v>15</v>
      </c>
      <c r="C1411" t="b">
        <v>1</v>
      </c>
      <c r="D1411" t="s">
        <v>4701</v>
      </c>
      <c r="E1411" t="s">
        <v>5001</v>
      </c>
      <c r="F1411" t="s">
        <v>5159</v>
      </c>
      <c r="G1411" t="s">
        <v>5160</v>
      </c>
      <c r="H1411">
        <v>1410</v>
      </c>
      <c r="I1411" t="str">
        <f>IF(ISBLANK(Table1[[#This Row],[oid]]),"FALSE","TRUE")</f>
        <v>TRUE</v>
      </c>
      <c r="J1411" t="str" cm="1">
        <f t="array" ref="J1411">_xlfn.SWITCH(LEFT(Table1[[#This Row],[section]],1), "D", "Demographic", "S", "Social", "E", "Economic", "H", "Housing", "")</f>
        <v>Economic</v>
      </c>
      <c r="K1411" t="s">
        <v>5003</v>
      </c>
      <c r="L1411" t="s">
        <v>5004</v>
      </c>
      <c r="M1411" t="str">
        <f>IF(Table1[[#This Row],[used]], _xlfn.CONCAT("🆔 ", Table1[[#This Row],[variable]], ": ",Table1[[#This Row],[alias]]), "")</f>
        <v>🆔 C24030_041E: Female: Finance and insurance and real estate and rental and leasing</v>
      </c>
      <c r="O1411" t="s">
        <v>5161</v>
      </c>
      <c r="P1411" t="s">
        <v>5005</v>
      </c>
      <c r="Q1411" t="s">
        <v>41</v>
      </c>
      <c r="R1411" t="s">
        <v>5162</v>
      </c>
      <c r="S1411" t="b">
        <v>1</v>
      </c>
      <c r="T1411" t="b">
        <v>1</v>
      </c>
      <c r="U1411" t="b">
        <v>1</v>
      </c>
      <c r="V1411" t="b">
        <v>1</v>
      </c>
      <c r="W1411" t="b">
        <v>1</v>
      </c>
      <c r="X1411" t="b">
        <v>1</v>
      </c>
      <c r="Y1411" t="b">
        <v>1</v>
      </c>
      <c r="Z1411" t="b">
        <v>1</v>
      </c>
      <c r="AA1411" t="b">
        <v>1</v>
      </c>
      <c r="AB1411" t="b">
        <v>1</v>
      </c>
      <c r="AC1411" t="b">
        <v>1</v>
      </c>
      <c r="AD1411" t="b">
        <v>1</v>
      </c>
      <c r="AE1411" t="b">
        <v>1</v>
      </c>
      <c r="AF1411" t="b">
        <v>1</v>
      </c>
      <c r="AG1411" t="b">
        <v>1</v>
      </c>
    </row>
    <row r="1412" spans="1:33" x14ac:dyDescent="0.25">
      <c r="A1412" t="s">
        <v>33</v>
      </c>
      <c r="B1412">
        <v>15</v>
      </c>
      <c r="C1412" t="b">
        <v>1</v>
      </c>
      <c r="D1412" t="s">
        <v>4701</v>
      </c>
      <c r="E1412" t="s">
        <v>5001</v>
      </c>
      <c r="F1412" t="s">
        <v>5163</v>
      </c>
      <c r="G1412" t="s">
        <v>5164</v>
      </c>
      <c r="H1412">
        <v>1411</v>
      </c>
      <c r="I1412" t="str">
        <f>IF(ISBLANK(Table1[[#This Row],[oid]]),"FALSE","TRUE")</f>
        <v>TRUE</v>
      </c>
      <c r="J1412" t="str" cm="1">
        <f t="array" ref="J1412">_xlfn.SWITCH(LEFT(Table1[[#This Row],[section]],1), "D", "Demographic", "S", "Social", "E", "Economic", "H", "Housing", "")</f>
        <v>Economic</v>
      </c>
      <c r="K1412" t="s">
        <v>5003</v>
      </c>
      <c r="L1412" t="s">
        <v>5004</v>
      </c>
      <c r="M1412" t="str">
        <f>IF(Table1[[#This Row],[used]], _xlfn.CONCAT("🆔 ", Table1[[#This Row],[variable]], ": ",Table1[[#This Row],[alias]]), "")</f>
        <v>🆔 C24030_042E: Female: Finance and insurance and real estate and rental and leasing: Finance and insurance</v>
      </c>
      <c r="O1412" t="s">
        <v>5165</v>
      </c>
      <c r="P1412" t="s">
        <v>5005</v>
      </c>
      <c r="Q1412" t="s">
        <v>41</v>
      </c>
      <c r="R1412" t="s">
        <v>5166</v>
      </c>
      <c r="S1412" t="b">
        <v>1</v>
      </c>
      <c r="T1412" t="b">
        <v>1</v>
      </c>
      <c r="U1412" t="b">
        <v>1</v>
      </c>
      <c r="V1412" t="b">
        <v>1</v>
      </c>
      <c r="W1412" t="b">
        <v>1</v>
      </c>
      <c r="X1412" t="b">
        <v>1</v>
      </c>
      <c r="Y1412" t="b">
        <v>1</v>
      </c>
      <c r="Z1412" t="b">
        <v>1</v>
      </c>
      <c r="AA1412" t="b">
        <v>1</v>
      </c>
      <c r="AB1412" t="b">
        <v>1</v>
      </c>
      <c r="AC1412" t="b">
        <v>1</v>
      </c>
      <c r="AD1412" t="b">
        <v>1</v>
      </c>
      <c r="AE1412" t="b">
        <v>1</v>
      </c>
      <c r="AF1412" t="b">
        <v>1</v>
      </c>
      <c r="AG1412" t="b">
        <v>1</v>
      </c>
    </row>
    <row r="1413" spans="1:33" x14ac:dyDescent="0.25">
      <c r="A1413" t="s">
        <v>33</v>
      </c>
      <c r="B1413">
        <v>15</v>
      </c>
      <c r="C1413" t="b">
        <v>1</v>
      </c>
      <c r="D1413" t="s">
        <v>4701</v>
      </c>
      <c r="E1413" t="s">
        <v>5001</v>
      </c>
      <c r="F1413" t="s">
        <v>5167</v>
      </c>
      <c r="G1413" t="s">
        <v>5168</v>
      </c>
      <c r="H1413">
        <v>1412</v>
      </c>
      <c r="I1413" t="str">
        <f>IF(ISBLANK(Table1[[#This Row],[oid]]),"FALSE","TRUE")</f>
        <v>TRUE</v>
      </c>
      <c r="J1413" t="str" cm="1">
        <f t="array" ref="J1413">_xlfn.SWITCH(LEFT(Table1[[#This Row],[section]],1), "D", "Demographic", "S", "Social", "E", "Economic", "H", "Housing", "")</f>
        <v>Economic</v>
      </c>
      <c r="K1413" t="s">
        <v>5003</v>
      </c>
      <c r="L1413" t="s">
        <v>5004</v>
      </c>
      <c r="M1413" t="str">
        <f>IF(Table1[[#This Row],[used]], _xlfn.CONCAT("🆔 ", Table1[[#This Row],[variable]], ": ",Table1[[#This Row],[alias]]), "")</f>
        <v>🆔 C24030_043E: Female: Finance and insurance and real estate and rental and leasing: Real estate and rental and leasing</v>
      </c>
      <c r="O1413" t="s">
        <v>5169</v>
      </c>
      <c r="P1413" t="s">
        <v>5005</v>
      </c>
      <c r="Q1413" t="s">
        <v>41</v>
      </c>
      <c r="R1413" t="s">
        <v>5170</v>
      </c>
      <c r="S1413" t="b">
        <v>1</v>
      </c>
      <c r="T1413" t="b">
        <v>1</v>
      </c>
      <c r="U1413" t="b">
        <v>1</v>
      </c>
      <c r="V1413" t="b">
        <v>1</v>
      </c>
      <c r="W1413" t="b">
        <v>1</v>
      </c>
      <c r="X1413" t="b">
        <v>1</v>
      </c>
      <c r="Y1413" t="b">
        <v>1</v>
      </c>
      <c r="Z1413" t="b">
        <v>1</v>
      </c>
      <c r="AA1413" t="b">
        <v>1</v>
      </c>
      <c r="AB1413" t="b">
        <v>1</v>
      </c>
      <c r="AC1413" t="b">
        <v>1</v>
      </c>
      <c r="AD1413" t="b">
        <v>1</v>
      </c>
      <c r="AE1413" t="b">
        <v>1</v>
      </c>
      <c r="AF1413" t="b">
        <v>1</v>
      </c>
      <c r="AG1413" t="b">
        <v>1</v>
      </c>
    </row>
    <row r="1414" spans="1:33" x14ac:dyDescent="0.25">
      <c r="A1414" t="s">
        <v>33</v>
      </c>
      <c r="B1414">
        <v>15</v>
      </c>
      <c r="C1414" t="b">
        <v>1</v>
      </c>
      <c r="D1414" t="s">
        <v>4701</v>
      </c>
      <c r="E1414" t="s">
        <v>5001</v>
      </c>
      <c r="F1414" t="s">
        <v>5171</v>
      </c>
      <c r="G1414" t="s">
        <v>5172</v>
      </c>
      <c r="H1414">
        <v>1413</v>
      </c>
      <c r="I1414" t="str">
        <f>IF(ISBLANK(Table1[[#This Row],[oid]]),"FALSE","TRUE")</f>
        <v>TRUE</v>
      </c>
      <c r="J1414" t="str" cm="1">
        <f t="array" ref="J1414">_xlfn.SWITCH(LEFT(Table1[[#This Row],[section]],1), "D", "Demographic", "S", "Social", "E", "Economic", "H", "Housing", "")</f>
        <v>Economic</v>
      </c>
      <c r="K1414" t="s">
        <v>5003</v>
      </c>
      <c r="L1414" t="s">
        <v>5004</v>
      </c>
      <c r="M1414" t="str">
        <f>IF(Table1[[#This Row],[used]], _xlfn.CONCAT("🆔 ", Table1[[#This Row],[variable]], ": ",Table1[[#This Row],[alias]]), "")</f>
        <v>🆔 C24030_044E: Female: Professional scientific and management and administrative and waste management services</v>
      </c>
      <c r="O1414" t="s">
        <v>5173</v>
      </c>
      <c r="P1414" t="s">
        <v>5005</v>
      </c>
      <c r="Q1414" t="s">
        <v>41</v>
      </c>
      <c r="R1414" t="s">
        <v>5174</v>
      </c>
      <c r="S1414" t="b">
        <v>1</v>
      </c>
      <c r="T1414" t="b">
        <v>1</v>
      </c>
      <c r="U1414" t="b">
        <v>1</v>
      </c>
      <c r="V1414" t="b">
        <v>1</v>
      </c>
      <c r="W1414" t="b">
        <v>1</v>
      </c>
      <c r="X1414" t="b">
        <v>1</v>
      </c>
      <c r="Y1414" t="b">
        <v>1</v>
      </c>
      <c r="Z1414" t="b">
        <v>1</v>
      </c>
      <c r="AA1414" t="b">
        <v>1</v>
      </c>
      <c r="AB1414" t="b">
        <v>1</v>
      </c>
      <c r="AC1414" t="b">
        <v>1</v>
      </c>
      <c r="AD1414" t="b">
        <v>1</v>
      </c>
      <c r="AE1414" t="b">
        <v>1</v>
      </c>
      <c r="AF1414" t="b">
        <v>1</v>
      </c>
      <c r="AG1414" t="b">
        <v>1</v>
      </c>
    </row>
    <row r="1415" spans="1:33" x14ac:dyDescent="0.25">
      <c r="A1415" t="s">
        <v>33</v>
      </c>
      <c r="B1415">
        <v>15</v>
      </c>
      <c r="C1415" t="b">
        <v>1</v>
      </c>
      <c r="D1415" t="s">
        <v>4701</v>
      </c>
      <c r="E1415" t="s">
        <v>5001</v>
      </c>
      <c r="F1415" t="s">
        <v>5175</v>
      </c>
      <c r="G1415" t="s">
        <v>5176</v>
      </c>
      <c r="H1415">
        <v>1414</v>
      </c>
      <c r="I1415" t="str">
        <f>IF(ISBLANK(Table1[[#This Row],[oid]]),"FALSE","TRUE")</f>
        <v>TRUE</v>
      </c>
      <c r="J1415" t="str" cm="1">
        <f t="array" ref="J1415">_xlfn.SWITCH(LEFT(Table1[[#This Row],[section]],1), "D", "Demographic", "S", "Social", "E", "Economic", "H", "Housing", "")</f>
        <v>Economic</v>
      </c>
      <c r="K1415" t="s">
        <v>5003</v>
      </c>
      <c r="L1415" t="s">
        <v>5004</v>
      </c>
      <c r="M1415" t="str">
        <f>IF(Table1[[#This Row],[used]], _xlfn.CONCAT("🆔 ", Table1[[#This Row],[variable]], ": ",Table1[[#This Row],[alias]]), "")</f>
        <v>🆔 C24030_045E: Female: Professional scientific and management and administrative and waste management services: Professional scientific and technical services</v>
      </c>
      <c r="O1415" t="s">
        <v>5177</v>
      </c>
      <c r="P1415" t="s">
        <v>5005</v>
      </c>
      <c r="Q1415" t="s">
        <v>41</v>
      </c>
      <c r="R1415" t="s">
        <v>5178</v>
      </c>
      <c r="S1415" t="b">
        <v>1</v>
      </c>
      <c r="T1415" t="b">
        <v>1</v>
      </c>
      <c r="U1415" t="b">
        <v>1</v>
      </c>
      <c r="V1415" t="b">
        <v>1</v>
      </c>
      <c r="W1415" t="b">
        <v>1</v>
      </c>
      <c r="X1415" t="b">
        <v>1</v>
      </c>
      <c r="Y1415" t="b">
        <v>1</v>
      </c>
      <c r="Z1415" t="b">
        <v>1</v>
      </c>
      <c r="AA1415" t="b">
        <v>1</v>
      </c>
      <c r="AB1415" t="b">
        <v>1</v>
      </c>
      <c r="AC1415" t="b">
        <v>1</v>
      </c>
      <c r="AD1415" t="b">
        <v>1</v>
      </c>
      <c r="AE1415" t="b">
        <v>1</v>
      </c>
      <c r="AF1415" t="b">
        <v>1</v>
      </c>
      <c r="AG1415" t="b">
        <v>1</v>
      </c>
    </row>
    <row r="1416" spans="1:33" x14ac:dyDescent="0.25">
      <c r="A1416" t="s">
        <v>33</v>
      </c>
      <c r="B1416">
        <v>15</v>
      </c>
      <c r="C1416" t="b">
        <v>1</v>
      </c>
      <c r="D1416" t="s">
        <v>4701</v>
      </c>
      <c r="E1416" t="s">
        <v>5001</v>
      </c>
      <c r="F1416" t="s">
        <v>5179</v>
      </c>
      <c r="G1416" t="s">
        <v>5180</v>
      </c>
      <c r="H1416">
        <v>1415</v>
      </c>
      <c r="I1416" t="str">
        <f>IF(ISBLANK(Table1[[#This Row],[oid]]),"FALSE","TRUE")</f>
        <v>TRUE</v>
      </c>
      <c r="J1416" t="str" cm="1">
        <f t="array" ref="J1416">_xlfn.SWITCH(LEFT(Table1[[#This Row],[section]],1), "D", "Demographic", "S", "Social", "E", "Economic", "H", "Housing", "")</f>
        <v>Economic</v>
      </c>
      <c r="K1416" t="s">
        <v>5003</v>
      </c>
      <c r="L1416" t="s">
        <v>5004</v>
      </c>
      <c r="M1416" t="str">
        <f>IF(Table1[[#This Row],[used]], _xlfn.CONCAT("🆔 ", Table1[[#This Row],[variable]], ": ",Table1[[#This Row],[alias]]), "")</f>
        <v>🆔 C24030_046E: Female: Professional scientific and management and administrative and waste management services: Management of companies and enterprises</v>
      </c>
      <c r="O1416" t="s">
        <v>5181</v>
      </c>
      <c r="P1416" t="s">
        <v>5005</v>
      </c>
      <c r="Q1416" t="s">
        <v>41</v>
      </c>
      <c r="R1416" t="s">
        <v>5182</v>
      </c>
      <c r="S1416" t="b">
        <v>1</v>
      </c>
      <c r="T1416" t="b">
        <v>1</v>
      </c>
      <c r="U1416" t="b">
        <v>1</v>
      </c>
      <c r="V1416" t="b">
        <v>1</v>
      </c>
      <c r="W1416" t="b">
        <v>1</v>
      </c>
      <c r="X1416" t="b">
        <v>1</v>
      </c>
      <c r="Y1416" t="b">
        <v>1</v>
      </c>
      <c r="Z1416" t="b">
        <v>1</v>
      </c>
      <c r="AA1416" t="b">
        <v>1</v>
      </c>
      <c r="AB1416" t="b">
        <v>1</v>
      </c>
      <c r="AC1416" t="b">
        <v>1</v>
      </c>
      <c r="AD1416" t="b">
        <v>1</v>
      </c>
      <c r="AE1416" t="b">
        <v>1</v>
      </c>
      <c r="AF1416" t="b">
        <v>1</v>
      </c>
      <c r="AG1416" t="b">
        <v>1</v>
      </c>
    </row>
    <row r="1417" spans="1:33" x14ac:dyDescent="0.25">
      <c r="A1417" t="s">
        <v>33</v>
      </c>
      <c r="B1417">
        <v>15</v>
      </c>
      <c r="C1417" t="b">
        <v>1</v>
      </c>
      <c r="D1417" t="s">
        <v>4701</v>
      </c>
      <c r="E1417" t="s">
        <v>5001</v>
      </c>
      <c r="F1417" t="s">
        <v>5183</v>
      </c>
      <c r="G1417" t="s">
        <v>5184</v>
      </c>
      <c r="H1417">
        <v>1416</v>
      </c>
      <c r="I1417" t="str">
        <f>IF(ISBLANK(Table1[[#This Row],[oid]]),"FALSE","TRUE")</f>
        <v>TRUE</v>
      </c>
      <c r="J1417" t="str" cm="1">
        <f t="array" ref="J1417">_xlfn.SWITCH(LEFT(Table1[[#This Row],[section]],1), "D", "Demographic", "S", "Social", "E", "Economic", "H", "Housing", "")</f>
        <v>Economic</v>
      </c>
      <c r="K1417" t="s">
        <v>5003</v>
      </c>
      <c r="L1417" t="s">
        <v>5004</v>
      </c>
      <c r="M1417" t="str">
        <f>IF(Table1[[#This Row],[used]], _xlfn.CONCAT("🆔 ", Table1[[#This Row],[variable]], ": ",Table1[[#This Row],[alias]]), "")</f>
        <v>🆔 C24030_047E: Female: Professional scientific and management and administrative and waste management services: Administrative and support and waste management services</v>
      </c>
      <c r="O1417" t="s">
        <v>5185</v>
      </c>
      <c r="P1417" t="s">
        <v>5005</v>
      </c>
      <c r="Q1417" t="s">
        <v>41</v>
      </c>
      <c r="R1417" t="s">
        <v>5186</v>
      </c>
      <c r="S1417" t="b">
        <v>1</v>
      </c>
      <c r="T1417" t="b">
        <v>1</v>
      </c>
      <c r="U1417" t="b">
        <v>1</v>
      </c>
      <c r="V1417" t="b">
        <v>1</v>
      </c>
      <c r="W1417" t="b">
        <v>1</v>
      </c>
      <c r="X1417" t="b">
        <v>1</v>
      </c>
      <c r="Y1417" t="b">
        <v>1</v>
      </c>
      <c r="Z1417" t="b">
        <v>1</v>
      </c>
      <c r="AA1417" t="b">
        <v>1</v>
      </c>
      <c r="AB1417" t="b">
        <v>1</v>
      </c>
      <c r="AC1417" t="b">
        <v>1</v>
      </c>
      <c r="AD1417" t="b">
        <v>1</v>
      </c>
      <c r="AE1417" t="b">
        <v>1</v>
      </c>
      <c r="AF1417" t="b">
        <v>1</v>
      </c>
      <c r="AG1417" t="b">
        <v>1</v>
      </c>
    </row>
    <row r="1418" spans="1:33" x14ac:dyDescent="0.25">
      <c r="A1418" t="s">
        <v>33</v>
      </c>
      <c r="B1418">
        <v>15</v>
      </c>
      <c r="C1418" t="b">
        <v>1</v>
      </c>
      <c r="D1418" t="s">
        <v>4701</v>
      </c>
      <c r="E1418" t="s">
        <v>5001</v>
      </c>
      <c r="F1418" t="s">
        <v>5187</v>
      </c>
      <c r="G1418" t="s">
        <v>5188</v>
      </c>
      <c r="H1418">
        <v>1417</v>
      </c>
      <c r="I1418" t="str">
        <f>IF(ISBLANK(Table1[[#This Row],[oid]]),"FALSE","TRUE")</f>
        <v>TRUE</v>
      </c>
      <c r="J1418" t="str" cm="1">
        <f t="array" ref="J1418">_xlfn.SWITCH(LEFT(Table1[[#This Row],[section]],1), "D", "Demographic", "S", "Social", "E", "Economic", "H", "Housing", "")</f>
        <v>Economic</v>
      </c>
      <c r="K1418" t="s">
        <v>5003</v>
      </c>
      <c r="L1418" t="s">
        <v>5004</v>
      </c>
      <c r="M1418" t="str">
        <f>IF(Table1[[#This Row],[used]], _xlfn.CONCAT("🆔 ", Table1[[#This Row],[variable]], ": ",Table1[[#This Row],[alias]]), "")</f>
        <v>🆔 C24030_048E: Female: Educational services and health care and social assistance</v>
      </c>
      <c r="O1418" t="s">
        <v>5189</v>
      </c>
      <c r="P1418" t="s">
        <v>5005</v>
      </c>
      <c r="Q1418" t="s">
        <v>41</v>
      </c>
      <c r="R1418" t="s">
        <v>5190</v>
      </c>
      <c r="S1418" t="b">
        <v>1</v>
      </c>
      <c r="T1418" t="b">
        <v>1</v>
      </c>
      <c r="U1418" t="b">
        <v>1</v>
      </c>
      <c r="V1418" t="b">
        <v>1</v>
      </c>
      <c r="W1418" t="b">
        <v>1</v>
      </c>
      <c r="X1418" t="b">
        <v>1</v>
      </c>
      <c r="Y1418" t="b">
        <v>1</v>
      </c>
      <c r="Z1418" t="b">
        <v>1</v>
      </c>
      <c r="AA1418" t="b">
        <v>1</v>
      </c>
      <c r="AB1418" t="b">
        <v>1</v>
      </c>
      <c r="AC1418" t="b">
        <v>1</v>
      </c>
      <c r="AD1418" t="b">
        <v>1</v>
      </c>
      <c r="AE1418" t="b">
        <v>1</v>
      </c>
      <c r="AF1418" t="b">
        <v>1</v>
      </c>
      <c r="AG1418" t="b">
        <v>1</v>
      </c>
    </row>
    <row r="1419" spans="1:33" x14ac:dyDescent="0.25">
      <c r="A1419" t="s">
        <v>33</v>
      </c>
      <c r="B1419">
        <v>15</v>
      </c>
      <c r="C1419" t="b">
        <v>1</v>
      </c>
      <c r="D1419" t="s">
        <v>4701</v>
      </c>
      <c r="E1419" t="s">
        <v>5001</v>
      </c>
      <c r="F1419" t="s">
        <v>5191</v>
      </c>
      <c r="G1419" t="s">
        <v>5192</v>
      </c>
      <c r="H1419">
        <v>1418</v>
      </c>
      <c r="I1419" t="str">
        <f>IF(ISBLANK(Table1[[#This Row],[oid]]),"FALSE","TRUE")</f>
        <v>TRUE</v>
      </c>
      <c r="J1419" t="str" cm="1">
        <f t="array" ref="J1419">_xlfn.SWITCH(LEFT(Table1[[#This Row],[section]],1), "D", "Demographic", "S", "Social", "E", "Economic", "H", "Housing", "")</f>
        <v>Economic</v>
      </c>
      <c r="K1419" t="s">
        <v>5003</v>
      </c>
      <c r="L1419" t="s">
        <v>5004</v>
      </c>
      <c r="M1419" t="str">
        <f>IF(Table1[[#This Row],[used]], _xlfn.CONCAT("🆔 ", Table1[[#This Row],[variable]], ": ",Table1[[#This Row],[alias]]), "")</f>
        <v>🆔 C24030_049E: Female: Educational services and health care and social assistance: Educational services</v>
      </c>
      <c r="O1419" t="s">
        <v>5193</v>
      </c>
      <c r="P1419" t="s">
        <v>5005</v>
      </c>
      <c r="Q1419" t="s">
        <v>41</v>
      </c>
      <c r="R1419" t="s">
        <v>5194</v>
      </c>
      <c r="S1419" t="b">
        <v>1</v>
      </c>
      <c r="T1419" t="b">
        <v>1</v>
      </c>
      <c r="U1419" t="b">
        <v>1</v>
      </c>
      <c r="V1419" t="b">
        <v>1</v>
      </c>
      <c r="W1419" t="b">
        <v>1</v>
      </c>
      <c r="X1419" t="b">
        <v>1</v>
      </c>
      <c r="Y1419" t="b">
        <v>1</v>
      </c>
      <c r="Z1419" t="b">
        <v>1</v>
      </c>
      <c r="AA1419" t="b">
        <v>1</v>
      </c>
      <c r="AB1419" t="b">
        <v>1</v>
      </c>
      <c r="AC1419" t="b">
        <v>1</v>
      </c>
      <c r="AD1419" t="b">
        <v>1</v>
      </c>
      <c r="AE1419" t="b">
        <v>1</v>
      </c>
      <c r="AF1419" t="b">
        <v>1</v>
      </c>
      <c r="AG1419" t="b">
        <v>1</v>
      </c>
    </row>
    <row r="1420" spans="1:33" x14ac:dyDescent="0.25">
      <c r="A1420" t="s">
        <v>33</v>
      </c>
      <c r="B1420">
        <v>15</v>
      </c>
      <c r="C1420" t="b">
        <v>1</v>
      </c>
      <c r="D1420" t="s">
        <v>4701</v>
      </c>
      <c r="E1420" t="s">
        <v>5001</v>
      </c>
      <c r="F1420" t="s">
        <v>5195</v>
      </c>
      <c r="G1420" t="s">
        <v>5196</v>
      </c>
      <c r="H1420">
        <v>1419</v>
      </c>
      <c r="I1420" t="str">
        <f>IF(ISBLANK(Table1[[#This Row],[oid]]),"FALSE","TRUE")</f>
        <v>TRUE</v>
      </c>
      <c r="J1420" t="str" cm="1">
        <f t="array" ref="J1420">_xlfn.SWITCH(LEFT(Table1[[#This Row],[section]],1), "D", "Demographic", "S", "Social", "E", "Economic", "H", "Housing", "")</f>
        <v>Economic</v>
      </c>
      <c r="K1420" t="s">
        <v>5003</v>
      </c>
      <c r="L1420" t="s">
        <v>5004</v>
      </c>
      <c r="M1420" t="str">
        <f>IF(Table1[[#This Row],[used]], _xlfn.CONCAT("🆔 ", Table1[[#This Row],[variable]], ": ",Table1[[#This Row],[alias]]), "")</f>
        <v>🆔 C24030_050E: Female: Educational services and health care and social assistance: Health care and social assistance</v>
      </c>
      <c r="O1420" t="s">
        <v>5197</v>
      </c>
      <c r="P1420" t="s">
        <v>5005</v>
      </c>
      <c r="Q1420" t="s">
        <v>41</v>
      </c>
      <c r="R1420" t="s">
        <v>5198</v>
      </c>
      <c r="S1420" t="b">
        <v>1</v>
      </c>
      <c r="T1420" t="b">
        <v>1</v>
      </c>
      <c r="U1420" t="b">
        <v>1</v>
      </c>
      <c r="V1420" t="b">
        <v>1</v>
      </c>
      <c r="W1420" t="b">
        <v>1</v>
      </c>
      <c r="X1420" t="b">
        <v>1</v>
      </c>
      <c r="Y1420" t="b">
        <v>1</v>
      </c>
      <c r="Z1420" t="b">
        <v>1</v>
      </c>
      <c r="AA1420" t="b">
        <v>1</v>
      </c>
      <c r="AB1420" t="b">
        <v>1</v>
      </c>
      <c r="AC1420" t="b">
        <v>1</v>
      </c>
      <c r="AD1420" t="b">
        <v>1</v>
      </c>
      <c r="AE1420" t="b">
        <v>1</v>
      </c>
      <c r="AF1420" t="b">
        <v>1</v>
      </c>
      <c r="AG1420" t="b">
        <v>1</v>
      </c>
    </row>
    <row r="1421" spans="1:33" x14ac:dyDescent="0.25">
      <c r="A1421" t="s">
        <v>33</v>
      </c>
      <c r="B1421">
        <v>15</v>
      </c>
      <c r="C1421" t="b">
        <v>1</v>
      </c>
      <c r="D1421" t="s">
        <v>4701</v>
      </c>
      <c r="E1421" t="s">
        <v>5001</v>
      </c>
      <c r="F1421" t="s">
        <v>5199</v>
      </c>
      <c r="G1421" t="s">
        <v>5200</v>
      </c>
      <c r="H1421">
        <v>1420</v>
      </c>
      <c r="I1421" t="str">
        <f>IF(ISBLANK(Table1[[#This Row],[oid]]),"FALSE","TRUE")</f>
        <v>TRUE</v>
      </c>
      <c r="J1421" t="str" cm="1">
        <f t="array" ref="J1421">_xlfn.SWITCH(LEFT(Table1[[#This Row],[section]],1), "D", "Demographic", "S", "Social", "E", "Economic", "H", "Housing", "")</f>
        <v>Economic</v>
      </c>
      <c r="K1421" t="s">
        <v>5003</v>
      </c>
      <c r="L1421" t="s">
        <v>5004</v>
      </c>
      <c r="M1421" t="str">
        <f>IF(Table1[[#This Row],[used]], _xlfn.CONCAT("🆔 ", Table1[[#This Row],[variable]], ": ",Table1[[#This Row],[alias]]), "")</f>
        <v>🆔 C24030_051E: Female: Arts entertainment and recreation and accommodation and food services</v>
      </c>
      <c r="O1421" t="s">
        <v>5201</v>
      </c>
      <c r="P1421" t="s">
        <v>5005</v>
      </c>
      <c r="Q1421" t="s">
        <v>41</v>
      </c>
      <c r="R1421" t="s">
        <v>5202</v>
      </c>
      <c r="S1421" t="b">
        <v>1</v>
      </c>
      <c r="T1421" t="b">
        <v>1</v>
      </c>
      <c r="U1421" t="b">
        <v>1</v>
      </c>
      <c r="V1421" t="b">
        <v>1</v>
      </c>
      <c r="W1421" t="b">
        <v>1</v>
      </c>
      <c r="X1421" t="b">
        <v>1</v>
      </c>
      <c r="Y1421" t="b">
        <v>1</v>
      </c>
      <c r="Z1421" t="b">
        <v>1</v>
      </c>
      <c r="AA1421" t="b">
        <v>1</v>
      </c>
      <c r="AB1421" t="b">
        <v>1</v>
      </c>
      <c r="AC1421" t="b">
        <v>1</v>
      </c>
      <c r="AD1421" t="b">
        <v>1</v>
      </c>
      <c r="AE1421" t="b">
        <v>1</v>
      </c>
      <c r="AF1421" t="b">
        <v>1</v>
      </c>
      <c r="AG1421" t="b">
        <v>1</v>
      </c>
    </row>
    <row r="1422" spans="1:33" x14ac:dyDescent="0.25">
      <c r="A1422" t="s">
        <v>33</v>
      </c>
      <c r="B1422">
        <v>15</v>
      </c>
      <c r="C1422" t="b">
        <v>1</v>
      </c>
      <c r="D1422" t="s">
        <v>4701</v>
      </c>
      <c r="E1422" t="s">
        <v>5001</v>
      </c>
      <c r="F1422" t="s">
        <v>5203</v>
      </c>
      <c r="G1422" t="s">
        <v>5204</v>
      </c>
      <c r="H1422">
        <v>1421</v>
      </c>
      <c r="I1422" t="str">
        <f>IF(ISBLANK(Table1[[#This Row],[oid]]),"FALSE","TRUE")</f>
        <v>TRUE</v>
      </c>
      <c r="J1422" t="str" cm="1">
        <f t="array" ref="J1422">_xlfn.SWITCH(LEFT(Table1[[#This Row],[section]],1), "D", "Demographic", "S", "Social", "E", "Economic", "H", "Housing", "")</f>
        <v>Economic</v>
      </c>
      <c r="K1422" t="s">
        <v>5003</v>
      </c>
      <c r="L1422" t="s">
        <v>5004</v>
      </c>
      <c r="M1422" t="str">
        <f>IF(Table1[[#This Row],[used]], _xlfn.CONCAT("🆔 ", Table1[[#This Row],[variable]], ": ",Table1[[#This Row],[alias]]), "")</f>
        <v>🆔 C24030_052E: Female: Arts entertainment and recreation and accommodation and food services: Arts entertainment and recreation</v>
      </c>
      <c r="O1422" t="s">
        <v>5205</v>
      </c>
      <c r="P1422" t="s">
        <v>5005</v>
      </c>
      <c r="Q1422" t="s">
        <v>41</v>
      </c>
      <c r="R1422" t="s">
        <v>5206</v>
      </c>
      <c r="S1422" t="b">
        <v>1</v>
      </c>
      <c r="T1422" t="b">
        <v>1</v>
      </c>
      <c r="U1422" t="b">
        <v>1</v>
      </c>
      <c r="V1422" t="b">
        <v>1</v>
      </c>
      <c r="W1422" t="b">
        <v>1</v>
      </c>
      <c r="X1422" t="b">
        <v>1</v>
      </c>
      <c r="Y1422" t="b">
        <v>1</v>
      </c>
      <c r="Z1422" t="b">
        <v>1</v>
      </c>
      <c r="AA1422" t="b">
        <v>1</v>
      </c>
      <c r="AB1422" t="b">
        <v>1</v>
      </c>
      <c r="AC1422" t="b">
        <v>1</v>
      </c>
      <c r="AD1422" t="b">
        <v>1</v>
      </c>
      <c r="AE1422" t="b">
        <v>1</v>
      </c>
      <c r="AF1422" t="b">
        <v>1</v>
      </c>
      <c r="AG1422" t="b">
        <v>1</v>
      </c>
    </row>
    <row r="1423" spans="1:33" x14ac:dyDescent="0.25">
      <c r="A1423" t="s">
        <v>33</v>
      </c>
      <c r="B1423">
        <v>15</v>
      </c>
      <c r="C1423" t="b">
        <v>1</v>
      </c>
      <c r="D1423" t="s">
        <v>4701</v>
      </c>
      <c r="E1423" t="s">
        <v>5001</v>
      </c>
      <c r="F1423" t="s">
        <v>5207</v>
      </c>
      <c r="G1423" t="s">
        <v>5208</v>
      </c>
      <c r="H1423">
        <v>1422</v>
      </c>
      <c r="I1423" t="str">
        <f>IF(ISBLANK(Table1[[#This Row],[oid]]),"FALSE","TRUE")</f>
        <v>TRUE</v>
      </c>
      <c r="J1423" t="str" cm="1">
        <f t="array" ref="J1423">_xlfn.SWITCH(LEFT(Table1[[#This Row],[section]],1), "D", "Demographic", "S", "Social", "E", "Economic", "H", "Housing", "")</f>
        <v>Economic</v>
      </c>
      <c r="K1423" t="s">
        <v>5003</v>
      </c>
      <c r="L1423" t="s">
        <v>5004</v>
      </c>
      <c r="M1423" t="str">
        <f>IF(Table1[[#This Row],[used]], _xlfn.CONCAT("🆔 ", Table1[[#This Row],[variable]], ": ",Table1[[#This Row],[alias]]), "")</f>
        <v>🆔 C24030_053E: Female: Arts entertainment and recreation and accommodation and food services: Accommodation and food services</v>
      </c>
      <c r="O1423" t="s">
        <v>5209</v>
      </c>
      <c r="P1423" t="s">
        <v>5005</v>
      </c>
      <c r="Q1423" t="s">
        <v>41</v>
      </c>
      <c r="R1423" t="s">
        <v>5210</v>
      </c>
      <c r="S1423" t="b">
        <v>1</v>
      </c>
      <c r="T1423" t="b">
        <v>1</v>
      </c>
      <c r="U1423" t="b">
        <v>1</v>
      </c>
      <c r="V1423" t="b">
        <v>1</v>
      </c>
      <c r="W1423" t="b">
        <v>1</v>
      </c>
      <c r="X1423" t="b">
        <v>1</v>
      </c>
      <c r="Y1423" t="b">
        <v>1</v>
      </c>
      <c r="Z1423" t="b">
        <v>1</v>
      </c>
      <c r="AA1423" t="b">
        <v>1</v>
      </c>
      <c r="AB1423" t="b">
        <v>1</v>
      </c>
      <c r="AC1423" t="b">
        <v>1</v>
      </c>
      <c r="AD1423" t="b">
        <v>1</v>
      </c>
      <c r="AE1423" t="b">
        <v>1</v>
      </c>
      <c r="AF1423" t="b">
        <v>1</v>
      </c>
      <c r="AG1423" t="b">
        <v>1</v>
      </c>
    </row>
    <row r="1424" spans="1:33" x14ac:dyDescent="0.25">
      <c r="A1424" t="s">
        <v>33</v>
      </c>
      <c r="B1424">
        <v>15</v>
      </c>
      <c r="C1424" t="b">
        <v>1</v>
      </c>
      <c r="D1424" t="s">
        <v>4701</v>
      </c>
      <c r="E1424" t="s">
        <v>5001</v>
      </c>
      <c r="F1424" t="s">
        <v>5211</v>
      </c>
      <c r="G1424" t="s">
        <v>5212</v>
      </c>
      <c r="H1424">
        <v>1423</v>
      </c>
      <c r="I1424" t="str">
        <f>IF(ISBLANK(Table1[[#This Row],[oid]]),"FALSE","TRUE")</f>
        <v>TRUE</v>
      </c>
      <c r="J1424" t="str" cm="1">
        <f t="array" ref="J1424">_xlfn.SWITCH(LEFT(Table1[[#This Row],[section]],1), "D", "Demographic", "S", "Social", "E", "Economic", "H", "Housing", "")</f>
        <v>Economic</v>
      </c>
      <c r="K1424" t="s">
        <v>5003</v>
      </c>
      <c r="L1424" t="s">
        <v>5004</v>
      </c>
      <c r="M1424" t="str">
        <f>IF(Table1[[#This Row],[used]], _xlfn.CONCAT("🆔 ", Table1[[#This Row],[variable]], ": ",Table1[[#This Row],[alias]]), "")</f>
        <v>🆔 C24030_054E: Female: Other services except public administration</v>
      </c>
      <c r="O1424" t="s">
        <v>5213</v>
      </c>
      <c r="P1424" t="s">
        <v>5005</v>
      </c>
      <c r="Q1424" t="s">
        <v>41</v>
      </c>
      <c r="R1424" t="s">
        <v>5214</v>
      </c>
      <c r="S1424" t="b">
        <v>1</v>
      </c>
      <c r="T1424" t="b">
        <v>1</v>
      </c>
      <c r="U1424" t="b">
        <v>1</v>
      </c>
      <c r="V1424" t="b">
        <v>1</v>
      </c>
      <c r="W1424" t="b">
        <v>1</v>
      </c>
      <c r="X1424" t="b">
        <v>1</v>
      </c>
      <c r="Y1424" t="b">
        <v>1</v>
      </c>
      <c r="Z1424" t="b">
        <v>1</v>
      </c>
      <c r="AA1424" t="b">
        <v>1</v>
      </c>
      <c r="AB1424" t="b">
        <v>1</v>
      </c>
      <c r="AC1424" t="b">
        <v>1</v>
      </c>
      <c r="AD1424" t="b">
        <v>1</v>
      </c>
      <c r="AE1424" t="b">
        <v>1</v>
      </c>
      <c r="AF1424" t="b">
        <v>1</v>
      </c>
      <c r="AG1424" t="b">
        <v>1</v>
      </c>
    </row>
    <row r="1425" spans="1:33" x14ac:dyDescent="0.25">
      <c r="A1425" t="s">
        <v>33</v>
      </c>
      <c r="B1425">
        <v>15</v>
      </c>
      <c r="C1425" t="b">
        <v>1</v>
      </c>
      <c r="D1425" t="s">
        <v>4701</v>
      </c>
      <c r="E1425" t="s">
        <v>5001</v>
      </c>
      <c r="F1425" t="s">
        <v>5215</v>
      </c>
      <c r="G1425" t="s">
        <v>5216</v>
      </c>
      <c r="H1425">
        <v>1424</v>
      </c>
      <c r="I1425" t="str">
        <f>IF(ISBLANK(Table1[[#This Row],[oid]]),"FALSE","TRUE")</f>
        <v>TRUE</v>
      </c>
      <c r="J1425" t="str" cm="1">
        <f t="array" ref="J1425">_xlfn.SWITCH(LEFT(Table1[[#This Row],[section]],1), "D", "Demographic", "S", "Social", "E", "Economic", "H", "Housing", "")</f>
        <v>Economic</v>
      </c>
      <c r="K1425" t="s">
        <v>5003</v>
      </c>
      <c r="L1425" t="s">
        <v>5004</v>
      </c>
      <c r="M1425" t="str">
        <f>IF(Table1[[#This Row],[used]], _xlfn.CONCAT("🆔 ", Table1[[#This Row],[variable]], ": ",Table1[[#This Row],[alias]]), "")</f>
        <v>🆔 C24030_055E: Female: Public administration</v>
      </c>
      <c r="O1425" t="s">
        <v>5217</v>
      </c>
      <c r="P1425" t="s">
        <v>5005</v>
      </c>
      <c r="Q1425" t="s">
        <v>41</v>
      </c>
      <c r="R1425" t="s">
        <v>5218</v>
      </c>
      <c r="S1425" t="b">
        <v>1</v>
      </c>
      <c r="T1425" t="b">
        <v>1</v>
      </c>
      <c r="U1425" t="b">
        <v>1</v>
      </c>
      <c r="V1425" t="b">
        <v>1</v>
      </c>
      <c r="W1425" t="b">
        <v>1</v>
      </c>
      <c r="X1425" t="b">
        <v>1</v>
      </c>
      <c r="Y1425" t="b">
        <v>1</v>
      </c>
      <c r="Z1425" t="b">
        <v>1</v>
      </c>
      <c r="AA1425" t="b">
        <v>1</v>
      </c>
      <c r="AB1425" t="b">
        <v>1</v>
      </c>
      <c r="AC1425" t="b">
        <v>1</v>
      </c>
      <c r="AD1425" t="b">
        <v>1</v>
      </c>
      <c r="AE1425" t="b">
        <v>1</v>
      </c>
      <c r="AF1425" t="b">
        <v>1</v>
      </c>
      <c r="AG1425" t="b">
        <v>1</v>
      </c>
    </row>
    <row r="1426" spans="1:33" x14ac:dyDescent="0.25">
      <c r="A1426" t="s">
        <v>33</v>
      </c>
      <c r="B1426">
        <v>15</v>
      </c>
      <c r="C1426" t="b">
        <v>1</v>
      </c>
      <c r="D1426" t="s">
        <v>4185</v>
      </c>
      <c r="E1426" t="s">
        <v>5219</v>
      </c>
      <c r="F1426" t="s">
        <v>5220</v>
      </c>
      <c r="G1426" t="s">
        <v>4704</v>
      </c>
      <c r="H1426">
        <v>1425</v>
      </c>
      <c r="I1426" t="str">
        <f>IF(ISBLANK(Table1[[#This Row],[oid]]),"FALSE","TRUE")</f>
        <v>TRUE</v>
      </c>
      <c r="J1426" t="str" cm="1">
        <f t="array" ref="J1426">_xlfn.SWITCH(LEFT(Table1[[#This Row],[section]],1), "D", "Demographic", "S", "Social", "E", "Economic", "H", "Housing", "")</f>
        <v>Economic</v>
      </c>
      <c r="K1426" t="s">
        <v>5221</v>
      </c>
      <c r="L1426" t="s">
        <v>5222</v>
      </c>
      <c r="M1426" t="str">
        <f>IF(Table1[[#This Row],[used]], _xlfn.CONCAT("🆔 ", Table1[[#This Row],[variable]], ": ",Table1[[#This Row],[alias]]), "")</f>
        <v>🆔 B24080_001E: Civilian Employed Population 16+ years</v>
      </c>
      <c r="O1426" t="s">
        <v>39</v>
      </c>
      <c r="P1426" t="s">
        <v>5223</v>
      </c>
      <c r="Q1426" t="s">
        <v>41</v>
      </c>
      <c r="R1426" t="s">
        <v>5224</v>
      </c>
      <c r="S1426" t="b">
        <v>1</v>
      </c>
      <c r="T1426" t="b">
        <v>1</v>
      </c>
      <c r="U1426" t="b">
        <v>1</v>
      </c>
      <c r="V1426" t="b">
        <v>1</v>
      </c>
      <c r="W1426" t="b">
        <v>1</v>
      </c>
      <c r="X1426" t="b">
        <v>1</v>
      </c>
      <c r="Y1426" t="b">
        <v>1</v>
      </c>
      <c r="Z1426" t="b">
        <v>1</v>
      </c>
      <c r="AA1426" t="b">
        <v>1</v>
      </c>
      <c r="AB1426" t="b">
        <v>1</v>
      </c>
      <c r="AC1426" t="b">
        <v>1</v>
      </c>
      <c r="AD1426" t="b">
        <v>1</v>
      </c>
      <c r="AE1426" t="b">
        <v>1</v>
      </c>
      <c r="AF1426" t="b">
        <v>1</v>
      </c>
      <c r="AG1426" t="b">
        <v>1</v>
      </c>
    </row>
    <row r="1427" spans="1:33" x14ac:dyDescent="0.25">
      <c r="A1427" t="s">
        <v>33</v>
      </c>
      <c r="B1427">
        <v>15</v>
      </c>
      <c r="C1427" t="b">
        <v>1</v>
      </c>
      <c r="D1427" t="s">
        <v>4185</v>
      </c>
      <c r="E1427" t="s">
        <v>5219</v>
      </c>
      <c r="F1427" t="s">
        <v>5225</v>
      </c>
      <c r="G1427" t="s">
        <v>51</v>
      </c>
      <c r="H1427">
        <v>1426</v>
      </c>
      <c r="I1427" t="str">
        <f>IF(ISBLANK(Table1[[#This Row],[oid]]),"FALSE","TRUE")</f>
        <v>TRUE</v>
      </c>
      <c r="J1427" t="str" cm="1">
        <f t="array" ref="J1427">_xlfn.SWITCH(LEFT(Table1[[#This Row],[section]],1), "D", "Demographic", "S", "Social", "E", "Economic", "H", "Housing", "")</f>
        <v>Economic</v>
      </c>
      <c r="K1427" t="s">
        <v>5221</v>
      </c>
      <c r="L1427" t="s">
        <v>5222</v>
      </c>
      <c r="M1427" t="str">
        <f>IF(Table1[[#This Row],[used]], _xlfn.CONCAT("🆔 ", Table1[[#This Row],[variable]], ": ",Table1[[#This Row],[alias]]), "")</f>
        <v>🆔 B24080_002E: Male</v>
      </c>
      <c r="O1427" t="s">
        <v>52</v>
      </c>
      <c r="P1427" t="s">
        <v>5223</v>
      </c>
      <c r="Q1427" t="s">
        <v>41</v>
      </c>
      <c r="R1427" t="s">
        <v>5226</v>
      </c>
      <c r="S1427" t="b">
        <v>1</v>
      </c>
      <c r="T1427" t="b">
        <v>1</v>
      </c>
      <c r="U1427" t="b">
        <v>1</v>
      </c>
      <c r="V1427" t="b">
        <v>1</v>
      </c>
      <c r="W1427" t="b">
        <v>1</v>
      </c>
      <c r="X1427" t="b">
        <v>1</v>
      </c>
      <c r="Y1427" t="b">
        <v>1</v>
      </c>
      <c r="Z1427" t="b">
        <v>1</v>
      </c>
      <c r="AA1427" t="b">
        <v>1</v>
      </c>
      <c r="AB1427" t="b">
        <v>1</v>
      </c>
      <c r="AC1427" t="b">
        <v>1</v>
      </c>
      <c r="AD1427" t="b">
        <v>1</v>
      </c>
      <c r="AE1427" t="b">
        <v>1</v>
      </c>
      <c r="AF1427" t="b">
        <v>1</v>
      </c>
      <c r="AG1427" t="b">
        <v>1</v>
      </c>
    </row>
    <row r="1428" spans="1:33" x14ac:dyDescent="0.25">
      <c r="A1428" t="s">
        <v>33</v>
      </c>
      <c r="B1428">
        <v>15</v>
      </c>
      <c r="C1428" t="b">
        <v>1</v>
      </c>
      <c r="D1428" t="s">
        <v>4185</v>
      </c>
      <c r="E1428" t="s">
        <v>5219</v>
      </c>
      <c r="F1428" t="s">
        <v>5227</v>
      </c>
      <c r="G1428" t="s">
        <v>5228</v>
      </c>
      <c r="H1428">
        <v>1427</v>
      </c>
      <c r="I1428" t="str">
        <f>IF(ISBLANK(Table1[[#This Row],[oid]]),"FALSE","TRUE")</f>
        <v>TRUE</v>
      </c>
      <c r="J1428" t="str" cm="1">
        <f t="array" ref="J1428">_xlfn.SWITCH(LEFT(Table1[[#This Row],[section]],1), "D", "Demographic", "S", "Social", "E", "Economic", "H", "Housing", "")</f>
        <v>Economic</v>
      </c>
      <c r="K1428" t="s">
        <v>5221</v>
      </c>
      <c r="L1428" t="s">
        <v>5222</v>
      </c>
      <c r="M1428" t="str">
        <f>IF(Table1[[#This Row],[used]], _xlfn.CONCAT("🆔 ", Table1[[#This Row],[variable]], ": ",Table1[[#This Row],[alias]]), "")</f>
        <v>🆔 B24080_003E: Male: Private for-profit wage and salary workers</v>
      </c>
      <c r="O1428" t="s">
        <v>5229</v>
      </c>
      <c r="P1428" t="s">
        <v>5223</v>
      </c>
      <c r="Q1428" t="s">
        <v>41</v>
      </c>
      <c r="R1428" t="s">
        <v>5230</v>
      </c>
      <c r="S1428" t="b">
        <v>1</v>
      </c>
      <c r="T1428" t="b">
        <v>1</v>
      </c>
      <c r="U1428" t="b">
        <v>1</v>
      </c>
      <c r="V1428" t="b">
        <v>1</v>
      </c>
      <c r="W1428" t="b">
        <v>1</v>
      </c>
      <c r="X1428" t="b">
        <v>1</v>
      </c>
      <c r="Y1428" t="b">
        <v>1</v>
      </c>
      <c r="Z1428" t="b">
        <v>1</v>
      </c>
      <c r="AA1428" t="b">
        <v>1</v>
      </c>
      <c r="AB1428" t="b">
        <v>1</v>
      </c>
      <c r="AC1428" t="b">
        <v>1</v>
      </c>
      <c r="AD1428" t="b">
        <v>1</v>
      </c>
      <c r="AE1428" t="b">
        <v>1</v>
      </c>
      <c r="AF1428" t="b">
        <v>1</v>
      </c>
      <c r="AG1428" t="b">
        <v>1</v>
      </c>
    </row>
    <row r="1429" spans="1:33" x14ac:dyDescent="0.25">
      <c r="A1429" t="s">
        <v>33</v>
      </c>
      <c r="B1429">
        <v>15</v>
      </c>
      <c r="C1429" t="b">
        <v>1</v>
      </c>
      <c r="D1429" t="s">
        <v>4185</v>
      </c>
      <c r="E1429" t="s">
        <v>5219</v>
      </c>
      <c r="F1429" t="s">
        <v>5231</v>
      </c>
      <c r="G1429" t="s">
        <v>5232</v>
      </c>
      <c r="H1429">
        <v>1428</v>
      </c>
      <c r="I1429" t="str">
        <f>IF(ISBLANK(Table1[[#This Row],[oid]]),"FALSE","TRUE")</f>
        <v>TRUE</v>
      </c>
      <c r="J1429" t="str" cm="1">
        <f t="array" ref="J1429">_xlfn.SWITCH(LEFT(Table1[[#This Row],[section]],1), "D", "Demographic", "S", "Social", "E", "Economic", "H", "Housing", "")</f>
        <v>Economic</v>
      </c>
      <c r="K1429" t="s">
        <v>5221</v>
      </c>
      <c r="L1429" t="s">
        <v>5222</v>
      </c>
      <c r="M1429" t="str">
        <f>IF(Table1[[#This Row],[used]], _xlfn.CONCAT("🆔 ", Table1[[#This Row],[variable]], ": ",Table1[[#This Row],[alias]]), "")</f>
        <v>🆔 B24080_004E: Male: Private for-profit wage and salary workers: Employee of private company workers</v>
      </c>
      <c r="O1429" t="s">
        <v>5233</v>
      </c>
      <c r="P1429" t="s">
        <v>5223</v>
      </c>
      <c r="Q1429" t="s">
        <v>41</v>
      </c>
      <c r="R1429" t="s">
        <v>5234</v>
      </c>
      <c r="S1429" t="b">
        <v>1</v>
      </c>
      <c r="T1429" t="b">
        <v>1</v>
      </c>
      <c r="U1429" t="b">
        <v>1</v>
      </c>
      <c r="V1429" t="b">
        <v>1</v>
      </c>
      <c r="W1429" t="b">
        <v>1</v>
      </c>
      <c r="X1429" t="b">
        <v>1</v>
      </c>
      <c r="Y1429" t="b">
        <v>1</v>
      </c>
      <c r="Z1429" t="b">
        <v>1</v>
      </c>
      <c r="AA1429" t="b">
        <v>1</v>
      </c>
      <c r="AB1429" t="b">
        <v>1</v>
      </c>
      <c r="AC1429" t="b">
        <v>1</v>
      </c>
      <c r="AD1429" t="b">
        <v>1</v>
      </c>
      <c r="AE1429" t="b">
        <v>1</v>
      </c>
      <c r="AF1429" t="b">
        <v>1</v>
      </c>
      <c r="AG1429" t="b">
        <v>1</v>
      </c>
    </row>
    <row r="1430" spans="1:33" x14ac:dyDescent="0.25">
      <c r="A1430" t="s">
        <v>33</v>
      </c>
      <c r="B1430">
        <v>15</v>
      </c>
      <c r="C1430" t="b">
        <v>1</v>
      </c>
      <c r="D1430" t="s">
        <v>4185</v>
      </c>
      <c r="E1430" t="s">
        <v>5219</v>
      </c>
      <c r="F1430" t="s">
        <v>5235</v>
      </c>
      <c r="G1430" t="s">
        <v>5236</v>
      </c>
      <c r="H1430">
        <v>1429</v>
      </c>
      <c r="I1430" t="str">
        <f>IF(ISBLANK(Table1[[#This Row],[oid]]),"FALSE","TRUE")</f>
        <v>TRUE</v>
      </c>
      <c r="J1430" t="str" cm="1">
        <f t="array" ref="J1430">_xlfn.SWITCH(LEFT(Table1[[#This Row],[section]],1), "D", "Demographic", "S", "Social", "E", "Economic", "H", "Housing", "")</f>
        <v>Economic</v>
      </c>
      <c r="K1430" t="s">
        <v>5221</v>
      </c>
      <c r="L1430" t="s">
        <v>5222</v>
      </c>
      <c r="M1430" t="str">
        <f>IF(Table1[[#This Row],[used]], _xlfn.CONCAT("🆔 ", Table1[[#This Row],[variable]], ": ",Table1[[#This Row],[alias]]), "")</f>
        <v>🆔 B24080_005E: Male: Private for-profit wage and salary workers: Self-employed in own incorporated business workers</v>
      </c>
      <c r="O1430" t="s">
        <v>5237</v>
      </c>
      <c r="P1430" t="s">
        <v>5223</v>
      </c>
      <c r="Q1430" t="s">
        <v>41</v>
      </c>
      <c r="R1430" t="s">
        <v>5238</v>
      </c>
      <c r="S1430" t="b">
        <v>1</v>
      </c>
      <c r="T1430" t="b">
        <v>1</v>
      </c>
      <c r="U1430" t="b">
        <v>1</v>
      </c>
      <c r="V1430" t="b">
        <v>1</v>
      </c>
      <c r="W1430" t="b">
        <v>1</v>
      </c>
      <c r="X1430" t="b">
        <v>1</v>
      </c>
      <c r="Y1430" t="b">
        <v>1</v>
      </c>
      <c r="Z1430" t="b">
        <v>1</v>
      </c>
      <c r="AA1430" t="b">
        <v>1</v>
      </c>
      <c r="AB1430" t="b">
        <v>1</v>
      </c>
      <c r="AC1430" t="b">
        <v>1</v>
      </c>
      <c r="AD1430" t="b">
        <v>1</v>
      </c>
      <c r="AE1430" t="b">
        <v>1</v>
      </c>
      <c r="AF1430" t="b">
        <v>1</v>
      </c>
      <c r="AG1430" t="b">
        <v>1</v>
      </c>
    </row>
    <row r="1431" spans="1:33" x14ac:dyDescent="0.25">
      <c r="A1431" t="s">
        <v>33</v>
      </c>
      <c r="B1431">
        <v>15</v>
      </c>
      <c r="C1431" t="b">
        <v>1</v>
      </c>
      <c r="D1431" t="s">
        <v>4185</v>
      </c>
      <c r="E1431" t="s">
        <v>5219</v>
      </c>
      <c r="F1431" t="s">
        <v>5239</v>
      </c>
      <c r="G1431" t="s">
        <v>5240</v>
      </c>
      <c r="H1431">
        <v>1430</v>
      </c>
      <c r="I1431" t="str">
        <f>IF(ISBLANK(Table1[[#This Row],[oid]]),"FALSE","TRUE")</f>
        <v>TRUE</v>
      </c>
      <c r="J1431" t="str" cm="1">
        <f t="array" ref="J1431">_xlfn.SWITCH(LEFT(Table1[[#This Row],[section]],1), "D", "Demographic", "S", "Social", "E", "Economic", "H", "Housing", "")</f>
        <v>Economic</v>
      </c>
      <c r="K1431" t="s">
        <v>5221</v>
      </c>
      <c r="L1431" t="s">
        <v>5222</v>
      </c>
      <c r="M1431" t="str">
        <f>IF(Table1[[#This Row],[used]], _xlfn.CONCAT("🆔 ", Table1[[#This Row],[variable]], ": ",Table1[[#This Row],[alias]]), "")</f>
        <v>🆔 B24080_006E: Male: Private not-for-profit wage and salary workers</v>
      </c>
      <c r="O1431" t="s">
        <v>5241</v>
      </c>
      <c r="P1431" t="s">
        <v>5223</v>
      </c>
      <c r="Q1431" t="s">
        <v>41</v>
      </c>
      <c r="R1431" t="s">
        <v>5242</v>
      </c>
      <c r="S1431" t="b">
        <v>1</v>
      </c>
      <c r="T1431" t="b">
        <v>1</v>
      </c>
      <c r="U1431" t="b">
        <v>1</v>
      </c>
      <c r="V1431" t="b">
        <v>1</v>
      </c>
      <c r="W1431" t="b">
        <v>1</v>
      </c>
      <c r="X1431" t="b">
        <v>1</v>
      </c>
      <c r="Y1431" t="b">
        <v>1</v>
      </c>
      <c r="Z1431" t="b">
        <v>1</v>
      </c>
      <c r="AA1431" t="b">
        <v>1</v>
      </c>
      <c r="AB1431" t="b">
        <v>1</v>
      </c>
      <c r="AC1431" t="b">
        <v>1</v>
      </c>
      <c r="AD1431" t="b">
        <v>1</v>
      </c>
      <c r="AE1431" t="b">
        <v>1</v>
      </c>
      <c r="AF1431" t="b">
        <v>1</v>
      </c>
      <c r="AG1431" t="b">
        <v>1</v>
      </c>
    </row>
    <row r="1432" spans="1:33" x14ac:dyDescent="0.25">
      <c r="A1432" t="s">
        <v>33</v>
      </c>
      <c r="B1432">
        <v>15</v>
      </c>
      <c r="C1432" t="b">
        <v>1</v>
      </c>
      <c r="D1432" t="s">
        <v>4185</v>
      </c>
      <c r="E1432" t="s">
        <v>5219</v>
      </c>
      <c r="F1432" t="s">
        <v>5243</v>
      </c>
      <c r="G1432" t="s">
        <v>5244</v>
      </c>
      <c r="H1432">
        <v>1431</v>
      </c>
      <c r="I1432" t="str">
        <f>IF(ISBLANK(Table1[[#This Row],[oid]]),"FALSE","TRUE")</f>
        <v>TRUE</v>
      </c>
      <c r="J1432" t="str" cm="1">
        <f t="array" ref="J1432">_xlfn.SWITCH(LEFT(Table1[[#This Row],[section]],1), "D", "Demographic", "S", "Social", "E", "Economic", "H", "Housing", "")</f>
        <v>Economic</v>
      </c>
      <c r="K1432" t="s">
        <v>5221</v>
      </c>
      <c r="L1432" t="s">
        <v>5222</v>
      </c>
      <c r="M1432" t="str">
        <f>IF(Table1[[#This Row],[used]], _xlfn.CONCAT("🆔 ", Table1[[#This Row],[variable]], ": ",Table1[[#This Row],[alias]]), "")</f>
        <v>🆔 B24080_007E: Male: Local government workers</v>
      </c>
      <c r="O1432" t="s">
        <v>5245</v>
      </c>
      <c r="P1432" t="s">
        <v>5223</v>
      </c>
      <c r="Q1432" t="s">
        <v>41</v>
      </c>
      <c r="R1432" t="s">
        <v>5246</v>
      </c>
      <c r="S1432" t="b">
        <v>1</v>
      </c>
      <c r="T1432" t="b">
        <v>1</v>
      </c>
      <c r="U1432" t="b">
        <v>1</v>
      </c>
      <c r="V1432" t="b">
        <v>1</v>
      </c>
      <c r="W1432" t="b">
        <v>1</v>
      </c>
      <c r="X1432" t="b">
        <v>1</v>
      </c>
      <c r="Y1432" t="b">
        <v>1</v>
      </c>
      <c r="Z1432" t="b">
        <v>1</v>
      </c>
      <c r="AA1432" t="b">
        <v>1</v>
      </c>
      <c r="AB1432" t="b">
        <v>1</v>
      </c>
      <c r="AC1432" t="b">
        <v>1</v>
      </c>
      <c r="AD1432" t="b">
        <v>1</v>
      </c>
      <c r="AE1432" t="b">
        <v>1</v>
      </c>
      <c r="AF1432" t="b">
        <v>1</v>
      </c>
      <c r="AG1432" t="b">
        <v>1</v>
      </c>
    </row>
    <row r="1433" spans="1:33" x14ac:dyDescent="0.25">
      <c r="A1433" t="s">
        <v>33</v>
      </c>
      <c r="B1433">
        <v>15</v>
      </c>
      <c r="C1433" t="b">
        <v>1</v>
      </c>
      <c r="D1433" t="s">
        <v>4185</v>
      </c>
      <c r="E1433" t="s">
        <v>5219</v>
      </c>
      <c r="F1433" t="s">
        <v>5247</v>
      </c>
      <c r="G1433" t="s">
        <v>5248</v>
      </c>
      <c r="H1433">
        <v>1432</v>
      </c>
      <c r="I1433" t="str">
        <f>IF(ISBLANK(Table1[[#This Row],[oid]]),"FALSE","TRUE")</f>
        <v>TRUE</v>
      </c>
      <c r="J1433" t="str" cm="1">
        <f t="array" ref="J1433">_xlfn.SWITCH(LEFT(Table1[[#This Row],[section]],1), "D", "Demographic", "S", "Social", "E", "Economic", "H", "Housing", "")</f>
        <v>Economic</v>
      </c>
      <c r="K1433" t="s">
        <v>5221</v>
      </c>
      <c r="L1433" t="s">
        <v>5222</v>
      </c>
      <c r="M1433" t="str">
        <f>IF(Table1[[#This Row],[used]], _xlfn.CONCAT("🆔 ", Table1[[#This Row],[variable]], ": ",Table1[[#This Row],[alias]]), "")</f>
        <v>🆔 B24080_008E: Male: State government workers</v>
      </c>
      <c r="O1433" t="s">
        <v>5249</v>
      </c>
      <c r="P1433" t="s">
        <v>5223</v>
      </c>
      <c r="Q1433" t="s">
        <v>41</v>
      </c>
      <c r="R1433" t="s">
        <v>5250</v>
      </c>
      <c r="S1433" t="b">
        <v>1</v>
      </c>
      <c r="T1433" t="b">
        <v>1</v>
      </c>
      <c r="U1433" t="b">
        <v>1</v>
      </c>
      <c r="V1433" t="b">
        <v>1</v>
      </c>
      <c r="W1433" t="b">
        <v>1</v>
      </c>
      <c r="X1433" t="b">
        <v>1</v>
      </c>
      <c r="Y1433" t="b">
        <v>1</v>
      </c>
      <c r="Z1433" t="b">
        <v>1</v>
      </c>
      <c r="AA1433" t="b">
        <v>1</v>
      </c>
      <c r="AB1433" t="b">
        <v>1</v>
      </c>
      <c r="AC1433" t="b">
        <v>1</v>
      </c>
      <c r="AD1433" t="b">
        <v>1</v>
      </c>
      <c r="AE1433" t="b">
        <v>1</v>
      </c>
      <c r="AF1433" t="b">
        <v>1</v>
      </c>
      <c r="AG1433" t="b">
        <v>1</v>
      </c>
    </row>
    <row r="1434" spans="1:33" x14ac:dyDescent="0.25">
      <c r="A1434" t="s">
        <v>33</v>
      </c>
      <c r="B1434">
        <v>15</v>
      </c>
      <c r="C1434" t="b">
        <v>1</v>
      </c>
      <c r="D1434" t="s">
        <v>4185</v>
      </c>
      <c r="E1434" t="s">
        <v>5219</v>
      </c>
      <c r="F1434" t="s">
        <v>5251</v>
      </c>
      <c r="G1434" t="s">
        <v>5252</v>
      </c>
      <c r="H1434">
        <v>1433</v>
      </c>
      <c r="I1434" t="str">
        <f>IF(ISBLANK(Table1[[#This Row],[oid]]),"FALSE","TRUE")</f>
        <v>TRUE</v>
      </c>
      <c r="J1434" t="str" cm="1">
        <f t="array" ref="J1434">_xlfn.SWITCH(LEFT(Table1[[#This Row],[section]],1), "D", "Demographic", "S", "Social", "E", "Economic", "H", "Housing", "")</f>
        <v>Economic</v>
      </c>
      <c r="K1434" t="s">
        <v>5221</v>
      </c>
      <c r="L1434" t="s">
        <v>5222</v>
      </c>
      <c r="M1434" t="str">
        <f>IF(Table1[[#This Row],[used]], _xlfn.CONCAT("🆔 ", Table1[[#This Row],[variable]], ": ",Table1[[#This Row],[alias]]), "")</f>
        <v>🆔 B24080_009E: Male: Federal government workers</v>
      </c>
      <c r="O1434" t="s">
        <v>5253</v>
      </c>
      <c r="P1434" t="s">
        <v>5223</v>
      </c>
      <c r="Q1434" t="s">
        <v>41</v>
      </c>
      <c r="R1434" t="s">
        <v>5254</v>
      </c>
      <c r="S1434" t="b">
        <v>1</v>
      </c>
      <c r="T1434" t="b">
        <v>1</v>
      </c>
      <c r="U1434" t="b">
        <v>1</v>
      </c>
      <c r="V1434" t="b">
        <v>1</v>
      </c>
      <c r="W1434" t="b">
        <v>1</v>
      </c>
      <c r="X1434" t="b">
        <v>1</v>
      </c>
      <c r="Y1434" t="b">
        <v>1</v>
      </c>
      <c r="Z1434" t="b">
        <v>1</v>
      </c>
      <c r="AA1434" t="b">
        <v>1</v>
      </c>
      <c r="AB1434" t="b">
        <v>1</v>
      </c>
      <c r="AC1434" t="b">
        <v>1</v>
      </c>
      <c r="AD1434" t="b">
        <v>1</v>
      </c>
      <c r="AE1434" t="b">
        <v>1</v>
      </c>
      <c r="AF1434" t="b">
        <v>1</v>
      </c>
      <c r="AG1434" t="b">
        <v>1</v>
      </c>
    </row>
    <row r="1435" spans="1:33" x14ac:dyDescent="0.25">
      <c r="A1435" t="s">
        <v>33</v>
      </c>
      <c r="B1435">
        <v>15</v>
      </c>
      <c r="C1435" t="b">
        <v>1</v>
      </c>
      <c r="D1435" t="s">
        <v>4185</v>
      </c>
      <c r="E1435" t="s">
        <v>5219</v>
      </c>
      <c r="F1435" t="s">
        <v>5255</v>
      </c>
      <c r="G1435" t="s">
        <v>5256</v>
      </c>
      <c r="H1435">
        <v>1434</v>
      </c>
      <c r="I1435" t="str">
        <f>IF(ISBLANK(Table1[[#This Row],[oid]]),"FALSE","TRUE")</f>
        <v>TRUE</v>
      </c>
      <c r="J1435" t="str" cm="1">
        <f t="array" ref="J1435">_xlfn.SWITCH(LEFT(Table1[[#This Row],[section]],1), "D", "Demographic", "S", "Social", "E", "Economic", "H", "Housing", "")</f>
        <v>Economic</v>
      </c>
      <c r="K1435" t="s">
        <v>5221</v>
      </c>
      <c r="L1435" t="s">
        <v>5222</v>
      </c>
      <c r="M1435" t="str">
        <f>IF(Table1[[#This Row],[used]], _xlfn.CONCAT("🆔 ", Table1[[#This Row],[variable]], ": ",Table1[[#This Row],[alias]]), "")</f>
        <v>🆔 B24080_010E: Male: Self-employed in own not incorporated business workers</v>
      </c>
      <c r="O1435" t="s">
        <v>5257</v>
      </c>
      <c r="P1435" t="s">
        <v>5223</v>
      </c>
      <c r="Q1435" t="s">
        <v>41</v>
      </c>
      <c r="R1435" t="s">
        <v>5258</v>
      </c>
      <c r="S1435" t="b">
        <v>1</v>
      </c>
      <c r="T1435" t="b">
        <v>1</v>
      </c>
      <c r="U1435" t="b">
        <v>1</v>
      </c>
      <c r="V1435" t="b">
        <v>1</v>
      </c>
      <c r="W1435" t="b">
        <v>1</v>
      </c>
      <c r="X1435" t="b">
        <v>1</v>
      </c>
      <c r="Y1435" t="b">
        <v>1</v>
      </c>
      <c r="Z1435" t="b">
        <v>1</v>
      </c>
      <c r="AA1435" t="b">
        <v>1</v>
      </c>
      <c r="AB1435" t="b">
        <v>1</v>
      </c>
      <c r="AC1435" t="b">
        <v>1</v>
      </c>
      <c r="AD1435" t="b">
        <v>1</v>
      </c>
      <c r="AE1435" t="b">
        <v>1</v>
      </c>
      <c r="AF1435" t="b">
        <v>1</v>
      </c>
      <c r="AG1435" t="b">
        <v>1</v>
      </c>
    </row>
    <row r="1436" spans="1:33" x14ac:dyDescent="0.25">
      <c r="A1436" t="s">
        <v>33</v>
      </c>
      <c r="B1436">
        <v>15</v>
      </c>
      <c r="C1436" t="b">
        <v>1</v>
      </c>
      <c r="D1436" t="s">
        <v>4185</v>
      </c>
      <c r="E1436" t="s">
        <v>5219</v>
      </c>
      <c r="F1436" t="s">
        <v>5259</v>
      </c>
      <c r="G1436" t="s">
        <v>5260</v>
      </c>
      <c r="H1436">
        <v>1435</v>
      </c>
      <c r="I1436" t="str">
        <f>IF(ISBLANK(Table1[[#This Row],[oid]]),"FALSE","TRUE")</f>
        <v>TRUE</v>
      </c>
      <c r="J1436" t="str" cm="1">
        <f t="array" ref="J1436">_xlfn.SWITCH(LEFT(Table1[[#This Row],[section]],1), "D", "Demographic", "S", "Social", "E", "Economic", "H", "Housing", "")</f>
        <v>Economic</v>
      </c>
      <c r="K1436" t="s">
        <v>5221</v>
      </c>
      <c r="L1436" t="s">
        <v>5222</v>
      </c>
      <c r="M1436" t="str">
        <f>IF(Table1[[#This Row],[used]], _xlfn.CONCAT("🆔 ", Table1[[#This Row],[variable]], ": ",Table1[[#This Row],[alias]]), "")</f>
        <v>🆔 B24080_011E: Male: Unpaid family workers</v>
      </c>
      <c r="O1436" t="s">
        <v>5261</v>
      </c>
      <c r="P1436" t="s">
        <v>5223</v>
      </c>
      <c r="Q1436" t="s">
        <v>41</v>
      </c>
      <c r="R1436" t="s">
        <v>5262</v>
      </c>
      <c r="S1436" t="b">
        <v>1</v>
      </c>
      <c r="T1436" t="b">
        <v>1</v>
      </c>
      <c r="U1436" t="b">
        <v>1</v>
      </c>
      <c r="V1436" t="b">
        <v>1</v>
      </c>
      <c r="W1436" t="b">
        <v>1</v>
      </c>
      <c r="X1436" t="b">
        <v>1</v>
      </c>
      <c r="Y1436" t="b">
        <v>1</v>
      </c>
      <c r="Z1436" t="b">
        <v>1</v>
      </c>
      <c r="AA1436" t="b">
        <v>1</v>
      </c>
      <c r="AB1436" t="b">
        <v>1</v>
      </c>
      <c r="AC1436" t="b">
        <v>1</v>
      </c>
      <c r="AD1436" t="b">
        <v>1</v>
      </c>
      <c r="AE1436" t="b">
        <v>1</v>
      </c>
      <c r="AF1436" t="b">
        <v>1</v>
      </c>
      <c r="AG1436" t="b">
        <v>1</v>
      </c>
    </row>
    <row r="1437" spans="1:33" x14ac:dyDescent="0.25">
      <c r="A1437" t="s">
        <v>33</v>
      </c>
      <c r="B1437">
        <v>15</v>
      </c>
      <c r="C1437" t="b">
        <v>1</v>
      </c>
      <c r="D1437" t="s">
        <v>4185</v>
      </c>
      <c r="E1437" t="s">
        <v>5219</v>
      </c>
      <c r="F1437" t="s">
        <v>5263</v>
      </c>
      <c r="G1437" t="s">
        <v>55</v>
      </c>
      <c r="H1437">
        <v>1436</v>
      </c>
      <c r="I1437" t="str">
        <f>IF(ISBLANK(Table1[[#This Row],[oid]]),"FALSE","TRUE")</f>
        <v>TRUE</v>
      </c>
      <c r="J1437" t="str" cm="1">
        <f t="array" ref="J1437">_xlfn.SWITCH(LEFT(Table1[[#This Row],[section]],1), "D", "Demographic", "S", "Social", "E", "Economic", "H", "Housing", "")</f>
        <v>Economic</v>
      </c>
      <c r="K1437" t="s">
        <v>5221</v>
      </c>
      <c r="L1437" t="s">
        <v>5222</v>
      </c>
      <c r="M1437" t="str">
        <f>IF(Table1[[#This Row],[used]], _xlfn.CONCAT("🆔 ", Table1[[#This Row],[variable]], ": ",Table1[[#This Row],[alias]]), "")</f>
        <v>🆔 B24080_012E: Female</v>
      </c>
      <c r="O1437" t="s">
        <v>56</v>
      </c>
      <c r="P1437" t="s">
        <v>5223</v>
      </c>
      <c r="Q1437" t="s">
        <v>41</v>
      </c>
      <c r="R1437" t="s">
        <v>5264</v>
      </c>
      <c r="S1437" t="b">
        <v>1</v>
      </c>
      <c r="T1437" t="b">
        <v>1</v>
      </c>
      <c r="U1437" t="b">
        <v>1</v>
      </c>
      <c r="V1437" t="b">
        <v>1</v>
      </c>
      <c r="W1437" t="b">
        <v>1</v>
      </c>
      <c r="X1437" t="b">
        <v>1</v>
      </c>
      <c r="Y1437" t="b">
        <v>1</v>
      </c>
      <c r="Z1437" t="b">
        <v>1</v>
      </c>
      <c r="AA1437" t="b">
        <v>1</v>
      </c>
      <c r="AB1437" t="b">
        <v>1</v>
      </c>
      <c r="AC1437" t="b">
        <v>1</v>
      </c>
      <c r="AD1437" t="b">
        <v>1</v>
      </c>
      <c r="AE1437" t="b">
        <v>1</v>
      </c>
      <c r="AF1437" t="b">
        <v>1</v>
      </c>
      <c r="AG1437" t="b">
        <v>1</v>
      </c>
    </row>
    <row r="1438" spans="1:33" x14ac:dyDescent="0.25">
      <c r="A1438" t="s">
        <v>33</v>
      </c>
      <c r="B1438">
        <v>15</v>
      </c>
      <c r="C1438" t="b">
        <v>1</v>
      </c>
      <c r="D1438" t="s">
        <v>4185</v>
      </c>
      <c r="E1438" t="s">
        <v>5219</v>
      </c>
      <c r="F1438" t="s">
        <v>5265</v>
      </c>
      <c r="G1438" t="s">
        <v>5266</v>
      </c>
      <c r="H1438">
        <v>1437</v>
      </c>
      <c r="I1438" t="str">
        <f>IF(ISBLANK(Table1[[#This Row],[oid]]),"FALSE","TRUE")</f>
        <v>TRUE</v>
      </c>
      <c r="J1438" t="str" cm="1">
        <f t="array" ref="J1438">_xlfn.SWITCH(LEFT(Table1[[#This Row],[section]],1), "D", "Demographic", "S", "Social", "E", "Economic", "H", "Housing", "")</f>
        <v>Economic</v>
      </c>
      <c r="K1438" t="s">
        <v>5221</v>
      </c>
      <c r="L1438" t="s">
        <v>5222</v>
      </c>
      <c r="M1438" t="str">
        <f>IF(Table1[[#This Row],[used]], _xlfn.CONCAT("🆔 ", Table1[[#This Row],[variable]], ": ",Table1[[#This Row],[alias]]), "")</f>
        <v>🆔 B24080_013E: Female: Private for-profit wage and salary workers</v>
      </c>
      <c r="O1438" t="s">
        <v>5267</v>
      </c>
      <c r="P1438" t="s">
        <v>5223</v>
      </c>
      <c r="Q1438" t="s">
        <v>41</v>
      </c>
      <c r="R1438" t="s">
        <v>5268</v>
      </c>
      <c r="S1438" t="b">
        <v>1</v>
      </c>
      <c r="T1438" t="b">
        <v>1</v>
      </c>
      <c r="U1438" t="b">
        <v>1</v>
      </c>
      <c r="V1438" t="b">
        <v>1</v>
      </c>
      <c r="W1438" t="b">
        <v>1</v>
      </c>
      <c r="X1438" t="b">
        <v>1</v>
      </c>
      <c r="Y1438" t="b">
        <v>1</v>
      </c>
      <c r="Z1438" t="b">
        <v>1</v>
      </c>
      <c r="AA1438" t="b">
        <v>1</v>
      </c>
      <c r="AB1438" t="b">
        <v>1</v>
      </c>
      <c r="AC1438" t="b">
        <v>1</v>
      </c>
      <c r="AD1438" t="b">
        <v>1</v>
      </c>
      <c r="AE1438" t="b">
        <v>1</v>
      </c>
      <c r="AF1438" t="b">
        <v>1</v>
      </c>
      <c r="AG1438" t="b">
        <v>1</v>
      </c>
    </row>
    <row r="1439" spans="1:33" x14ac:dyDescent="0.25">
      <c r="A1439" t="s">
        <v>33</v>
      </c>
      <c r="B1439">
        <v>15</v>
      </c>
      <c r="C1439" t="b">
        <v>1</v>
      </c>
      <c r="D1439" t="s">
        <v>4185</v>
      </c>
      <c r="E1439" t="s">
        <v>5219</v>
      </c>
      <c r="F1439" t="s">
        <v>5269</v>
      </c>
      <c r="G1439" t="s">
        <v>5270</v>
      </c>
      <c r="H1439">
        <v>1438</v>
      </c>
      <c r="I1439" t="str">
        <f>IF(ISBLANK(Table1[[#This Row],[oid]]),"FALSE","TRUE")</f>
        <v>TRUE</v>
      </c>
      <c r="J1439" t="str" cm="1">
        <f t="array" ref="J1439">_xlfn.SWITCH(LEFT(Table1[[#This Row],[section]],1), "D", "Demographic", "S", "Social", "E", "Economic", "H", "Housing", "")</f>
        <v>Economic</v>
      </c>
      <c r="K1439" t="s">
        <v>5221</v>
      </c>
      <c r="L1439" t="s">
        <v>5222</v>
      </c>
      <c r="M1439" t="str">
        <f>IF(Table1[[#This Row],[used]], _xlfn.CONCAT("🆔 ", Table1[[#This Row],[variable]], ": ",Table1[[#This Row],[alias]]), "")</f>
        <v>🆔 B24080_014E: Female: Private for-profit wage and salary workers: Employee of private company workers</v>
      </c>
      <c r="O1439" t="s">
        <v>5271</v>
      </c>
      <c r="P1439" t="s">
        <v>5223</v>
      </c>
      <c r="Q1439" t="s">
        <v>41</v>
      </c>
      <c r="R1439" t="s">
        <v>5272</v>
      </c>
      <c r="S1439" t="b">
        <v>1</v>
      </c>
      <c r="T1439" t="b">
        <v>1</v>
      </c>
      <c r="U1439" t="b">
        <v>1</v>
      </c>
      <c r="V1439" t="b">
        <v>1</v>
      </c>
      <c r="W1439" t="b">
        <v>1</v>
      </c>
      <c r="X1439" t="b">
        <v>1</v>
      </c>
      <c r="Y1439" t="b">
        <v>1</v>
      </c>
      <c r="Z1439" t="b">
        <v>1</v>
      </c>
      <c r="AA1439" t="b">
        <v>1</v>
      </c>
      <c r="AB1439" t="b">
        <v>1</v>
      </c>
      <c r="AC1439" t="b">
        <v>1</v>
      </c>
      <c r="AD1439" t="b">
        <v>1</v>
      </c>
      <c r="AE1439" t="b">
        <v>1</v>
      </c>
      <c r="AF1439" t="b">
        <v>1</v>
      </c>
      <c r="AG1439" t="b">
        <v>1</v>
      </c>
    </row>
    <row r="1440" spans="1:33" x14ac:dyDescent="0.25">
      <c r="A1440" t="s">
        <v>33</v>
      </c>
      <c r="B1440">
        <v>15</v>
      </c>
      <c r="C1440" t="b">
        <v>1</v>
      </c>
      <c r="D1440" t="s">
        <v>4185</v>
      </c>
      <c r="E1440" t="s">
        <v>5219</v>
      </c>
      <c r="F1440" t="s">
        <v>5273</v>
      </c>
      <c r="G1440" t="s">
        <v>5274</v>
      </c>
      <c r="H1440">
        <v>1439</v>
      </c>
      <c r="I1440" t="str">
        <f>IF(ISBLANK(Table1[[#This Row],[oid]]),"FALSE","TRUE")</f>
        <v>TRUE</v>
      </c>
      <c r="J1440" t="str" cm="1">
        <f t="array" ref="J1440">_xlfn.SWITCH(LEFT(Table1[[#This Row],[section]],1), "D", "Demographic", "S", "Social", "E", "Economic", "H", "Housing", "")</f>
        <v>Economic</v>
      </c>
      <c r="K1440" t="s">
        <v>5221</v>
      </c>
      <c r="L1440" t="s">
        <v>5222</v>
      </c>
      <c r="M1440" t="str">
        <f>IF(Table1[[#This Row],[used]], _xlfn.CONCAT("🆔 ", Table1[[#This Row],[variable]], ": ",Table1[[#This Row],[alias]]), "")</f>
        <v>🆔 B24080_015E: Female: Private for-profit wage and salary workers: Self-employed in own incorporated business workers</v>
      </c>
      <c r="O1440" t="s">
        <v>5275</v>
      </c>
      <c r="P1440" t="s">
        <v>5223</v>
      </c>
      <c r="Q1440" t="s">
        <v>41</v>
      </c>
      <c r="R1440" t="s">
        <v>5276</v>
      </c>
      <c r="S1440" t="b">
        <v>1</v>
      </c>
      <c r="T1440" t="b">
        <v>1</v>
      </c>
      <c r="U1440" t="b">
        <v>1</v>
      </c>
      <c r="V1440" t="b">
        <v>1</v>
      </c>
      <c r="W1440" t="b">
        <v>1</v>
      </c>
      <c r="X1440" t="b">
        <v>1</v>
      </c>
      <c r="Y1440" t="b">
        <v>1</v>
      </c>
      <c r="Z1440" t="b">
        <v>1</v>
      </c>
      <c r="AA1440" t="b">
        <v>1</v>
      </c>
      <c r="AB1440" t="b">
        <v>1</v>
      </c>
      <c r="AC1440" t="b">
        <v>1</v>
      </c>
      <c r="AD1440" t="b">
        <v>1</v>
      </c>
      <c r="AE1440" t="b">
        <v>1</v>
      </c>
      <c r="AF1440" t="b">
        <v>1</v>
      </c>
      <c r="AG1440" t="b">
        <v>1</v>
      </c>
    </row>
    <row r="1441" spans="1:33" x14ac:dyDescent="0.25">
      <c r="A1441" t="s">
        <v>33</v>
      </c>
      <c r="B1441">
        <v>15</v>
      </c>
      <c r="C1441" t="b">
        <v>1</v>
      </c>
      <c r="D1441" t="s">
        <v>4185</v>
      </c>
      <c r="E1441" t="s">
        <v>5219</v>
      </c>
      <c r="F1441" t="s">
        <v>5277</v>
      </c>
      <c r="G1441" t="s">
        <v>5278</v>
      </c>
      <c r="H1441">
        <v>1440</v>
      </c>
      <c r="I1441" t="str">
        <f>IF(ISBLANK(Table1[[#This Row],[oid]]),"FALSE","TRUE")</f>
        <v>TRUE</v>
      </c>
      <c r="J1441" t="str" cm="1">
        <f t="array" ref="J1441">_xlfn.SWITCH(LEFT(Table1[[#This Row],[section]],1), "D", "Demographic", "S", "Social", "E", "Economic", "H", "Housing", "")</f>
        <v>Economic</v>
      </c>
      <c r="K1441" t="s">
        <v>5221</v>
      </c>
      <c r="L1441" t="s">
        <v>5222</v>
      </c>
      <c r="M1441" t="str">
        <f>IF(Table1[[#This Row],[used]], _xlfn.CONCAT("🆔 ", Table1[[#This Row],[variable]], ": ",Table1[[#This Row],[alias]]), "")</f>
        <v>🆔 B24080_016E: Female: Private not-for-profit wage and salary workers</v>
      </c>
      <c r="O1441" t="s">
        <v>5279</v>
      </c>
      <c r="P1441" t="s">
        <v>5223</v>
      </c>
      <c r="Q1441" t="s">
        <v>41</v>
      </c>
      <c r="R1441" t="s">
        <v>5280</v>
      </c>
      <c r="S1441" t="b">
        <v>1</v>
      </c>
      <c r="T1441" t="b">
        <v>1</v>
      </c>
      <c r="U1441" t="b">
        <v>1</v>
      </c>
      <c r="V1441" t="b">
        <v>1</v>
      </c>
      <c r="W1441" t="b">
        <v>1</v>
      </c>
      <c r="X1441" t="b">
        <v>1</v>
      </c>
      <c r="Y1441" t="b">
        <v>1</v>
      </c>
      <c r="Z1441" t="b">
        <v>1</v>
      </c>
      <c r="AA1441" t="b">
        <v>1</v>
      </c>
      <c r="AB1441" t="b">
        <v>1</v>
      </c>
      <c r="AC1441" t="b">
        <v>1</v>
      </c>
      <c r="AD1441" t="b">
        <v>1</v>
      </c>
      <c r="AE1441" t="b">
        <v>1</v>
      </c>
      <c r="AF1441" t="b">
        <v>1</v>
      </c>
      <c r="AG1441" t="b">
        <v>1</v>
      </c>
    </row>
    <row r="1442" spans="1:33" x14ac:dyDescent="0.25">
      <c r="A1442" t="s">
        <v>33</v>
      </c>
      <c r="B1442">
        <v>15</v>
      </c>
      <c r="C1442" t="b">
        <v>1</v>
      </c>
      <c r="D1442" t="s">
        <v>4185</v>
      </c>
      <c r="E1442" t="s">
        <v>5219</v>
      </c>
      <c r="F1442" t="s">
        <v>5281</v>
      </c>
      <c r="G1442" t="s">
        <v>5282</v>
      </c>
      <c r="H1442">
        <v>1441</v>
      </c>
      <c r="I1442" t="str">
        <f>IF(ISBLANK(Table1[[#This Row],[oid]]),"FALSE","TRUE")</f>
        <v>TRUE</v>
      </c>
      <c r="J1442" t="str" cm="1">
        <f t="array" ref="J1442">_xlfn.SWITCH(LEFT(Table1[[#This Row],[section]],1), "D", "Demographic", "S", "Social", "E", "Economic", "H", "Housing", "")</f>
        <v>Economic</v>
      </c>
      <c r="K1442" t="s">
        <v>5221</v>
      </c>
      <c r="L1442" t="s">
        <v>5222</v>
      </c>
      <c r="M1442" t="str">
        <f>IF(Table1[[#This Row],[used]], _xlfn.CONCAT("🆔 ", Table1[[#This Row],[variable]], ": ",Table1[[#This Row],[alias]]), "")</f>
        <v>🆔 B24080_017E: Female: Local government workers</v>
      </c>
      <c r="O1442" t="s">
        <v>5283</v>
      </c>
      <c r="P1442" t="s">
        <v>5223</v>
      </c>
      <c r="Q1442" t="s">
        <v>41</v>
      </c>
      <c r="R1442" t="s">
        <v>5284</v>
      </c>
      <c r="S1442" t="b">
        <v>1</v>
      </c>
      <c r="T1442" t="b">
        <v>1</v>
      </c>
      <c r="U1442" t="b">
        <v>1</v>
      </c>
      <c r="V1442" t="b">
        <v>1</v>
      </c>
      <c r="W1442" t="b">
        <v>1</v>
      </c>
      <c r="X1442" t="b">
        <v>1</v>
      </c>
      <c r="Y1442" t="b">
        <v>1</v>
      </c>
      <c r="Z1442" t="b">
        <v>1</v>
      </c>
      <c r="AA1442" t="b">
        <v>1</v>
      </c>
      <c r="AB1442" t="b">
        <v>1</v>
      </c>
      <c r="AC1442" t="b">
        <v>1</v>
      </c>
      <c r="AD1442" t="b">
        <v>1</v>
      </c>
      <c r="AE1442" t="b">
        <v>1</v>
      </c>
      <c r="AF1442" t="b">
        <v>1</v>
      </c>
      <c r="AG1442" t="b">
        <v>1</v>
      </c>
    </row>
    <row r="1443" spans="1:33" x14ac:dyDescent="0.25">
      <c r="A1443" t="s">
        <v>33</v>
      </c>
      <c r="B1443">
        <v>15</v>
      </c>
      <c r="C1443" t="b">
        <v>1</v>
      </c>
      <c r="D1443" t="s">
        <v>4185</v>
      </c>
      <c r="E1443" t="s">
        <v>5219</v>
      </c>
      <c r="F1443" t="s">
        <v>5285</v>
      </c>
      <c r="G1443" t="s">
        <v>5286</v>
      </c>
      <c r="H1443">
        <v>1442</v>
      </c>
      <c r="I1443" t="str">
        <f>IF(ISBLANK(Table1[[#This Row],[oid]]),"FALSE","TRUE")</f>
        <v>TRUE</v>
      </c>
      <c r="J1443" t="str" cm="1">
        <f t="array" ref="J1443">_xlfn.SWITCH(LEFT(Table1[[#This Row],[section]],1), "D", "Demographic", "S", "Social", "E", "Economic", "H", "Housing", "")</f>
        <v>Economic</v>
      </c>
      <c r="K1443" t="s">
        <v>5221</v>
      </c>
      <c r="L1443" t="s">
        <v>5222</v>
      </c>
      <c r="M1443" t="str">
        <f>IF(Table1[[#This Row],[used]], _xlfn.CONCAT("🆔 ", Table1[[#This Row],[variable]], ": ",Table1[[#This Row],[alias]]), "")</f>
        <v>🆔 B24080_018E: Female: State government workers</v>
      </c>
      <c r="O1443" t="s">
        <v>5287</v>
      </c>
      <c r="P1443" t="s">
        <v>5223</v>
      </c>
      <c r="Q1443" t="s">
        <v>41</v>
      </c>
      <c r="R1443" t="s">
        <v>5288</v>
      </c>
      <c r="S1443" t="b">
        <v>1</v>
      </c>
      <c r="T1443" t="b">
        <v>1</v>
      </c>
      <c r="U1443" t="b">
        <v>1</v>
      </c>
      <c r="V1443" t="b">
        <v>1</v>
      </c>
      <c r="W1443" t="b">
        <v>1</v>
      </c>
      <c r="X1443" t="b">
        <v>1</v>
      </c>
      <c r="Y1443" t="b">
        <v>1</v>
      </c>
      <c r="Z1443" t="b">
        <v>1</v>
      </c>
      <c r="AA1443" t="b">
        <v>1</v>
      </c>
      <c r="AB1443" t="b">
        <v>1</v>
      </c>
      <c r="AC1443" t="b">
        <v>1</v>
      </c>
      <c r="AD1443" t="b">
        <v>1</v>
      </c>
      <c r="AE1443" t="b">
        <v>1</v>
      </c>
      <c r="AF1443" t="b">
        <v>1</v>
      </c>
      <c r="AG1443" t="b">
        <v>1</v>
      </c>
    </row>
    <row r="1444" spans="1:33" x14ac:dyDescent="0.25">
      <c r="A1444" t="s">
        <v>33</v>
      </c>
      <c r="B1444">
        <v>15</v>
      </c>
      <c r="C1444" t="b">
        <v>1</v>
      </c>
      <c r="D1444" t="s">
        <v>4185</v>
      </c>
      <c r="E1444" t="s">
        <v>5219</v>
      </c>
      <c r="F1444" t="s">
        <v>5289</v>
      </c>
      <c r="G1444" t="s">
        <v>5290</v>
      </c>
      <c r="H1444">
        <v>1443</v>
      </c>
      <c r="I1444" t="str">
        <f>IF(ISBLANK(Table1[[#This Row],[oid]]),"FALSE","TRUE")</f>
        <v>TRUE</v>
      </c>
      <c r="J1444" t="str" cm="1">
        <f t="array" ref="J1444">_xlfn.SWITCH(LEFT(Table1[[#This Row],[section]],1), "D", "Demographic", "S", "Social", "E", "Economic", "H", "Housing", "")</f>
        <v>Economic</v>
      </c>
      <c r="K1444" t="s">
        <v>5221</v>
      </c>
      <c r="L1444" t="s">
        <v>5222</v>
      </c>
      <c r="M1444" t="str">
        <f>IF(Table1[[#This Row],[used]], _xlfn.CONCAT("🆔 ", Table1[[#This Row],[variable]], ": ",Table1[[#This Row],[alias]]), "")</f>
        <v>🆔 B24080_019E: Female: Federal government workers</v>
      </c>
      <c r="O1444" t="s">
        <v>5291</v>
      </c>
      <c r="P1444" t="s">
        <v>5223</v>
      </c>
      <c r="Q1444" t="s">
        <v>41</v>
      </c>
      <c r="R1444" t="s">
        <v>5292</v>
      </c>
      <c r="S1444" t="b">
        <v>1</v>
      </c>
      <c r="T1444" t="b">
        <v>1</v>
      </c>
      <c r="U1444" t="b">
        <v>1</v>
      </c>
      <c r="V1444" t="b">
        <v>1</v>
      </c>
      <c r="W1444" t="b">
        <v>1</v>
      </c>
      <c r="X1444" t="b">
        <v>1</v>
      </c>
      <c r="Y1444" t="b">
        <v>1</v>
      </c>
      <c r="Z1444" t="b">
        <v>1</v>
      </c>
      <c r="AA1444" t="b">
        <v>1</v>
      </c>
      <c r="AB1444" t="b">
        <v>1</v>
      </c>
      <c r="AC1444" t="b">
        <v>1</v>
      </c>
      <c r="AD1444" t="b">
        <v>1</v>
      </c>
      <c r="AE1444" t="b">
        <v>1</v>
      </c>
      <c r="AF1444" t="b">
        <v>1</v>
      </c>
      <c r="AG1444" t="b">
        <v>1</v>
      </c>
    </row>
    <row r="1445" spans="1:33" x14ac:dyDescent="0.25">
      <c r="A1445" t="s">
        <v>33</v>
      </c>
      <c r="B1445">
        <v>15</v>
      </c>
      <c r="C1445" t="b">
        <v>1</v>
      </c>
      <c r="D1445" t="s">
        <v>4185</v>
      </c>
      <c r="E1445" t="s">
        <v>5219</v>
      </c>
      <c r="F1445" t="s">
        <v>5293</v>
      </c>
      <c r="G1445" t="s">
        <v>5294</v>
      </c>
      <c r="H1445">
        <v>1444</v>
      </c>
      <c r="I1445" t="str">
        <f>IF(ISBLANK(Table1[[#This Row],[oid]]),"FALSE","TRUE")</f>
        <v>TRUE</v>
      </c>
      <c r="J1445" t="str" cm="1">
        <f t="array" ref="J1445">_xlfn.SWITCH(LEFT(Table1[[#This Row],[section]],1), "D", "Demographic", "S", "Social", "E", "Economic", "H", "Housing", "")</f>
        <v>Economic</v>
      </c>
      <c r="K1445" t="s">
        <v>5221</v>
      </c>
      <c r="L1445" t="s">
        <v>5222</v>
      </c>
      <c r="M1445" t="str">
        <f>IF(Table1[[#This Row],[used]], _xlfn.CONCAT("🆔 ", Table1[[#This Row],[variable]], ": ",Table1[[#This Row],[alias]]), "")</f>
        <v>🆔 B24080_020E: Female: Self-employed in own not incorporated business workers</v>
      </c>
      <c r="O1445" t="s">
        <v>5295</v>
      </c>
      <c r="P1445" t="s">
        <v>5223</v>
      </c>
      <c r="Q1445" t="s">
        <v>41</v>
      </c>
      <c r="R1445" t="s">
        <v>5296</v>
      </c>
      <c r="S1445" t="b">
        <v>1</v>
      </c>
      <c r="T1445" t="b">
        <v>1</v>
      </c>
      <c r="U1445" t="b">
        <v>1</v>
      </c>
      <c r="V1445" t="b">
        <v>1</v>
      </c>
      <c r="W1445" t="b">
        <v>1</v>
      </c>
      <c r="X1445" t="b">
        <v>1</v>
      </c>
      <c r="Y1445" t="b">
        <v>1</v>
      </c>
      <c r="Z1445" t="b">
        <v>1</v>
      </c>
      <c r="AA1445" t="b">
        <v>1</v>
      </c>
      <c r="AB1445" t="b">
        <v>1</v>
      </c>
      <c r="AC1445" t="b">
        <v>1</v>
      </c>
      <c r="AD1445" t="b">
        <v>1</v>
      </c>
      <c r="AE1445" t="b">
        <v>1</v>
      </c>
      <c r="AF1445" t="b">
        <v>1</v>
      </c>
      <c r="AG1445" t="b">
        <v>1</v>
      </c>
    </row>
    <row r="1446" spans="1:33" x14ac:dyDescent="0.25">
      <c r="A1446" t="s">
        <v>33</v>
      </c>
      <c r="B1446">
        <v>15</v>
      </c>
      <c r="C1446" t="b">
        <v>1</v>
      </c>
      <c r="D1446" t="s">
        <v>4185</v>
      </c>
      <c r="E1446" t="s">
        <v>5219</v>
      </c>
      <c r="F1446" t="s">
        <v>5297</v>
      </c>
      <c r="G1446" t="s">
        <v>5298</v>
      </c>
      <c r="H1446">
        <v>1445</v>
      </c>
      <c r="I1446" t="str">
        <f>IF(ISBLANK(Table1[[#This Row],[oid]]),"FALSE","TRUE")</f>
        <v>TRUE</v>
      </c>
      <c r="J1446" t="str" cm="1">
        <f t="array" ref="J1446">_xlfn.SWITCH(LEFT(Table1[[#This Row],[section]],1), "D", "Demographic", "S", "Social", "E", "Economic", "H", "Housing", "")</f>
        <v>Economic</v>
      </c>
      <c r="K1446" t="s">
        <v>5221</v>
      </c>
      <c r="L1446" t="s">
        <v>5222</v>
      </c>
      <c r="M1446" t="str">
        <f>IF(Table1[[#This Row],[used]], _xlfn.CONCAT("🆔 ", Table1[[#This Row],[variable]], ": ",Table1[[#This Row],[alias]]), "")</f>
        <v>🆔 B24080_021E: Female: Unpaid family workers</v>
      </c>
      <c r="O1446" t="s">
        <v>5299</v>
      </c>
      <c r="P1446" t="s">
        <v>5223</v>
      </c>
      <c r="Q1446" t="s">
        <v>41</v>
      </c>
      <c r="R1446" t="s">
        <v>5300</v>
      </c>
      <c r="S1446" t="b">
        <v>1</v>
      </c>
      <c r="T1446" t="b">
        <v>1</v>
      </c>
      <c r="U1446" t="b">
        <v>1</v>
      </c>
      <c r="V1446" t="b">
        <v>1</v>
      </c>
      <c r="W1446" t="b">
        <v>1</v>
      </c>
      <c r="X1446" t="b">
        <v>1</v>
      </c>
      <c r="Y1446" t="b">
        <v>1</v>
      </c>
      <c r="Z1446" t="b">
        <v>1</v>
      </c>
      <c r="AA1446" t="b">
        <v>1</v>
      </c>
      <c r="AB1446" t="b">
        <v>1</v>
      </c>
      <c r="AC1446" t="b">
        <v>1</v>
      </c>
      <c r="AD1446" t="b">
        <v>1</v>
      </c>
      <c r="AE1446" t="b">
        <v>1</v>
      </c>
      <c r="AF1446" t="b">
        <v>1</v>
      </c>
      <c r="AG1446" t="b">
        <v>1</v>
      </c>
    </row>
    <row r="1447" spans="1:33" x14ac:dyDescent="0.25">
      <c r="A1447" t="s">
        <v>33</v>
      </c>
      <c r="B1447">
        <v>15</v>
      </c>
      <c r="C1447" t="b">
        <v>1</v>
      </c>
      <c r="D1447" t="s">
        <v>5301</v>
      </c>
      <c r="E1447" t="s">
        <v>5302</v>
      </c>
      <c r="F1447" t="s">
        <v>5303</v>
      </c>
      <c r="G1447" t="s">
        <v>655</v>
      </c>
      <c r="H1447">
        <v>1446</v>
      </c>
      <c r="I1447" t="str">
        <f>IF(ISBLANK(Table1[[#This Row],[oid]]),"FALSE","TRUE")</f>
        <v>TRUE</v>
      </c>
      <c r="J1447" t="str" cm="1">
        <f t="array" ref="J1447">_xlfn.SWITCH(LEFT(Table1[[#This Row],[section]],1), "D", "Demographic", "S", "Social", "E", "Economic", "H", "Housing", "")</f>
        <v>Economic</v>
      </c>
      <c r="K1447" t="s">
        <v>5304</v>
      </c>
      <c r="L1447" t="s">
        <v>5305</v>
      </c>
      <c r="M1447" t="str">
        <f>IF(Table1[[#This Row],[used]], _xlfn.CONCAT("🆔 ", Table1[[#This Row],[variable]], ": ",Table1[[#This Row],[alias]]), "")</f>
        <v>🆔 B19001_001E: Total Households</v>
      </c>
      <c r="O1447" t="s">
        <v>39</v>
      </c>
      <c r="P1447" t="s">
        <v>5306</v>
      </c>
      <c r="Q1447" t="s">
        <v>41</v>
      </c>
      <c r="R1447" t="s">
        <v>5307</v>
      </c>
      <c r="S1447" t="b">
        <v>1</v>
      </c>
      <c r="T1447" t="b">
        <v>1</v>
      </c>
      <c r="U1447" t="b">
        <v>1</v>
      </c>
      <c r="V1447" t="b">
        <v>1</v>
      </c>
      <c r="W1447" t="b">
        <v>1</v>
      </c>
      <c r="X1447" t="b">
        <v>1</v>
      </c>
      <c r="Y1447" t="b">
        <v>1</v>
      </c>
      <c r="Z1447" t="b">
        <v>1</v>
      </c>
      <c r="AA1447" t="b">
        <v>1</v>
      </c>
      <c r="AB1447" t="b">
        <v>1</v>
      </c>
      <c r="AC1447" t="b">
        <v>1</v>
      </c>
      <c r="AD1447" t="b">
        <v>1</v>
      </c>
      <c r="AE1447" t="b">
        <v>1</v>
      </c>
      <c r="AF1447" t="b">
        <v>1</v>
      </c>
      <c r="AG1447" t="b">
        <v>1</v>
      </c>
    </row>
    <row r="1448" spans="1:33" x14ac:dyDescent="0.25">
      <c r="A1448" t="s">
        <v>33</v>
      </c>
      <c r="B1448">
        <v>15</v>
      </c>
      <c r="C1448" t="b">
        <v>1</v>
      </c>
      <c r="D1448" t="s">
        <v>5301</v>
      </c>
      <c r="E1448" t="s">
        <v>5302</v>
      </c>
      <c r="F1448" t="s">
        <v>5308</v>
      </c>
      <c r="G1448" t="s">
        <v>5309</v>
      </c>
      <c r="H1448">
        <v>1447</v>
      </c>
      <c r="I1448" t="str">
        <f>IF(ISBLANK(Table1[[#This Row],[oid]]),"FALSE","TRUE")</f>
        <v>TRUE</v>
      </c>
      <c r="J1448" t="str" cm="1">
        <f t="array" ref="J1448">_xlfn.SWITCH(LEFT(Table1[[#This Row],[section]],1), "D", "Demographic", "S", "Social", "E", "Economic", "H", "Housing", "")</f>
        <v>Economic</v>
      </c>
      <c r="K1448" t="s">
        <v>5304</v>
      </c>
      <c r="L1448" t="s">
        <v>5305</v>
      </c>
      <c r="M1448" t="str">
        <f>IF(Table1[[#This Row],[used]], _xlfn.CONCAT("🆔 ", Table1[[#This Row],[variable]], ": ",Table1[[#This Row],[alias]]), "")</f>
        <v>🆔 B19001_002E: Less than $10,000</v>
      </c>
      <c r="O1448" t="s">
        <v>5310</v>
      </c>
      <c r="P1448" t="s">
        <v>5306</v>
      </c>
      <c r="Q1448" t="s">
        <v>41</v>
      </c>
      <c r="R1448" t="s">
        <v>5311</v>
      </c>
      <c r="S1448" t="b">
        <v>1</v>
      </c>
      <c r="T1448" t="b">
        <v>1</v>
      </c>
      <c r="U1448" t="b">
        <v>1</v>
      </c>
      <c r="V1448" t="b">
        <v>1</v>
      </c>
      <c r="W1448" t="b">
        <v>1</v>
      </c>
      <c r="X1448" t="b">
        <v>1</v>
      </c>
      <c r="Y1448" t="b">
        <v>1</v>
      </c>
      <c r="Z1448" t="b">
        <v>1</v>
      </c>
      <c r="AA1448" t="b">
        <v>1</v>
      </c>
      <c r="AB1448" t="b">
        <v>1</v>
      </c>
      <c r="AC1448" t="b">
        <v>1</v>
      </c>
      <c r="AD1448" t="b">
        <v>1</v>
      </c>
      <c r="AE1448" t="b">
        <v>1</v>
      </c>
      <c r="AF1448" t="b">
        <v>1</v>
      </c>
      <c r="AG1448" t="b">
        <v>1</v>
      </c>
    </row>
    <row r="1449" spans="1:33" x14ac:dyDescent="0.25">
      <c r="A1449" t="s">
        <v>33</v>
      </c>
      <c r="B1449">
        <v>15</v>
      </c>
      <c r="C1449" t="b">
        <v>1</v>
      </c>
      <c r="D1449" t="s">
        <v>5301</v>
      </c>
      <c r="E1449" t="s">
        <v>5302</v>
      </c>
      <c r="F1449" t="s">
        <v>5312</v>
      </c>
      <c r="G1449" t="s">
        <v>5313</v>
      </c>
      <c r="H1449">
        <v>1448</v>
      </c>
      <c r="I1449" t="str">
        <f>IF(ISBLANK(Table1[[#This Row],[oid]]),"FALSE","TRUE")</f>
        <v>TRUE</v>
      </c>
      <c r="J1449" t="str" cm="1">
        <f t="array" ref="J1449">_xlfn.SWITCH(LEFT(Table1[[#This Row],[section]],1), "D", "Demographic", "S", "Social", "E", "Economic", "H", "Housing", "")</f>
        <v>Economic</v>
      </c>
      <c r="K1449" t="s">
        <v>5304</v>
      </c>
      <c r="L1449" t="s">
        <v>5305</v>
      </c>
      <c r="M1449" t="str">
        <f>IF(Table1[[#This Row],[used]], _xlfn.CONCAT("🆔 ", Table1[[#This Row],[variable]], ": ",Table1[[#This Row],[alias]]), "")</f>
        <v>🆔 B19001_003E: $10,000 to $14,999</v>
      </c>
      <c r="O1449" t="s">
        <v>5314</v>
      </c>
      <c r="P1449" t="s">
        <v>5306</v>
      </c>
      <c r="Q1449" t="s">
        <v>41</v>
      </c>
      <c r="R1449" t="s">
        <v>5315</v>
      </c>
      <c r="S1449" t="b">
        <v>1</v>
      </c>
      <c r="T1449" t="b">
        <v>1</v>
      </c>
      <c r="U1449" t="b">
        <v>1</v>
      </c>
      <c r="V1449" t="b">
        <v>1</v>
      </c>
      <c r="W1449" t="b">
        <v>1</v>
      </c>
      <c r="X1449" t="b">
        <v>1</v>
      </c>
      <c r="Y1449" t="b">
        <v>1</v>
      </c>
      <c r="Z1449" t="b">
        <v>1</v>
      </c>
      <c r="AA1449" t="b">
        <v>1</v>
      </c>
      <c r="AB1449" t="b">
        <v>1</v>
      </c>
      <c r="AC1449" t="b">
        <v>1</v>
      </c>
      <c r="AD1449" t="b">
        <v>1</v>
      </c>
      <c r="AE1449" t="b">
        <v>1</v>
      </c>
      <c r="AF1449" t="b">
        <v>1</v>
      </c>
      <c r="AG1449" t="b">
        <v>1</v>
      </c>
    </row>
    <row r="1450" spans="1:33" x14ac:dyDescent="0.25">
      <c r="A1450" t="s">
        <v>33</v>
      </c>
      <c r="B1450">
        <v>15</v>
      </c>
      <c r="C1450" t="b">
        <v>1</v>
      </c>
      <c r="D1450" t="s">
        <v>5301</v>
      </c>
      <c r="E1450" t="s">
        <v>5302</v>
      </c>
      <c r="F1450" t="s">
        <v>5316</v>
      </c>
      <c r="G1450" t="s">
        <v>5317</v>
      </c>
      <c r="H1450">
        <v>1449</v>
      </c>
      <c r="I1450" t="str">
        <f>IF(ISBLANK(Table1[[#This Row],[oid]]),"FALSE","TRUE")</f>
        <v>TRUE</v>
      </c>
      <c r="J1450" t="str" cm="1">
        <f t="array" ref="J1450">_xlfn.SWITCH(LEFT(Table1[[#This Row],[section]],1), "D", "Demographic", "S", "Social", "E", "Economic", "H", "Housing", "")</f>
        <v>Economic</v>
      </c>
      <c r="K1450" t="s">
        <v>5304</v>
      </c>
      <c r="L1450" t="s">
        <v>5305</v>
      </c>
      <c r="M1450" t="str">
        <f>IF(Table1[[#This Row],[used]], _xlfn.CONCAT("🆔 ", Table1[[#This Row],[variable]], ": ",Table1[[#This Row],[alias]]), "")</f>
        <v>🆔 B19001_004E: $15,000 to $19,999</v>
      </c>
      <c r="O1450" t="s">
        <v>5318</v>
      </c>
      <c r="P1450" t="s">
        <v>5306</v>
      </c>
      <c r="Q1450" t="s">
        <v>41</v>
      </c>
      <c r="R1450" t="s">
        <v>5319</v>
      </c>
      <c r="S1450" t="b">
        <v>1</v>
      </c>
      <c r="T1450" t="b">
        <v>1</v>
      </c>
      <c r="U1450" t="b">
        <v>1</v>
      </c>
      <c r="V1450" t="b">
        <v>1</v>
      </c>
      <c r="W1450" t="b">
        <v>1</v>
      </c>
      <c r="X1450" t="b">
        <v>1</v>
      </c>
      <c r="Y1450" t="b">
        <v>1</v>
      </c>
      <c r="Z1450" t="b">
        <v>1</v>
      </c>
      <c r="AA1450" t="b">
        <v>1</v>
      </c>
      <c r="AB1450" t="b">
        <v>1</v>
      </c>
      <c r="AC1450" t="b">
        <v>1</v>
      </c>
      <c r="AD1450" t="b">
        <v>1</v>
      </c>
      <c r="AE1450" t="b">
        <v>1</v>
      </c>
      <c r="AF1450" t="b">
        <v>1</v>
      </c>
      <c r="AG1450" t="b">
        <v>1</v>
      </c>
    </row>
    <row r="1451" spans="1:33" x14ac:dyDescent="0.25">
      <c r="A1451" t="s">
        <v>33</v>
      </c>
      <c r="B1451">
        <v>15</v>
      </c>
      <c r="C1451" t="b">
        <v>1</v>
      </c>
      <c r="D1451" t="s">
        <v>5301</v>
      </c>
      <c r="E1451" t="s">
        <v>5302</v>
      </c>
      <c r="F1451" t="s">
        <v>5320</v>
      </c>
      <c r="G1451" t="s">
        <v>5321</v>
      </c>
      <c r="H1451">
        <v>1450</v>
      </c>
      <c r="I1451" t="str">
        <f>IF(ISBLANK(Table1[[#This Row],[oid]]),"FALSE","TRUE")</f>
        <v>TRUE</v>
      </c>
      <c r="J1451" t="str" cm="1">
        <f t="array" ref="J1451">_xlfn.SWITCH(LEFT(Table1[[#This Row],[section]],1), "D", "Demographic", "S", "Social", "E", "Economic", "H", "Housing", "")</f>
        <v>Economic</v>
      </c>
      <c r="K1451" t="s">
        <v>5304</v>
      </c>
      <c r="L1451" t="s">
        <v>5305</v>
      </c>
      <c r="M1451" t="str">
        <f>IF(Table1[[#This Row],[used]], _xlfn.CONCAT("🆔 ", Table1[[#This Row],[variable]], ": ",Table1[[#This Row],[alias]]), "")</f>
        <v>🆔 B19001_005E: $20,000 to $24,999</v>
      </c>
      <c r="O1451" t="s">
        <v>5322</v>
      </c>
      <c r="P1451" t="s">
        <v>5306</v>
      </c>
      <c r="Q1451" t="s">
        <v>41</v>
      </c>
      <c r="R1451" t="s">
        <v>5323</v>
      </c>
      <c r="S1451" t="b">
        <v>1</v>
      </c>
      <c r="T1451" t="b">
        <v>1</v>
      </c>
      <c r="U1451" t="b">
        <v>1</v>
      </c>
      <c r="V1451" t="b">
        <v>1</v>
      </c>
      <c r="W1451" t="b">
        <v>1</v>
      </c>
      <c r="X1451" t="b">
        <v>1</v>
      </c>
      <c r="Y1451" t="b">
        <v>1</v>
      </c>
      <c r="Z1451" t="b">
        <v>1</v>
      </c>
      <c r="AA1451" t="b">
        <v>1</v>
      </c>
      <c r="AB1451" t="b">
        <v>1</v>
      </c>
      <c r="AC1451" t="b">
        <v>1</v>
      </c>
      <c r="AD1451" t="b">
        <v>1</v>
      </c>
      <c r="AE1451" t="b">
        <v>1</v>
      </c>
      <c r="AF1451" t="b">
        <v>1</v>
      </c>
      <c r="AG1451" t="b">
        <v>1</v>
      </c>
    </row>
    <row r="1452" spans="1:33" x14ac:dyDescent="0.25">
      <c r="A1452" t="s">
        <v>33</v>
      </c>
      <c r="B1452">
        <v>15</v>
      </c>
      <c r="C1452" t="b">
        <v>1</v>
      </c>
      <c r="D1452" t="s">
        <v>5301</v>
      </c>
      <c r="E1452" t="s">
        <v>5302</v>
      </c>
      <c r="F1452" t="s">
        <v>5324</v>
      </c>
      <c r="G1452" t="s">
        <v>5325</v>
      </c>
      <c r="H1452">
        <v>1451</v>
      </c>
      <c r="I1452" t="str">
        <f>IF(ISBLANK(Table1[[#This Row],[oid]]),"FALSE","TRUE")</f>
        <v>TRUE</v>
      </c>
      <c r="J1452" t="str" cm="1">
        <f t="array" ref="J1452">_xlfn.SWITCH(LEFT(Table1[[#This Row],[section]],1), "D", "Demographic", "S", "Social", "E", "Economic", "H", "Housing", "")</f>
        <v>Economic</v>
      </c>
      <c r="K1452" t="s">
        <v>5304</v>
      </c>
      <c r="L1452" t="s">
        <v>5305</v>
      </c>
      <c r="M1452" t="str">
        <f>IF(Table1[[#This Row],[used]], _xlfn.CONCAT("🆔 ", Table1[[#This Row],[variable]], ": ",Table1[[#This Row],[alias]]), "")</f>
        <v>🆔 B19001_006E: $25,000 to $29,999</v>
      </c>
      <c r="O1452" t="s">
        <v>5326</v>
      </c>
      <c r="P1452" t="s">
        <v>5306</v>
      </c>
      <c r="Q1452" t="s">
        <v>41</v>
      </c>
      <c r="R1452" t="s">
        <v>5327</v>
      </c>
      <c r="S1452" t="b">
        <v>1</v>
      </c>
      <c r="T1452" t="b">
        <v>1</v>
      </c>
      <c r="U1452" t="b">
        <v>1</v>
      </c>
      <c r="V1452" t="b">
        <v>1</v>
      </c>
      <c r="W1452" t="b">
        <v>1</v>
      </c>
      <c r="X1452" t="b">
        <v>1</v>
      </c>
      <c r="Y1452" t="b">
        <v>1</v>
      </c>
      <c r="Z1452" t="b">
        <v>1</v>
      </c>
      <c r="AA1452" t="b">
        <v>1</v>
      </c>
      <c r="AB1452" t="b">
        <v>1</v>
      </c>
      <c r="AC1452" t="b">
        <v>1</v>
      </c>
      <c r="AD1452" t="b">
        <v>1</v>
      </c>
      <c r="AE1452" t="b">
        <v>1</v>
      </c>
      <c r="AF1452" t="b">
        <v>1</v>
      </c>
      <c r="AG1452" t="b">
        <v>1</v>
      </c>
    </row>
    <row r="1453" spans="1:33" x14ac:dyDescent="0.25">
      <c r="A1453" t="s">
        <v>33</v>
      </c>
      <c r="B1453">
        <v>15</v>
      </c>
      <c r="C1453" t="b">
        <v>1</v>
      </c>
      <c r="D1453" t="s">
        <v>5301</v>
      </c>
      <c r="E1453" t="s">
        <v>5302</v>
      </c>
      <c r="F1453" t="s">
        <v>5328</v>
      </c>
      <c r="G1453" t="s">
        <v>5329</v>
      </c>
      <c r="H1453">
        <v>1452</v>
      </c>
      <c r="I1453" t="str">
        <f>IF(ISBLANK(Table1[[#This Row],[oid]]),"FALSE","TRUE")</f>
        <v>TRUE</v>
      </c>
      <c r="J1453" t="str" cm="1">
        <f t="array" ref="J1453">_xlfn.SWITCH(LEFT(Table1[[#This Row],[section]],1), "D", "Demographic", "S", "Social", "E", "Economic", "H", "Housing", "")</f>
        <v>Economic</v>
      </c>
      <c r="K1453" t="s">
        <v>5304</v>
      </c>
      <c r="L1453" t="s">
        <v>5305</v>
      </c>
      <c r="M1453" t="str">
        <f>IF(Table1[[#This Row],[used]], _xlfn.CONCAT("🆔 ", Table1[[#This Row],[variable]], ": ",Table1[[#This Row],[alias]]), "")</f>
        <v>🆔 B19001_007E: $30,000 to $34,999</v>
      </c>
      <c r="O1453" t="s">
        <v>5330</v>
      </c>
      <c r="P1453" t="s">
        <v>5306</v>
      </c>
      <c r="Q1453" t="s">
        <v>41</v>
      </c>
      <c r="R1453" t="s">
        <v>5331</v>
      </c>
      <c r="S1453" t="b">
        <v>1</v>
      </c>
      <c r="T1453" t="b">
        <v>1</v>
      </c>
      <c r="U1453" t="b">
        <v>1</v>
      </c>
      <c r="V1453" t="b">
        <v>1</v>
      </c>
      <c r="W1453" t="b">
        <v>1</v>
      </c>
      <c r="X1453" t="b">
        <v>1</v>
      </c>
      <c r="Y1453" t="b">
        <v>1</v>
      </c>
      <c r="Z1453" t="b">
        <v>1</v>
      </c>
      <c r="AA1453" t="b">
        <v>1</v>
      </c>
      <c r="AB1453" t="b">
        <v>1</v>
      </c>
      <c r="AC1453" t="b">
        <v>1</v>
      </c>
      <c r="AD1453" t="b">
        <v>1</v>
      </c>
      <c r="AE1453" t="b">
        <v>1</v>
      </c>
      <c r="AF1453" t="b">
        <v>1</v>
      </c>
      <c r="AG1453" t="b">
        <v>1</v>
      </c>
    </row>
    <row r="1454" spans="1:33" x14ac:dyDescent="0.25">
      <c r="A1454" t="s">
        <v>33</v>
      </c>
      <c r="B1454">
        <v>15</v>
      </c>
      <c r="C1454" t="b">
        <v>1</v>
      </c>
      <c r="D1454" t="s">
        <v>5301</v>
      </c>
      <c r="E1454" t="s">
        <v>5302</v>
      </c>
      <c r="F1454" t="s">
        <v>5332</v>
      </c>
      <c r="G1454" t="s">
        <v>5333</v>
      </c>
      <c r="H1454">
        <v>1453</v>
      </c>
      <c r="I1454" t="str">
        <f>IF(ISBLANK(Table1[[#This Row],[oid]]),"FALSE","TRUE")</f>
        <v>TRUE</v>
      </c>
      <c r="J1454" t="str" cm="1">
        <f t="array" ref="J1454">_xlfn.SWITCH(LEFT(Table1[[#This Row],[section]],1), "D", "Demographic", "S", "Social", "E", "Economic", "H", "Housing", "")</f>
        <v>Economic</v>
      </c>
      <c r="K1454" t="s">
        <v>5304</v>
      </c>
      <c r="L1454" t="s">
        <v>5305</v>
      </c>
      <c r="M1454" t="str">
        <f>IF(Table1[[#This Row],[used]], _xlfn.CONCAT("🆔 ", Table1[[#This Row],[variable]], ": ",Table1[[#This Row],[alias]]), "")</f>
        <v>🆔 B19001_008E: $35,000 to $39,999</v>
      </c>
      <c r="O1454" t="s">
        <v>5334</v>
      </c>
      <c r="P1454" t="s">
        <v>5306</v>
      </c>
      <c r="Q1454" t="s">
        <v>41</v>
      </c>
      <c r="R1454" t="s">
        <v>5335</v>
      </c>
      <c r="S1454" t="b">
        <v>1</v>
      </c>
      <c r="T1454" t="b">
        <v>1</v>
      </c>
      <c r="U1454" t="b">
        <v>1</v>
      </c>
      <c r="V1454" t="b">
        <v>1</v>
      </c>
      <c r="W1454" t="b">
        <v>1</v>
      </c>
      <c r="X1454" t="b">
        <v>1</v>
      </c>
      <c r="Y1454" t="b">
        <v>1</v>
      </c>
      <c r="Z1454" t="b">
        <v>1</v>
      </c>
      <c r="AA1454" t="b">
        <v>1</v>
      </c>
      <c r="AB1454" t="b">
        <v>1</v>
      </c>
      <c r="AC1454" t="b">
        <v>1</v>
      </c>
      <c r="AD1454" t="b">
        <v>1</v>
      </c>
      <c r="AE1454" t="b">
        <v>1</v>
      </c>
      <c r="AF1454" t="b">
        <v>1</v>
      </c>
      <c r="AG1454" t="b">
        <v>1</v>
      </c>
    </row>
    <row r="1455" spans="1:33" x14ac:dyDescent="0.25">
      <c r="A1455" t="s">
        <v>33</v>
      </c>
      <c r="B1455">
        <v>15</v>
      </c>
      <c r="C1455" t="b">
        <v>1</v>
      </c>
      <c r="D1455" t="s">
        <v>5301</v>
      </c>
      <c r="E1455" t="s">
        <v>5302</v>
      </c>
      <c r="F1455" t="s">
        <v>5336</v>
      </c>
      <c r="G1455" t="s">
        <v>5337</v>
      </c>
      <c r="H1455">
        <v>1454</v>
      </c>
      <c r="I1455" t="str">
        <f>IF(ISBLANK(Table1[[#This Row],[oid]]),"FALSE","TRUE")</f>
        <v>TRUE</v>
      </c>
      <c r="J1455" t="str" cm="1">
        <f t="array" ref="J1455">_xlfn.SWITCH(LEFT(Table1[[#This Row],[section]],1), "D", "Demographic", "S", "Social", "E", "Economic", "H", "Housing", "")</f>
        <v>Economic</v>
      </c>
      <c r="K1455" t="s">
        <v>5304</v>
      </c>
      <c r="L1455" t="s">
        <v>5305</v>
      </c>
      <c r="M1455" t="str">
        <f>IF(Table1[[#This Row],[used]], _xlfn.CONCAT("🆔 ", Table1[[#This Row],[variable]], ": ",Table1[[#This Row],[alias]]), "")</f>
        <v>🆔 B19001_009E: $40,000 to $44,999</v>
      </c>
      <c r="O1455" t="s">
        <v>5338</v>
      </c>
      <c r="P1455" t="s">
        <v>5306</v>
      </c>
      <c r="Q1455" t="s">
        <v>41</v>
      </c>
      <c r="R1455" t="s">
        <v>5339</v>
      </c>
      <c r="S1455" t="b">
        <v>1</v>
      </c>
      <c r="T1455" t="b">
        <v>1</v>
      </c>
      <c r="U1455" t="b">
        <v>1</v>
      </c>
      <c r="V1455" t="b">
        <v>1</v>
      </c>
      <c r="W1455" t="b">
        <v>1</v>
      </c>
      <c r="X1455" t="b">
        <v>1</v>
      </c>
      <c r="Y1455" t="b">
        <v>1</v>
      </c>
      <c r="Z1455" t="b">
        <v>1</v>
      </c>
      <c r="AA1455" t="b">
        <v>1</v>
      </c>
      <c r="AB1455" t="b">
        <v>1</v>
      </c>
      <c r="AC1455" t="b">
        <v>1</v>
      </c>
      <c r="AD1455" t="b">
        <v>1</v>
      </c>
      <c r="AE1455" t="b">
        <v>1</v>
      </c>
      <c r="AF1455" t="b">
        <v>1</v>
      </c>
      <c r="AG1455" t="b">
        <v>1</v>
      </c>
    </row>
    <row r="1456" spans="1:33" x14ac:dyDescent="0.25">
      <c r="A1456" t="s">
        <v>33</v>
      </c>
      <c r="B1456">
        <v>15</v>
      </c>
      <c r="C1456" t="b">
        <v>1</v>
      </c>
      <c r="D1456" t="s">
        <v>5301</v>
      </c>
      <c r="E1456" t="s">
        <v>5302</v>
      </c>
      <c r="F1456" t="s">
        <v>5340</v>
      </c>
      <c r="G1456" t="s">
        <v>5341</v>
      </c>
      <c r="H1456">
        <v>1455</v>
      </c>
      <c r="I1456" t="str">
        <f>IF(ISBLANK(Table1[[#This Row],[oid]]),"FALSE","TRUE")</f>
        <v>TRUE</v>
      </c>
      <c r="J1456" t="str" cm="1">
        <f t="array" ref="J1456">_xlfn.SWITCH(LEFT(Table1[[#This Row],[section]],1), "D", "Demographic", "S", "Social", "E", "Economic", "H", "Housing", "")</f>
        <v>Economic</v>
      </c>
      <c r="K1456" t="s">
        <v>5304</v>
      </c>
      <c r="L1456" t="s">
        <v>5305</v>
      </c>
      <c r="M1456" t="str">
        <f>IF(Table1[[#This Row],[used]], _xlfn.CONCAT("🆔 ", Table1[[#This Row],[variable]], ": ",Table1[[#This Row],[alias]]), "")</f>
        <v>🆔 B19001_010E: $45,000 to $49,999</v>
      </c>
      <c r="O1456" t="s">
        <v>5342</v>
      </c>
      <c r="P1456" t="s">
        <v>5306</v>
      </c>
      <c r="Q1456" t="s">
        <v>41</v>
      </c>
      <c r="R1456" t="s">
        <v>5343</v>
      </c>
      <c r="S1456" t="b">
        <v>1</v>
      </c>
      <c r="T1456" t="b">
        <v>1</v>
      </c>
      <c r="U1456" t="b">
        <v>1</v>
      </c>
      <c r="V1456" t="b">
        <v>1</v>
      </c>
      <c r="W1456" t="b">
        <v>1</v>
      </c>
      <c r="X1456" t="b">
        <v>1</v>
      </c>
      <c r="Y1456" t="b">
        <v>1</v>
      </c>
      <c r="Z1456" t="b">
        <v>1</v>
      </c>
      <c r="AA1456" t="b">
        <v>1</v>
      </c>
      <c r="AB1456" t="b">
        <v>1</v>
      </c>
      <c r="AC1456" t="b">
        <v>1</v>
      </c>
      <c r="AD1456" t="b">
        <v>1</v>
      </c>
      <c r="AE1456" t="b">
        <v>1</v>
      </c>
      <c r="AF1456" t="b">
        <v>1</v>
      </c>
      <c r="AG1456" t="b">
        <v>1</v>
      </c>
    </row>
    <row r="1457" spans="1:33" x14ac:dyDescent="0.25">
      <c r="A1457" t="s">
        <v>33</v>
      </c>
      <c r="B1457">
        <v>15</v>
      </c>
      <c r="C1457" t="b">
        <v>1</v>
      </c>
      <c r="D1457" t="s">
        <v>5301</v>
      </c>
      <c r="E1457" t="s">
        <v>5302</v>
      </c>
      <c r="F1457" t="s">
        <v>5344</v>
      </c>
      <c r="G1457" t="s">
        <v>5345</v>
      </c>
      <c r="H1457">
        <v>1456</v>
      </c>
      <c r="I1457" t="str">
        <f>IF(ISBLANK(Table1[[#This Row],[oid]]),"FALSE","TRUE")</f>
        <v>TRUE</v>
      </c>
      <c r="J1457" t="str" cm="1">
        <f t="array" ref="J1457">_xlfn.SWITCH(LEFT(Table1[[#This Row],[section]],1), "D", "Demographic", "S", "Social", "E", "Economic", "H", "Housing", "")</f>
        <v>Economic</v>
      </c>
      <c r="K1457" t="s">
        <v>5304</v>
      </c>
      <c r="L1457" t="s">
        <v>5305</v>
      </c>
      <c r="M1457" t="str">
        <f>IF(Table1[[#This Row],[used]], _xlfn.CONCAT("🆔 ", Table1[[#This Row],[variable]], ": ",Table1[[#This Row],[alias]]), "")</f>
        <v>🆔 B19001_011E: $50,000 to $59,999</v>
      </c>
      <c r="O1457" t="s">
        <v>5346</v>
      </c>
      <c r="P1457" t="s">
        <v>5306</v>
      </c>
      <c r="Q1457" t="s">
        <v>41</v>
      </c>
      <c r="R1457" t="s">
        <v>5347</v>
      </c>
      <c r="S1457" t="b">
        <v>1</v>
      </c>
      <c r="T1457" t="b">
        <v>1</v>
      </c>
      <c r="U1457" t="b">
        <v>1</v>
      </c>
      <c r="V1457" t="b">
        <v>1</v>
      </c>
      <c r="W1457" t="b">
        <v>1</v>
      </c>
      <c r="X1457" t="b">
        <v>1</v>
      </c>
      <c r="Y1457" t="b">
        <v>1</v>
      </c>
      <c r="Z1457" t="b">
        <v>1</v>
      </c>
      <c r="AA1457" t="b">
        <v>1</v>
      </c>
      <c r="AB1457" t="b">
        <v>1</v>
      </c>
      <c r="AC1457" t="b">
        <v>1</v>
      </c>
      <c r="AD1457" t="b">
        <v>1</v>
      </c>
      <c r="AE1457" t="b">
        <v>1</v>
      </c>
      <c r="AF1457" t="b">
        <v>1</v>
      </c>
      <c r="AG1457" t="b">
        <v>1</v>
      </c>
    </row>
    <row r="1458" spans="1:33" x14ac:dyDescent="0.25">
      <c r="A1458" t="s">
        <v>33</v>
      </c>
      <c r="B1458">
        <v>15</v>
      </c>
      <c r="C1458" t="b">
        <v>1</v>
      </c>
      <c r="D1458" t="s">
        <v>5301</v>
      </c>
      <c r="E1458" t="s">
        <v>5302</v>
      </c>
      <c r="F1458" t="s">
        <v>5348</v>
      </c>
      <c r="G1458" t="s">
        <v>5349</v>
      </c>
      <c r="H1458">
        <v>1457</v>
      </c>
      <c r="I1458" t="str">
        <f>IF(ISBLANK(Table1[[#This Row],[oid]]),"FALSE","TRUE")</f>
        <v>TRUE</v>
      </c>
      <c r="J1458" t="str" cm="1">
        <f t="array" ref="J1458">_xlfn.SWITCH(LEFT(Table1[[#This Row],[section]],1), "D", "Demographic", "S", "Social", "E", "Economic", "H", "Housing", "")</f>
        <v>Economic</v>
      </c>
      <c r="K1458" t="s">
        <v>5304</v>
      </c>
      <c r="L1458" t="s">
        <v>5305</v>
      </c>
      <c r="M1458" t="str">
        <f>IF(Table1[[#This Row],[used]], _xlfn.CONCAT("🆔 ", Table1[[#This Row],[variable]], ": ",Table1[[#This Row],[alias]]), "")</f>
        <v>🆔 B19001_012E: $60,000 to $74,999</v>
      </c>
      <c r="O1458" t="s">
        <v>5350</v>
      </c>
      <c r="P1458" t="s">
        <v>5306</v>
      </c>
      <c r="Q1458" t="s">
        <v>41</v>
      </c>
      <c r="R1458" t="s">
        <v>5351</v>
      </c>
      <c r="S1458" t="b">
        <v>1</v>
      </c>
      <c r="T1458" t="b">
        <v>1</v>
      </c>
      <c r="U1458" t="b">
        <v>1</v>
      </c>
      <c r="V1458" t="b">
        <v>1</v>
      </c>
      <c r="W1458" t="b">
        <v>1</v>
      </c>
      <c r="X1458" t="b">
        <v>1</v>
      </c>
      <c r="Y1458" t="b">
        <v>1</v>
      </c>
      <c r="Z1458" t="b">
        <v>1</v>
      </c>
      <c r="AA1458" t="b">
        <v>1</v>
      </c>
      <c r="AB1458" t="b">
        <v>1</v>
      </c>
      <c r="AC1458" t="b">
        <v>1</v>
      </c>
      <c r="AD1458" t="b">
        <v>1</v>
      </c>
      <c r="AE1458" t="b">
        <v>1</v>
      </c>
      <c r="AF1458" t="b">
        <v>1</v>
      </c>
      <c r="AG1458" t="b">
        <v>1</v>
      </c>
    </row>
    <row r="1459" spans="1:33" x14ac:dyDescent="0.25">
      <c r="A1459" t="s">
        <v>33</v>
      </c>
      <c r="B1459">
        <v>15</v>
      </c>
      <c r="C1459" t="b">
        <v>1</v>
      </c>
      <c r="D1459" t="s">
        <v>5301</v>
      </c>
      <c r="E1459" t="s">
        <v>5302</v>
      </c>
      <c r="F1459" t="s">
        <v>5352</v>
      </c>
      <c r="G1459" t="s">
        <v>5353</v>
      </c>
      <c r="H1459">
        <v>1458</v>
      </c>
      <c r="I1459" t="str">
        <f>IF(ISBLANK(Table1[[#This Row],[oid]]),"FALSE","TRUE")</f>
        <v>TRUE</v>
      </c>
      <c r="J1459" t="str" cm="1">
        <f t="array" ref="J1459">_xlfn.SWITCH(LEFT(Table1[[#This Row],[section]],1), "D", "Demographic", "S", "Social", "E", "Economic", "H", "Housing", "")</f>
        <v>Economic</v>
      </c>
      <c r="K1459" t="s">
        <v>5304</v>
      </c>
      <c r="L1459" t="s">
        <v>5305</v>
      </c>
      <c r="M1459" t="str">
        <f>IF(Table1[[#This Row],[used]], _xlfn.CONCAT("🆔 ", Table1[[#This Row],[variable]], ": ",Table1[[#This Row],[alias]]), "")</f>
        <v>🆔 B19001_013E: $75,000 to $99,999</v>
      </c>
      <c r="O1459" t="s">
        <v>5354</v>
      </c>
      <c r="P1459" t="s">
        <v>5306</v>
      </c>
      <c r="Q1459" t="s">
        <v>41</v>
      </c>
      <c r="R1459" t="s">
        <v>5355</v>
      </c>
      <c r="S1459" t="b">
        <v>1</v>
      </c>
      <c r="T1459" t="b">
        <v>1</v>
      </c>
      <c r="U1459" t="b">
        <v>1</v>
      </c>
      <c r="V1459" t="b">
        <v>1</v>
      </c>
      <c r="W1459" t="b">
        <v>1</v>
      </c>
      <c r="X1459" t="b">
        <v>1</v>
      </c>
      <c r="Y1459" t="b">
        <v>1</v>
      </c>
      <c r="Z1459" t="b">
        <v>1</v>
      </c>
      <c r="AA1459" t="b">
        <v>1</v>
      </c>
      <c r="AB1459" t="b">
        <v>1</v>
      </c>
      <c r="AC1459" t="b">
        <v>1</v>
      </c>
      <c r="AD1459" t="b">
        <v>1</v>
      </c>
      <c r="AE1459" t="b">
        <v>1</v>
      </c>
      <c r="AF1459" t="b">
        <v>1</v>
      </c>
      <c r="AG1459" t="b">
        <v>1</v>
      </c>
    </row>
    <row r="1460" spans="1:33" x14ac:dyDescent="0.25">
      <c r="A1460" t="s">
        <v>33</v>
      </c>
      <c r="B1460">
        <v>15</v>
      </c>
      <c r="C1460" t="b">
        <v>1</v>
      </c>
      <c r="D1460" t="s">
        <v>5301</v>
      </c>
      <c r="E1460" t="s">
        <v>5302</v>
      </c>
      <c r="F1460" t="s">
        <v>5356</v>
      </c>
      <c r="G1460" t="s">
        <v>5357</v>
      </c>
      <c r="H1460">
        <v>1459</v>
      </c>
      <c r="I1460" t="str">
        <f>IF(ISBLANK(Table1[[#This Row],[oid]]),"FALSE","TRUE")</f>
        <v>TRUE</v>
      </c>
      <c r="J1460" t="str" cm="1">
        <f t="array" ref="J1460">_xlfn.SWITCH(LEFT(Table1[[#This Row],[section]],1), "D", "Demographic", "S", "Social", "E", "Economic", "H", "Housing", "")</f>
        <v>Economic</v>
      </c>
      <c r="K1460" t="s">
        <v>5304</v>
      </c>
      <c r="L1460" t="s">
        <v>5305</v>
      </c>
      <c r="M1460" t="str">
        <f>IF(Table1[[#This Row],[used]], _xlfn.CONCAT("🆔 ", Table1[[#This Row],[variable]], ": ",Table1[[#This Row],[alias]]), "")</f>
        <v>🆔 B19001_014E: $100,000 to $124,999</v>
      </c>
      <c r="O1460" t="s">
        <v>5358</v>
      </c>
      <c r="P1460" t="s">
        <v>5306</v>
      </c>
      <c r="Q1460" t="s">
        <v>41</v>
      </c>
      <c r="R1460" t="s">
        <v>5359</v>
      </c>
      <c r="S1460" t="b">
        <v>1</v>
      </c>
      <c r="T1460" t="b">
        <v>1</v>
      </c>
      <c r="U1460" t="b">
        <v>1</v>
      </c>
      <c r="V1460" t="b">
        <v>1</v>
      </c>
      <c r="W1460" t="b">
        <v>1</v>
      </c>
      <c r="X1460" t="b">
        <v>1</v>
      </c>
      <c r="Y1460" t="b">
        <v>1</v>
      </c>
      <c r="Z1460" t="b">
        <v>1</v>
      </c>
      <c r="AA1460" t="b">
        <v>1</v>
      </c>
      <c r="AB1460" t="b">
        <v>1</v>
      </c>
      <c r="AC1460" t="b">
        <v>1</v>
      </c>
      <c r="AD1460" t="b">
        <v>1</v>
      </c>
      <c r="AE1460" t="b">
        <v>1</v>
      </c>
      <c r="AF1460" t="b">
        <v>1</v>
      </c>
      <c r="AG1460" t="b">
        <v>1</v>
      </c>
    </row>
    <row r="1461" spans="1:33" x14ac:dyDescent="0.25">
      <c r="A1461" t="s">
        <v>33</v>
      </c>
      <c r="B1461">
        <v>15</v>
      </c>
      <c r="C1461" t="b">
        <v>1</v>
      </c>
      <c r="D1461" t="s">
        <v>5301</v>
      </c>
      <c r="E1461" t="s">
        <v>5302</v>
      </c>
      <c r="F1461" t="s">
        <v>5360</v>
      </c>
      <c r="G1461" t="s">
        <v>5361</v>
      </c>
      <c r="H1461">
        <v>1460</v>
      </c>
      <c r="I1461" t="str">
        <f>IF(ISBLANK(Table1[[#This Row],[oid]]),"FALSE","TRUE")</f>
        <v>TRUE</v>
      </c>
      <c r="J1461" t="str" cm="1">
        <f t="array" ref="J1461">_xlfn.SWITCH(LEFT(Table1[[#This Row],[section]],1), "D", "Demographic", "S", "Social", "E", "Economic", "H", "Housing", "")</f>
        <v>Economic</v>
      </c>
      <c r="K1461" t="s">
        <v>5304</v>
      </c>
      <c r="L1461" t="s">
        <v>5305</v>
      </c>
      <c r="M1461" t="str">
        <f>IF(Table1[[#This Row],[used]], _xlfn.CONCAT("🆔 ", Table1[[#This Row],[variable]], ": ",Table1[[#This Row],[alias]]), "")</f>
        <v>🆔 B19001_015E: $125,000 to $149,999</v>
      </c>
      <c r="O1461" t="s">
        <v>5362</v>
      </c>
      <c r="P1461" t="s">
        <v>5306</v>
      </c>
      <c r="Q1461" t="s">
        <v>41</v>
      </c>
      <c r="R1461" t="s">
        <v>5363</v>
      </c>
      <c r="S1461" t="b">
        <v>1</v>
      </c>
      <c r="T1461" t="b">
        <v>1</v>
      </c>
      <c r="U1461" t="b">
        <v>1</v>
      </c>
      <c r="V1461" t="b">
        <v>1</v>
      </c>
      <c r="W1461" t="b">
        <v>1</v>
      </c>
      <c r="X1461" t="b">
        <v>1</v>
      </c>
      <c r="Y1461" t="b">
        <v>1</v>
      </c>
      <c r="Z1461" t="b">
        <v>1</v>
      </c>
      <c r="AA1461" t="b">
        <v>1</v>
      </c>
      <c r="AB1461" t="b">
        <v>1</v>
      </c>
      <c r="AC1461" t="b">
        <v>1</v>
      </c>
      <c r="AD1461" t="b">
        <v>1</v>
      </c>
      <c r="AE1461" t="b">
        <v>1</v>
      </c>
      <c r="AF1461" t="b">
        <v>1</v>
      </c>
      <c r="AG1461" t="b">
        <v>1</v>
      </c>
    </row>
    <row r="1462" spans="1:33" x14ac:dyDescent="0.25">
      <c r="A1462" t="s">
        <v>33</v>
      </c>
      <c r="B1462">
        <v>15</v>
      </c>
      <c r="C1462" t="b">
        <v>1</v>
      </c>
      <c r="D1462" t="s">
        <v>5301</v>
      </c>
      <c r="E1462" t="s">
        <v>5302</v>
      </c>
      <c r="F1462" t="s">
        <v>5364</v>
      </c>
      <c r="G1462" t="s">
        <v>5365</v>
      </c>
      <c r="H1462">
        <v>1461</v>
      </c>
      <c r="I1462" t="str">
        <f>IF(ISBLANK(Table1[[#This Row],[oid]]),"FALSE","TRUE")</f>
        <v>TRUE</v>
      </c>
      <c r="J1462" t="str" cm="1">
        <f t="array" ref="J1462">_xlfn.SWITCH(LEFT(Table1[[#This Row],[section]],1), "D", "Demographic", "S", "Social", "E", "Economic", "H", "Housing", "")</f>
        <v>Economic</v>
      </c>
      <c r="K1462" t="s">
        <v>5304</v>
      </c>
      <c r="L1462" t="s">
        <v>5305</v>
      </c>
      <c r="M1462" t="str">
        <f>IF(Table1[[#This Row],[used]], _xlfn.CONCAT("🆔 ", Table1[[#This Row],[variable]], ": ",Table1[[#This Row],[alias]]), "")</f>
        <v>🆔 B19001_016E: $150,000 to $199,999</v>
      </c>
      <c r="O1462" t="s">
        <v>5366</v>
      </c>
      <c r="P1462" t="s">
        <v>5306</v>
      </c>
      <c r="Q1462" t="s">
        <v>41</v>
      </c>
      <c r="R1462" t="s">
        <v>5367</v>
      </c>
      <c r="S1462" t="b">
        <v>1</v>
      </c>
      <c r="T1462" t="b">
        <v>1</v>
      </c>
      <c r="U1462" t="b">
        <v>1</v>
      </c>
      <c r="V1462" t="b">
        <v>1</v>
      </c>
      <c r="W1462" t="b">
        <v>1</v>
      </c>
      <c r="X1462" t="b">
        <v>1</v>
      </c>
      <c r="Y1462" t="b">
        <v>1</v>
      </c>
      <c r="Z1462" t="b">
        <v>1</v>
      </c>
      <c r="AA1462" t="b">
        <v>1</v>
      </c>
      <c r="AB1462" t="b">
        <v>1</v>
      </c>
      <c r="AC1462" t="b">
        <v>1</v>
      </c>
      <c r="AD1462" t="b">
        <v>1</v>
      </c>
      <c r="AE1462" t="b">
        <v>1</v>
      </c>
      <c r="AF1462" t="b">
        <v>1</v>
      </c>
      <c r="AG1462" t="b">
        <v>1</v>
      </c>
    </row>
    <row r="1463" spans="1:33" x14ac:dyDescent="0.25">
      <c r="A1463" t="s">
        <v>33</v>
      </c>
      <c r="B1463">
        <v>15</v>
      </c>
      <c r="C1463" t="b">
        <v>1</v>
      </c>
      <c r="D1463" t="s">
        <v>5301</v>
      </c>
      <c r="E1463" t="s">
        <v>5302</v>
      </c>
      <c r="F1463" t="s">
        <v>5368</v>
      </c>
      <c r="G1463" t="s">
        <v>5369</v>
      </c>
      <c r="H1463">
        <v>1462</v>
      </c>
      <c r="I1463" t="str">
        <f>IF(ISBLANK(Table1[[#This Row],[oid]]),"FALSE","TRUE")</f>
        <v>TRUE</v>
      </c>
      <c r="J1463" t="str" cm="1">
        <f t="array" ref="J1463">_xlfn.SWITCH(LEFT(Table1[[#This Row],[section]],1), "D", "Demographic", "S", "Social", "E", "Economic", "H", "Housing", "")</f>
        <v>Economic</v>
      </c>
      <c r="K1463" t="s">
        <v>5304</v>
      </c>
      <c r="L1463" t="s">
        <v>5305</v>
      </c>
      <c r="M1463" t="str">
        <f>IF(Table1[[#This Row],[used]], _xlfn.CONCAT("🆔 ", Table1[[#This Row],[variable]], ": ",Table1[[#This Row],[alias]]), "")</f>
        <v>🆔 B19001_017E: $200,000 or more</v>
      </c>
      <c r="O1463" t="s">
        <v>5370</v>
      </c>
      <c r="P1463" t="s">
        <v>5306</v>
      </c>
      <c r="Q1463" t="s">
        <v>41</v>
      </c>
      <c r="R1463" t="s">
        <v>5371</v>
      </c>
      <c r="S1463" t="b">
        <v>1</v>
      </c>
      <c r="T1463" t="b">
        <v>1</v>
      </c>
      <c r="U1463" t="b">
        <v>1</v>
      </c>
      <c r="V1463" t="b">
        <v>1</v>
      </c>
      <c r="W1463" t="b">
        <v>1</v>
      </c>
      <c r="X1463" t="b">
        <v>1</v>
      </c>
      <c r="Y1463" t="b">
        <v>1</v>
      </c>
      <c r="Z1463" t="b">
        <v>1</v>
      </c>
      <c r="AA1463" t="b">
        <v>1</v>
      </c>
      <c r="AB1463" t="b">
        <v>1</v>
      </c>
      <c r="AC1463" t="b">
        <v>1</v>
      </c>
      <c r="AD1463" t="b">
        <v>1</v>
      </c>
      <c r="AE1463" t="b">
        <v>1</v>
      </c>
      <c r="AF1463" t="b">
        <v>1</v>
      </c>
      <c r="AG1463" t="b">
        <v>1</v>
      </c>
    </row>
    <row r="1464" spans="1:33" x14ac:dyDescent="0.25">
      <c r="A1464" t="s">
        <v>18</v>
      </c>
      <c r="B1464">
        <v>1</v>
      </c>
      <c r="C1464" t="b">
        <v>0</v>
      </c>
      <c r="D1464" t="s">
        <v>5301</v>
      </c>
      <c r="E1464" t="s">
        <v>5372</v>
      </c>
      <c r="F1464" t="s">
        <v>5373</v>
      </c>
      <c r="G1464" t="s">
        <v>5374</v>
      </c>
      <c r="H1464">
        <v>1463</v>
      </c>
      <c r="I1464" t="str">
        <f>IF(ISBLANK(Table1[[#This Row],[oid]]),"FALSE","TRUE")</f>
        <v>TRUE</v>
      </c>
      <c r="J1464" t="str" cm="1">
        <f t="array" ref="J1464">_xlfn.SWITCH(LEFT(Table1[[#This Row],[section]],1), "D", "Demographic", "S", "Social", "E", "Economic", "H", "Housing", "")</f>
        <v>Economic</v>
      </c>
      <c r="K1464" t="s">
        <v>5304</v>
      </c>
      <c r="L1464" t="s">
        <v>5305</v>
      </c>
      <c r="M1464" t="str">
        <f>IF(Table1[[#This Row],[used]], _xlfn.CONCAT("🆔 ", Table1[[#This Row],[variable]], ": ",Table1[[#This Row],[alias]]), "")</f>
        <v>🆔 B19013_001E: Median household income in the past 12 months in 2010 inflation-adjusted dollars</v>
      </c>
      <c r="O1464" t="s">
        <v>5375</v>
      </c>
      <c r="P1464" t="s">
        <v>5376</v>
      </c>
      <c r="Q1464" t="s">
        <v>41</v>
      </c>
      <c r="R1464" t="s">
        <v>5377</v>
      </c>
      <c r="S1464" t="b">
        <v>1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</row>
    <row r="1465" spans="1:33" x14ac:dyDescent="0.25">
      <c r="A1465" t="s">
        <v>19</v>
      </c>
      <c r="B1465">
        <v>1</v>
      </c>
      <c r="C1465" t="b">
        <v>0</v>
      </c>
      <c r="D1465" t="s">
        <v>5301</v>
      </c>
      <c r="E1465" t="s">
        <v>5372</v>
      </c>
      <c r="F1465" t="s">
        <v>5373</v>
      </c>
      <c r="G1465" t="s">
        <v>5378</v>
      </c>
      <c r="H1465">
        <v>1464</v>
      </c>
      <c r="I1465" t="str">
        <f>IF(ISBLANK(Table1[[#This Row],[oid]]),"FALSE","TRUE")</f>
        <v>TRUE</v>
      </c>
      <c r="J1465" t="str" cm="1">
        <f t="array" ref="J1465">_xlfn.SWITCH(LEFT(Table1[[#This Row],[section]],1), "D", "Demographic", "S", "Social", "E", "Economic", "H", "Housing", "")</f>
        <v>Economic</v>
      </c>
      <c r="K1465" t="s">
        <v>5304</v>
      </c>
      <c r="L1465" t="s">
        <v>5305</v>
      </c>
      <c r="M1465" t="str">
        <f>IF(Table1[[#This Row],[used]], _xlfn.CONCAT("🆔 ", Table1[[#This Row],[variable]], ": ",Table1[[#This Row],[alias]]), "")</f>
        <v>🆔 B19013_001E: Median household income in the past 12 months in 2011 inflation-adjusted dollars</v>
      </c>
      <c r="O1465" t="s">
        <v>5379</v>
      </c>
      <c r="P1465" t="s">
        <v>5380</v>
      </c>
      <c r="Q1465" t="s">
        <v>41</v>
      </c>
      <c r="R1465" t="s">
        <v>5377</v>
      </c>
      <c r="S1465" t="b">
        <v>0</v>
      </c>
      <c r="T1465" t="b">
        <v>1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</row>
    <row r="1466" spans="1:33" x14ac:dyDescent="0.25">
      <c r="A1466" t="s">
        <v>20</v>
      </c>
      <c r="B1466">
        <v>1</v>
      </c>
      <c r="C1466" t="b">
        <v>0</v>
      </c>
      <c r="D1466" t="s">
        <v>5301</v>
      </c>
      <c r="E1466" t="s">
        <v>5372</v>
      </c>
      <c r="F1466" t="s">
        <v>5373</v>
      </c>
      <c r="G1466" t="s">
        <v>5381</v>
      </c>
      <c r="H1466">
        <v>1465</v>
      </c>
      <c r="I1466" t="str">
        <f>IF(ISBLANK(Table1[[#This Row],[oid]]),"FALSE","TRUE")</f>
        <v>TRUE</v>
      </c>
      <c r="J1466" t="str" cm="1">
        <f t="array" ref="J1466">_xlfn.SWITCH(LEFT(Table1[[#This Row],[section]],1), "D", "Demographic", "S", "Social", "E", "Economic", "H", "Housing", "")</f>
        <v>Economic</v>
      </c>
      <c r="K1466" t="s">
        <v>5304</v>
      </c>
      <c r="L1466" t="s">
        <v>5305</v>
      </c>
      <c r="M1466" t="str">
        <f>IF(Table1[[#This Row],[used]], _xlfn.CONCAT("🆔 ", Table1[[#This Row],[variable]], ": ",Table1[[#This Row],[alias]]), "")</f>
        <v>🆔 B19013_001E: Median household income in the past 12 months in 2012 inflation-adjusted dollars</v>
      </c>
      <c r="O1466" t="s">
        <v>5382</v>
      </c>
      <c r="P1466" t="s">
        <v>5383</v>
      </c>
      <c r="Q1466" t="s">
        <v>41</v>
      </c>
      <c r="R1466" t="s">
        <v>5377</v>
      </c>
      <c r="S1466" t="b">
        <v>0</v>
      </c>
      <c r="T1466" t="b">
        <v>0</v>
      </c>
      <c r="U1466" t="b">
        <v>1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</row>
    <row r="1467" spans="1:33" x14ac:dyDescent="0.25">
      <c r="A1467" t="s">
        <v>21</v>
      </c>
      <c r="B1467">
        <v>1</v>
      </c>
      <c r="C1467" t="b">
        <v>0</v>
      </c>
      <c r="D1467" t="s">
        <v>5301</v>
      </c>
      <c r="E1467" t="s">
        <v>5372</v>
      </c>
      <c r="F1467" t="s">
        <v>5373</v>
      </c>
      <c r="G1467" t="s">
        <v>5384</v>
      </c>
      <c r="H1467">
        <v>1466</v>
      </c>
      <c r="I1467" t="str">
        <f>IF(ISBLANK(Table1[[#This Row],[oid]]),"FALSE","TRUE")</f>
        <v>TRUE</v>
      </c>
      <c r="J1467" t="str" cm="1">
        <f t="array" ref="J1467">_xlfn.SWITCH(LEFT(Table1[[#This Row],[section]],1), "D", "Demographic", "S", "Social", "E", "Economic", "H", "Housing", "")</f>
        <v>Economic</v>
      </c>
      <c r="K1467" t="s">
        <v>5304</v>
      </c>
      <c r="L1467" t="s">
        <v>5305</v>
      </c>
      <c r="M1467" t="str">
        <f>IF(Table1[[#This Row],[used]], _xlfn.CONCAT("🆔 ", Table1[[#This Row],[variable]], ": ",Table1[[#This Row],[alias]]), "")</f>
        <v>🆔 B19013_001E: Median household income in the past 12 months in 2013 inflation-adjusted dollars</v>
      </c>
      <c r="O1467" t="s">
        <v>5385</v>
      </c>
      <c r="P1467" t="s">
        <v>5386</v>
      </c>
      <c r="Q1467" t="s">
        <v>41</v>
      </c>
      <c r="R1467" t="s">
        <v>5377</v>
      </c>
      <c r="S1467" t="b">
        <v>0</v>
      </c>
      <c r="T1467" t="b">
        <v>0</v>
      </c>
      <c r="U1467" t="b">
        <v>0</v>
      </c>
      <c r="V1467" t="b">
        <v>1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</row>
    <row r="1468" spans="1:33" x14ac:dyDescent="0.25">
      <c r="A1468" t="s">
        <v>22</v>
      </c>
      <c r="B1468">
        <v>1</v>
      </c>
      <c r="C1468" t="b">
        <v>0</v>
      </c>
      <c r="D1468" t="s">
        <v>5301</v>
      </c>
      <c r="E1468" t="s">
        <v>5372</v>
      </c>
      <c r="F1468" t="s">
        <v>5373</v>
      </c>
      <c r="G1468" t="s">
        <v>5387</v>
      </c>
      <c r="H1468">
        <v>1467</v>
      </c>
      <c r="I1468" t="str">
        <f>IF(ISBLANK(Table1[[#This Row],[oid]]),"FALSE","TRUE")</f>
        <v>TRUE</v>
      </c>
      <c r="J1468" t="str" cm="1">
        <f t="array" ref="J1468">_xlfn.SWITCH(LEFT(Table1[[#This Row],[section]],1), "D", "Demographic", "S", "Social", "E", "Economic", "H", "Housing", "")</f>
        <v>Economic</v>
      </c>
      <c r="K1468" t="s">
        <v>5304</v>
      </c>
      <c r="L1468" t="s">
        <v>5305</v>
      </c>
      <c r="M1468" t="str">
        <f>IF(Table1[[#This Row],[used]], _xlfn.CONCAT("🆔 ", Table1[[#This Row],[variable]], ": ",Table1[[#This Row],[alias]]), "")</f>
        <v>🆔 B19013_001E: Median household income in the past 12 months in 2014 Inflation-adjusted dollars</v>
      </c>
      <c r="O1468" t="s">
        <v>5388</v>
      </c>
      <c r="P1468" t="s">
        <v>5389</v>
      </c>
      <c r="Q1468" t="s">
        <v>41</v>
      </c>
      <c r="R1468" t="s">
        <v>5377</v>
      </c>
      <c r="S1468" t="b">
        <v>0</v>
      </c>
      <c r="T1468" t="b">
        <v>0</v>
      </c>
      <c r="U1468" t="b">
        <v>0</v>
      </c>
      <c r="V1468" t="b">
        <v>0</v>
      </c>
      <c r="W1468" t="b">
        <v>1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</row>
    <row r="1469" spans="1:33" x14ac:dyDescent="0.25">
      <c r="A1469" t="s">
        <v>23</v>
      </c>
      <c r="B1469">
        <v>1</v>
      </c>
      <c r="C1469" t="b">
        <v>0</v>
      </c>
      <c r="D1469" t="s">
        <v>5301</v>
      </c>
      <c r="E1469" t="s">
        <v>5372</v>
      </c>
      <c r="F1469" t="s">
        <v>5373</v>
      </c>
      <c r="G1469" t="s">
        <v>5390</v>
      </c>
      <c r="H1469">
        <v>1468</v>
      </c>
      <c r="I1469" t="str">
        <f>IF(ISBLANK(Table1[[#This Row],[oid]]),"FALSE","TRUE")</f>
        <v>TRUE</v>
      </c>
      <c r="J1469" t="str" cm="1">
        <f t="array" ref="J1469">_xlfn.SWITCH(LEFT(Table1[[#This Row],[section]],1), "D", "Demographic", "S", "Social", "E", "Economic", "H", "Housing", "")</f>
        <v>Economic</v>
      </c>
      <c r="K1469" t="s">
        <v>5304</v>
      </c>
      <c r="L1469" t="s">
        <v>5305</v>
      </c>
      <c r="M1469" t="str">
        <f>IF(Table1[[#This Row],[used]], _xlfn.CONCAT("🆔 ", Table1[[#This Row],[variable]], ": ",Table1[[#This Row],[alias]]), "")</f>
        <v>🆔 B19013_001E: Median household income in the past 12 months in 2015 Inflation-adjusted dollars</v>
      </c>
      <c r="O1469" t="s">
        <v>5391</v>
      </c>
      <c r="P1469" t="s">
        <v>5392</v>
      </c>
      <c r="Q1469" t="s">
        <v>41</v>
      </c>
      <c r="R1469" t="s">
        <v>5377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1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</row>
    <row r="1470" spans="1:33" x14ac:dyDescent="0.25">
      <c r="A1470" t="s">
        <v>24</v>
      </c>
      <c r="B1470">
        <v>1</v>
      </c>
      <c r="C1470" t="b">
        <v>0</v>
      </c>
      <c r="D1470" t="s">
        <v>5301</v>
      </c>
      <c r="E1470" t="s">
        <v>5372</v>
      </c>
      <c r="F1470" t="s">
        <v>5373</v>
      </c>
      <c r="G1470" t="s">
        <v>5393</v>
      </c>
      <c r="H1470">
        <v>1469</v>
      </c>
      <c r="I1470" t="str">
        <f>IF(ISBLANK(Table1[[#This Row],[oid]]),"FALSE","TRUE")</f>
        <v>TRUE</v>
      </c>
      <c r="J1470" t="str" cm="1">
        <f t="array" ref="J1470">_xlfn.SWITCH(LEFT(Table1[[#This Row],[section]],1), "D", "Demographic", "S", "Social", "E", "Economic", "H", "Housing", "")</f>
        <v>Economic</v>
      </c>
      <c r="K1470" t="s">
        <v>5304</v>
      </c>
      <c r="L1470" t="s">
        <v>5305</v>
      </c>
      <c r="M1470" t="str">
        <f>IF(Table1[[#This Row],[used]], _xlfn.CONCAT("🆔 ", Table1[[#This Row],[variable]], ": ",Table1[[#This Row],[alias]]), "")</f>
        <v>🆔 B19013_001E: Median household income in the past 12 months in 2016 inflation-adjusted dollars</v>
      </c>
      <c r="O1470" t="s">
        <v>5394</v>
      </c>
      <c r="P1470" t="s">
        <v>5395</v>
      </c>
      <c r="Q1470" t="s">
        <v>41</v>
      </c>
      <c r="R1470" t="s">
        <v>5377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1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</row>
    <row r="1471" spans="1:33" x14ac:dyDescent="0.25">
      <c r="A1471" t="s">
        <v>25</v>
      </c>
      <c r="B1471">
        <v>1</v>
      </c>
      <c r="C1471" t="b">
        <v>0</v>
      </c>
      <c r="D1471" t="s">
        <v>5301</v>
      </c>
      <c r="E1471" t="s">
        <v>5372</v>
      </c>
      <c r="F1471" t="s">
        <v>5373</v>
      </c>
      <c r="G1471" t="s">
        <v>5396</v>
      </c>
      <c r="H1471">
        <v>1470</v>
      </c>
      <c r="I1471" t="str">
        <f>IF(ISBLANK(Table1[[#This Row],[oid]]),"FALSE","TRUE")</f>
        <v>TRUE</v>
      </c>
      <c r="J1471" t="str" cm="1">
        <f t="array" ref="J1471">_xlfn.SWITCH(LEFT(Table1[[#This Row],[section]],1), "D", "Demographic", "S", "Social", "E", "Economic", "H", "Housing", "")</f>
        <v>Economic</v>
      </c>
      <c r="K1471" t="s">
        <v>5304</v>
      </c>
      <c r="L1471" t="s">
        <v>5305</v>
      </c>
      <c r="M1471" t="str">
        <f>IF(Table1[[#This Row],[used]], _xlfn.CONCAT("🆔 ", Table1[[#This Row],[variable]], ": ",Table1[[#This Row],[alias]]), "")</f>
        <v>🆔 B19013_001E: Median household income in the past 12 months in 2017 inflation-adjusted dollars</v>
      </c>
      <c r="O1471" t="s">
        <v>5397</v>
      </c>
      <c r="P1471" t="s">
        <v>5398</v>
      </c>
      <c r="Q1471" t="s">
        <v>41</v>
      </c>
      <c r="R1471" t="s">
        <v>5377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1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</row>
    <row r="1472" spans="1:33" x14ac:dyDescent="0.25">
      <c r="A1472" t="s">
        <v>26</v>
      </c>
      <c r="B1472">
        <v>1</v>
      </c>
      <c r="C1472" t="b">
        <v>0</v>
      </c>
      <c r="D1472" t="s">
        <v>5301</v>
      </c>
      <c r="E1472" t="s">
        <v>5372</v>
      </c>
      <c r="F1472" t="s">
        <v>5373</v>
      </c>
      <c r="G1472" t="s">
        <v>5399</v>
      </c>
      <c r="H1472">
        <v>1471</v>
      </c>
      <c r="I1472" t="str">
        <f>IF(ISBLANK(Table1[[#This Row],[oid]]),"FALSE","TRUE")</f>
        <v>TRUE</v>
      </c>
      <c r="J1472" t="str" cm="1">
        <f t="array" ref="J1472">_xlfn.SWITCH(LEFT(Table1[[#This Row],[section]],1), "D", "Demographic", "S", "Social", "E", "Economic", "H", "Housing", "")</f>
        <v>Economic</v>
      </c>
      <c r="K1472" t="s">
        <v>5304</v>
      </c>
      <c r="L1472" t="s">
        <v>5305</v>
      </c>
      <c r="M1472" t="str">
        <f>IF(Table1[[#This Row],[used]], _xlfn.CONCAT("🆔 ", Table1[[#This Row],[variable]], ": ",Table1[[#This Row],[alias]]), "")</f>
        <v>🆔 B19013_001E: Median household income in the past 12 months in 2018 inflation-adjusted dollars</v>
      </c>
      <c r="O1472" t="s">
        <v>5400</v>
      </c>
      <c r="P1472" t="s">
        <v>5401</v>
      </c>
      <c r="Q1472" t="s">
        <v>41</v>
      </c>
      <c r="R1472" t="s">
        <v>5377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1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</row>
    <row r="1473" spans="1:33" x14ac:dyDescent="0.25">
      <c r="A1473" t="s">
        <v>27</v>
      </c>
      <c r="B1473">
        <v>1</v>
      </c>
      <c r="C1473" t="b">
        <v>0</v>
      </c>
      <c r="D1473" t="s">
        <v>5301</v>
      </c>
      <c r="E1473" t="s">
        <v>5372</v>
      </c>
      <c r="F1473" t="s">
        <v>5373</v>
      </c>
      <c r="G1473" t="s">
        <v>5402</v>
      </c>
      <c r="H1473">
        <v>1472</v>
      </c>
      <c r="I1473" t="str">
        <f>IF(ISBLANK(Table1[[#This Row],[oid]]),"FALSE","TRUE")</f>
        <v>TRUE</v>
      </c>
      <c r="J1473" t="str" cm="1">
        <f t="array" ref="J1473">_xlfn.SWITCH(LEFT(Table1[[#This Row],[section]],1), "D", "Demographic", "S", "Social", "E", "Economic", "H", "Housing", "")</f>
        <v>Economic</v>
      </c>
      <c r="K1473" t="s">
        <v>5304</v>
      </c>
      <c r="L1473" t="s">
        <v>5305</v>
      </c>
      <c r="M1473" t="str">
        <f>IF(Table1[[#This Row],[used]], _xlfn.CONCAT("🆔 ", Table1[[#This Row],[variable]], ": ",Table1[[#This Row],[alias]]), "")</f>
        <v>🆔 B19013_001E: Median household income in the past 12 months in 2019 inflation-adjusted dollars</v>
      </c>
      <c r="O1473" t="s">
        <v>5403</v>
      </c>
      <c r="P1473" t="s">
        <v>5404</v>
      </c>
      <c r="Q1473" t="s">
        <v>41</v>
      </c>
      <c r="R1473" t="s">
        <v>5377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1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</row>
    <row r="1474" spans="1:33" x14ac:dyDescent="0.25">
      <c r="A1474" t="s">
        <v>28</v>
      </c>
      <c r="B1474">
        <v>1</v>
      </c>
      <c r="C1474" t="b">
        <v>0</v>
      </c>
      <c r="D1474" t="s">
        <v>5301</v>
      </c>
      <c r="E1474" t="s">
        <v>5372</v>
      </c>
      <c r="F1474" t="s">
        <v>5373</v>
      </c>
      <c r="G1474" t="s">
        <v>5405</v>
      </c>
      <c r="H1474">
        <v>1473</v>
      </c>
      <c r="I1474" t="str">
        <f>IF(ISBLANK(Table1[[#This Row],[oid]]),"FALSE","TRUE")</f>
        <v>TRUE</v>
      </c>
      <c r="J1474" t="str" cm="1">
        <f t="array" ref="J1474">_xlfn.SWITCH(LEFT(Table1[[#This Row],[section]],1), "D", "Demographic", "S", "Social", "E", "Economic", "H", "Housing", "")</f>
        <v>Economic</v>
      </c>
      <c r="K1474" t="s">
        <v>5304</v>
      </c>
      <c r="L1474" t="s">
        <v>5305</v>
      </c>
      <c r="M1474" t="str">
        <f>IF(Table1[[#This Row],[used]], _xlfn.CONCAT("🆔 ", Table1[[#This Row],[variable]], ": ",Table1[[#This Row],[alias]]), "")</f>
        <v>🆔 B19013_001E: Median household income in the past 12 months in 2020 inflation-adjusted dollars</v>
      </c>
      <c r="O1474" t="s">
        <v>5406</v>
      </c>
      <c r="P1474" t="s">
        <v>5407</v>
      </c>
      <c r="Q1474" t="s">
        <v>41</v>
      </c>
      <c r="R1474" t="s">
        <v>5377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1</v>
      </c>
      <c r="AD1474" t="b">
        <v>0</v>
      </c>
      <c r="AE1474" t="b">
        <v>0</v>
      </c>
      <c r="AF1474" t="b">
        <v>0</v>
      </c>
      <c r="AG1474" t="b">
        <v>0</v>
      </c>
    </row>
    <row r="1475" spans="1:33" x14ac:dyDescent="0.25">
      <c r="A1475" t="s">
        <v>29</v>
      </c>
      <c r="B1475">
        <v>1</v>
      </c>
      <c r="C1475" t="b">
        <v>0</v>
      </c>
      <c r="D1475" t="s">
        <v>5301</v>
      </c>
      <c r="E1475" t="s">
        <v>5372</v>
      </c>
      <c r="F1475" t="s">
        <v>5373</v>
      </c>
      <c r="G1475" t="s">
        <v>5408</v>
      </c>
      <c r="H1475">
        <v>1474</v>
      </c>
      <c r="I1475" t="str">
        <f>IF(ISBLANK(Table1[[#This Row],[oid]]),"FALSE","TRUE")</f>
        <v>TRUE</v>
      </c>
      <c r="J1475" t="str" cm="1">
        <f t="array" ref="J1475">_xlfn.SWITCH(LEFT(Table1[[#This Row],[section]],1), "D", "Demographic", "S", "Social", "E", "Economic", "H", "Housing", "")</f>
        <v>Economic</v>
      </c>
      <c r="K1475" t="s">
        <v>5304</v>
      </c>
      <c r="L1475" t="s">
        <v>5305</v>
      </c>
      <c r="M1475" t="str">
        <f>IF(Table1[[#This Row],[used]], _xlfn.CONCAT("🆔 ", Table1[[#This Row],[variable]], ": ",Table1[[#This Row],[alias]]), "")</f>
        <v>🆔 B19013_001E: Median household income in the past 12 months in 2021 inflation-adjusted dollars</v>
      </c>
      <c r="O1475" t="s">
        <v>5409</v>
      </c>
      <c r="P1475" t="s">
        <v>5410</v>
      </c>
      <c r="Q1475" t="s">
        <v>41</v>
      </c>
      <c r="R1475" t="s">
        <v>5377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1</v>
      </c>
      <c r="AE1475" t="b">
        <v>0</v>
      </c>
      <c r="AF1475" t="b">
        <v>0</v>
      </c>
      <c r="AG1475" t="b">
        <v>0</v>
      </c>
    </row>
    <row r="1476" spans="1:33" x14ac:dyDescent="0.25">
      <c r="A1476" t="s">
        <v>30</v>
      </c>
      <c r="B1476">
        <v>1</v>
      </c>
      <c r="C1476" t="b">
        <v>0</v>
      </c>
      <c r="D1476" t="s">
        <v>5301</v>
      </c>
      <c r="E1476" t="s">
        <v>5372</v>
      </c>
      <c r="F1476" t="s">
        <v>5373</v>
      </c>
      <c r="G1476" t="s">
        <v>5411</v>
      </c>
      <c r="H1476">
        <v>1475</v>
      </c>
      <c r="I1476" t="str">
        <f>IF(ISBLANK(Table1[[#This Row],[oid]]),"FALSE","TRUE")</f>
        <v>TRUE</v>
      </c>
      <c r="J1476" t="str" cm="1">
        <f t="array" ref="J1476">_xlfn.SWITCH(LEFT(Table1[[#This Row],[section]],1), "D", "Demographic", "S", "Social", "E", "Economic", "H", "Housing", "")</f>
        <v>Economic</v>
      </c>
      <c r="K1476" t="s">
        <v>5304</v>
      </c>
      <c r="L1476" t="s">
        <v>5305</v>
      </c>
      <c r="M1476" t="str">
        <f>IF(Table1[[#This Row],[used]], _xlfn.CONCAT("🆔 ", Table1[[#This Row],[variable]], ": ",Table1[[#This Row],[alias]]), "")</f>
        <v>🆔 B19013_001E: Median household income in the past 12 months in 2022 inflation-adjusted dollars</v>
      </c>
      <c r="O1476" t="s">
        <v>5412</v>
      </c>
      <c r="P1476" t="s">
        <v>5413</v>
      </c>
      <c r="Q1476" t="s">
        <v>41</v>
      </c>
      <c r="R1476" t="s">
        <v>5377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1</v>
      </c>
      <c r="AF1476" t="b">
        <v>0</v>
      </c>
      <c r="AG1476" t="b">
        <v>0</v>
      </c>
    </row>
    <row r="1477" spans="1:33" x14ac:dyDescent="0.25">
      <c r="A1477" t="s">
        <v>31</v>
      </c>
      <c r="B1477">
        <v>1</v>
      </c>
      <c r="C1477" t="b">
        <v>0</v>
      </c>
      <c r="D1477" t="s">
        <v>5301</v>
      </c>
      <c r="E1477" t="s">
        <v>5372</v>
      </c>
      <c r="F1477" t="s">
        <v>5373</v>
      </c>
      <c r="G1477" t="s">
        <v>5414</v>
      </c>
      <c r="H1477">
        <v>1476</v>
      </c>
      <c r="I1477" t="str">
        <f>IF(ISBLANK(Table1[[#This Row],[oid]]),"FALSE","TRUE")</f>
        <v>TRUE</v>
      </c>
      <c r="J1477" t="str" cm="1">
        <f t="array" ref="J1477">_xlfn.SWITCH(LEFT(Table1[[#This Row],[section]],1), "D", "Demographic", "S", "Social", "E", "Economic", "H", "Housing", "")</f>
        <v>Economic</v>
      </c>
      <c r="K1477" t="s">
        <v>5304</v>
      </c>
      <c r="L1477" t="s">
        <v>5305</v>
      </c>
      <c r="M1477" t="str">
        <f>IF(Table1[[#This Row],[used]], _xlfn.CONCAT("🆔 ", Table1[[#This Row],[variable]], ": ",Table1[[#This Row],[alias]]), "")</f>
        <v>🆔 B19013_001E: Median household income in the past 12 months in 2023 inflation-adjusted dollars</v>
      </c>
      <c r="O1477" t="s">
        <v>5415</v>
      </c>
      <c r="P1477" t="s">
        <v>5416</v>
      </c>
      <c r="Q1477" t="s">
        <v>41</v>
      </c>
      <c r="R1477" t="s">
        <v>5377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1</v>
      </c>
      <c r="AG1477" t="b">
        <v>0</v>
      </c>
    </row>
    <row r="1478" spans="1:33" x14ac:dyDescent="0.25">
      <c r="A1478" t="s">
        <v>32</v>
      </c>
      <c r="B1478">
        <v>1</v>
      </c>
      <c r="C1478" t="b">
        <v>0</v>
      </c>
      <c r="D1478" t="s">
        <v>5301</v>
      </c>
      <c r="E1478" t="s">
        <v>5372</v>
      </c>
      <c r="F1478" t="s">
        <v>5373</v>
      </c>
      <c r="G1478" t="s">
        <v>5417</v>
      </c>
      <c r="H1478">
        <v>1477</v>
      </c>
      <c r="I1478" t="str">
        <f>IF(ISBLANK(Table1[[#This Row],[oid]]),"FALSE","TRUE")</f>
        <v>TRUE</v>
      </c>
      <c r="J1478" t="str" cm="1">
        <f t="array" ref="J1478">_xlfn.SWITCH(LEFT(Table1[[#This Row],[section]],1), "D", "Demographic", "S", "Social", "E", "Economic", "H", "Housing", "")</f>
        <v>Economic</v>
      </c>
      <c r="K1478" t="s">
        <v>5304</v>
      </c>
      <c r="L1478" t="s">
        <v>5305</v>
      </c>
      <c r="M1478" t="str">
        <f>IF(Table1[[#This Row],[used]], _xlfn.CONCAT("🆔 ", Table1[[#This Row],[variable]], ": ",Table1[[#This Row],[alias]]), "")</f>
        <v>🆔 B19013_001E: Median household income in the past 12 months in 2024 inflation-adjusted dollars</v>
      </c>
      <c r="O1478" t="s">
        <v>5418</v>
      </c>
      <c r="P1478" t="s">
        <v>5419</v>
      </c>
      <c r="Q1478" t="s">
        <v>41</v>
      </c>
      <c r="R1478" t="s">
        <v>5377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</row>
    <row r="1479" spans="1:33" x14ac:dyDescent="0.25">
      <c r="A1479" t="s">
        <v>18</v>
      </c>
      <c r="B1479">
        <v>1</v>
      </c>
      <c r="C1479" t="b">
        <v>0</v>
      </c>
      <c r="D1479" t="s">
        <v>5301</v>
      </c>
      <c r="E1479" t="s">
        <v>5420</v>
      </c>
      <c r="F1479" t="s">
        <v>5421</v>
      </c>
      <c r="G1479" t="s">
        <v>5422</v>
      </c>
      <c r="H1479">
        <v>1478</v>
      </c>
      <c r="I1479" t="str">
        <f>IF(ISBLANK(Table1[[#This Row],[oid]]),"FALSE","TRUE")</f>
        <v>TRUE</v>
      </c>
      <c r="J1479" t="str" cm="1">
        <f t="array" ref="J1479">_xlfn.SWITCH(LEFT(Table1[[#This Row],[section]],1), "D", "Demographic", "S", "Social", "E", "Economic", "H", "Housing", "")</f>
        <v>Economic</v>
      </c>
      <c r="K1479" t="s">
        <v>5304</v>
      </c>
      <c r="L1479" t="s">
        <v>5305</v>
      </c>
      <c r="M1479" t="str">
        <f>IF(Table1[[#This Row],[used]], _xlfn.CONCAT("🆔 ", Table1[[#This Row],[variable]], ": ",Table1[[#This Row],[alias]]), "")</f>
        <v>🆔 B19025_001E: Aggregate household income in the past 12 months in 2010 inflation-adjusted dollars</v>
      </c>
      <c r="O1479" t="s">
        <v>5423</v>
      </c>
      <c r="P1479" t="s">
        <v>5424</v>
      </c>
      <c r="Q1479" t="s">
        <v>41</v>
      </c>
      <c r="R1479" t="s">
        <v>5425</v>
      </c>
      <c r="S1479" t="b">
        <v>1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</row>
    <row r="1480" spans="1:33" x14ac:dyDescent="0.25">
      <c r="A1480" t="s">
        <v>19</v>
      </c>
      <c r="B1480">
        <v>1</v>
      </c>
      <c r="C1480" t="b">
        <v>0</v>
      </c>
      <c r="D1480" t="s">
        <v>5301</v>
      </c>
      <c r="E1480" t="s">
        <v>5420</v>
      </c>
      <c r="F1480" t="s">
        <v>5421</v>
      </c>
      <c r="G1480" t="s">
        <v>5426</v>
      </c>
      <c r="H1480">
        <v>1479</v>
      </c>
      <c r="I1480" t="str">
        <f>IF(ISBLANK(Table1[[#This Row],[oid]]),"FALSE","TRUE")</f>
        <v>TRUE</v>
      </c>
      <c r="J1480" t="str" cm="1">
        <f t="array" ref="J1480">_xlfn.SWITCH(LEFT(Table1[[#This Row],[section]],1), "D", "Demographic", "S", "Social", "E", "Economic", "H", "Housing", "")</f>
        <v>Economic</v>
      </c>
      <c r="K1480" t="s">
        <v>5304</v>
      </c>
      <c r="L1480" t="s">
        <v>5305</v>
      </c>
      <c r="M1480" t="str">
        <f>IF(Table1[[#This Row],[used]], _xlfn.CONCAT("🆔 ", Table1[[#This Row],[variable]], ": ",Table1[[#This Row],[alias]]), "")</f>
        <v>🆔 B19025_001E: Aggregate household income in the past 12 months in 2011 inflation-adjusted dollars</v>
      </c>
      <c r="O1480" t="s">
        <v>5427</v>
      </c>
      <c r="P1480" t="s">
        <v>5428</v>
      </c>
      <c r="Q1480" t="s">
        <v>41</v>
      </c>
      <c r="R1480" t="s">
        <v>5425</v>
      </c>
      <c r="S1480" t="b">
        <v>0</v>
      </c>
      <c r="T1480" t="b">
        <v>1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</row>
    <row r="1481" spans="1:33" x14ac:dyDescent="0.25">
      <c r="A1481" t="s">
        <v>20</v>
      </c>
      <c r="B1481">
        <v>1</v>
      </c>
      <c r="C1481" t="b">
        <v>0</v>
      </c>
      <c r="D1481" t="s">
        <v>5301</v>
      </c>
      <c r="E1481" t="s">
        <v>5420</v>
      </c>
      <c r="F1481" t="s">
        <v>5421</v>
      </c>
      <c r="G1481" t="s">
        <v>5429</v>
      </c>
      <c r="H1481">
        <v>1480</v>
      </c>
      <c r="I1481" t="str">
        <f>IF(ISBLANK(Table1[[#This Row],[oid]]),"FALSE","TRUE")</f>
        <v>TRUE</v>
      </c>
      <c r="J1481" t="str" cm="1">
        <f t="array" ref="J1481">_xlfn.SWITCH(LEFT(Table1[[#This Row],[section]],1), "D", "Demographic", "S", "Social", "E", "Economic", "H", "Housing", "")</f>
        <v>Economic</v>
      </c>
      <c r="K1481" t="s">
        <v>5304</v>
      </c>
      <c r="L1481" t="s">
        <v>5305</v>
      </c>
      <c r="M1481" t="str">
        <f>IF(Table1[[#This Row],[used]], _xlfn.CONCAT("🆔 ", Table1[[#This Row],[variable]], ": ",Table1[[#This Row],[alias]]), "")</f>
        <v>🆔 B19025_001E: Aggregate household income in the past 12 months in 2012 inflation-adjusted dollars</v>
      </c>
      <c r="O1481" t="s">
        <v>5430</v>
      </c>
      <c r="P1481" t="s">
        <v>5431</v>
      </c>
      <c r="Q1481" t="s">
        <v>41</v>
      </c>
      <c r="R1481" t="s">
        <v>5425</v>
      </c>
      <c r="S1481" t="b">
        <v>0</v>
      </c>
      <c r="T1481" t="b">
        <v>0</v>
      </c>
      <c r="U1481" t="b">
        <v>1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</row>
    <row r="1482" spans="1:33" x14ac:dyDescent="0.25">
      <c r="A1482" t="s">
        <v>21</v>
      </c>
      <c r="B1482">
        <v>1</v>
      </c>
      <c r="C1482" t="b">
        <v>0</v>
      </c>
      <c r="D1482" t="s">
        <v>5301</v>
      </c>
      <c r="E1482" t="s">
        <v>5420</v>
      </c>
      <c r="F1482" t="s">
        <v>5421</v>
      </c>
      <c r="G1482" t="s">
        <v>5432</v>
      </c>
      <c r="H1482">
        <v>1481</v>
      </c>
      <c r="I1482" t="str">
        <f>IF(ISBLANK(Table1[[#This Row],[oid]]),"FALSE","TRUE")</f>
        <v>TRUE</v>
      </c>
      <c r="J1482" t="str" cm="1">
        <f t="array" ref="J1482">_xlfn.SWITCH(LEFT(Table1[[#This Row],[section]],1), "D", "Demographic", "S", "Social", "E", "Economic", "H", "Housing", "")</f>
        <v>Economic</v>
      </c>
      <c r="K1482" t="s">
        <v>5304</v>
      </c>
      <c r="L1482" t="s">
        <v>5305</v>
      </c>
      <c r="M1482" t="str">
        <f>IF(Table1[[#This Row],[used]], _xlfn.CONCAT("🆔 ", Table1[[#This Row],[variable]], ": ",Table1[[#This Row],[alias]]), "")</f>
        <v>🆔 B19025_001E: Aggregate household income in the past 12 months in 2013 inflation-adjusted dollars</v>
      </c>
      <c r="O1482" t="s">
        <v>5433</v>
      </c>
      <c r="P1482" t="s">
        <v>5434</v>
      </c>
      <c r="Q1482" t="s">
        <v>41</v>
      </c>
      <c r="R1482" t="s">
        <v>5425</v>
      </c>
      <c r="S1482" t="b">
        <v>0</v>
      </c>
      <c r="T1482" t="b">
        <v>0</v>
      </c>
      <c r="U1482" t="b">
        <v>0</v>
      </c>
      <c r="V1482" t="b">
        <v>1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</row>
    <row r="1483" spans="1:33" x14ac:dyDescent="0.25">
      <c r="A1483" t="s">
        <v>22</v>
      </c>
      <c r="B1483">
        <v>1</v>
      </c>
      <c r="C1483" t="b">
        <v>0</v>
      </c>
      <c r="D1483" t="s">
        <v>5301</v>
      </c>
      <c r="E1483" t="s">
        <v>5420</v>
      </c>
      <c r="F1483" t="s">
        <v>5421</v>
      </c>
      <c r="G1483" t="s">
        <v>5435</v>
      </c>
      <c r="H1483">
        <v>1482</v>
      </c>
      <c r="I1483" t="str">
        <f>IF(ISBLANK(Table1[[#This Row],[oid]]),"FALSE","TRUE")</f>
        <v>TRUE</v>
      </c>
      <c r="J1483" t="str" cm="1">
        <f t="array" ref="J1483">_xlfn.SWITCH(LEFT(Table1[[#This Row],[section]],1), "D", "Demographic", "S", "Social", "E", "Economic", "H", "Housing", "")</f>
        <v>Economic</v>
      </c>
      <c r="K1483" t="s">
        <v>5304</v>
      </c>
      <c r="L1483" t="s">
        <v>5305</v>
      </c>
      <c r="M1483" t="str">
        <f>IF(Table1[[#This Row],[used]], _xlfn.CONCAT("🆔 ", Table1[[#This Row],[variable]], ": ",Table1[[#This Row],[alias]]), "")</f>
        <v>🆔 B19025_001E: Aggregate household income in the past 12 months in 2014 Inflation-adjusted dollars</v>
      </c>
      <c r="O1483" t="s">
        <v>5436</v>
      </c>
      <c r="P1483" t="s">
        <v>5437</v>
      </c>
      <c r="Q1483" t="s">
        <v>41</v>
      </c>
      <c r="R1483" t="s">
        <v>5425</v>
      </c>
      <c r="S1483" t="b">
        <v>0</v>
      </c>
      <c r="T1483" t="b">
        <v>0</v>
      </c>
      <c r="U1483" t="b">
        <v>0</v>
      </c>
      <c r="V1483" t="b">
        <v>0</v>
      </c>
      <c r="W1483" t="b">
        <v>1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</row>
    <row r="1484" spans="1:33" x14ac:dyDescent="0.25">
      <c r="A1484" t="s">
        <v>23</v>
      </c>
      <c r="B1484">
        <v>1</v>
      </c>
      <c r="C1484" t="b">
        <v>0</v>
      </c>
      <c r="D1484" t="s">
        <v>5301</v>
      </c>
      <c r="E1484" t="s">
        <v>5420</v>
      </c>
      <c r="F1484" t="s">
        <v>5421</v>
      </c>
      <c r="G1484" t="s">
        <v>5438</v>
      </c>
      <c r="H1484">
        <v>1483</v>
      </c>
      <c r="I1484" t="str">
        <f>IF(ISBLANK(Table1[[#This Row],[oid]]),"FALSE","TRUE")</f>
        <v>TRUE</v>
      </c>
      <c r="J1484" t="str" cm="1">
        <f t="array" ref="J1484">_xlfn.SWITCH(LEFT(Table1[[#This Row],[section]],1), "D", "Demographic", "S", "Social", "E", "Economic", "H", "Housing", "")</f>
        <v>Economic</v>
      </c>
      <c r="K1484" t="s">
        <v>5304</v>
      </c>
      <c r="L1484" t="s">
        <v>5305</v>
      </c>
      <c r="M1484" t="str">
        <f>IF(Table1[[#This Row],[used]], _xlfn.CONCAT("🆔 ", Table1[[#This Row],[variable]], ": ",Table1[[#This Row],[alias]]), "")</f>
        <v>🆔 B19025_001E: Aggregate household income in the past 12 months in 2015 Inflation-adjusted dollars</v>
      </c>
      <c r="O1484" t="s">
        <v>5439</v>
      </c>
      <c r="P1484" t="s">
        <v>5440</v>
      </c>
      <c r="Q1484" t="s">
        <v>41</v>
      </c>
      <c r="R1484" t="s">
        <v>5425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1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</row>
    <row r="1485" spans="1:33" x14ac:dyDescent="0.25">
      <c r="A1485" t="s">
        <v>24</v>
      </c>
      <c r="B1485">
        <v>1</v>
      </c>
      <c r="C1485" t="b">
        <v>0</v>
      </c>
      <c r="D1485" t="s">
        <v>5301</v>
      </c>
      <c r="E1485" t="s">
        <v>5420</v>
      </c>
      <c r="F1485" t="s">
        <v>5421</v>
      </c>
      <c r="G1485" t="s">
        <v>5441</v>
      </c>
      <c r="H1485">
        <v>1484</v>
      </c>
      <c r="I1485" t="str">
        <f>IF(ISBLANK(Table1[[#This Row],[oid]]),"FALSE","TRUE")</f>
        <v>TRUE</v>
      </c>
      <c r="J1485" t="str" cm="1">
        <f t="array" ref="J1485">_xlfn.SWITCH(LEFT(Table1[[#This Row],[section]],1), "D", "Demographic", "S", "Social", "E", "Economic", "H", "Housing", "")</f>
        <v>Economic</v>
      </c>
      <c r="K1485" t="s">
        <v>5304</v>
      </c>
      <c r="L1485" t="s">
        <v>5305</v>
      </c>
      <c r="M1485" t="str">
        <f>IF(Table1[[#This Row],[used]], _xlfn.CONCAT("🆔 ", Table1[[#This Row],[variable]], ": ",Table1[[#This Row],[alias]]), "")</f>
        <v>🆔 B19025_001E: Aggregate household income in the past 12 months in 2016 inflation-adjusted dollars</v>
      </c>
      <c r="O1485" t="s">
        <v>5442</v>
      </c>
      <c r="P1485" t="s">
        <v>5443</v>
      </c>
      <c r="Q1485" t="s">
        <v>41</v>
      </c>
      <c r="R1485" t="s">
        <v>5425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1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</row>
    <row r="1486" spans="1:33" x14ac:dyDescent="0.25">
      <c r="A1486" t="s">
        <v>25</v>
      </c>
      <c r="B1486">
        <v>1</v>
      </c>
      <c r="C1486" t="b">
        <v>0</v>
      </c>
      <c r="D1486" t="s">
        <v>5301</v>
      </c>
      <c r="E1486" t="s">
        <v>5420</v>
      </c>
      <c r="F1486" t="s">
        <v>5421</v>
      </c>
      <c r="G1486" t="s">
        <v>5444</v>
      </c>
      <c r="H1486">
        <v>1485</v>
      </c>
      <c r="I1486" t="str">
        <f>IF(ISBLANK(Table1[[#This Row],[oid]]),"FALSE","TRUE")</f>
        <v>TRUE</v>
      </c>
      <c r="J1486" t="str" cm="1">
        <f t="array" ref="J1486">_xlfn.SWITCH(LEFT(Table1[[#This Row],[section]],1), "D", "Demographic", "S", "Social", "E", "Economic", "H", "Housing", "")</f>
        <v>Economic</v>
      </c>
      <c r="K1486" t="s">
        <v>5304</v>
      </c>
      <c r="L1486" t="s">
        <v>5305</v>
      </c>
      <c r="M1486" t="str">
        <f>IF(Table1[[#This Row],[used]], _xlfn.CONCAT("🆔 ", Table1[[#This Row],[variable]], ": ",Table1[[#This Row],[alias]]), "")</f>
        <v>🆔 B19025_001E: Aggregate household income in the past 12 months in 2017 inflation-adjusted dollars</v>
      </c>
      <c r="O1486" t="s">
        <v>5445</v>
      </c>
      <c r="P1486" t="s">
        <v>5446</v>
      </c>
      <c r="Q1486" t="s">
        <v>41</v>
      </c>
      <c r="R1486" t="s">
        <v>5425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1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</row>
    <row r="1487" spans="1:33" x14ac:dyDescent="0.25">
      <c r="A1487" t="s">
        <v>26</v>
      </c>
      <c r="B1487">
        <v>1</v>
      </c>
      <c r="C1487" t="b">
        <v>0</v>
      </c>
      <c r="D1487" t="s">
        <v>5301</v>
      </c>
      <c r="E1487" t="s">
        <v>5420</v>
      </c>
      <c r="F1487" t="s">
        <v>5421</v>
      </c>
      <c r="G1487" t="s">
        <v>5447</v>
      </c>
      <c r="H1487">
        <v>1486</v>
      </c>
      <c r="I1487" t="str">
        <f>IF(ISBLANK(Table1[[#This Row],[oid]]),"FALSE","TRUE")</f>
        <v>TRUE</v>
      </c>
      <c r="J1487" t="str" cm="1">
        <f t="array" ref="J1487">_xlfn.SWITCH(LEFT(Table1[[#This Row],[section]],1), "D", "Demographic", "S", "Social", "E", "Economic", "H", "Housing", "")</f>
        <v>Economic</v>
      </c>
      <c r="K1487" t="s">
        <v>5304</v>
      </c>
      <c r="L1487" t="s">
        <v>5305</v>
      </c>
      <c r="M1487" t="str">
        <f>IF(Table1[[#This Row],[used]], _xlfn.CONCAT("🆔 ", Table1[[#This Row],[variable]], ": ",Table1[[#This Row],[alias]]), "")</f>
        <v>🆔 B19025_001E: Aggregate household income in the past 12 months in 2018 inflation-adjusted dollars</v>
      </c>
      <c r="O1487" t="s">
        <v>5448</v>
      </c>
      <c r="P1487" t="s">
        <v>5449</v>
      </c>
      <c r="Q1487" t="s">
        <v>41</v>
      </c>
      <c r="R1487" t="s">
        <v>5425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1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</row>
    <row r="1488" spans="1:33" x14ac:dyDescent="0.25">
      <c r="A1488" t="s">
        <v>27</v>
      </c>
      <c r="B1488">
        <v>1</v>
      </c>
      <c r="C1488" t="b">
        <v>0</v>
      </c>
      <c r="D1488" t="s">
        <v>5301</v>
      </c>
      <c r="E1488" t="s">
        <v>5420</v>
      </c>
      <c r="F1488" t="s">
        <v>5421</v>
      </c>
      <c r="G1488" t="s">
        <v>5450</v>
      </c>
      <c r="H1488">
        <v>1487</v>
      </c>
      <c r="I1488" t="str">
        <f>IF(ISBLANK(Table1[[#This Row],[oid]]),"FALSE","TRUE")</f>
        <v>TRUE</v>
      </c>
      <c r="J1488" t="str" cm="1">
        <f t="array" ref="J1488">_xlfn.SWITCH(LEFT(Table1[[#This Row],[section]],1), "D", "Demographic", "S", "Social", "E", "Economic", "H", "Housing", "")</f>
        <v>Economic</v>
      </c>
      <c r="K1488" t="s">
        <v>5304</v>
      </c>
      <c r="L1488" t="s">
        <v>5305</v>
      </c>
      <c r="M1488" t="str">
        <f>IF(Table1[[#This Row],[used]], _xlfn.CONCAT("🆔 ", Table1[[#This Row],[variable]], ": ",Table1[[#This Row],[alias]]), "")</f>
        <v>🆔 B19025_001E: Aggregate household income in the past 12 months in 2019 inflation-adjusted dollars</v>
      </c>
      <c r="O1488" t="s">
        <v>5451</v>
      </c>
      <c r="P1488" t="s">
        <v>5452</v>
      </c>
      <c r="Q1488" t="s">
        <v>41</v>
      </c>
      <c r="R1488" t="s">
        <v>5425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1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</row>
    <row r="1489" spans="1:33" x14ac:dyDescent="0.25">
      <c r="A1489" t="s">
        <v>28</v>
      </c>
      <c r="B1489">
        <v>1</v>
      </c>
      <c r="C1489" t="b">
        <v>0</v>
      </c>
      <c r="D1489" t="s">
        <v>5301</v>
      </c>
      <c r="E1489" t="s">
        <v>5420</v>
      </c>
      <c r="F1489" t="s">
        <v>5421</v>
      </c>
      <c r="G1489" t="s">
        <v>5453</v>
      </c>
      <c r="H1489">
        <v>1488</v>
      </c>
      <c r="I1489" t="str">
        <f>IF(ISBLANK(Table1[[#This Row],[oid]]),"FALSE","TRUE")</f>
        <v>TRUE</v>
      </c>
      <c r="J1489" t="str" cm="1">
        <f t="array" ref="J1489">_xlfn.SWITCH(LEFT(Table1[[#This Row],[section]],1), "D", "Demographic", "S", "Social", "E", "Economic", "H", "Housing", "")</f>
        <v>Economic</v>
      </c>
      <c r="K1489" t="s">
        <v>5304</v>
      </c>
      <c r="L1489" t="s">
        <v>5305</v>
      </c>
      <c r="M1489" t="str">
        <f>IF(Table1[[#This Row],[used]], _xlfn.CONCAT("🆔 ", Table1[[#This Row],[variable]], ": ",Table1[[#This Row],[alias]]), "")</f>
        <v>🆔 B19025_001E: Aggregate household income in the past 12 months in 2020 inflation-adjusted dollars</v>
      </c>
      <c r="O1489" t="s">
        <v>5454</v>
      </c>
      <c r="P1489" t="s">
        <v>5455</v>
      </c>
      <c r="Q1489" t="s">
        <v>41</v>
      </c>
      <c r="R1489" t="s">
        <v>5425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1</v>
      </c>
      <c r="AD1489" t="b">
        <v>0</v>
      </c>
      <c r="AE1489" t="b">
        <v>0</v>
      </c>
      <c r="AF1489" t="b">
        <v>0</v>
      </c>
      <c r="AG1489" t="b">
        <v>0</v>
      </c>
    </row>
    <row r="1490" spans="1:33" x14ac:dyDescent="0.25">
      <c r="A1490" t="s">
        <v>29</v>
      </c>
      <c r="B1490">
        <v>1</v>
      </c>
      <c r="C1490" t="b">
        <v>0</v>
      </c>
      <c r="D1490" t="s">
        <v>5301</v>
      </c>
      <c r="E1490" t="s">
        <v>5420</v>
      </c>
      <c r="F1490" t="s">
        <v>5421</v>
      </c>
      <c r="G1490" t="s">
        <v>5456</v>
      </c>
      <c r="H1490">
        <v>1489</v>
      </c>
      <c r="I1490" t="str">
        <f>IF(ISBLANK(Table1[[#This Row],[oid]]),"FALSE","TRUE")</f>
        <v>TRUE</v>
      </c>
      <c r="J1490" t="str" cm="1">
        <f t="array" ref="J1490">_xlfn.SWITCH(LEFT(Table1[[#This Row],[section]],1), "D", "Demographic", "S", "Social", "E", "Economic", "H", "Housing", "")</f>
        <v>Economic</v>
      </c>
      <c r="K1490" t="s">
        <v>5304</v>
      </c>
      <c r="L1490" t="s">
        <v>5305</v>
      </c>
      <c r="M1490" t="str">
        <f>IF(Table1[[#This Row],[used]], _xlfn.CONCAT("🆔 ", Table1[[#This Row],[variable]], ": ",Table1[[#This Row],[alias]]), "")</f>
        <v>🆔 B19025_001E: Aggregate household income in the past 12 months in 2021 inflation-adjusted dollars</v>
      </c>
      <c r="O1490" t="s">
        <v>5457</v>
      </c>
      <c r="P1490" t="s">
        <v>5458</v>
      </c>
      <c r="Q1490" t="s">
        <v>41</v>
      </c>
      <c r="R1490" t="s">
        <v>5425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1</v>
      </c>
      <c r="AE1490" t="b">
        <v>0</v>
      </c>
      <c r="AF1490" t="b">
        <v>0</v>
      </c>
      <c r="AG1490" t="b">
        <v>0</v>
      </c>
    </row>
    <row r="1491" spans="1:33" x14ac:dyDescent="0.25">
      <c r="A1491" t="s">
        <v>30</v>
      </c>
      <c r="B1491">
        <v>1</v>
      </c>
      <c r="C1491" t="b">
        <v>0</v>
      </c>
      <c r="D1491" t="s">
        <v>5301</v>
      </c>
      <c r="E1491" t="s">
        <v>5420</v>
      </c>
      <c r="F1491" t="s">
        <v>5421</v>
      </c>
      <c r="G1491" t="s">
        <v>5459</v>
      </c>
      <c r="H1491">
        <v>1490</v>
      </c>
      <c r="I1491" t="str">
        <f>IF(ISBLANK(Table1[[#This Row],[oid]]),"FALSE","TRUE")</f>
        <v>TRUE</v>
      </c>
      <c r="J1491" t="str" cm="1">
        <f t="array" ref="J1491">_xlfn.SWITCH(LEFT(Table1[[#This Row],[section]],1), "D", "Demographic", "S", "Social", "E", "Economic", "H", "Housing", "")</f>
        <v>Economic</v>
      </c>
      <c r="K1491" t="s">
        <v>5304</v>
      </c>
      <c r="L1491" t="s">
        <v>5305</v>
      </c>
      <c r="M1491" t="str">
        <f>IF(Table1[[#This Row],[used]], _xlfn.CONCAT("🆔 ", Table1[[#This Row],[variable]], ": ",Table1[[#This Row],[alias]]), "")</f>
        <v>🆔 B19025_001E: Aggregate household income in the past 12 months in 2022 inflation-adjusted dollars</v>
      </c>
      <c r="O1491" t="s">
        <v>5460</v>
      </c>
      <c r="P1491" t="s">
        <v>5461</v>
      </c>
      <c r="Q1491" t="s">
        <v>41</v>
      </c>
      <c r="R1491" t="s">
        <v>5425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1</v>
      </c>
      <c r="AF1491" t="b">
        <v>0</v>
      </c>
      <c r="AG1491" t="b">
        <v>0</v>
      </c>
    </row>
    <row r="1492" spans="1:33" x14ac:dyDescent="0.25">
      <c r="A1492" t="s">
        <v>31</v>
      </c>
      <c r="B1492">
        <v>1</v>
      </c>
      <c r="C1492" t="b">
        <v>0</v>
      </c>
      <c r="D1492" t="s">
        <v>5301</v>
      </c>
      <c r="E1492" t="s">
        <v>5420</v>
      </c>
      <c r="F1492" t="s">
        <v>5421</v>
      </c>
      <c r="G1492" t="s">
        <v>5462</v>
      </c>
      <c r="H1492">
        <v>1491</v>
      </c>
      <c r="I1492" t="str">
        <f>IF(ISBLANK(Table1[[#This Row],[oid]]),"FALSE","TRUE")</f>
        <v>TRUE</v>
      </c>
      <c r="J1492" t="str" cm="1">
        <f t="array" ref="J1492">_xlfn.SWITCH(LEFT(Table1[[#This Row],[section]],1), "D", "Demographic", "S", "Social", "E", "Economic", "H", "Housing", "")</f>
        <v>Economic</v>
      </c>
      <c r="K1492" t="s">
        <v>5304</v>
      </c>
      <c r="L1492" t="s">
        <v>5305</v>
      </c>
      <c r="M1492" t="str">
        <f>IF(Table1[[#This Row],[used]], _xlfn.CONCAT("🆔 ", Table1[[#This Row],[variable]], ": ",Table1[[#This Row],[alias]]), "")</f>
        <v>🆔 B19025_001E: Aggregate household income in the past 12 months in 2023 inflation-adjusted dollars</v>
      </c>
      <c r="O1492" t="s">
        <v>5463</v>
      </c>
      <c r="P1492" t="s">
        <v>5464</v>
      </c>
      <c r="Q1492" t="s">
        <v>41</v>
      </c>
      <c r="R1492" t="s">
        <v>5425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1</v>
      </c>
      <c r="AG1492" t="b">
        <v>0</v>
      </c>
    </row>
    <row r="1493" spans="1:33" x14ac:dyDescent="0.25">
      <c r="A1493" t="s">
        <v>32</v>
      </c>
      <c r="B1493">
        <v>1</v>
      </c>
      <c r="C1493" t="b">
        <v>0</v>
      </c>
      <c r="D1493" t="s">
        <v>5301</v>
      </c>
      <c r="E1493" t="s">
        <v>5420</v>
      </c>
      <c r="F1493" t="s">
        <v>5421</v>
      </c>
      <c r="G1493" t="s">
        <v>5465</v>
      </c>
      <c r="H1493">
        <v>1492</v>
      </c>
      <c r="I1493" t="str">
        <f>IF(ISBLANK(Table1[[#This Row],[oid]]),"FALSE","TRUE")</f>
        <v>TRUE</v>
      </c>
      <c r="J1493" t="str" cm="1">
        <f t="array" ref="J1493">_xlfn.SWITCH(LEFT(Table1[[#This Row],[section]],1), "D", "Demographic", "S", "Social", "E", "Economic", "H", "Housing", "")</f>
        <v>Economic</v>
      </c>
      <c r="K1493" t="s">
        <v>5304</v>
      </c>
      <c r="L1493" t="s">
        <v>5305</v>
      </c>
      <c r="M1493" t="str">
        <f>IF(Table1[[#This Row],[used]], _xlfn.CONCAT("🆔 ", Table1[[#This Row],[variable]], ": ",Table1[[#This Row],[alias]]), "")</f>
        <v>🆔 B19025_001E: Aggregate household income in the past 12 months in 2024 inflation-adjusted dollars</v>
      </c>
      <c r="O1493" t="s">
        <v>5466</v>
      </c>
      <c r="P1493" t="s">
        <v>5467</v>
      </c>
      <c r="Q1493" t="s">
        <v>41</v>
      </c>
      <c r="R1493" t="s">
        <v>5425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</row>
    <row r="1494" spans="1:33" x14ac:dyDescent="0.25">
      <c r="A1494" t="s">
        <v>33</v>
      </c>
      <c r="B1494">
        <v>15</v>
      </c>
      <c r="C1494" t="b">
        <v>1</v>
      </c>
      <c r="D1494" t="s">
        <v>5301</v>
      </c>
      <c r="E1494" t="s">
        <v>5468</v>
      </c>
      <c r="F1494" t="s">
        <v>5469</v>
      </c>
      <c r="G1494" t="s">
        <v>5470</v>
      </c>
      <c r="H1494">
        <v>1493</v>
      </c>
      <c r="I1494" t="str">
        <f>IF(ISBLANK(Table1[[#This Row],[oid]]),"FALSE","TRUE")</f>
        <v>TRUE</v>
      </c>
      <c r="J1494" t="str" cm="1">
        <f t="array" ref="J1494">_xlfn.SWITCH(LEFT(Table1[[#This Row],[section]],1), "D", "Demographic", "S", "Social", "E", "Economic", "H", "Housing", "")</f>
        <v>Economic</v>
      </c>
      <c r="K1494" t="s">
        <v>5304</v>
      </c>
      <c r="L1494" t="s">
        <v>5305</v>
      </c>
      <c r="M1494" t="str">
        <f>IF(Table1[[#This Row],[used]], _xlfn.CONCAT("🆔 ", Table1[[#This Row],[variable]], ": ",Table1[[#This Row],[alias]]), "")</f>
        <v>🆔 B19081_001E: Quintile Means: Lowest Quintile</v>
      </c>
      <c r="O1494" t="s">
        <v>5471</v>
      </c>
      <c r="P1494" t="s">
        <v>5472</v>
      </c>
      <c r="Q1494" t="s">
        <v>41</v>
      </c>
      <c r="R1494" t="s">
        <v>5473</v>
      </c>
      <c r="S1494" t="b">
        <v>1</v>
      </c>
      <c r="T1494" t="b">
        <v>1</v>
      </c>
      <c r="U1494" t="b">
        <v>1</v>
      </c>
      <c r="V1494" t="b">
        <v>1</v>
      </c>
      <c r="W1494" t="b">
        <v>1</v>
      </c>
      <c r="X1494" t="b">
        <v>1</v>
      </c>
      <c r="Y1494" t="b">
        <v>1</v>
      </c>
      <c r="Z1494" t="b">
        <v>1</v>
      </c>
      <c r="AA1494" t="b">
        <v>1</v>
      </c>
      <c r="AB1494" t="b">
        <v>1</v>
      </c>
      <c r="AC1494" t="b">
        <v>1</v>
      </c>
      <c r="AD1494" t="b">
        <v>1</v>
      </c>
      <c r="AE1494" t="b">
        <v>1</v>
      </c>
      <c r="AF1494" t="b">
        <v>1</v>
      </c>
      <c r="AG1494" t="b">
        <v>1</v>
      </c>
    </row>
    <row r="1495" spans="1:33" x14ac:dyDescent="0.25">
      <c r="A1495" t="s">
        <v>33</v>
      </c>
      <c r="B1495">
        <v>15</v>
      </c>
      <c r="C1495" t="b">
        <v>1</v>
      </c>
      <c r="D1495" t="s">
        <v>5301</v>
      </c>
      <c r="E1495" t="s">
        <v>5468</v>
      </c>
      <c r="F1495" t="s">
        <v>5474</v>
      </c>
      <c r="G1495" t="s">
        <v>5475</v>
      </c>
      <c r="H1495">
        <v>1494</v>
      </c>
      <c r="I1495" t="str">
        <f>IF(ISBLANK(Table1[[#This Row],[oid]]),"FALSE","TRUE")</f>
        <v>TRUE</v>
      </c>
      <c r="J1495" t="str" cm="1">
        <f t="array" ref="J1495">_xlfn.SWITCH(LEFT(Table1[[#This Row],[section]],1), "D", "Demographic", "S", "Social", "E", "Economic", "H", "Housing", "")</f>
        <v>Economic</v>
      </c>
      <c r="K1495" t="s">
        <v>5304</v>
      </c>
      <c r="L1495" t="s">
        <v>5305</v>
      </c>
      <c r="M1495" t="str">
        <f>IF(Table1[[#This Row],[used]], _xlfn.CONCAT("🆔 ", Table1[[#This Row],[variable]], ": ",Table1[[#This Row],[alias]]), "")</f>
        <v>🆔 B19081_002E: Quintile Means: Second Quintile</v>
      </c>
      <c r="O1495" t="s">
        <v>5476</v>
      </c>
      <c r="P1495" t="s">
        <v>5472</v>
      </c>
      <c r="Q1495" t="s">
        <v>41</v>
      </c>
      <c r="R1495" t="s">
        <v>5477</v>
      </c>
      <c r="S1495" t="b">
        <v>1</v>
      </c>
      <c r="T1495" t="b">
        <v>1</v>
      </c>
      <c r="U1495" t="b">
        <v>1</v>
      </c>
      <c r="V1495" t="b">
        <v>1</v>
      </c>
      <c r="W1495" t="b">
        <v>1</v>
      </c>
      <c r="X1495" t="b">
        <v>1</v>
      </c>
      <c r="Y1495" t="b">
        <v>1</v>
      </c>
      <c r="Z1495" t="b">
        <v>1</v>
      </c>
      <c r="AA1495" t="b">
        <v>1</v>
      </c>
      <c r="AB1495" t="b">
        <v>1</v>
      </c>
      <c r="AC1495" t="b">
        <v>1</v>
      </c>
      <c r="AD1495" t="b">
        <v>1</v>
      </c>
      <c r="AE1495" t="b">
        <v>1</v>
      </c>
      <c r="AF1495" t="b">
        <v>1</v>
      </c>
      <c r="AG1495" t="b">
        <v>1</v>
      </c>
    </row>
    <row r="1496" spans="1:33" x14ac:dyDescent="0.25">
      <c r="A1496" t="s">
        <v>33</v>
      </c>
      <c r="B1496">
        <v>15</v>
      </c>
      <c r="C1496" t="b">
        <v>1</v>
      </c>
      <c r="D1496" t="s">
        <v>5301</v>
      </c>
      <c r="E1496" t="s">
        <v>5468</v>
      </c>
      <c r="F1496" t="s">
        <v>5478</v>
      </c>
      <c r="G1496" t="s">
        <v>5479</v>
      </c>
      <c r="H1496">
        <v>1495</v>
      </c>
      <c r="I1496" t="str">
        <f>IF(ISBLANK(Table1[[#This Row],[oid]]),"FALSE","TRUE")</f>
        <v>TRUE</v>
      </c>
      <c r="J1496" t="str" cm="1">
        <f t="array" ref="J1496">_xlfn.SWITCH(LEFT(Table1[[#This Row],[section]],1), "D", "Demographic", "S", "Social", "E", "Economic", "H", "Housing", "")</f>
        <v>Economic</v>
      </c>
      <c r="K1496" t="s">
        <v>5304</v>
      </c>
      <c r="L1496" t="s">
        <v>5305</v>
      </c>
      <c r="M1496" t="str">
        <f>IF(Table1[[#This Row],[used]], _xlfn.CONCAT("🆔 ", Table1[[#This Row],[variable]], ": ",Table1[[#This Row],[alias]]), "")</f>
        <v>🆔 B19081_003E: Quintile Means: Third Quintile</v>
      </c>
      <c r="O1496" t="s">
        <v>5480</v>
      </c>
      <c r="P1496" t="s">
        <v>5472</v>
      </c>
      <c r="Q1496" t="s">
        <v>41</v>
      </c>
      <c r="R1496" t="s">
        <v>5481</v>
      </c>
      <c r="S1496" t="b">
        <v>1</v>
      </c>
      <c r="T1496" t="b">
        <v>1</v>
      </c>
      <c r="U1496" t="b">
        <v>1</v>
      </c>
      <c r="V1496" t="b">
        <v>1</v>
      </c>
      <c r="W1496" t="b">
        <v>1</v>
      </c>
      <c r="X1496" t="b">
        <v>1</v>
      </c>
      <c r="Y1496" t="b">
        <v>1</v>
      </c>
      <c r="Z1496" t="b">
        <v>1</v>
      </c>
      <c r="AA1496" t="b">
        <v>1</v>
      </c>
      <c r="AB1496" t="b">
        <v>1</v>
      </c>
      <c r="AC1496" t="b">
        <v>1</v>
      </c>
      <c r="AD1496" t="b">
        <v>1</v>
      </c>
      <c r="AE1496" t="b">
        <v>1</v>
      </c>
      <c r="AF1496" t="b">
        <v>1</v>
      </c>
      <c r="AG1496" t="b">
        <v>1</v>
      </c>
    </row>
    <row r="1497" spans="1:33" x14ac:dyDescent="0.25">
      <c r="A1497" t="s">
        <v>33</v>
      </c>
      <c r="B1497">
        <v>15</v>
      </c>
      <c r="C1497" t="b">
        <v>1</v>
      </c>
      <c r="D1497" t="s">
        <v>5301</v>
      </c>
      <c r="E1497" t="s">
        <v>5468</v>
      </c>
      <c r="F1497" t="s">
        <v>5482</v>
      </c>
      <c r="G1497" t="s">
        <v>5483</v>
      </c>
      <c r="H1497">
        <v>1496</v>
      </c>
      <c r="I1497" t="str">
        <f>IF(ISBLANK(Table1[[#This Row],[oid]]),"FALSE","TRUE")</f>
        <v>TRUE</v>
      </c>
      <c r="J1497" t="str" cm="1">
        <f t="array" ref="J1497">_xlfn.SWITCH(LEFT(Table1[[#This Row],[section]],1), "D", "Demographic", "S", "Social", "E", "Economic", "H", "Housing", "")</f>
        <v>Economic</v>
      </c>
      <c r="K1497" t="s">
        <v>5304</v>
      </c>
      <c r="L1497" t="s">
        <v>5305</v>
      </c>
      <c r="M1497" t="str">
        <f>IF(Table1[[#This Row],[used]], _xlfn.CONCAT("🆔 ", Table1[[#This Row],[variable]], ": ",Table1[[#This Row],[alias]]), "")</f>
        <v>🆔 B19081_004E: Quintile Means: Fourth Quintile</v>
      </c>
      <c r="O1497" t="s">
        <v>5484</v>
      </c>
      <c r="P1497" t="s">
        <v>5472</v>
      </c>
      <c r="Q1497" t="s">
        <v>41</v>
      </c>
      <c r="R1497" t="s">
        <v>5485</v>
      </c>
      <c r="S1497" t="b">
        <v>1</v>
      </c>
      <c r="T1497" t="b">
        <v>1</v>
      </c>
      <c r="U1497" t="b">
        <v>1</v>
      </c>
      <c r="V1497" t="b">
        <v>1</v>
      </c>
      <c r="W1497" t="b">
        <v>1</v>
      </c>
      <c r="X1497" t="b">
        <v>1</v>
      </c>
      <c r="Y1497" t="b">
        <v>1</v>
      </c>
      <c r="Z1497" t="b">
        <v>1</v>
      </c>
      <c r="AA1497" t="b">
        <v>1</v>
      </c>
      <c r="AB1497" t="b">
        <v>1</v>
      </c>
      <c r="AC1497" t="b">
        <v>1</v>
      </c>
      <c r="AD1497" t="b">
        <v>1</v>
      </c>
      <c r="AE1497" t="b">
        <v>1</v>
      </c>
      <c r="AF1497" t="b">
        <v>1</v>
      </c>
      <c r="AG1497" t="b">
        <v>1</v>
      </c>
    </row>
    <row r="1498" spans="1:33" x14ac:dyDescent="0.25">
      <c r="A1498" t="s">
        <v>33</v>
      </c>
      <c r="B1498">
        <v>15</v>
      </c>
      <c r="C1498" t="b">
        <v>1</v>
      </c>
      <c r="D1498" t="s">
        <v>5301</v>
      </c>
      <c r="E1498" t="s">
        <v>5468</v>
      </c>
      <c r="F1498" t="s">
        <v>5486</v>
      </c>
      <c r="G1498" t="s">
        <v>5487</v>
      </c>
      <c r="H1498">
        <v>1497</v>
      </c>
      <c r="I1498" t="str">
        <f>IF(ISBLANK(Table1[[#This Row],[oid]]),"FALSE","TRUE")</f>
        <v>TRUE</v>
      </c>
      <c r="J1498" t="str" cm="1">
        <f t="array" ref="J1498">_xlfn.SWITCH(LEFT(Table1[[#This Row],[section]],1), "D", "Demographic", "S", "Social", "E", "Economic", "H", "Housing", "")</f>
        <v>Economic</v>
      </c>
      <c r="K1498" t="s">
        <v>5304</v>
      </c>
      <c r="L1498" t="s">
        <v>5305</v>
      </c>
      <c r="M1498" t="str">
        <f>IF(Table1[[#This Row],[used]], _xlfn.CONCAT("🆔 ", Table1[[#This Row],[variable]], ": ",Table1[[#This Row],[alias]]), "")</f>
        <v>🆔 B19081_005E: Quintile Means: Highest Quintile</v>
      </c>
      <c r="O1498" t="s">
        <v>5488</v>
      </c>
      <c r="P1498" t="s">
        <v>5472</v>
      </c>
      <c r="Q1498" t="s">
        <v>41</v>
      </c>
      <c r="R1498" t="s">
        <v>5489</v>
      </c>
      <c r="S1498" t="b">
        <v>1</v>
      </c>
      <c r="T1498" t="b">
        <v>1</v>
      </c>
      <c r="U1498" t="b">
        <v>1</v>
      </c>
      <c r="V1498" t="b">
        <v>1</v>
      </c>
      <c r="W1498" t="b">
        <v>1</v>
      </c>
      <c r="X1498" t="b">
        <v>1</v>
      </c>
      <c r="Y1498" t="b">
        <v>1</v>
      </c>
      <c r="Z1498" t="b">
        <v>1</v>
      </c>
      <c r="AA1498" t="b">
        <v>1</v>
      </c>
      <c r="AB1498" t="b">
        <v>1</v>
      </c>
      <c r="AC1498" t="b">
        <v>1</v>
      </c>
      <c r="AD1498" t="b">
        <v>1</v>
      </c>
      <c r="AE1498" t="b">
        <v>1</v>
      </c>
      <c r="AF1498" t="b">
        <v>1</v>
      </c>
      <c r="AG1498" t="b">
        <v>1</v>
      </c>
    </row>
    <row r="1499" spans="1:33" x14ac:dyDescent="0.25">
      <c r="A1499" t="s">
        <v>33</v>
      </c>
      <c r="B1499">
        <v>15</v>
      </c>
      <c r="C1499" t="b">
        <v>1</v>
      </c>
      <c r="D1499" t="s">
        <v>5301</v>
      </c>
      <c r="E1499" t="s">
        <v>5468</v>
      </c>
      <c r="F1499" t="s">
        <v>5490</v>
      </c>
      <c r="G1499" t="s">
        <v>5491</v>
      </c>
      <c r="H1499">
        <v>1498</v>
      </c>
      <c r="I1499" t="str">
        <f>IF(ISBLANK(Table1[[#This Row],[oid]]),"FALSE","TRUE")</f>
        <v>TRUE</v>
      </c>
      <c r="J1499" t="str" cm="1">
        <f t="array" ref="J1499">_xlfn.SWITCH(LEFT(Table1[[#This Row],[section]],1), "D", "Demographic", "S", "Social", "E", "Economic", "H", "Housing", "")</f>
        <v>Economic</v>
      </c>
      <c r="K1499" t="s">
        <v>5304</v>
      </c>
      <c r="L1499" t="s">
        <v>5305</v>
      </c>
      <c r="M1499" t="str">
        <f>IF(Table1[[#This Row],[used]], _xlfn.CONCAT("🆔 ", Table1[[#This Row],[variable]], ": ",Table1[[#This Row],[alias]]), "")</f>
        <v>🆔 B19081_006E: Top 5 Percent</v>
      </c>
      <c r="O1499" t="s">
        <v>5492</v>
      </c>
      <c r="P1499" t="s">
        <v>5472</v>
      </c>
      <c r="Q1499" t="s">
        <v>41</v>
      </c>
      <c r="R1499" t="s">
        <v>5493</v>
      </c>
      <c r="S1499" t="b">
        <v>1</v>
      </c>
      <c r="T1499" t="b">
        <v>1</v>
      </c>
      <c r="U1499" t="b">
        <v>1</v>
      </c>
      <c r="V1499" t="b">
        <v>1</v>
      </c>
      <c r="W1499" t="b">
        <v>1</v>
      </c>
      <c r="X1499" t="b">
        <v>1</v>
      </c>
      <c r="Y1499" t="b">
        <v>1</v>
      </c>
      <c r="Z1499" t="b">
        <v>1</v>
      </c>
      <c r="AA1499" t="b">
        <v>1</v>
      </c>
      <c r="AB1499" t="b">
        <v>1</v>
      </c>
      <c r="AC1499" t="b">
        <v>1</v>
      </c>
      <c r="AD1499" t="b">
        <v>1</v>
      </c>
      <c r="AE1499" t="b">
        <v>1</v>
      </c>
      <c r="AF1499" t="b">
        <v>1</v>
      </c>
      <c r="AG1499" t="b">
        <v>1</v>
      </c>
    </row>
    <row r="1500" spans="1:33" x14ac:dyDescent="0.25">
      <c r="A1500" t="s">
        <v>33</v>
      </c>
      <c r="B1500">
        <v>15</v>
      </c>
      <c r="C1500" t="b">
        <v>1</v>
      </c>
      <c r="D1500" t="s">
        <v>5301</v>
      </c>
      <c r="E1500" t="s">
        <v>5494</v>
      </c>
      <c r="F1500" t="s">
        <v>5495</v>
      </c>
      <c r="G1500" t="s">
        <v>5496</v>
      </c>
      <c r="H1500">
        <v>1499</v>
      </c>
      <c r="I1500" t="str">
        <f>IF(ISBLANK(Table1[[#This Row],[oid]]),"FALSE","TRUE")</f>
        <v>TRUE</v>
      </c>
      <c r="J1500" t="str" cm="1">
        <f t="array" ref="J1500">_xlfn.SWITCH(LEFT(Table1[[#This Row],[section]],1), "D", "Demographic", "S", "Social", "E", "Economic", "H", "Housing", "")</f>
        <v>Economic</v>
      </c>
      <c r="K1500" t="s">
        <v>5304</v>
      </c>
      <c r="L1500" t="s">
        <v>5305</v>
      </c>
      <c r="M1500" t="str">
        <f>IF(Table1[[#This Row],[used]], _xlfn.CONCAT("🆔 ", Table1[[#This Row],[variable]], ": ",Table1[[#This Row],[alias]]), "")</f>
        <v>🆔 B19083_001E: Gini Index</v>
      </c>
      <c r="O1500" t="s">
        <v>5497</v>
      </c>
      <c r="P1500" t="s">
        <v>5498</v>
      </c>
      <c r="Q1500" t="s">
        <v>249</v>
      </c>
      <c r="R1500" t="s">
        <v>5499</v>
      </c>
      <c r="S1500" t="b">
        <v>1</v>
      </c>
      <c r="T1500" t="b">
        <v>1</v>
      </c>
      <c r="U1500" t="b">
        <v>1</v>
      </c>
      <c r="V1500" t="b">
        <v>1</v>
      </c>
      <c r="W1500" t="b">
        <v>1</v>
      </c>
      <c r="X1500" t="b">
        <v>1</v>
      </c>
      <c r="Y1500" t="b">
        <v>1</v>
      </c>
      <c r="Z1500" t="b">
        <v>1</v>
      </c>
      <c r="AA1500" t="b">
        <v>1</v>
      </c>
      <c r="AB1500" t="b">
        <v>1</v>
      </c>
      <c r="AC1500" t="b">
        <v>1</v>
      </c>
      <c r="AD1500" t="b">
        <v>1</v>
      </c>
      <c r="AE1500" t="b">
        <v>1</v>
      </c>
      <c r="AF1500" t="b">
        <v>1</v>
      </c>
      <c r="AG1500" t="b">
        <v>1</v>
      </c>
    </row>
    <row r="1501" spans="1:33" x14ac:dyDescent="0.25">
      <c r="A1501" t="s">
        <v>33</v>
      </c>
      <c r="B1501">
        <v>15</v>
      </c>
      <c r="C1501" t="b">
        <v>1</v>
      </c>
      <c r="D1501" t="s">
        <v>5301</v>
      </c>
      <c r="E1501" t="s">
        <v>5500</v>
      </c>
      <c r="F1501" t="s">
        <v>5501</v>
      </c>
      <c r="G1501" t="s">
        <v>5502</v>
      </c>
      <c r="H1501">
        <v>1500</v>
      </c>
      <c r="I1501" t="str">
        <f>IF(ISBLANK(Table1[[#This Row],[oid]]),"FALSE","TRUE")</f>
        <v>TRUE</v>
      </c>
      <c r="J1501" t="str" cm="1">
        <f t="array" ref="J1501">_xlfn.SWITCH(LEFT(Table1[[#This Row],[section]],1), "D", "Demographic", "S", "Social", "E", "Economic", "H", "Housing", "")</f>
        <v>Economic</v>
      </c>
      <c r="K1501" t="s">
        <v>5304</v>
      </c>
      <c r="L1501" t="s">
        <v>5305</v>
      </c>
      <c r="M1501" t="str">
        <f>IF(Table1[[#This Row],[used]], _xlfn.CONCAT("🆔 ", Table1[[#This Row],[variable]], ": ",Table1[[#This Row],[alias]]), "")</f>
        <v>🆔 B19051_002E: With earnings</v>
      </c>
      <c r="O1501" t="s">
        <v>5503</v>
      </c>
      <c r="P1501" t="s">
        <v>5504</v>
      </c>
      <c r="Q1501" t="s">
        <v>41</v>
      </c>
      <c r="R1501" t="s">
        <v>5505</v>
      </c>
      <c r="S1501" t="b">
        <v>1</v>
      </c>
      <c r="T1501" t="b">
        <v>1</v>
      </c>
      <c r="U1501" t="b">
        <v>1</v>
      </c>
      <c r="V1501" t="b">
        <v>1</v>
      </c>
      <c r="W1501" t="b">
        <v>1</v>
      </c>
      <c r="X1501" t="b">
        <v>1</v>
      </c>
      <c r="Y1501" t="b">
        <v>1</v>
      </c>
      <c r="Z1501" t="b">
        <v>1</v>
      </c>
      <c r="AA1501" t="b">
        <v>1</v>
      </c>
      <c r="AB1501" t="b">
        <v>1</v>
      </c>
      <c r="AC1501" t="b">
        <v>1</v>
      </c>
      <c r="AD1501" t="b">
        <v>1</v>
      </c>
      <c r="AE1501" t="b">
        <v>1</v>
      </c>
      <c r="AF1501" t="b">
        <v>1</v>
      </c>
      <c r="AG1501" t="b">
        <v>1</v>
      </c>
    </row>
    <row r="1502" spans="1:33" x14ac:dyDescent="0.25">
      <c r="A1502" t="s">
        <v>33</v>
      </c>
      <c r="B1502">
        <v>15</v>
      </c>
      <c r="C1502" t="b">
        <v>1</v>
      </c>
      <c r="D1502" t="s">
        <v>5301</v>
      </c>
      <c r="E1502" t="s">
        <v>5500</v>
      </c>
      <c r="F1502" t="s">
        <v>5506</v>
      </c>
      <c r="G1502" t="s">
        <v>5507</v>
      </c>
      <c r="H1502">
        <v>1501</v>
      </c>
      <c r="I1502" t="str">
        <f>IF(ISBLANK(Table1[[#This Row],[oid]]),"FALSE","TRUE")</f>
        <v>TRUE</v>
      </c>
      <c r="J1502" t="str" cm="1">
        <f t="array" ref="J1502">_xlfn.SWITCH(LEFT(Table1[[#This Row],[section]],1), "D", "Demographic", "S", "Social", "E", "Economic", "H", "Housing", "")</f>
        <v>Economic</v>
      </c>
      <c r="K1502" t="s">
        <v>5304</v>
      </c>
      <c r="L1502" t="s">
        <v>5305</v>
      </c>
      <c r="M1502" t="str">
        <f>IF(Table1[[#This Row],[used]], _xlfn.CONCAT("🆔 ", Table1[[#This Row],[variable]], ": ",Table1[[#This Row],[alias]]), "")</f>
        <v>🆔 B19051_003E: No earnings</v>
      </c>
      <c r="O1502" t="s">
        <v>5508</v>
      </c>
      <c r="P1502" t="s">
        <v>5504</v>
      </c>
      <c r="Q1502" t="s">
        <v>41</v>
      </c>
      <c r="R1502" t="s">
        <v>5509</v>
      </c>
      <c r="S1502" t="b">
        <v>1</v>
      </c>
      <c r="T1502" t="b">
        <v>1</v>
      </c>
      <c r="U1502" t="b">
        <v>1</v>
      </c>
      <c r="V1502" t="b">
        <v>1</v>
      </c>
      <c r="W1502" t="b">
        <v>1</v>
      </c>
      <c r="X1502" t="b">
        <v>1</v>
      </c>
      <c r="Y1502" t="b">
        <v>1</v>
      </c>
      <c r="Z1502" t="b">
        <v>1</v>
      </c>
      <c r="AA1502" t="b">
        <v>1</v>
      </c>
      <c r="AB1502" t="b">
        <v>1</v>
      </c>
      <c r="AC1502" t="b">
        <v>1</v>
      </c>
      <c r="AD1502" t="b">
        <v>1</v>
      </c>
      <c r="AE1502" t="b">
        <v>1</v>
      </c>
      <c r="AF1502" t="b">
        <v>1</v>
      </c>
      <c r="AG1502" t="b">
        <v>1</v>
      </c>
    </row>
    <row r="1503" spans="1:33" x14ac:dyDescent="0.25">
      <c r="A1503" t="s">
        <v>33</v>
      </c>
      <c r="B1503">
        <v>15</v>
      </c>
      <c r="C1503" t="b">
        <v>1</v>
      </c>
      <c r="D1503" t="s">
        <v>5301</v>
      </c>
      <c r="E1503" t="s">
        <v>5510</v>
      </c>
      <c r="F1503" t="s">
        <v>5511</v>
      </c>
      <c r="G1503" t="s">
        <v>5512</v>
      </c>
      <c r="H1503">
        <v>1502</v>
      </c>
      <c r="I1503" t="str">
        <f>IF(ISBLANK(Table1[[#This Row],[oid]]),"FALSE","TRUE")</f>
        <v>TRUE</v>
      </c>
      <c r="J1503" t="str" cm="1">
        <f t="array" ref="J1503">_xlfn.SWITCH(LEFT(Table1[[#This Row],[section]],1), "D", "Demographic", "S", "Social", "E", "Economic", "H", "Housing", "")</f>
        <v>Economic</v>
      </c>
      <c r="K1503" t="s">
        <v>5304</v>
      </c>
      <c r="L1503" t="s">
        <v>5305</v>
      </c>
      <c r="M1503" t="str">
        <f>IF(Table1[[#This Row],[used]], _xlfn.CONCAT("🆔 ", Table1[[#This Row],[variable]], ": ",Table1[[#This Row],[alias]]), "")</f>
        <v>🆔 B19052_002E: With wage or salary income</v>
      </c>
      <c r="O1503" t="s">
        <v>5513</v>
      </c>
      <c r="P1503" t="s">
        <v>5514</v>
      </c>
      <c r="Q1503" t="s">
        <v>41</v>
      </c>
      <c r="R1503" t="s">
        <v>5515</v>
      </c>
      <c r="S1503" t="b">
        <v>1</v>
      </c>
      <c r="T1503" t="b">
        <v>1</v>
      </c>
      <c r="U1503" t="b">
        <v>1</v>
      </c>
      <c r="V1503" t="b">
        <v>1</v>
      </c>
      <c r="W1503" t="b">
        <v>1</v>
      </c>
      <c r="X1503" t="b">
        <v>1</v>
      </c>
      <c r="Y1503" t="b">
        <v>1</v>
      </c>
      <c r="Z1503" t="b">
        <v>1</v>
      </c>
      <c r="AA1503" t="b">
        <v>1</v>
      </c>
      <c r="AB1503" t="b">
        <v>1</v>
      </c>
      <c r="AC1503" t="b">
        <v>1</v>
      </c>
      <c r="AD1503" t="b">
        <v>1</v>
      </c>
      <c r="AE1503" t="b">
        <v>1</v>
      </c>
      <c r="AF1503" t="b">
        <v>1</v>
      </c>
      <c r="AG1503" t="b">
        <v>1</v>
      </c>
    </row>
    <row r="1504" spans="1:33" x14ac:dyDescent="0.25">
      <c r="A1504" t="s">
        <v>33</v>
      </c>
      <c r="B1504">
        <v>15</v>
      </c>
      <c r="C1504" t="b">
        <v>1</v>
      </c>
      <c r="D1504" t="s">
        <v>5301</v>
      </c>
      <c r="E1504" t="s">
        <v>5510</v>
      </c>
      <c r="F1504" t="s">
        <v>5516</v>
      </c>
      <c r="G1504" t="s">
        <v>5517</v>
      </c>
      <c r="H1504">
        <v>1503</v>
      </c>
      <c r="I1504" t="str">
        <f>IF(ISBLANK(Table1[[#This Row],[oid]]),"FALSE","TRUE")</f>
        <v>TRUE</v>
      </c>
      <c r="J1504" t="str" cm="1">
        <f t="array" ref="J1504">_xlfn.SWITCH(LEFT(Table1[[#This Row],[section]],1), "D", "Demographic", "S", "Social", "E", "Economic", "H", "Housing", "")</f>
        <v>Economic</v>
      </c>
      <c r="K1504" t="s">
        <v>5304</v>
      </c>
      <c r="L1504" t="s">
        <v>5305</v>
      </c>
      <c r="M1504" t="str">
        <f>IF(Table1[[#This Row],[used]], _xlfn.CONCAT("🆔 ", Table1[[#This Row],[variable]], ": ",Table1[[#This Row],[alias]]), "")</f>
        <v>🆔 B19052_003E: No wage or salary income</v>
      </c>
      <c r="O1504" t="s">
        <v>5518</v>
      </c>
      <c r="P1504" t="s">
        <v>5514</v>
      </c>
      <c r="Q1504" t="s">
        <v>41</v>
      </c>
      <c r="R1504" t="s">
        <v>5519</v>
      </c>
      <c r="S1504" t="b">
        <v>1</v>
      </c>
      <c r="T1504" t="b">
        <v>1</v>
      </c>
      <c r="U1504" t="b">
        <v>1</v>
      </c>
      <c r="V1504" t="b">
        <v>1</v>
      </c>
      <c r="W1504" t="b">
        <v>1</v>
      </c>
      <c r="X1504" t="b">
        <v>1</v>
      </c>
      <c r="Y1504" t="b">
        <v>1</v>
      </c>
      <c r="Z1504" t="b">
        <v>1</v>
      </c>
      <c r="AA1504" t="b">
        <v>1</v>
      </c>
      <c r="AB1504" t="b">
        <v>1</v>
      </c>
      <c r="AC1504" t="b">
        <v>1</v>
      </c>
      <c r="AD1504" t="b">
        <v>1</v>
      </c>
      <c r="AE1504" t="b">
        <v>1</v>
      </c>
      <c r="AF1504" t="b">
        <v>1</v>
      </c>
      <c r="AG1504" t="b">
        <v>1</v>
      </c>
    </row>
    <row r="1505" spans="1:33" x14ac:dyDescent="0.25">
      <c r="A1505" t="s">
        <v>33</v>
      </c>
      <c r="B1505">
        <v>15</v>
      </c>
      <c r="C1505" t="b">
        <v>1</v>
      </c>
      <c r="D1505" t="s">
        <v>5301</v>
      </c>
      <c r="E1505" t="s">
        <v>5520</v>
      </c>
      <c r="F1505" t="s">
        <v>5521</v>
      </c>
      <c r="G1505" t="s">
        <v>5522</v>
      </c>
      <c r="H1505">
        <v>1504</v>
      </c>
      <c r="I1505" t="str">
        <f>IF(ISBLANK(Table1[[#This Row],[oid]]),"FALSE","TRUE")</f>
        <v>TRUE</v>
      </c>
      <c r="J1505" t="str" cm="1">
        <f t="array" ref="J1505">_xlfn.SWITCH(LEFT(Table1[[#This Row],[section]],1), "D", "Demographic", "S", "Social", "E", "Economic", "H", "Housing", "")</f>
        <v>Economic</v>
      </c>
      <c r="K1505" t="s">
        <v>5304</v>
      </c>
      <c r="L1505" t="s">
        <v>5305</v>
      </c>
      <c r="M1505" t="str">
        <f>IF(Table1[[#This Row],[used]], _xlfn.CONCAT("🆔 ", Table1[[#This Row],[variable]], ": ",Table1[[#This Row],[alias]]), "")</f>
        <v>🆔 B19053_002E: With self-employment income</v>
      </c>
      <c r="O1505" t="s">
        <v>5523</v>
      </c>
      <c r="P1505" t="s">
        <v>5524</v>
      </c>
      <c r="Q1505" t="s">
        <v>41</v>
      </c>
      <c r="R1505" t="s">
        <v>5525</v>
      </c>
      <c r="S1505" t="b">
        <v>1</v>
      </c>
      <c r="T1505" t="b">
        <v>1</v>
      </c>
      <c r="U1505" t="b">
        <v>1</v>
      </c>
      <c r="V1505" t="b">
        <v>1</v>
      </c>
      <c r="W1505" t="b">
        <v>1</v>
      </c>
      <c r="X1505" t="b">
        <v>1</v>
      </c>
      <c r="Y1505" t="b">
        <v>1</v>
      </c>
      <c r="Z1505" t="b">
        <v>1</v>
      </c>
      <c r="AA1505" t="b">
        <v>1</v>
      </c>
      <c r="AB1505" t="b">
        <v>1</v>
      </c>
      <c r="AC1505" t="b">
        <v>1</v>
      </c>
      <c r="AD1505" t="b">
        <v>1</v>
      </c>
      <c r="AE1505" t="b">
        <v>1</v>
      </c>
      <c r="AF1505" t="b">
        <v>1</v>
      </c>
      <c r="AG1505" t="b">
        <v>1</v>
      </c>
    </row>
    <row r="1506" spans="1:33" x14ac:dyDescent="0.25">
      <c r="A1506" t="s">
        <v>33</v>
      </c>
      <c r="B1506">
        <v>15</v>
      </c>
      <c r="C1506" t="b">
        <v>1</v>
      </c>
      <c r="D1506" t="s">
        <v>5301</v>
      </c>
      <c r="E1506" t="s">
        <v>5520</v>
      </c>
      <c r="F1506" t="s">
        <v>5526</v>
      </c>
      <c r="G1506" t="s">
        <v>5527</v>
      </c>
      <c r="H1506">
        <v>1505</v>
      </c>
      <c r="I1506" t="str">
        <f>IF(ISBLANK(Table1[[#This Row],[oid]]),"FALSE","TRUE")</f>
        <v>TRUE</v>
      </c>
      <c r="J1506" t="str" cm="1">
        <f t="array" ref="J1506">_xlfn.SWITCH(LEFT(Table1[[#This Row],[section]],1), "D", "Demographic", "S", "Social", "E", "Economic", "H", "Housing", "")</f>
        <v>Economic</v>
      </c>
      <c r="K1506" t="s">
        <v>5304</v>
      </c>
      <c r="L1506" t="s">
        <v>5305</v>
      </c>
      <c r="M1506" t="str">
        <f>IF(Table1[[#This Row],[used]], _xlfn.CONCAT("🆔 ", Table1[[#This Row],[variable]], ": ",Table1[[#This Row],[alias]]), "")</f>
        <v>🆔 B19053_003E: No self-employment income</v>
      </c>
      <c r="O1506" t="s">
        <v>5528</v>
      </c>
      <c r="P1506" t="s">
        <v>5524</v>
      </c>
      <c r="Q1506" t="s">
        <v>41</v>
      </c>
      <c r="R1506" t="s">
        <v>5529</v>
      </c>
      <c r="S1506" t="b">
        <v>1</v>
      </c>
      <c r="T1506" t="b">
        <v>1</v>
      </c>
      <c r="U1506" t="b">
        <v>1</v>
      </c>
      <c r="V1506" t="b">
        <v>1</v>
      </c>
      <c r="W1506" t="b">
        <v>1</v>
      </c>
      <c r="X1506" t="b">
        <v>1</v>
      </c>
      <c r="Y1506" t="b">
        <v>1</v>
      </c>
      <c r="Z1506" t="b">
        <v>1</v>
      </c>
      <c r="AA1506" t="b">
        <v>1</v>
      </c>
      <c r="AB1506" t="b">
        <v>1</v>
      </c>
      <c r="AC1506" t="b">
        <v>1</v>
      </c>
      <c r="AD1506" t="b">
        <v>1</v>
      </c>
      <c r="AE1506" t="b">
        <v>1</v>
      </c>
      <c r="AF1506" t="b">
        <v>1</v>
      </c>
      <c r="AG1506" t="b">
        <v>1</v>
      </c>
    </row>
    <row r="1507" spans="1:33" x14ac:dyDescent="0.25">
      <c r="A1507" t="s">
        <v>33</v>
      </c>
      <c r="B1507">
        <v>15</v>
      </c>
      <c r="C1507" t="b">
        <v>1</v>
      </c>
      <c r="D1507" t="s">
        <v>5301</v>
      </c>
      <c r="E1507" t="s">
        <v>5530</v>
      </c>
      <c r="F1507" t="s">
        <v>5531</v>
      </c>
      <c r="G1507" t="s">
        <v>5532</v>
      </c>
      <c r="H1507">
        <v>1506</v>
      </c>
      <c r="I1507" t="str">
        <f>IF(ISBLANK(Table1[[#This Row],[oid]]),"FALSE","TRUE")</f>
        <v>TRUE</v>
      </c>
      <c r="J1507" t="str" cm="1">
        <f t="array" ref="J1507">_xlfn.SWITCH(LEFT(Table1[[#This Row],[section]],1), "D", "Demographic", "S", "Social", "E", "Economic", "H", "Housing", "")</f>
        <v>Economic</v>
      </c>
      <c r="K1507" t="s">
        <v>5304</v>
      </c>
      <c r="L1507" t="s">
        <v>5305</v>
      </c>
      <c r="M1507" t="str">
        <f>IF(Table1[[#This Row],[used]], _xlfn.CONCAT("🆔 ", Table1[[#This Row],[variable]], ": ",Table1[[#This Row],[alias]]), "")</f>
        <v>🆔 B19054_002E: With interest dividends or net rental income</v>
      </c>
      <c r="O1507" t="s">
        <v>5533</v>
      </c>
      <c r="P1507" t="s">
        <v>5534</v>
      </c>
      <c r="Q1507" t="s">
        <v>41</v>
      </c>
      <c r="R1507" t="s">
        <v>5535</v>
      </c>
      <c r="S1507" t="b">
        <v>1</v>
      </c>
      <c r="T1507" t="b">
        <v>1</v>
      </c>
      <c r="U1507" t="b">
        <v>1</v>
      </c>
      <c r="V1507" t="b">
        <v>1</v>
      </c>
      <c r="W1507" t="b">
        <v>1</v>
      </c>
      <c r="X1507" t="b">
        <v>1</v>
      </c>
      <c r="Y1507" t="b">
        <v>1</v>
      </c>
      <c r="Z1507" t="b">
        <v>1</v>
      </c>
      <c r="AA1507" t="b">
        <v>1</v>
      </c>
      <c r="AB1507" t="b">
        <v>1</v>
      </c>
      <c r="AC1507" t="b">
        <v>1</v>
      </c>
      <c r="AD1507" t="b">
        <v>1</v>
      </c>
      <c r="AE1507" t="b">
        <v>1</v>
      </c>
      <c r="AF1507" t="b">
        <v>1</v>
      </c>
      <c r="AG1507" t="b">
        <v>1</v>
      </c>
    </row>
    <row r="1508" spans="1:33" x14ac:dyDescent="0.25">
      <c r="A1508" t="s">
        <v>33</v>
      </c>
      <c r="B1508">
        <v>15</v>
      </c>
      <c r="C1508" t="b">
        <v>1</v>
      </c>
      <c r="D1508" t="s">
        <v>5301</v>
      </c>
      <c r="E1508" t="s">
        <v>5530</v>
      </c>
      <c r="F1508" t="s">
        <v>5536</v>
      </c>
      <c r="G1508" t="s">
        <v>5537</v>
      </c>
      <c r="H1508">
        <v>1507</v>
      </c>
      <c r="I1508" t="str">
        <f>IF(ISBLANK(Table1[[#This Row],[oid]]),"FALSE","TRUE")</f>
        <v>TRUE</v>
      </c>
      <c r="J1508" t="str" cm="1">
        <f t="array" ref="J1508">_xlfn.SWITCH(LEFT(Table1[[#This Row],[section]],1), "D", "Demographic", "S", "Social", "E", "Economic", "H", "Housing", "")</f>
        <v>Economic</v>
      </c>
      <c r="K1508" t="s">
        <v>5304</v>
      </c>
      <c r="L1508" t="s">
        <v>5305</v>
      </c>
      <c r="M1508" t="str">
        <f>IF(Table1[[#This Row],[used]], _xlfn.CONCAT("🆔 ", Table1[[#This Row],[variable]], ": ",Table1[[#This Row],[alias]]), "")</f>
        <v>🆔 B19054_003E: No interest dividends or net rental income</v>
      </c>
      <c r="O1508" t="s">
        <v>5538</v>
      </c>
      <c r="P1508" t="s">
        <v>5534</v>
      </c>
      <c r="Q1508" t="s">
        <v>41</v>
      </c>
      <c r="R1508" t="s">
        <v>5539</v>
      </c>
      <c r="S1508" t="b">
        <v>1</v>
      </c>
      <c r="T1508" t="b">
        <v>1</v>
      </c>
      <c r="U1508" t="b">
        <v>1</v>
      </c>
      <c r="V1508" t="b">
        <v>1</v>
      </c>
      <c r="W1508" t="b">
        <v>1</v>
      </c>
      <c r="X1508" t="b">
        <v>1</v>
      </c>
      <c r="Y1508" t="b">
        <v>1</v>
      </c>
      <c r="Z1508" t="b">
        <v>1</v>
      </c>
      <c r="AA1508" t="b">
        <v>1</v>
      </c>
      <c r="AB1508" t="b">
        <v>1</v>
      </c>
      <c r="AC1508" t="b">
        <v>1</v>
      </c>
      <c r="AD1508" t="b">
        <v>1</v>
      </c>
      <c r="AE1508" t="b">
        <v>1</v>
      </c>
      <c r="AF1508" t="b">
        <v>1</v>
      </c>
      <c r="AG1508" t="b">
        <v>1</v>
      </c>
    </row>
    <row r="1509" spans="1:33" x14ac:dyDescent="0.25">
      <c r="A1509" t="s">
        <v>33</v>
      </c>
      <c r="B1509">
        <v>15</v>
      </c>
      <c r="C1509" t="b">
        <v>1</v>
      </c>
      <c r="D1509" t="s">
        <v>5301</v>
      </c>
      <c r="E1509" t="s">
        <v>5540</v>
      </c>
      <c r="F1509" t="s">
        <v>5541</v>
      </c>
      <c r="G1509" t="s">
        <v>5542</v>
      </c>
      <c r="H1509">
        <v>1508</v>
      </c>
      <c r="I1509" t="str">
        <f>IF(ISBLANK(Table1[[#This Row],[oid]]),"FALSE","TRUE")</f>
        <v>TRUE</v>
      </c>
      <c r="J1509" t="str" cm="1">
        <f t="array" ref="J1509">_xlfn.SWITCH(LEFT(Table1[[#This Row],[section]],1), "D", "Demographic", "S", "Social", "E", "Economic", "H", "Housing", "")</f>
        <v>Economic</v>
      </c>
      <c r="K1509" t="s">
        <v>5304</v>
      </c>
      <c r="L1509" t="s">
        <v>5305</v>
      </c>
      <c r="M1509" t="str">
        <f>IF(Table1[[#This Row],[used]], _xlfn.CONCAT("🆔 ", Table1[[#This Row],[variable]], ": ",Table1[[#This Row],[alias]]), "")</f>
        <v>🆔 B19055_002E: With Social Security income</v>
      </c>
      <c r="O1509" t="s">
        <v>5543</v>
      </c>
      <c r="P1509" t="s">
        <v>5544</v>
      </c>
      <c r="Q1509" t="s">
        <v>41</v>
      </c>
      <c r="R1509" t="s">
        <v>5545</v>
      </c>
      <c r="S1509" t="b">
        <v>1</v>
      </c>
      <c r="T1509" t="b">
        <v>1</v>
      </c>
      <c r="U1509" t="b">
        <v>1</v>
      </c>
      <c r="V1509" t="b">
        <v>1</v>
      </c>
      <c r="W1509" t="b">
        <v>1</v>
      </c>
      <c r="X1509" t="b">
        <v>1</v>
      </c>
      <c r="Y1509" t="b">
        <v>1</v>
      </c>
      <c r="Z1509" t="b">
        <v>1</v>
      </c>
      <c r="AA1509" t="b">
        <v>1</v>
      </c>
      <c r="AB1509" t="b">
        <v>1</v>
      </c>
      <c r="AC1509" t="b">
        <v>1</v>
      </c>
      <c r="AD1509" t="b">
        <v>1</v>
      </c>
      <c r="AE1509" t="b">
        <v>1</v>
      </c>
      <c r="AF1509" t="b">
        <v>1</v>
      </c>
      <c r="AG1509" t="b">
        <v>1</v>
      </c>
    </row>
    <row r="1510" spans="1:33" x14ac:dyDescent="0.25">
      <c r="A1510" t="s">
        <v>33</v>
      </c>
      <c r="B1510">
        <v>15</v>
      </c>
      <c r="C1510" t="b">
        <v>1</v>
      </c>
      <c r="D1510" t="s">
        <v>5301</v>
      </c>
      <c r="E1510" t="s">
        <v>5540</v>
      </c>
      <c r="F1510" t="s">
        <v>5546</v>
      </c>
      <c r="G1510" t="s">
        <v>5547</v>
      </c>
      <c r="H1510">
        <v>1509</v>
      </c>
      <c r="I1510" t="str">
        <f>IF(ISBLANK(Table1[[#This Row],[oid]]),"FALSE","TRUE")</f>
        <v>TRUE</v>
      </c>
      <c r="J1510" t="str" cm="1">
        <f t="array" ref="J1510">_xlfn.SWITCH(LEFT(Table1[[#This Row],[section]],1), "D", "Demographic", "S", "Social", "E", "Economic", "H", "Housing", "")</f>
        <v>Economic</v>
      </c>
      <c r="K1510" t="s">
        <v>5304</v>
      </c>
      <c r="L1510" t="s">
        <v>5305</v>
      </c>
      <c r="M1510" t="str">
        <f>IF(Table1[[#This Row],[used]], _xlfn.CONCAT("🆔 ", Table1[[#This Row],[variable]], ": ",Table1[[#This Row],[alias]]), "")</f>
        <v>🆔 B19055_003E: No Social Security income</v>
      </c>
      <c r="O1510" t="s">
        <v>5548</v>
      </c>
      <c r="P1510" t="s">
        <v>5544</v>
      </c>
      <c r="Q1510" t="s">
        <v>41</v>
      </c>
      <c r="R1510" t="s">
        <v>5549</v>
      </c>
      <c r="S1510" t="b">
        <v>1</v>
      </c>
      <c r="T1510" t="b">
        <v>1</v>
      </c>
      <c r="U1510" t="b">
        <v>1</v>
      </c>
      <c r="V1510" t="b">
        <v>1</v>
      </c>
      <c r="W1510" t="b">
        <v>1</v>
      </c>
      <c r="X1510" t="b">
        <v>1</v>
      </c>
      <c r="Y1510" t="b">
        <v>1</v>
      </c>
      <c r="Z1510" t="b">
        <v>1</v>
      </c>
      <c r="AA1510" t="b">
        <v>1</v>
      </c>
      <c r="AB1510" t="b">
        <v>1</v>
      </c>
      <c r="AC1510" t="b">
        <v>1</v>
      </c>
      <c r="AD1510" t="b">
        <v>1</v>
      </c>
      <c r="AE1510" t="b">
        <v>1</v>
      </c>
      <c r="AF1510" t="b">
        <v>1</v>
      </c>
      <c r="AG1510" t="b">
        <v>1</v>
      </c>
    </row>
    <row r="1511" spans="1:33" x14ac:dyDescent="0.25">
      <c r="A1511" t="s">
        <v>33</v>
      </c>
      <c r="B1511">
        <v>15</v>
      </c>
      <c r="C1511" t="b">
        <v>1</v>
      </c>
      <c r="D1511" t="s">
        <v>5301</v>
      </c>
      <c r="E1511" t="s">
        <v>5550</v>
      </c>
      <c r="F1511" t="s">
        <v>5551</v>
      </c>
      <c r="G1511" t="s">
        <v>5552</v>
      </c>
      <c r="H1511">
        <v>1510</v>
      </c>
      <c r="I1511" t="str">
        <f>IF(ISBLANK(Table1[[#This Row],[oid]]),"FALSE","TRUE")</f>
        <v>TRUE</v>
      </c>
      <c r="J1511" t="str" cm="1">
        <f t="array" ref="J1511">_xlfn.SWITCH(LEFT(Table1[[#This Row],[section]],1), "D", "Demographic", "S", "Social", "E", "Economic", "H", "Housing", "")</f>
        <v>Economic</v>
      </c>
      <c r="K1511" t="s">
        <v>5304</v>
      </c>
      <c r="L1511" t="s">
        <v>5305</v>
      </c>
      <c r="M1511" t="str">
        <f>IF(Table1[[#This Row],[used]], _xlfn.CONCAT("🆔 ", Table1[[#This Row],[variable]], ": ",Table1[[#This Row],[alias]]), "")</f>
        <v>🆔 B19056_002E: With Supplemental Security Income SSI</v>
      </c>
      <c r="O1511" t="s">
        <v>5553</v>
      </c>
      <c r="P1511" t="s">
        <v>5554</v>
      </c>
      <c r="Q1511" t="s">
        <v>41</v>
      </c>
      <c r="R1511" t="s">
        <v>5555</v>
      </c>
      <c r="S1511" t="b">
        <v>1</v>
      </c>
      <c r="T1511" t="b">
        <v>1</v>
      </c>
      <c r="U1511" t="b">
        <v>1</v>
      </c>
      <c r="V1511" t="b">
        <v>1</v>
      </c>
      <c r="W1511" t="b">
        <v>1</v>
      </c>
      <c r="X1511" t="b">
        <v>1</v>
      </c>
      <c r="Y1511" t="b">
        <v>1</v>
      </c>
      <c r="Z1511" t="b">
        <v>1</v>
      </c>
      <c r="AA1511" t="b">
        <v>1</v>
      </c>
      <c r="AB1511" t="b">
        <v>1</v>
      </c>
      <c r="AC1511" t="b">
        <v>1</v>
      </c>
      <c r="AD1511" t="b">
        <v>1</v>
      </c>
      <c r="AE1511" t="b">
        <v>1</v>
      </c>
      <c r="AF1511" t="b">
        <v>1</v>
      </c>
      <c r="AG1511" t="b">
        <v>1</v>
      </c>
    </row>
    <row r="1512" spans="1:33" x14ac:dyDescent="0.25">
      <c r="A1512" t="s">
        <v>33</v>
      </c>
      <c r="B1512">
        <v>15</v>
      </c>
      <c r="C1512" t="b">
        <v>1</v>
      </c>
      <c r="D1512" t="s">
        <v>5301</v>
      </c>
      <c r="E1512" t="s">
        <v>5550</v>
      </c>
      <c r="F1512" t="s">
        <v>5556</v>
      </c>
      <c r="G1512" t="s">
        <v>5557</v>
      </c>
      <c r="H1512">
        <v>1511</v>
      </c>
      <c r="I1512" t="str">
        <f>IF(ISBLANK(Table1[[#This Row],[oid]]),"FALSE","TRUE")</f>
        <v>TRUE</v>
      </c>
      <c r="J1512" t="str" cm="1">
        <f t="array" ref="J1512">_xlfn.SWITCH(LEFT(Table1[[#This Row],[section]],1), "D", "Demographic", "S", "Social", "E", "Economic", "H", "Housing", "")</f>
        <v>Economic</v>
      </c>
      <c r="K1512" t="s">
        <v>5304</v>
      </c>
      <c r="L1512" t="s">
        <v>5305</v>
      </c>
      <c r="M1512" t="str">
        <f>IF(Table1[[#This Row],[used]], _xlfn.CONCAT("🆔 ", Table1[[#This Row],[variable]], ": ",Table1[[#This Row],[alias]]), "")</f>
        <v>🆔 B19056_003E: No Supplemental Security Income SSI</v>
      </c>
      <c r="O1512" t="s">
        <v>5558</v>
      </c>
      <c r="P1512" t="s">
        <v>5554</v>
      </c>
      <c r="Q1512" t="s">
        <v>41</v>
      </c>
      <c r="R1512" t="s">
        <v>5559</v>
      </c>
      <c r="S1512" t="b">
        <v>1</v>
      </c>
      <c r="T1512" t="b">
        <v>1</v>
      </c>
      <c r="U1512" t="b">
        <v>1</v>
      </c>
      <c r="V1512" t="b">
        <v>1</v>
      </c>
      <c r="W1512" t="b">
        <v>1</v>
      </c>
      <c r="X1512" t="b">
        <v>1</v>
      </c>
      <c r="Y1512" t="b">
        <v>1</v>
      </c>
      <c r="Z1512" t="b">
        <v>1</v>
      </c>
      <c r="AA1512" t="b">
        <v>1</v>
      </c>
      <c r="AB1512" t="b">
        <v>1</v>
      </c>
      <c r="AC1512" t="b">
        <v>1</v>
      </c>
      <c r="AD1512" t="b">
        <v>1</v>
      </c>
      <c r="AE1512" t="b">
        <v>1</v>
      </c>
      <c r="AF1512" t="b">
        <v>1</v>
      </c>
      <c r="AG1512" t="b">
        <v>1</v>
      </c>
    </row>
    <row r="1513" spans="1:33" x14ac:dyDescent="0.25">
      <c r="A1513" t="s">
        <v>33</v>
      </c>
      <c r="B1513">
        <v>15</v>
      </c>
      <c r="C1513" t="b">
        <v>1</v>
      </c>
      <c r="D1513" t="s">
        <v>5301</v>
      </c>
      <c r="E1513" t="s">
        <v>5560</v>
      </c>
      <c r="F1513" t="s">
        <v>5561</v>
      </c>
      <c r="G1513" t="s">
        <v>5562</v>
      </c>
      <c r="H1513">
        <v>1512</v>
      </c>
      <c r="I1513" t="str">
        <f>IF(ISBLANK(Table1[[#This Row],[oid]]),"FALSE","TRUE")</f>
        <v>TRUE</v>
      </c>
      <c r="J1513" t="str" cm="1">
        <f t="array" ref="J1513">_xlfn.SWITCH(LEFT(Table1[[#This Row],[section]],1), "D", "Demographic", "S", "Social", "E", "Economic", "H", "Housing", "")</f>
        <v>Economic</v>
      </c>
      <c r="K1513" t="s">
        <v>5304</v>
      </c>
      <c r="L1513" t="s">
        <v>5305</v>
      </c>
      <c r="M1513" t="str">
        <f>IF(Table1[[#This Row],[used]], _xlfn.CONCAT("🆔 ", Table1[[#This Row],[variable]], ": ",Table1[[#This Row],[alias]]), "")</f>
        <v>🆔 B19057_002E: With public assistance income</v>
      </c>
      <c r="O1513" t="s">
        <v>5563</v>
      </c>
      <c r="P1513" t="s">
        <v>5564</v>
      </c>
      <c r="Q1513" t="s">
        <v>41</v>
      </c>
      <c r="R1513" t="s">
        <v>5565</v>
      </c>
      <c r="S1513" t="b">
        <v>1</v>
      </c>
      <c r="T1513" t="b">
        <v>1</v>
      </c>
      <c r="U1513" t="b">
        <v>1</v>
      </c>
      <c r="V1513" t="b">
        <v>1</v>
      </c>
      <c r="W1513" t="b">
        <v>1</v>
      </c>
      <c r="X1513" t="b">
        <v>1</v>
      </c>
      <c r="Y1513" t="b">
        <v>1</v>
      </c>
      <c r="Z1513" t="b">
        <v>1</v>
      </c>
      <c r="AA1513" t="b">
        <v>1</v>
      </c>
      <c r="AB1513" t="b">
        <v>1</v>
      </c>
      <c r="AC1513" t="b">
        <v>1</v>
      </c>
      <c r="AD1513" t="b">
        <v>1</v>
      </c>
      <c r="AE1513" t="b">
        <v>1</v>
      </c>
      <c r="AF1513" t="b">
        <v>1</v>
      </c>
      <c r="AG1513" t="b">
        <v>1</v>
      </c>
    </row>
    <row r="1514" spans="1:33" x14ac:dyDescent="0.25">
      <c r="A1514" t="s">
        <v>33</v>
      </c>
      <c r="B1514">
        <v>15</v>
      </c>
      <c r="C1514" t="b">
        <v>1</v>
      </c>
      <c r="D1514" t="s">
        <v>5301</v>
      </c>
      <c r="E1514" t="s">
        <v>5560</v>
      </c>
      <c r="F1514" t="s">
        <v>5566</v>
      </c>
      <c r="G1514" t="s">
        <v>5567</v>
      </c>
      <c r="H1514">
        <v>1513</v>
      </c>
      <c r="I1514" t="str">
        <f>IF(ISBLANK(Table1[[#This Row],[oid]]),"FALSE","TRUE")</f>
        <v>TRUE</v>
      </c>
      <c r="J1514" t="str" cm="1">
        <f t="array" ref="J1514">_xlfn.SWITCH(LEFT(Table1[[#This Row],[section]],1), "D", "Demographic", "S", "Social", "E", "Economic", "H", "Housing", "")</f>
        <v>Economic</v>
      </c>
      <c r="K1514" t="s">
        <v>5304</v>
      </c>
      <c r="L1514" t="s">
        <v>5305</v>
      </c>
      <c r="M1514" t="str">
        <f>IF(Table1[[#This Row],[used]], _xlfn.CONCAT("🆔 ", Table1[[#This Row],[variable]], ": ",Table1[[#This Row],[alias]]), "")</f>
        <v>🆔 B19057_003E: No public assistance income</v>
      </c>
      <c r="O1514" t="s">
        <v>5568</v>
      </c>
      <c r="P1514" t="s">
        <v>5564</v>
      </c>
      <c r="Q1514" t="s">
        <v>41</v>
      </c>
      <c r="R1514" t="s">
        <v>5569</v>
      </c>
      <c r="S1514" t="b">
        <v>1</v>
      </c>
      <c r="T1514" t="b">
        <v>1</v>
      </c>
      <c r="U1514" t="b">
        <v>1</v>
      </c>
      <c r="V1514" t="b">
        <v>1</v>
      </c>
      <c r="W1514" t="b">
        <v>1</v>
      </c>
      <c r="X1514" t="b">
        <v>1</v>
      </c>
      <c r="Y1514" t="b">
        <v>1</v>
      </c>
      <c r="Z1514" t="b">
        <v>1</v>
      </c>
      <c r="AA1514" t="b">
        <v>1</v>
      </c>
      <c r="AB1514" t="b">
        <v>1</v>
      </c>
      <c r="AC1514" t="b">
        <v>1</v>
      </c>
      <c r="AD1514" t="b">
        <v>1</v>
      </c>
      <c r="AE1514" t="b">
        <v>1</v>
      </c>
      <c r="AF1514" t="b">
        <v>1</v>
      </c>
      <c r="AG1514" t="b">
        <v>1</v>
      </c>
    </row>
    <row r="1515" spans="1:33" x14ac:dyDescent="0.25">
      <c r="A1515" t="s">
        <v>33</v>
      </c>
      <c r="B1515">
        <v>15</v>
      </c>
      <c r="C1515" t="b">
        <v>1</v>
      </c>
      <c r="D1515" t="s">
        <v>5301</v>
      </c>
      <c r="E1515" t="s">
        <v>5570</v>
      </c>
      <c r="F1515" t="s">
        <v>5571</v>
      </c>
      <c r="G1515" t="s">
        <v>5572</v>
      </c>
      <c r="H1515">
        <v>1514</v>
      </c>
      <c r="I1515" t="str">
        <f>IF(ISBLANK(Table1[[#This Row],[oid]]),"FALSE","TRUE")</f>
        <v>TRUE</v>
      </c>
      <c r="J1515" t="str" cm="1">
        <f t="array" ref="J1515">_xlfn.SWITCH(LEFT(Table1[[#This Row],[section]],1), "D", "Demographic", "S", "Social", "E", "Economic", "H", "Housing", "")</f>
        <v>Economic</v>
      </c>
      <c r="K1515" t="s">
        <v>5304</v>
      </c>
      <c r="L1515" t="s">
        <v>5305</v>
      </c>
      <c r="M1515" t="str">
        <f>IF(Table1[[#This Row],[used]], _xlfn.CONCAT("🆔 ", Table1[[#This Row],[variable]], ": ",Table1[[#This Row],[alias]]), "")</f>
        <v>🆔 B19058_002E: With cash public assistance or Food Stamps-SNAP</v>
      </c>
      <c r="O1515" t="s">
        <v>5573</v>
      </c>
      <c r="P1515" t="s">
        <v>5574</v>
      </c>
      <c r="Q1515" t="s">
        <v>41</v>
      </c>
      <c r="R1515" t="s">
        <v>5575</v>
      </c>
      <c r="S1515" t="b">
        <v>1</v>
      </c>
      <c r="T1515" t="b">
        <v>1</v>
      </c>
      <c r="U1515" t="b">
        <v>1</v>
      </c>
      <c r="V1515" t="b">
        <v>1</v>
      </c>
      <c r="W1515" t="b">
        <v>1</v>
      </c>
      <c r="X1515" t="b">
        <v>1</v>
      </c>
      <c r="Y1515" t="b">
        <v>1</v>
      </c>
      <c r="Z1515" t="b">
        <v>1</v>
      </c>
      <c r="AA1515" t="b">
        <v>1</v>
      </c>
      <c r="AB1515" t="b">
        <v>1</v>
      </c>
      <c r="AC1515" t="b">
        <v>1</v>
      </c>
      <c r="AD1515" t="b">
        <v>1</v>
      </c>
      <c r="AE1515" t="b">
        <v>1</v>
      </c>
      <c r="AF1515" t="b">
        <v>1</v>
      </c>
      <c r="AG1515" t="b">
        <v>1</v>
      </c>
    </row>
    <row r="1516" spans="1:33" x14ac:dyDescent="0.25">
      <c r="A1516" t="s">
        <v>33</v>
      </c>
      <c r="B1516">
        <v>15</v>
      </c>
      <c r="C1516" t="b">
        <v>1</v>
      </c>
      <c r="D1516" t="s">
        <v>5301</v>
      </c>
      <c r="E1516" t="s">
        <v>5570</v>
      </c>
      <c r="F1516" t="s">
        <v>5576</v>
      </c>
      <c r="G1516" t="s">
        <v>5577</v>
      </c>
      <c r="H1516">
        <v>1515</v>
      </c>
      <c r="I1516" t="str">
        <f>IF(ISBLANK(Table1[[#This Row],[oid]]),"FALSE","TRUE")</f>
        <v>TRUE</v>
      </c>
      <c r="J1516" t="str" cm="1">
        <f t="array" ref="J1516">_xlfn.SWITCH(LEFT(Table1[[#This Row],[section]],1), "D", "Demographic", "S", "Social", "E", "Economic", "H", "Housing", "")</f>
        <v>Economic</v>
      </c>
      <c r="K1516" t="s">
        <v>5304</v>
      </c>
      <c r="L1516" t="s">
        <v>5305</v>
      </c>
      <c r="M1516" t="str">
        <f>IF(Table1[[#This Row],[used]], _xlfn.CONCAT("🆔 ", Table1[[#This Row],[variable]], ": ",Table1[[#This Row],[alias]]), "")</f>
        <v>🆔 B19058_003E: No cash public assistance or Food Stamps-SNAP</v>
      </c>
      <c r="O1516" t="s">
        <v>5578</v>
      </c>
      <c r="P1516" t="s">
        <v>5574</v>
      </c>
      <c r="Q1516" t="s">
        <v>41</v>
      </c>
      <c r="R1516" t="s">
        <v>5579</v>
      </c>
      <c r="S1516" t="b">
        <v>1</v>
      </c>
      <c r="T1516" t="b">
        <v>1</v>
      </c>
      <c r="U1516" t="b">
        <v>1</v>
      </c>
      <c r="V1516" t="b">
        <v>1</v>
      </c>
      <c r="W1516" t="b">
        <v>1</v>
      </c>
      <c r="X1516" t="b">
        <v>1</v>
      </c>
      <c r="Y1516" t="b">
        <v>1</v>
      </c>
      <c r="Z1516" t="b">
        <v>1</v>
      </c>
      <c r="AA1516" t="b">
        <v>1</v>
      </c>
      <c r="AB1516" t="b">
        <v>1</v>
      </c>
      <c r="AC1516" t="b">
        <v>1</v>
      </c>
      <c r="AD1516" t="b">
        <v>1</v>
      </c>
      <c r="AE1516" t="b">
        <v>1</v>
      </c>
      <c r="AF1516" t="b">
        <v>1</v>
      </c>
      <c r="AG1516" t="b">
        <v>1</v>
      </c>
    </row>
    <row r="1517" spans="1:33" x14ac:dyDescent="0.25">
      <c r="A1517" t="s">
        <v>33</v>
      </c>
      <c r="B1517">
        <v>15</v>
      </c>
      <c r="C1517" t="b">
        <v>1</v>
      </c>
      <c r="D1517" t="s">
        <v>5301</v>
      </c>
      <c r="E1517" t="s">
        <v>5580</v>
      </c>
      <c r="F1517" t="s">
        <v>5581</v>
      </c>
      <c r="G1517" t="s">
        <v>5582</v>
      </c>
      <c r="H1517">
        <v>1516</v>
      </c>
      <c r="I1517" t="str">
        <f>IF(ISBLANK(Table1[[#This Row],[oid]]),"FALSE","TRUE")</f>
        <v>TRUE</v>
      </c>
      <c r="J1517" t="str" cm="1">
        <f t="array" ref="J1517">_xlfn.SWITCH(LEFT(Table1[[#This Row],[section]],1), "D", "Demographic", "S", "Social", "E", "Economic", "H", "Housing", "")</f>
        <v>Economic</v>
      </c>
      <c r="K1517" t="s">
        <v>5304</v>
      </c>
      <c r="L1517" t="s">
        <v>5305</v>
      </c>
      <c r="M1517" t="str">
        <f>IF(Table1[[#This Row],[used]], _xlfn.CONCAT("🆔 ", Table1[[#This Row],[variable]], ": ",Table1[[#This Row],[alias]]), "")</f>
        <v>🆔 B19059_002E: With retirement income</v>
      </c>
      <c r="O1517" t="s">
        <v>5583</v>
      </c>
      <c r="P1517" t="s">
        <v>5584</v>
      </c>
      <c r="Q1517" t="s">
        <v>41</v>
      </c>
      <c r="R1517" t="s">
        <v>5585</v>
      </c>
      <c r="S1517" t="b">
        <v>1</v>
      </c>
      <c r="T1517" t="b">
        <v>1</v>
      </c>
      <c r="U1517" t="b">
        <v>1</v>
      </c>
      <c r="V1517" t="b">
        <v>1</v>
      </c>
      <c r="W1517" t="b">
        <v>1</v>
      </c>
      <c r="X1517" t="b">
        <v>1</v>
      </c>
      <c r="Y1517" t="b">
        <v>1</v>
      </c>
      <c r="Z1517" t="b">
        <v>1</v>
      </c>
      <c r="AA1517" t="b">
        <v>1</v>
      </c>
      <c r="AB1517" t="b">
        <v>1</v>
      </c>
      <c r="AC1517" t="b">
        <v>1</v>
      </c>
      <c r="AD1517" t="b">
        <v>1</v>
      </c>
      <c r="AE1517" t="b">
        <v>1</v>
      </c>
      <c r="AF1517" t="b">
        <v>1</v>
      </c>
      <c r="AG1517" t="b">
        <v>1</v>
      </c>
    </row>
    <row r="1518" spans="1:33" x14ac:dyDescent="0.25">
      <c r="A1518" t="s">
        <v>33</v>
      </c>
      <c r="B1518">
        <v>15</v>
      </c>
      <c r="C1518" t="b">
        <v>1</v>
      </c>
      <c r="D1518" t="s">
        <v>5301</v>
      </c>
      <c r="E1518" t="s">
        <v>5580</v>
      </c>
      <c r="F1518" t="s">
        <v>5586</v>
      </c>
      <c r="G1518" t="s">
        <v>5587</v>
      </c>
      <c r="H1518">
        <v>1517</v>
      </c>
      <c r="I1518" t="str">
        <f>IF(ISBLANK(Table1[[#This Row],[oid]]),"FALSE","TRUE")</f>
        <v>TRUE</v>
      </c>
      <c r="J1518" t="str" cm="1">
        <f t="array" ref="J1518">_xlfn.SWITCH(LEFT(Table1[[#This Row],[section]],1), "D", "Demographic", "S", "Social", "E", "Economic", "H", "Housing", "")</f>
        <v>Economic</v>
      </c>
      <c r="K1518" t="s">
        <v>5304</v>
      </c>
      <c r="L1518" t="s">
        <v>5305</v>
      </c>
      <c r="M1518" t="str">
        <f>IF(Table1[[#This Row],[used]], _xlfn.CONCAT("🆔 ", Table1[[#This Row],[variable]], ": ",Table1[[#This Row],[alias]]), "")</f>
        <v>🆔 B19059_003E: No retirement income</v>
      </c>
      <c r="O1518" t="s">
        <v>5588</v>
      </c>
      <c r="P1518" t="s">
        <v>5584</v>
      </c>
      <c r="Q1518" t="s">
        <v>41</v>
      </c>
      <c r="R1518" t="s">
        <v>5589</v>
      </c>
      <c r="S1518" t="b">
        <v>1</v>
      </c>
      <c r="T1518" t="b">
        <v>1</v>
      </c>
      <c r="U1518" t="b">
        <v>1</v>
      </c>
      <c r="V1518" t="b">
        <v>1</v>
      </c>
      <c r="W1518" t="b">
        <v>1</v>
      </c>
      <c r="X1518" t="b">
        <v>1</v>
      </c>
      <c r="Y1518" t="b">
        <v>1</v>
      </c>
      <c r="Z1518" t="b">
        <v>1</v>
      </c>
      <c r="AA1518" t="b">
        <v>1</v>
      </c>
      <c r="AB1518" t="b">
        <v>1</v>
      </c>
      <c r="AC1518" t="b">
        <v>1</v>
      </c>
      <c r="AD1518" t="b">
        <v>1</v>
      </c>
      <c r="AE1518" t="b">
        <v>1</v>
      </c>
      <c r="AF1518" t="b">
        <v>1</v>
      </c>
      <c r="AG1518" t="b">
        <v>1</v>
      </c>
    </row>
    <row r="1519" spans="1:33" x14ac:dyDescent="0.25">
      <c r="A1519" t="s">
        <v>33</v>
      </c>
      <c r="B1519">
        <v>15</v>
      </c>
      <c r="C1519" t="b">
        <v>1</v>
      </c>
      <c r="D1519" t="s">
        <v>5301</v>
      </c>
      <c r="E1519" t="s">
        <v>5590</v>
      </c>
      <c r="F1519" t="s">
        <v>5591</v>
      </c>
      <c r="G1519" t="s">
        <v>5592</v>
      </c>
      <c r="H1519">
        <v>1518</v>
      </c>
      <c r="I1519" t="str">
        <f>IF(ISBLANK(Table1[[#This Row],[oid]]),"FALSE","TRUE")</f>
        <v>TRUE</v>
      </c>
      <c r="J1519" t="str" cm="1">
        <f t="array" ref="J1519">_xlfn.SWITCH(LEFT(Table1[[#This Row],[section]],1), "D", "Demographic", "S", "Social", "E", "Economic", "H", "Housing", "")</f>
        <v>Economic</v>
      </c>
      <c r="K1519" t="s">
        <v>5304</v>
      </c>
      <c r="L1519" t="s">
        <v>5305</v>
      </c>
      <c r="M1519" t="str">
        <f>IF(Table1[[#This Row],[used]], _xlfn.CONCAT("🆔 ", Table1[[#This Row],[variable]], ": ",Table1[[#This Row],[alias]]), "")</f>
        <v>🆔 B19060_002E: With other types of income</v>
      </c>
      <c r="O1519" t="s">
        <v>5593</v>
      </c>
      <c r="P1519" t="s">
        <v>5594</v>
      </c>
      <c r="Q1519" t="s">
        <v>41</v>
      </c>
      <c r="R1519" t="s">
        <v>5595</v>
      </c>
      <c r="S1519" t="b">
        <v>1</v>
      </c>
      <c r="T1519" t="b">
        <v>1</v>
      </c>
      <c r="U1519" t="b">
        <v>1</v>
      </c>
      <c r="V1519" t="b">
        <v>1</v>
      </c>
      <c r="W1519" t="b">
        <v>1</v>
      </c>
      <c r="X1519" t="b">
        <v>1</v>
      </c>
      <c r="Y1519" t="b">
        <v>1</v>
      </c>
      <c r="Z1519" t="b">
        <v>1</v>
      </c>
      <c r="AA1519" t="b">
        <v>1</v>
      </c>
      <c r="AB1519" t="b">
        <v>1</v>
      </c>
      <c r="AC1519" t="b">
        <v>1</v>
      </c>
      <c r="AD1519" t="b">
        <v>1</v>
      </c>
      <c r="AE1519" t="b">
        <v>1</v>
      </c>
      <c r="AF1519" t="b">
        <v>1</v>
      </c>
      <c r="AG1519" t="b">
        <v>1</v>
      </c>
    </row>
    <row r="1520" spans="1:33" x14ac:dyDescent="0.25">
      <c r="A1520" t="s">
        <v>33</v>
      </c>
      <c r="B1520">
        <v>15</v>
      </c>
      <c r="C1520" t="b">
        <v>1</v>
      </c>
      <c r="D1520" t="s">
        <v>5301</v>
      </c>
      <c r="E1520" t="s">
        <v>5590</v>
      </c>
      <c r="F1520" t="s">
        <v>5596</v>
      </c>
      <c r="G1520" t="s">
        <v>5597</v>
      </c>
      <c r="H1520">
        <v>1519</v>
      </c>
      <c r="I1520" t="str">
        <f>IF(ISBLANK(Table1[[#This Row],[oid]]),"FALSE","TRUE")</f>
        <v>TRUE</v>
      </c>
      <c r="J1520" t="str" cm="1">
        <f t="array" ref="J1520">_xlfn.SWITCH(LEFT(Table1[[#This Row],[section]],1), "D", "Demographic", "S", "Social", "E", "Economic", "H", "Housing", "")</f>
        <v>Economic</v>
      </c>
      <c r="K1520" t="s">
        <v>5304</v>
      </c>
      <c r="L1520" t="s">
        <v>5305</v>
      </c>
      <c r="M1520" t="str">
        <f>IF(Table1[[#This Row],[used]], _xlfn.CONCAT("🆔 ", Table1[[#This Row],[variable]], ": ",Table1[[#This Row],[alias]]), "")</f>
        <v>🆔 B19060_003E: No other types of income</v>
      </c>
      <c r="O1520" t="s">
        <v>5598</v>
      </c>
      <c r="P1520" t="s">
        <v>5594</v>
      </c>
      <c r="Q1520" t="s">
        <v>41</v>
      </c>
      <c r="R1520" t="s">
        <v>5599</v>
      </c>
      <c r="S1520" t="b">
        <v>1</v>
      </c>
      <c r="T1520" t="b">
        <v>1</v>
      </c>
      <c r="U1520" t="b">
        <v>1</v>
      </c>
      <c r="V1520" t="b">
        <v>1</v>
      </c>
      <c r="W1520" t="b">
        <v>1</v>
      </c>
      <c r="X1520" t="b">
        <v>1</v>
      </c>
      <c r="Y1520" t="b">
        <v>1</v>
      </c>
      <c r="Z1520" t="b">
        <v>1</v>
      </c>
      <c r="AA1520" t="b">
        <v>1</v>
      </c>
      <c r="AB1520" t="b">
        <v>1</v>
      </c>
      <c r="AC1520" t="b">
        <v>1</v>
      </c>
      <c r="AD1520" t="b">
        <v>1</v>
      </c>
      <c r="AE1520" t="b">
        <v>1</v>
      </c>
      <c r="AF1520" t="b">
        <v>1</v>
      </c>
      <c r="AG1520" t="b">
        <v>1</v>
      </c>
    </row>
    <row r="1521" spans="1:33" x14ac:dyDescent="0.25">
      <c r="A1521" t="s">
        <v>18</v>
      </c>
      <c r="B1521">
        <v>1</v>
      </c>
      <c r="C1521" t="b">
        <v>0</v>
      </c>
      <c r="D1521" t="s">
        <v>5301</v>
      </c>
      <c r="E1521" t="s">
        <v>5600</v>
      </c>
      <c r="F1521" t="s">
        <v>5601</v>
      </c>
      <c r="G1521" t="s">
        <v>5602</v>
      </c>
      <c r="H1521">
        <v>1520</v>
      </c>
      <c r="I1521" t="str">
        <f>IF(ISBLANK(Table1[[#This Row],[oid]]),"FALSE","TRUE")</f>
        <v>TRUE</v>
      </c>
      <c r="J1521" t="str" cm="1">
        <f t="array" ref="J1521">_xlfn.SWITCH(LEFT(Table1[[#This Row],[section]],1), "D", "Demographic", "S", "Social", "E", "Economic", "H", "Housing", "")</f>
        <v>Economic</v>
      </c>
      <c r="K1521" t="s">
        <v>5603</v>
      </c>
      <c r="L1521" t="s">
        <v>5604</v>
      </c>
      <c r="M1521" t="str">
        <f>IF(Table1[[#This Row],[used]], _xlfn.CONCAT("🆔 ", Table1[[#This Row],[variable]], ": ",Table1[[#This Row],[alias]]), "")</f>
        <v>🆔 B19061_001E: Aggregate earnings in the past 12 months in 2010 inflation-adjusted dollars</v>
      </c>
      <c r="O1521" t="s">
        <v>5605</v>
      </c>
      <c r="P1521" t="s">
        <v>5606</v>
      </c>
      <c r="Q1521" t="s">
        <v>41</v>
      </c>
      <c r="R1521" t="s">
        <v>5607</v>
      </c>
      <c r="S1521" t="b">
        <v>1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</row>
    <row r="1522" spans="1:33" x14ac:dyDescent="0.25">
      <c r="A1522" t="s">
        <v>19</v>
      </c>
      <c r="B1522">
        <v>1</v>
      </c>
      <c r="C1522" t="b">
        <v>0</v>
      </c>
      <c r="D1522" t="s">
        <v>5301</v>
      </c>
      <c r="E1522" t="s">
        <v>5600</v>
      </c>
      <c r="F1522" t="s">
        <v>5601</v>
      </c>
      <c r="G1522" t="s">
        <v>5608</v>
      </c>
      <c r="H1522">
        <v>1521</v>
      </c>
      <c r="I1522" t="str">
        <f>IF(ISBLANK(Table1[[#This Row],[oid]]),"FALSE","TRUE")</f>
        <v>TRUE</v>
      </c>
      <c r="J1522" t="str" cm="1">
        <f t="array" ref="J1522">_xlfn.SWITCH(LEFT(Table1[[#This Row],[section]],1), "D", "Demographic", "S", "Social", "E", "Economic", "H", "Housing", "")</f>
        <v>Economic</v>
      </c>
      <c r="K1522" t="s">
        <v>5603</v>
      </c>
      <c r="L1522" t="s">
        <v>5604</v>
      </c>
      <c r="M1522" t="str">
        <f>IF(Table1[[#This Row],[used]], _xlfn.CONCAT("🆔 ", Table1[[#This Row],[variable]], ": ",Table1[[#This Row],[alias]]), "")</f>
        <v>🆔 B19061_001E: Aggregate earnings in the past 12 months in 2011 inflation-adjusted dollars</v>
      </c>
      <c r="O1522" t="s">
        <v>5609</v>
      </c>
      <c r="P1522" t="s">
        <v>5610</v>
      </c>
      <c r="Q1522" t="s">
        <v>41</v>
      </c>
      <c r="R1522" t="s">
        <v>5607</v>
      </c>
      <c r="S1522" t="b">
        <v>0</v>
      </c>
      <c r="T1522" t="b">
        <v>1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</row>
    <row r="1523" spans="1:33" x14ac:dyDescent="0.25">
      <c r="A1523" t="s">
        <v>20</v>
      </c>
      <c r="B1523">
        <v>1</v>
      </c>
      <c r="C1523" t="b">
        <v>0</v>
      </c>
      <c r="D1523" t="s">
        <v>5301</v>
      </c>
      <c r="E1523" t="s">
        <v>5600</v>
      </c>
      <c r="F1523" t="s">
        <v>5601</v>
      </c>
      <c r="G1523" t="s">
        <v>5611</v>
      </c>
      <c r="H1523">
        <v>1522</v>
      </c>
      <c r="I1523" t="str">
        <f>IF(ISBLANK(Table1[[#This Row],[oid]]),"FALSE","TRUE")</f>
        <v>TRUE</v>
      </c>
      <c r="J1523" t="str" cm="1">
        <f t="array" ref="J1523">_xlfn.SWITCH(LEFT(Table1[[#This Row],[section]],1), "D", "Demographic", "S", "Social", "E", "Economic", "H", "Housing", "")</f>
        <v>Economic</v>
      </c>
      <c r="K1523" t="s">
        <v>5603</v>
      </c>
      <c r="L1523" t="s">
        <v>5604</v>
      </c>
      <c r="M1523" t="str">
        <f>IF(Table1[[#This Row],[used]], _xlfn.CONCAT("🆔 ", Table1[[#This Row],[variable]], ": ",Table1[[#This Row],[alias]]), "")</f>
        <v>🆔 B19061_001E: Aggregate earnings in the past 12 months in 2012 inflation-adjusted dollars</v>
      </c>
      <c r="O1523" t="s">
        <v>5612</v>
      </c>
      <c r="P1523" t="s">
        <v>5613</v>
      </c>
      <c r="Q1523" t="s">
        <v>41</v>
      </c>
      <c r="R1523" t="s">
        <v>5607</v>
      </c>
      <c r="S1523" t="b">
        <v>0</v>
      </c>
      <c r="T1523" t="b">
        <v>0</v>
      </c>
      <c r="U1523" t="b">
        <v>1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</row>
    <row r="1524" spans="1:33" x14ac:dyDescent="0.25">
      <c r="A1524" t="s">
        <v>21</v>
      </c>
      <c r="B1524">
        <v>1</v>
      </c>
      <c r="C1524" t="b">
        <v>0</v>
      </c>
      <c r="D1524" t="s">
        <v>5301</v>
      </c>
      <c r="E1524" t="s">
        <v>5600</v>
      </c>
      <c r="F1524" t="s">
        <v>5601</v>
      </c>
      <c r="G1524" t="s">
        <v>5614</v>
      </c>
      <c r="H1524">
        <v>1523</v>
      </c>
      <c r="I1524" t="str">
        <f>IF(ISBLANK(Table1[[#This Row],[oid]]),"FALSE","TRUE")</f>
        <v>TRUE</v>
      </c>
      <c r="J1524" t="str" cm="1">
        <f t="array" ref="J1524">_xlfn.SWITCH(LEFT(Table1[[#This Row],[section]],1), "D", "Demographic", "S", "Social", "E", "Economic", "H", "Housing", "")</f>
        <v>Economic</v>
      </c>
      <c r="K1524" t="s">
        <v>5603</v>
      </c>
      <c r="L1524" t="s">
        <v>5604</v>
      </c>
      <c r="M1524" t="str">
        <f>IF(Table1[[#This Row],[used]], _xlfn.CONCAT("🆔 ", Table1[[#This Row],[variable]], ": ",Table1[[#This Row],[alias]]), "")</f>
        <v>🆔 B19061_001E: Aggregate earnings in the past 12 months in 2013 inflation-adjusted dollars</v>
      </c>
      <c r="O1524" t="s">
        <v>5615</v>
      </c>
      <c r="P1524" t="s">
        <v>5616</v>
      </c>
      <c r="Q1524" t="s">
        <v>41</v>
      </c>
      <c r="R1524" t="s">
        <v>5607</v>
      </c>
      <c r="S1524" t="b">
        <v>0</v>
      </c>
      <c r="T1524" t="b">
        <v>0</v>
      </c>
      <c r="U1524" t="b">
        <v>0</v>
      </c>
      <c r="V1524" t="b">
        <v>1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</row>
    <row r="1525" spans="1:33" x14ac:dyDescent="0.25">
      <c r="A1525" t="s">
        <v>22</v>
      </c>
      <c r="B1525">
        <v>1</v>
      </c>
      <c r="C1525" t="b">
        <v>0</v>
      </c>
      <c r="D1525" t="s">
        <v>5301</v>
      </c>
      <c r="E1525" t="s">
        <v>5600</v>
      </c>
      <c r="F1525" t="s">
        <v>5601</v>
      </c>
      <c r="G1525" t="s">
        <v>5617</v>
      </c>
      <c r="H1525">
        <v>1524</v>
      </c>
      <c r="I1525" t="str">
        <f>IF(ISBLANK(Table1[[#This Row],[oid]]),"FALSE","TRUE")</f>
        <v>TRUE</v>
      </c>
      <c r="J1525" t="str" cm="1">
        <f t="array" ref="J1525">_xlfn.SWITCH(LEFT(Table1[[#This Row],[section]],1), "D", "Demographic", "S", "Social", "E", "Economic", "H", "Housing", "")</f>
        <v>Economic</v>
      </c>
      <c r="K1525" t="s">
        <v>5603</v>
      </c>
      <c r="L1525" t="s">
        <v>5604</v>
      </c>
      <c r="M1525" t="str">
        <f>IF(Table1[[#This Row],[used]], _xlfn.CONCAT("🆔 ", Table1[[#This Row],[variable]], ": ",Table1[[#This Row],[alias]]), "")</f>
        <v>🆔 B19061_001E: Aggregate earnings in the past 12 months in 2014 Inflation-adjusted dollars</v>
      </c>
      <c r="O1525" t="s">
        <v>5618</v>
      </c>
      <c r="P1525" t="s">
        <v>5619</v>
      </c>
      <c r="Q1525" t="s">
        <v>41</v>
      </c>
      <c r="R1525" t="s">
        <v>5607</v>
      </c>
      <c r="S1525" t="b">
        <v>0</v>
      </c>
      <c r="T1525" t="b">
        <v>0</v>
      </c>
      <c r="U1525" t="b">
        <v>0</v>
      </c>
      <c r="V1525" t="b">
        <v>0</v>
      </c>
      <c r="W1525" t="b">
        <v>1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</row>
    <row r="1526" spans="1:33" x14ac:dyDescent="0.25">
      <c r="A1526" t="s">
        <v>23</v>
      </c>
      <c r="B1526">
        <v>1</v>
      </c>
      <c r="C1526" t="b">
        <v>0</v>
      </c>
      <c r="D1526" t="s">
        <v>5301</v>
      </c>
      <c r="E1526" t="s">
        <v>5600</v>
      </c>
      <c r="F1526" t="s">
        <v>5601</v>
      </c>
      <c r="G1526" t="s">
        <v>5620</v>
      </c>
      <c r="H1526">
        <v>1525</v>
      </c>
      <c r="I1526" t="str">
        <f>IF(ISBLANK(Table1[[#This Row],[oid]]),"FALSE","TRUE")</f>
        <v>TRUE</v>
      </c>
      <c r="J1526" t="str" cm="1">
        <f t="array" ref="J1526">_xlfn.SWITCH(LEFT(Table1[[#This Row],[section]],1), "D", "Demographic", "S", "Social", "E", "Economic", "H", "Housing", "")</f>
        <v>Economic</v>
      </c>
      <c r="K1526" t="s">
        <v>5603</v>
      </c>
      <c r="L1526" t="s">
        <v>5604</v>
      </c>
      <c r="M1526" t="str">
        <f>IF(Table1[[#This Row],[used]], _xlfn.CONCAT("🆔 ", Table1[[#This Row],[variable]], ": ",Table1[[#This Row],[alias]]), "")</f>
        <v>🆔 B19061_001E: Aggregate earnings in the past 12 months in 2015 Inflation-adjusted dollars</v>
      </c>
      <c r="O1526" t="s">
        <v>5621</v>
      </c>
      <c r="P1526" t="s">
        <v>5622</v>
      </c>
      <c r="Q1526" t="s">
        <v>41</v>
      </c>
      <c r="R1526" t="s">
        <v>5607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1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</row>
    <row r="1527" spans="1:33" x14ac:dyDescent="0.25">
      <c r="A1527" t="s">
        <v>24</v>
      </c>
      <c r="B1527">
        <v>1</v>
      </c>
      <c r="C1527" t="b">
        <v>0</v>
      </c>
      <c r="D1527" t="s">
        <v>5301</v>
      </c>
      <c r="E1527" t="s">
        <v>5600</v>
      </c>
      <c r="F1527" t="s">
        <v>5601</v>
      </c>
      <c r="G1527" t="s">
        <v>5623</v>
      </c>
      <c r="H1527">
        <v>1526</v>
      </c>
      <c r="I1527" t="str">
        <f>IF(ISBLANK(Table1[[#This Row],[oid]]),"FALSE","TRUE")</f>
        <v>TRUE</v>
      </c>
      <c r="J1527" t="str" cm="1">
        <f t="array" ref="J1527">_xlfn.SWITCH(LEFT(Table1[[#This Row],[section]],1), "D", "Demographic", "S", "Social", "E", "Economic", "H", "Housing", "")</f>
        <v>Economic</v>
      </c>
      <c r="K1527" t="s">
        <v>5603</v>
      </c>
      <c r="L1527" t="s">
        <v>5604</v>
      </c>
      <c r="M1527" t="str">
        <f>IF(Table1[[#This Row],[used]], _xlfn.CONCAT("🆔 ", Table1[[#This Row],[variable]], ": ",Table1[[#This Row],[alias]]), "")</f>
        <v>🆔 B19061_001E: Aggregate earnings in the past 12 months in 2016 inflation-adjusted dollars</v>
      </c>
      <c r="O1527" t="s">
        <v>5624</v>
      </c>
      <c r="P1527" t="s">
        <v>5625</v>
      </c>
      <c r="Q1527" t="s">
        <v>41</v>
      </c>
      <c r="R1527" t="s">
        <v>5607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1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</row>
    <row r="1528" spans="1:33" x14ac:dyDescent="0.25">
      <c r="A1528" t="s">
        <v>25</v>
      </c>
      <c r="B1528">
        <v>1</v>
      </c>
      <c r="C1528" t="b">
        <v>0</v>
      </c>
      <c r="D1528" t="s">
        <v>5301</v>
      </c>
      <c r="E1528" t="s">
        <v>5600</v>
      </c>
      <c r="F1528" t="s">
        <v>5601</v>
      </c>
      <c r="G1528" t="s">
        <v>5626</v>
      </c>
      <c r="H1528">
        <v>1527</v>
      </c>
      <c r="I1528" t="str">
        <f>IF(ISBLANK(Table1[[#This Row],[oid]]),"FALSE","TRUE")</f>
        <v>TRUE</v>
      </c>
      <c r="J1528" t="str" cm="1">
        <f t="array" ref="J1528">_xlfn.SWITCH(LEFT(Table1[[#This Row],[section]],1), "D", "Demographic", "S", "Social", "E", "Economic", "H", "Housing", "")</f>
        <v>Economic</v>
      </c>
      <c r="K1528" t="s">
        <v>5603</v>
      </c>
      <c r="L1528" t="s">
        <v>5604</v>
      </c>
      <c r="M1528" t="str">
        <f>IF(Table1[[#This Row],[used]], _xlfn.CONCAT("🆔 ", Table1[[#This Row],[variable]], ": ",Table1[[#This Row],[alias]]), "")</f>
        <v>🆔 B19061_001E: Aggregate earnings in the past 12 months in 2017 inflation-adjusted dollars</v>
      </c>
      <c r="O1528" t="s">
        <v>5627</v>
      </c>
      <c r="P1528" t="s">
        <v>5628</v>
      </c>
      <c r="Q1528" t="s">
        <v>41</v>
      </c>
      <c r="R1528" t="s">
        <v>5607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1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</row>
    <row r="1529" spans="1:33" x14ac:dyDescent="0.25">
      <c r="A1529" t="s">
        <v>26</v>
      </c>
      <c r="B1529">
        <v>1</v>
      </c>
      <c r="C1529" t="b">
        <v>0</v>
      </c>
      <c r="D1529" t="s">
        <v>5301</v>
      </c>
      <c r="E1529" t="s">
        <v>5600</v>
      </c>
      <c r="F1529" t="s">
        <v>5601</v>
      </c>
      <c r="G1529" t="s">
        <v>5629</v>
      </c>
      <c r="H1529">
        <v>1528</v>
      </c>
      <c r="I1529" t="str">
        <f>IF(ISBLANK(Table1[[#This Row],[oid]]),"FALSE","TRUE")</f>
        <v>TRUE</v>
      </c>
      <c r="J1529" t="str" cm="1">
        <f t="array" ref="J1529">_xlfn.SWITCH(LEFT(Table1[[#This Row],[section]],1), "D", "Demographic", "S", "Social", "E", "Economic", "H", "Housing", "")</f>
        <v>Economic</v>
      </c>
      <c r="K1529" t="s">
        <v>5603</v>
      </c>
      <c r="L1529" t="s">
        <v>5604</v>
      </c>
      <c r="M1529" t="str">
        <f>IF(Table1[[#This Row],[used]], _xlfn.CONCAT("🆔 ", Table1[[#This Row],[variable]], ": ",Table1[[#This Row],[alias]]), "")</f>
        <v>🆔 B19061_001E: Aggregate earnings in the past 12 months in 2018 inflation-adjusted dollars</v>
      </c>
      <c r="O1529" t="s">
        <v>5630</v>
      </c>
      <c r="P1529" t="s">
        <v>5631</v>
      </c>
      <c r="Q1529" t="s">
        <v>41</v>
      </c>
      <c r="R1529" t="s">
        <v>5607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1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</row>
    <row r="1530" spans="1:33" x14ac:dyDescent="0.25">
      <c r="A1530" t="s">
        <v>27</v>
      </c>
      <c r="B1530">
        <v>1</v>
      </c>
      <c r="C1530" t="b">
        <v>0</v>
      </c>
      <c r="D1530" t="s">
        <v>5301</v>
      </c>
      <c r="E1530" t="s">
        <v>5600</v>
      </c>
      <c r="F1530" t="s">
        <v>5601</v>
      </c>
      <c r="G1530" t="s">
        <v>5632</v>
      </c>
      <c r="H1530">
        <v>1529</v>
      </c>
      <c r="I1530" t="str">
        <f>IF(ISBLANK(Table1[[#This Row],[oid]]),"FALSE","TRUE")</f>
        <v>TRUE</v>
      </c>
      <c r="J1530" t="str" cm="1">
        <f t="array" ref="J1530">_xlfn.SWITCH(LEFT(Table1[[#This Row],[section]],1), "D", "Demographic", "S", "Social", "E", "Economic", "H", "Housing", "")</f>
        <v>Economic</v>
      </c>
      <c r="K1530" t="s">
        <v>5603</v>
      </c>
      <c r="L1530" t="s">
        <v>5604</v>
      </c>
      <c r="M1530" t="str">
        <f>IF(Table1[[#This Row],[used]], _xlfn.CONCAT("🆔 ", Table1[[#This Row],[variable]], ": ",Table1[[#This Row],[alias]]), "")</f>
        <v>🆔 B19061_001E: Aggregate earnings in the past 12 months in 2019 inflation-adjusted dollars</v>
      </c>
      <c r="O1530" t="s">
        <v>5633</v>
      </c>
      <c r="P1530" t="s">
        <v>5634</v>
      </c>
      <c r="Q1530" t="s">
        <v>41</v>
      </c>
      <c r="R1530" t="s">
        <v>5607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1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</row>
    <row r="1531" spans="1:33" x14ac:dyDescent="0.25">
      <c r="A1531" t="s">
        <v>28</v>
      </c>
      <c r="B1531">
        <v>1</v>
      </c>
      <c r="C1531" t="b">
        <v>0</v>
      </c>
      <c r="D1531" t="s">
        <v>5301</v>
      </c>
      <c r="E1531" t="s">
        <v>5600</v>
      </c>
      <c r="F1531" t="s">
        <v>5601</v>
      </c>
      <c r="G1531" t="s">
        <v>5635</v>
      </c>
      <c r="H1531">
        <v>1530</v>
      </c>
      <c r="I1531" t="str">
        <f>IF(ISBLANK(Table1[[#This Row],[oid]]),"FALSE","TRUE")</f>
        <v>TRUE</v>
      </c>
      <c r="J1531" t="str" cm="1">
        <f t="array" ref="J1531">_xlfn.SWITCH(LEFT(Table1[[#This Row],[section]],1), "D", "Demographic", "S", "Social", "E", "Economic", "H", "Housing", "")</f>
        <v>Economic</v>
      </c>
      <c r="K1531" t="s">
        <v>5603</v>
      </c>
      <c r="L1531" t="s">
        <v>5604</v>
      </c>
      <c r="M1531" t="str">
        <f>IF(Table1[[#This Row],[used]], _xlfn.CONCAT("🆔 ", Table1[[#This Row],[variable]], ": ",Table1[[#This Row],[alias]]), "")</f>
        <v>🆔 B19061_001E: Aggregate earnings in the past 12 months in 2020 inflation-adjusted dollars</v>
      </c>
      <c r="O1531" t="s">
        <v>5636</v>
      </c>
      <c r="P1531" t="s">
        <v>5637</v>
      </c>
      <c r="Q1531" t="s">
        <v>41</v>
      </c>
      <c r="R1531" t="s">
        <v>5607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1</v>
      </c>
      <c r="AD1531" t="b">
        <v>0</v>
      </c>
      <c r="AE1531" t="b">
        <v>0</v>
      </c>
      <c r="AF1531" t="b">
        <v>0</v>
      </c>
      <c r="AG1531" t="b">
        <v>0</v>
      </c>
    </row>
    <row r="1532" spans="1:33" x14ac:dyDescent="0.25">
      <c r="A1532" t="s">
        <v>29</v>
      </c>
      <c r="B1532">
        <v>1</v>
      </c>
      <c r="C1532" t="b">
        <v>0</v>
      </c>
      <c r="D1532" t="s">
        <v>5301</v>
      </c>
      <c r="E1532" t="s">
        <v>5600</v>
      </c>
      <c r="F1532" t="s">
        <v>5601</v>
      </c>
      <c r="G1532" t="s">
        <v>5638</v>
      </c>
      <c r="H1532">
        <v>1531</v>
      </c>
      <c r="I1532" t="str">
        <f>IF(ISBLANK(Table1[[#This Row],[oid]]),"FALSE","TRUE")</f>
        <v>TRUE</v>
      </c>
      <c r="J1532" t="str" cm="1">
        <f t="array" ref="J1532">_xlfn.SWITCH(LEFT(Table1[[#This Row],[section]],1), "D", "Demographic", "S", "Social", "E", "Economic", "H", "Housing", "")</f>
        <v>Economic</v>
      </c>
      <c r="K1532" t="s">
        <v>5603</v>
      </c>
      <c r="L1532" t="s">
        <v>5604</v>
      </c>
      <c r="M1532" t="str">
        <f>IF(Table1[[#This Row],[used]], _xlfn.CONCAT("🆔 ", Table1[[#This Row],[variable]], ": ",Table1[[#This Row],[alias]]), "")</f>
        <v>🆔 B19061_001E: Aggregate earnings in the past 12 months in 2021 inflation-adjusted dollars</v>
      </c>
      <c r="O1532" t="s">
        <v>5639</v>
      </c>
      <c r="P1532" t="s">
        <v>5640</v>
      </c>
      <c r="Q1532" t="s">
        <v>41</v>
      </c>
      <c r="R1532" t="s">
        <v>5607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1</v>
      </c>
      <c r="AE1532" t="b">
        <v>0</v>
      </c>
      <c r="AF1532" t="b">
        <v>0</v>
      </c>
      <c r="AG1532" t="b">
        <v>0</v>
      </c>
    </row>
    <row r="1533" spans="1:33" x14ac:dyDescent="0.25">
      <c r="A1533" t="s">
        <v>30</v>
      </c>
      <c r="B1533">
        <v>1</v>
      </c>
      <c r="C1533" t="b">
        <v>0</v>
      </c>
      <c r="D1533" t="s">
        <v>5301</v>
      </c>
      <c r="E1533" t="s">
        <v>5600</v>
      </c>
      <c r="F1533" t="s">
        <v>5601</v>
      </c>
      <c r="G1533" t="s">
        <v>5641</v>
      </c>
      <c r="H1533">
        <v>1532</v>
      </c>
      <c r="I1533" t="str">
        <f>IF(ISBLANK(Table1[[#This Row],[oid]]),"FALSE","TRUE")</f>
        <v>TRUE</v>
      </c>
      <c r="J1533" t="str" cm="1">
        <f t="array" ref="J1533">_xlfn.SWITCH(LEFT(Table1[[#This Row],[section]],1), "D", "Demographic", "S", "Social", "E", "Economic", "H", "Housing", "")</f>
        <v>Economic</v>
      </c>
      <c r="K1533" t="s">
        <v>5603</v>
      </c>
      <c r="L1533" t="s">
        <v>5604</v>
      </c>
      <c r="M1533" t="str">
        <f>IF(Table1[[#This Row],[used]], _xlfn.CONCAT("🆔 ", Table1[[#This Row],[variable]], ": ",Table1[[#This Row],[alias]]), "")</f>
        <v>🆔 B19061_001E: Aggregate earnings in the past 12 months in 2022 inflation-adjusted dollars</v>
      </c>
      <c r="O1533" t="s">
        <v>5642</v>
      </c>
      <c r="P1533" t="s">
        <v>5643</v>
      </c>
      <c r="Q1533" t="s">
        <v>41</v>
      </c>
      <c r="R1533" t="s">
        <v>5607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1</v>
      </c>
      <c r="AF1533" t="b">
        <v>0</v>
      </c>
      <c r="AG1533" t="b">
        <v>0</v>
      </c>
    </row>
    <row r="1534" spans="1:33" x14ac:dyDescent="0.25">
      <c r="A1534" t="s">
        <v>31</v>
      </c>
      <c r="B1534">
        <v>1</v>
      </c>
      <c r="C1534" t="b">
        <v>0</v>
      </c>
      <c r="D1534" t="s">
        <v>5301</v>
      </c>
      <c r="E1534" t="s">
        <v>5600</v>
      </c>
      <c r="F1534" t="s">
        <v>5601</v>
      </c>
      <c r="G1534" t="s">
        <v>5644</v>
      </c>
      <c r="H1534">
        <v>1533</v>
      </c>
      <c r="I1534" t="str">
        <f>IF(ISBLANK(Table1[[#This Row],[oid]]),"FALSE","TRUE")</f>
        <v>TRUE</v>
      </c>
      <c r="J1534" t="str" cm="1">
        <f t="array" ref="J1534">_xlfn.SWITCH(LEFT(Table1[[#This Row],[section]],1), "D", "Demographic", "S", "Social", "E", "Economic", "H", "Housing", "")</f>
        <v>Economic</v>
      </c>
      <c r="K1534" t="s">
        <v>5603</v>
      </c>
      <c r="L1534" t="s">
        <v>5604</v>
      </c>
      <c r="M1534" t="str">
        <f>IF(Table1[[#This Row],[used]], _xlfn.CONCAT("🆔 ", Table1[[#This Row],[variable]], ": ",Table1[[#This Row],[alias]]), "")</f>
        <v>🆔 B19061_001E: Aggregate earnings in the past 12 months in 2023 inflation-adjusted dollars</v>
      </c>
      <c r="O1534" t="s">
        <v>5645</v>
      </c>
      <c r="P1534" t="s">
        <v>5646</v>
      </c>
      <c r="Q1534" t="s">
        <v>41</v>
      </c>
      <c r="R1534" t="s">
        <v>5607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1</v>
      </c>
      <c r="AG1534" t="b">
        <v>0</v>
      </c>
    </row>
    <row r="1535" spans="1:33" x14ac:dyDescent="0.25">
      <c r="A1535" t="s">
        <v>32</v>
      </c>
      <c r="B1535">
        <v>1</v>
      </c>
      <c r="C1535" t="b">
        <v>0</v>
      </c>
      <c r="D1535" t="s">
        <v>5301</v>
      </c>
      <c r="E1535" t="s">
        <v>5600</v>
      </c>
      <c r="F1535" t="s">
        <v>5601</v>
      </c>
      <c r="G1535" t="s">
        <v>5647</v>
      </c>
      <c r="H1535">
        <v>1534</v>
      </c>
      <c r="I1535" t="str">
        <f>IF(ISBLANK(Table1[[#This Row],[oid]]),"FALSE","TRUE")</f>
        <v>TRUE</v>
      </c>
      <c r="J1535" t="str" cm="1">
        <f t="array" ref="J1535">_xlfn.SWITCH(LEFT(Table1[[#This Row],[section]],1), "D", "Demographic", "S", "Social", "E", "Economic", "H", "Housing", "")</f>
        <v>Economic</v>
      </c>
      <c r="K1535" t="s">
        <v>5603</v>
      </c>
      <c r="L1535" t="s">
        <v>5604</v>
      </c>
      <c r="M1535" t="str">
        <f>IF(Table1[[#This Row],[used]], _xlfn.CONCAT("🆔 ", Table1[[#This Row],[variable]], ": ",Table1[[#This Row],[alias]]), "")</f>
        <v>🆔 B19061_001E: Aggregate earnings in the past 12 months in 2024 inflation-adjusted dollars</v>
      </c>
      <c r="O1535" t="s">
        <v>5648</v>
      </c>
      <c r="P1535" t="s">
        <v>5649</v>
      </c>
      <c r="Q1535" t="s">
        <v>41</v>
      </c>
      <c r="R1535" t="s">
        <v>5607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</row>
    <row r="1536" spans="1:33" x14ac:dyDescent="0.25">
      <c r="A1536" t="s">
        <v>18</v>
      </c>
      <c r="B1536">
        <v>1</v>
      </c>
      <c r="C1536" t="b">
        <v>0</v>
      </c>
      <c r="D1536" t="s">
        <v>5301</v>
      </c>
      <c r="E1536" t="s">
        <v>5650</v>
      </c>
      <c r="F1536" t="s">
        <v>5651</v>
      </c>
      <c r="G1536" t="s">
        <v>5652</v>
      </c>
      <c r="H1536">
        <v>1535</v>
      </c>
      <c r="I1536" t="str">
        <f>IF(ISBLANK(Table1[[#This Row],[oid]]),"FALSE","TRUE")</f>
        <v>TRUE</v>
      </c>
      <c r="J1536" t="str" cm="1">
        <f t="array" ref="J1536">_xlfn.SWITCH(LEFT(Table1[[#This Row],[section]],1), "D", "Demographic", "S", "Social", "E", "Economic", "H", "Housing", "")</f>
        <v>Economic</v>
      </c>
      <c r="K1536" t="s">
        <v>5603</v>
      </c>
      <c r="L1536" t="s">
        <v>5604</v>
      </c>
      <c r="M1536" t="str">
        <f>IF(Table1[[#This Row],[used]], _xlfn.CONCAT("🆔 ", Table1[[#This Row],[variable]], ": ",Table1[[#This Row],[alias]]), "")</f>
        <v>🆔 B19062_001E: Aggregate wage or salary income in the past 12 months in 2010 inflation-adjusted dollars</v>
      </c>
      <c r="O1536" t="s">
        <v>5653</v>
      </c>
      <c r="P1536" t="s">
        <v>5654</v>
      </c>
      <c r="Q1536" t="s">
        <v>41</v>
      </c>
      <c r="R1536" t="s">
        <v>5655</v>
      </c>
      <c r="S1536" t="b">
        <v>1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</row>
    <row r="1537" spans="1:33" x14ac:dyDescent="0.25">
      <c r="A1537" t="s">
        <v>19</v>
      </c>
      <c r="B1537">
        <v>1</v>
      </c>
      <c r="C1537" t="b">
        <v>0</v>
      </c>
      <c r="D1537" t="s">
        <v>5301</v>
      </c>
      <c r="E1537" t="s">
        <v>5650</v>
      </c>
      <c r="F1537" t="s">
        <v>5651</v>
      </c>
      <c r="G1537" t="s">
        <v>5656</v>
      </c>
      <c r="H1537">
        <v>1536</v>
      </c>
      <c r="I1537" t="str">
        <f>IF(ISBLANK(Table1[[#This Row],[oid]]),"FALSE","TRUE")</f>
        <v>TRUE</v>
      </c>
      <c r="J1537" t="str" cm="1">
        <f t="array" ref="J1537">_xlfn.SWITCH(LEFT(Table1[[#This Row],[section]],1), "D", "Demographic", "S", "Social", "E", "Economic", "H", "Housing", "")</f>
        <v>Economic</v>
      </c>
      <c r="K1537" t="s">
        <v>5603</v>
      </c>
      <c r="L1537" t="s">
        <v>5604</v>
      </c>
      <c r="M1537" t="str">
        <f>IF(Table1[[#This Row],[used]], _xlfn.CONCAT("🆔 ", Table1[[#This Row],[variable]], ": ",Table1[[#This Row],[alias]]), "")</f>
        <v>🆔 B19062_001E: Aggregate wage or salary income in the past 12 months in 2011 inflation-adjusted dollars</v>
      </c>
      <c r="O1537" t="s">
        <v>5657</v>
      </c>
      <c r="P1537" t="s">
        <v>5658</v>
      </c>
      <c r="Q1537" t="s">
        <v>41</v>
      </c>
      <c r="R1537" t="s">
        <v>5655</v>
      </c>
      <c r="S1537" t="b">
        <v>0</v>
      </c>
      <c r="T1537" t="b">
        <v>1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</row>
    <row r="1538" spans="1:33" x14ac:dyDescent="0.25">
      <c r="A1538" t="s">
        <v>20</v>
      </c>
      <c r="B1538">
        <v>1</v>
      </c>
      <c r="C1538" t="b">
        <v>0</v>
      </c>
      <c r="D1538" t="s">
        <v>5301</v>
      </c>
      <c r="E1538" t="s">
        <v>5650</v>
      </c>
      <c r="F1538" t="s">
        <v>5651</v>
      </c>
      <c r="G1538" t="s">
        <v>5659</v>
      </c>
      <c r="H1538">
        <v>1537</v>
      </c>
      <c r="I1538" t="str">
        <f>IF(ISBLANK(Table1[[#This Row],[oid]]),"FALSE","TRUE")</f>
        <v>TRUE</v>
      </c>
      <c r="J1538" t="str" cm="1">
        <f t="array" ref="J1538">_xlfn.SWITCH(LEFT(Table1[[#This Row],[section]],1), "D", "Demographic", "S", "Social", "E", "Economic", "H", "Housing", "")</f>
        <v>Economic</v>
      </c>
      <c r="K1538" t="s">
        <v>5603</v>
      </c>
      <c r="L1538" t="s">
        <v>5604</v>
      </c>
      <c r="M1538" t="str">
        <f>IF(Table1[[#This Row],[used]], _xlfn.CONCAT("🆔 ", Table1[[#This Row],[variable]], ": ",Table1[[#This Row],[alias]]), "")</f>
        <v>🆔 B19062_001E: Aggregate wage or salary income in the past 12 months in 2012 inflation-adjusted dollars</v>
      </c>
      <c r="O1538" t="s">
        <v>5660</v>
      </c>
      <c r="P1538" t="s">
        <v>5661</v>
      </c>
      <c r="Q1538" t="s">
        <v>41</v>
      </c>
      <c r="R1538" t="s">
        <v>5655</v>
      </c>
      <c r="S1538" t="b">
        <v>0</v>
      </c>
      <c r="T1538" t="b">
        <v>0</v>
      </c>
      <c r="U1538" t="b">
        <v>1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</row>
    <row r="1539" spans="1:33" x14ac:dyDescent="0.25">
      <c r="A1539" t="s">
        <v>21</v>
      </c>
      <c r="B1539">
        <v>1</v>
      </c>
      <c r="C1539" t="b">
        <v>0</v>
      </c>
      <c r="D1539" t="s">
        <v>5301</v>
      </c>
      <c r="E1539" t="s">
        <v>5650</v>
      </c>
      <c r="F1539" t="s">
        <v>5651</v>
      </c>
      <c r="G1539" t="s">
        <v>5662</v>
      </c>
      <c r="H1539">
        <v>1538</v>
      </c>
      <c r="I1539" t="str">
        <f>IF(ISBLANK(Table1[[#This Row],[oid]]),"FALSE","TRUE")</f>
        <v>TRUE</v>
      </c>
      <c r="J1539" t="str" cm="1">
        <f t="array" ref="J1539">_xlfn.SWITCH(LEFT(Table1[[#This Row],[section]],1), "D", "Demographic", "S", "Social", "E", "Economic", "H", "Housing", "")</f>
        <v>Economic</v>
      </c>
      <c r="K1539" t="s">
        <v>5603</v>
      </c>
      <c r="L1539" t="s">
        <v>5604</v>
      </c>
      <c r="M1539" t="str">
        <f>IF(Table1[[#This Row],[used]], _xlfn.CONCAT("🆔 ", Table1[[#This Row],[variable]], ": ",Table1[[#This Row],[alias]]), "")</f>
        <v>🆔 B19062_001E: Aggregate wage or salary income in the past 12 months in 2013 inflation-adjusted dollars</v>
      </c>
      <c r="O1539" t="s">
        <v>5663</v>
      </c>
      <c r="P1539" t="s">
        <v>5664</v>
      </c>
      <c r="Q1539" t="s">
        <v>41</v>
      </c>
      <c r="R1539" t="s">
        <v>5655</v>
      </c>
      <c r="S1539" t="b">
        <v>0</v>
      </c>
      <c r="T1539" t="b">
        <v>0</v>
      </c>
      <c r="U1539" t="b">
        <v>0</v>
      </c>
      <c r="V1539" t="b">
        <v>1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</row>
    <row r="1540" spans="1:33" x14ac:dyDescent="0.25">
      <c r="A1540" t="s">
        <v>22</v>
      </c>
      <c r="B1540">
        <v>1</v>
      </c>
      <c r="C1540" t="b">
        <v>0</v>
      </c>
      <c r="D1540" t="s">
        <v>5301</v>
      </c>
      <c r="E1540" t="s">
        <v>5650</v>
      </c>
      <c r="F1540" t="s">
        <v>5651</v>
      </c>
      <c r="G1540" t="s">
        <v>5665</v>
      </c>
      <c r="H1540">
        <v>1539</v>
      </c>
      <c r="I1540" t="str">
        <f>IF(ISBLANK(Table1[[#This Row],[oid]]),"FALSE","TRUE")</f>
        <v>TRUE</v>
      </c>
      <c r="J1540" t="str" cm="1">
        <f t="array" ref="J1540">_xlfn.SWITCH(LEFT(Table1[[#This Row],[section]],1), "D", "Demographic", "S", "Social", "E", "Economic", "H", "Housing", "")</f>
        <v>Economic</v>
      </c>
      <c r="K1540" t="s">
        <v>5603</v>
      </c>
      <c r="L1540" t="s">
        <v>5604</v>
      </c>
      <c r="M1540" t="str">
        <f>IF(Table1[[#This Row],[used]], _xlfn.CONCAT("🆔 ", Table1[[#This Row],[variable]], ": ",Table1[[#This Row],[alias]]), "")</f>
        <v>🆔 B19062_001E: Aggregate wage or salary income in the past 12 months in 2014 Inflation-adjusted dollars</v>
      </c>
      <c r="O1540" t="s">
        <v>5666</v>
      </c>
      <c r="P1540" t="s">
        <v>5667</v>
      </c>
      <c r="Q1540" t="s">
        <v>41</v>
      </c>
      <c r="R1540" t="s">
        <v>5655</v>
      </c>
      <c r="S1540" t="b">
        <v>0</v>
      </c>
      <c r="T1540" t="b">
        <v>0</v>
      </c>
      <c r="U1540" t="b">
        <v>0</v>
      </c>
      <c r="V1540" t="b">
        <v>0</v>
      </c>
      <c r="W1540" t="b">
        <v>1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</row>
    <row r="1541" spans="1:33" x14ac:dyDescent="0.25">
      <c r="A1541" t="s">
        <v>23</v>
      </c>
      <c r="B1541">
        <v>1</v>
      </c>
      <c r="C1541" t="b">
        <v>0</v>
      </c>
      <c r="D1541" t="s">
        <v>5301</v>
      </c>
      <c r="E1541" t="s">
        <v>5650</v>
      </c>
      <c r="F1541" t="s">
        <v>5651</v>
      </c>
      <c r="G1541" t="s">
        <v>5668</v>
      </c>
      <c r="H1541">
        <v>1540</v>
      </c>
      <c r="I1541" t="str">
        <f>IF(ISBLANK(Table1[[#This Row],[oid]]),"FALSE","TRUE")</f>
        <v>TRUE</v>
      </c>
      <c r="J1541" t="str" cm="1">
        <f t="array" ref="J1541">_xlfn.SWITCH(LEFT(Table1[[#This Row],[section]],1), "D", "Demographic", "S", "Social", "E", "Economic", "H", "Housing", "")</f>
        <v>Economic</v>
      </c>
      <c r="K1541" t="s">
        <v>5603</v>
      </c>
      <c r="L1541" t="s">
        <v>5604</v>
      </c>
      <c r="M1541" t="str">
        <f>IF(Table1[[#This Row],[used]], _xlfn.CONCAT("🆔 ", Table1[[#This Row],[variable]], ": ",Table1[[#This Row],[alias]]), "")</f>
        <v>🆔 B19062_001E: Aggregate wage or salary income in the past 12 months in 2015 Inflation-adjusted dollars</v>
      </c>
      <c r="O1541" t="s">
        <v>5669</v>
      </c>
      <c r="P1541" t="s">
        <v>5670</v>
      </c>
      <c r="Q1541" t="s">
        <v>41</v>
      </c>
      <c r="R1541" t="s">
        <v>5655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1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</row>
    <row r="1542" spans="1:33" x14ac:dyDescent="0.25">
      <c r="A1542" t="s">
        <v>24</v>
      </c>
      <c r="B1542">
        <v>1</v>
      </c>
      <c r="C1542" t="b">
        <v>0</v>
      </c>
      <c r="D1542" t="s">
        <v>5301</v>
      </c>
      <c r="E1542" t="s">
        <v>5650</v>
      </c>
      <c r="F1542" t="s">
        <v>5651</v>
      </c>
      <c r="G1542" t="s">
        <v>5671</v>
      </c>
      <c r="H1542">
        <v>1541</v>
      </c>
      <c r="I1542" t="str">
        <f>IF(ISBLANK(Table1[[#This Row],[oid]]),"FALSE","TRUE")</f>
        <v>TRUE</v>
      </c>
      <c r="J1542" t="str" cm="1">
        <f t="array" ref="J1542">_xlfn.SWITCH(LEFT(Table1[[#This Row],[section]],1), "D", "Demographic", "S", "Social", "E", "Economic", "H", "Housing", "")</f>
        <v>Economic</v>
      </c>
      <c r="K1542" t="s">
        <v>5603</v>
      </c>
      <c r="L1542" t="s">
        <v>5604</v>
      </c>
      <c r="M1542" t="str">
        <f>IF(Table1[[#This Row],[used]], _xlfn.CONCAT("🆔 ", Table1[[#This Row],[variable]], ": ",Table1[[#This Row],[alias]]), "")</f>
        <v>🆔 B19062_001E: Aggregate wage or salary income in the past 12 months in 2016 inflation-adjusted dollars</v>
      </c>
      <c r="O1542" t="s">
        <v>5672</v>
      </c>
      <c r="P1542" t="s">
        <v>5673</v>
      </c>
      <c r="Q1542" t="s">
        <v>41</v>
      </c>
      <c r="R1542" t="s">
        <v>5655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1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</row>
    <row r="1543" spans="1:33" x14ac:dyDescent="0.25">
      <c r="A1543" t="s">
        <v>25</v>
      </c>
      <c r="B1543">
        <v>1</v>
      </c>
      <c r="C1543" t="b">
        <v>0</v>
      </c>
      <c r="D1543" t="s">
        <v>5301</v>
      </c>
      <c r="E1543" t="s">
        <v>5650</v>
      </c>
      <c r="F1543" t="s">
        <v>5651</v>
      </c>
      <c r="G1543" t="s">
        <v>5674</v>
      </c>
      <c r="H1543">
        <v>1542</v>
      </c>
      <c r="I1543" t="str">
        <f>IF(ISBLANK(Table1[[#This Row],[oid]]),"FALSE","TRUE")</f>
        <v>TRUE</v>
      </c>
      <c r="J1543" t="str" cm="1">
        <f t="array" ref="J1543">_xlfn.SWITCH(LEFT(Table1[[#This Row],[section]],1), "D", "Demographic", "S", "Social", "E", "Economic", "H", "Housing", "")</f>
        <v>Economic</v>
      </c>
      <c r="K1543" t="s">
        <v>5603</v>
      </c>
      <c r="L1543" t="s">
        <v>5604</v>
      </c>
      <c r="M1543" t="str">
        <f>IF(Table1[[#This Row],[used]], _xlfn.CONCAT("🆔 ", Table1[[#This Row],[variable]], ": ",Table1[[#This Row],[alias]]), "")</f>
        <v>🆔 B19062_001E: Aggregate wage or salary income in the past 12 months in 2017 inflation-adjusted dollars</v>
      </c>
      <c r="O1543" t="s">
        <v>5675</v>
      </c>
      <c r="P1543" t="s">
        <v>5676</v>
      </c>
      <c r="Q1543" t="s">
        <v>41</v>
      </c>
      <c r="R1543" t="s">
        <v>5655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1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</row>
    <row r="1544" spans="1:33" x14ac:dyDescent="0.25">
      <c r="A1544" t="s">
        <v>26</v>
      </c>
      <c r="B1544">
        <v>1</v>
      </c>
      <c r="C1544" t="b">
        <v>0</v>
      </c>
      <c r="D1544" t="s">
        <v>5301</v>
      </c>
      <c r="E1544" t="s">
        <v>5650</v>
      </c>
      <c r="F1544" t="s">
        <v>5651</v>
      </c>
      <c r="G1544" t="s">
        <v>5677</v>
      </c>
      <c r="H1544">
        <v>1543</v>
      </c>
      <c r="I1544" t="str">
        <f>IF(ISBLANK(Table1[[#This Row],[oid]]),"FALSE","TRUE")</f>
        <v>TRUE</v>
      </c>
      <c r="J1544" t="str" cm="1">
        <f t="array" ref="J1544">_xlfn.SWITCH(LEFT(Table1[[#This Row],[section]],1), "D", "Demographic", "S", "Social", "E", "Economic", "H", "Housing", "")</f>
        <v>Economic</v>
      </c>
      <c r="K1544" t="s">
        <v>5603</v>
      </c>
      <c r="L1544" t="s">
        <v>5604</v>
      </c>
      <c r="M1544" t="str">
        <f>IF(Table1[[#This Row],[used]], _xlfn.CONCAT("🆔 ", Table1[[#This Row],[variable]], ": ",Table1[[#This Row],[alias]]), "")</f>
        <v>🆔 B19062_001E: Aggregate wage or salary income in the past 12 months in 2018 inflation-adjusted dollars</v>
      </c>
      <c r="O1544" t="s">
        <v>5678</v>
      </c>
      <c r="P1544" t="s">
        <v>5679</v>
      </c>
      <c r="Q1544" t="s">
        <v>41</v>
      </c>
      <c r="R1544" t="s">
        <v>5655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1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</row>
    <row r="1545" spans="1:33" x14ac:dyDescent="0.25">
      <c r="A1545" t="s">
        <v>27</v>
      </c>
      <c r="B1545">
        <v>1</v>
      </c>
      <c r="C1545" t="b">
        <v>0</v>
      </c>
      <c r="D1545" t="s">
        <v>5301</v>
      </c>
      <c r="E1545" t="s">
        <v>5650</v>
      </c>
      <c r="F1545" t="s">
        <v>5651</v>
      </c>
      <c r="G1545" t="s">
        <v>5680</v>
      </c>
      <c r="H1545">
        <v>1544</v>
      </c>
      <c r="I1545" t="str">
        <f>IF(ISBLANK(Table1[[#This Row],[oid]]),"FALSE","TRUE")</f>
        <v>TRUE</v>
      </c>
      <c r="J1545" t="str" cm="1">
        <f t="array" ref="J1545">_xlfn.SWITCH(LEFT(Table1[[#This Row],[section]],1), "D", "Demographic", "S", "Social", "E", "Economic", "H", "Housing", "")</f>
        <v>Economic</v>
      </c>
      <c r="K1545" t="s">
        <v>5603</v>
      </c>
      <c r="L1545" t="s">
        <v>5604</v>
      </c>
      <c r="M1545" t="str">
        <f>IF(Table1[[#This Row],[used]], _xlfn.CONCAT("🆔 ", Table1[[#This Row],[variable]], ": ",Table1[[#This Row],[alias]]), "")</f>
        <v>🆔 B19062_001E: Aggregate wage or salary income in the past 12 months in 2019 inflation-adjusted dollars</v>
      </c>
      <c r="O1545" t="s">
        <v>5681</v>
      </c>
      <c r="P1545" t="s">
        <v>5682</v>
      </c>
      <c r="Q1545" t="s">
        <v>41</v>
      </c>
      <c r="R1545" t="s">
        <v>5655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1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</row>
    <row r="1546" spans="1:33" x14ac:dyDescent="0.25">
      <c r="A1546" t="s">
        <v>28</v>
      </c>
      <c r="B1546">
        <v>1</v>
      </c>
      <c r="C1546" t="b">
        <v>0</v>
      </c>
      <c r="D1546" t="s">
        <v>5301</v>
      </c>
      <c r="E1546" t="s">
        <v>5650</v>
      </c>
      <c r="F1546" t="s">
        <v>5651</v>
      </c>
      <c r="G1546" t="s">
        <v>5683</v>
      </c>
      <c r="H1546">
        <v>1545</v>
      </c>
      <c r="I1546" t="str">
        <f>IF(ISBLANK(Table1[[#This Row],[oid]]),"FALSE","TRUE")</f>
        <v>TRUE</v>
      </c>
      <c r="J1546" t="str" cm="1">
        <f t="array" ref="J1546">_xlfn.SWITCH(LEFT(Table1[[#This Row],[section]],1), "D", "Demographic", "S", "Social", "E", "Economic", "H", "Housing", "")</f>
        <v>Economic</v>
      </c>
      <c r="K1546" t="s">
        <v>5603</v>
      </c>
      <c r="L1546" t="s">
        <v>5604</v>
      </c>
      <c r="M1546" t="str">
        <f>IF(Table1[[#This Row],[used]], _xlfn.CONCAT("🆔 ", Table1[[#This Row],[variable]], ": ",Table1[[#This Row],[alias]]), "")</f>
        <v>🆔 B19062_001E: Aggregate wage or salary income in the past 12 months in 2020 inflation-adjusted dollars</v>
      </c>
      <c r="O1546" t="s">
        <v>5684</v>
      </c>
      <c r="P1546" t="s">
        <v>5685</v>
      </c>
      <c r="Q1546" t="s">
        <v>41</v>
      </c>
      <c r="R1546" t="s">
        <v>5655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1</v>
      </c>
      <c r="AD1546" t="b">
        <v>0</v>
      </c>
      <c r="AE1546" t="b">
        <v>0</v>
      </c>
      <c r="AF1546" t="b">
        <v>0</v>
      </c>
      <c r="AG1546" t="b">
        <v>0</v>
      </c>
    </row>
    <row r="1547" spans="1:33" x14ac:dyDescent="0.25">
      <c r="A1547" t="s">
        <v>29</v>
      </c>
      <c r="B1547">
        <v>1</v>
      </c>
      <c r="C1547" t="b">
        <v>0</v>
      </c>
      <c r="D1547" t="s">
        <v>5301</v>
      </c>
      <c r="E1547" t="s">
        <v>5650</v>
      </c>
      <c r="F1547" t="s">
        <v>5651</v>
      </c>
      <c r="G1547" t="s">
        <v>5686</v>
      </c>
      <c r="H1547">
        <v>1546</v>
      </c>
      <c r="I1547" t="str">
        <f>IF(ISBLANK(Table1[[#This Row],[oid]]),"FALSE","TRUE")</f>
        <v>TRUE</v>
      </c>
      <c r="J1547" t="str" cm="1">
        <f t="array" ref="J1547">_xlfn.SWITCH(LEFT(Table1[[#This Row],[section]],1), "D", "Demographic", "S", "Social", "E", "Economic", "H", "Housing", "")</f>
        <v>Economic</v>
      </c>
      <c r="K1547" t="s">
        <v>5603</v>
      </c>
      <c r="L1547" t="s">
        <v>5604</v>
      </c>
      <c r="M1547" t="str">
        <f>IF(Table1[[#This Row],[used]], _xlfn.CONCAT("🆔 ", Table1[[#This Row],[variable]], ": ",Table1[[#This Row],[alias]]), "")</f>
        <v>🆔 B19062_001E: Aggregate wage or salary income in the past 12 months in 2021 inflation-adjusted dollars</v>
      </c>
      <c r="O1547" t="s">
        <v>5687</v>
      </c>
      <c r="P1547" t="s">
        <v>5688</v>
      </c>
      <c r="Q1547" t="s">
        <v>41</v>
      </c>
      <c r="R1547" t="s">
        <v>5655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1</v>
      </c>
      <c r="AE1547" t="b">
        <v>0</v>
      </c>
      <c r="AF1547" t="b">
        <v>0</v>
      </c>
      <c r="AG1547" t="b">
        <v>0</v>
      </c>
    </row>
    <row r="1548" spans="1:33" x14ac:dyDescent="0.25">
      <c r="A1548" t="s">
        <v>30</v>
      </c>
      <c r="B1548">
        <v>1</v>
      </c>
      <c r="C1548" t="b">
        <v>0</v>
      </c>
      <c r="D1548" t="s">
        <v>5301</v>
      </c>
      <c r="E1548" t="s">
        <v>5650</v>
      </c>
      <c r="F1548" t="s">
        <v>5651</v>
      </c>
      <c r="G1548" t="s">
        <v>5689</v>
      </c>
      <c r="H1548">
        <v>1547</v>
      </c>
      <c r="I1548" t="str">
        <f>IF(ISBLANK(Table1[[#This Row],[oid]]),"FALSE","TRUE")</f>
        <v>TRUE</v>
      </c>
      <c r="J1548" t="str" cm="1">
        <f t="array" ref="J1548">_xlfn.SWITCH(LEFT(Table1[[#This Row],[section]],1), "D", "Demographic", "S", "Social", "E", "Economic", "H", "Housing", "")</f>
        <v>Economic</v>
      </c>
      <c r="K1548" t="s">
        <v>5603</v>
      </c>
      <c r="L1548" t="s">
        <v>5604</v>
      </c>
      <c r="M1548" t="str">
        <f>IF(Table1[[#This Row],[used]], _xlfn.CONCAT("🆔 ", Table1[[#This Row],[variable]], ": ",Table1[[#This Row],[alias]]), "")</f>
        <v>🆔 B19062_001E: Aggregate wage or salary income in the past 12 months in 2022 inflation-adjusted dollars</v>
      </c>
      <c r="O1548" t="s">
        <v>5690</v>
      </c>
      <c r="P1548" t="s">
        <v>5691</v>
      </c>
      <c r="Q1548" t="s">
        <v>41</v>
      </c>
      <c r="R1548" t="s">
        <v>5655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1</v>
      </c>
      <c r="AF1548" t="b">
        <v>0</v>
      </c>
      <c r="AG1548" t="b">
        <v>0</v>
      </c>
    </row>
    <row r="1549" spans="1:33" x14ac:dyDescent="0.25">
      <c r="A1549" t="s">
        <v>31</v>
      </c>
      <c r="B1549">
        <v>1</v>
      </c>
      <c r="C1549" t="b">
        <v>0</v>
      </c>
      <c r="D1549" t="s">
        <v>5301</v>
      </c>
      <c r="E1549" t="s">
        <v>5650</v>
      </c>
      <c r="F1549" t="s">
        <v>5651</v>
      </c>
      <c r="G1549" t="s">
        <v>5692</v>
      </c>
      <c r="H1549">
        <v>1548</v>
      </c>
      <c r="I1549" t="str">
        <f>IF(ISBLANK(Table1[[#This Row],[oid]]),"FALSE","TRUE")</f>
        <v>TRUE</v>
      </c>
      <c r="J1549" t="str" cm="1">
        <f t="array" ref="J1549">_xlfn.SWITCH(LEFT(Table1[[#This Row],[section]],1), "D", "Demographic", "S", "Social", "E", "Economic", "H", "Housing", "")</f>
        <v>Economic</v>
      </c>
      <c r="K1549" t="s">
        <v>5603</v>
      </c>
      <c r="L1549" t="s">
        <v>5604</v>
      </c>
      <c r="M1549" t="str">
        <f>IF(Table1[[#This Row],[used]], _xlfn.CONCAT("🆔 ", Table1[[#This Row],[variable]], ": ",Table1[[#This Row],[alias]]), "")</f>
        <v>🆔 B19062_001E: Aggregate wage or salary income in the past 12 months in 2023 inflation-adjusted dollars</v>
      </c>
      <c r="O1549" t="s">
        <v>5693</v>
      </c>
      <c r="P1549" t="s">
        <v>5694</v>
      </c>
      <c r="Q1549" t="s">
        <v>41</v>
      </c>
      <c r="R1549" t="s">
        <v>5655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1</v>
      </c>
      <c r="AG1549" t="b">
        <v>0</v>
      </c>
    </row>
    <row r="1550" spans="1:33" x14ac:dyDescent="0.25">
      <c r="A1550" t="s">
        <v>32</v>
      </c>
      <c r="B1550">
        <v>1</v>
      </c>
      <c r="C1550" t="b">
        <v>0</v>
      </c>
      <c r="D1550" t="s">
        <v>5301</v>
      </c>
      <c r="E1550" t="s">
        <v>5650</v>
      </c>
      <c r="F1550" t="s">
        <v>5651</v>
      </c>
      <c r="G1550" t="s">
        <v>5695</v>
      </c>
      <c r="H1550">
        <v>1549</v>
      </c>
      <c r="I1550" t="str">
        <f>IF(ISBLANK(Table1[[#This Row],[oid]]),"FALSE","TRUE")</f>
        <v>TRUE</v>
      </c>
      <c r="J1550" t="str" cm="1">
        <f t="array" ref="J1550">_xlfn.SWITCH(LEFT(Table1[[#This Row],[section]],1), "D", "Demographic", "S", "Social", "E", "Economic", "H", "Housing", "")</f>
        <v>Economic</v>
      </c>
      <c r="K1550" t="s">
        <v>5603</v>
      </c>
      <c r="L1550" t="s">
        <v>5604</v>
      </c>
      <c r="M1550" t="str">
        <f>IF(Table1[[#This Row],[used]], _xlfn.CONCAT("🆔 ", Table1[[#This Row],[variable]], ": ",Table1[[#This Row],[alias]]), "")</f>
        <v>🆔 B19062_001E: Aggregate wage or salary income in the past 12 months in 2024 inflation-adjusted dollars</v>
      </c>
      <c r="O1550" t="s">
        <v>5696</v>
      </c>
      <c r="P1550" t="s">
        <v>5697</v>
      </c>
      <c r="Q1550" t="s">
        <v>41</v>
      </c>
      <c r="R1550" t="s">
        <v>5655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1</v>
      </c>
    </row>
    <row r="1551" spans="1:33" x14ac:dyDescent="0.25">
      <c r="A1551" t="s">
        <v>18</v>
      </c>
      <c r="B1551">
        <v>1</v>
      </c>
      <c r="C1551" t="b">
        <v>0</v>
      </c>
      <c r="D1551" t="s">
        <v>5301</v>
      </c>
      <c r="E1551" t="s">
        <v>5698</v>
      </c>
      <c r="F1551" t="s">
        <v>5699</v>
      </c>
      <c r="G1551" t="s">
        <v>5700</v>
      </c>
      <c r="H1551">
        <v>1550</v>
      </c>
      <c r="I1551" t="str">
        <f>IF(ISBLANK(Table1[[#This Row],[oid]]),"FALSE","TRUE")</f>
        <v>TRUE</v>
      </c>
      <c r="J1551" t="str" cm="1">
        <f t="array" ref="J1551">_xlfn.SWITCH(LEFT(Table1[[#This Row],[section]],1), "D", "Demographic", "S", "Social", "E", "Economic", "H", "Housing", "")</f>
        <v>Economic</v>
      </c>
      <c r="K1551" t="s">
        <v>5603</v>
      </c>
      <c r="L1551" t="s">
        <v>5604</v>
      </c>
      <c r="M1551" t="str">
        <f>IF(Table1[[#This Row],[used]], _xlfn.CONCAT("🆔 ", Table1[[#This Row],[variable]], ": ",Table1[[#This Row],[alias]]), "")</f>
        <v>🆔 B19063_001E: Aggregate self-employment income in the past 12 months in 2010 inflation-adjusted dollars</v>
      </c>
      <c r="O1551" t="s">
        <v>5701</v>
      </c>
      <c r="P1551" t="s">
        <v>5702</v>
      </c>
      <c r="Q1551" t="s">
        <v>41</v>
      </c>
      <c r="R1551" t="s">
        <v>5703</v>
      </c>
      <c r="S1551" t="b">
        <v>1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</row>
    <row r="1552" spans="1:33" x14ac:dyDescent="0.25">
      <c r="A1552" t="s">
        <v>19</v>
      </c>
      <c r="B1552">
        <v>1</v>
      </c>
      <c r="C1552" t="b">
        <v>0</v>
      </c>
      <c r="D1552" t="s">
        <v>5301</v>
      </c>
      <c r="E1552" t="s">
        <v>5698</v>
      </c>
      <c r="F1552" t="s">
        <v>5699</v>
      </c>
      <c r="G1552" t="s">
        <v>5704</v>
      </c>
      <c r="H1552">
        <v>1551</v>
      </c>
      <c r="I1552" t="str">
        <f>IF(ISBLANK(Table1[[#This Row],[oid]]),"FALSE","TRUE")</f>
        <v>TRUE</v>
      </c>
      <c r="J1552" t="str" cm="1">
        <f t="array" ref="J1552">_xlfn.SWITCH(LEFT(Table1[[#This Row],[section]],1), "D", "Demographic", "S", "Social", "E", "Economic", "H", "Housing", "")</f>
        <v>Economic</v>
      </c>
      <c r="K1552" t="s">
        <v>5603</v>
      </c>
      <c r="L1552" t="s">
        <v>5604</v>
      </c>
      <c r="M1552" t="str">
        <f>IF(Table1[[#This Row],[used]], _xlfn.CONCAT("🆔 ", Table1[[#This Row],[variable]], ": ",Table1[[#This Row],[alias]]), "")</f>
        <v>🆔 B19063_001E: Aggregate self-employment income in the past 12 months in 2011 inflation-adjusted dollars</v>
      </c>
      <c r="O1552" t="s">
        <v>5705</v>
      </c>
      <c r="P1552" t="s">
        <v>5706</v>
      </c>
      <c r="Q1552" t="s">
        <v>41</v>
      </c>
      <c r="R1552" t="s">
        <v>5703</v>
      </c>
      <c r="S1552" t="b">
        <v>0</v>
      </c>
      <c r="T1552" t="b">
        <v>1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</row>
    <row r="1553" spans="1:33" x14ac:dyDescent="0.25">
      <c r="A1553" t="s">
        <v>20</v>
      </c>
      <c r="B1553">
        <v>1</v>
      </c>
      <c r="C1553" t="b">
        <v>0</v>
      </c>
      <c r="D1553" t="s">
        <v>5301</v>
      </c>
      <c r="E1553" t="s">
        <v>5698</v>
      </c>
      <c r="F1553" t="s">
        <v>5699</v>
      </c>
      <c r="G1553" t="s">
        <v>5707</v>
      </c>
      <c r="H1553">
        <v>1552</v>
      </c>
      <c r="I1553" t="str">
        <f>IF(ISBLANK(Table1[[#This Row],[oid]]),"FALSE","TRUE")</f>
        <v>TRUE</v>
      </c>
      <c r="J1553" t="str" cm="1">
        <f t="array" ref="J1553">_xlfn.SWITCH(LEFT(Table1[[#This Row],[section]],1), "D", "Demographic", "S", "Social", "E", "Economic", "H", "Housing", "")</f>
        <v>Economic</v>
      </c>
      <c r="K1553" t="s">
        <v>5603</v>
      </c>
      <c r="L1553" t="s">
        <v>5604</v>
      </c>
      <c r="M1553" t="str">
        <f>IF(Table1[[#This Row],[used]], _xlfn.CONCAT("🆔 ", Table1[[#This Row],[variable]], ": ",Table1[[#This Row],[alias]]), "")</f>
        <v>🆔 B19063_001E: Aggregate self-employment income in the past 12 months in 2012 inflation-adjusted dollars</v>
      </c>
      <c r="O1553" t="s">
        <v>5708</v>
      </c>
      <c r="P1553" t="s">
        <v>5709</v>
      </c>
      <c r="Q1553" t="s">
        <v>41</v>
      </c>
      <c r="R1553" t="s">
        <v>5703</v>
      </c>
      <c r="S1553" t="b">
        <v>0</v>
      </c>
      <c r="T1553" t="b">
        <v>0</v>
      </c>
      <c r="U1553" t="b">
        <v>1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</row>
    <row r="1554" spans="1:33" x14ac:dyDescent="0.25">
      <c r="A1554" t="s">
        <v>21</v>
      </c>
      <c r="B1554">
        <v>1</v>
      </c>
      <c r="C1554" t="b">
        <v>0</v>
      </c>
      <c r="D1554" t="s">
        <v>5301</v>
      </c>
      <c r="E1554" t="s">
        <v>5698</v>
      </c>
      <c r="F1554" t="s">
        <v>5699</v>
      </c>
      <c r="G1554" t="s">
        <v>5710</v>
      </c>
      <c r="H1554">
        <v>1553</v>
      </c>
      <c r="I1554" t="str">
        <f>IF(ISBLANK(Table1[[#This Row],[oid]]),"FALSE","TRUE")</f>
        <v>TRUE</v>
      </c>
      <c r="J1554" t="str" cm="1">
        <f t="array" ref="J1554">_xlfn.SWITCH(LEFT(Table1[[#This Row],[section]],1), "D", "Demographic", "S", "Social", "E", "Economic", "H", "Housing", "")</f>
        <v>Economic</v>
      </c>
      <c r="K1554" t="s">
        <v>5603</v>
      </c>
      <c r="L1554" t="s">
        <v>5604</v>
      </c>
      <c r="M1554" t="str">
        <f>IF(Table1[[#This Row],[used]], _xlfn.CONCAT("🆔 ", Table1[[#This Row],[variable]], ": ",Table1[[#This Row],[alias]]), "")</f>
        <v>🆔 B19063_001E: Aggregate self-employment income in the past 12 months in 2013 inflation-adjusted dollars</v>
      </c>
      <c r="O1554" t="s">
        <v>5711</v>
      </c>
      <c r="P1554" t="s">
        <v>5712</v>
      </c>
      <c r="Q1554" t="s">
        <v>41</v>
      </c>
      <c r="R1554" t="s">
        <v>5703</v>
      </c>
      <c r="S1554" t="b">
        <v>0</v>
      </c>
      <c r="T1554" t="b">
        <v>0</v>
      </c>
      <c r="U1554" t="b">
        <v>0</v>
      </c>
      <c r="V1554" t="b">
        <v>1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</row>
    <row r="1555" spans="1:33" x14ac:dyDescent="0.25">
      <c r="A1555" t="s">
        <v>22</v>
      </c>
      <c r="B1555">
        <v>1</v>
      </c>
      <c r="C1555" t="b">
        <v>0</v>
      </c>
      <c r="D1555" t="s">
        <v>5301</v>
      </c>
      <c r="E1555" t="s">
        <v>5698</v>
      </c>
      <c r="F1555" t="s">
        <v>5699</v>
      </c>
      <c r="G1555" t="s">
        <v>5713</v>
      </c>
      <c r="H1555">
        <v>1554</v>
      </c>
      <c r="I1555" t="str">
        <f>IF(ISBLANK(Table1[[#This Row],[oid]]),"FALSE","TRUE")</f>
        <v>TRUE</v>
      </c>
      <c r="J1555" t="str" cm="1">
        <f t="array" ref="J1555">_xlfn.SWITCH(LEFT(Table1[[#This Row],[section]],1), "D", "Demographic", "S", "Social", "E", "Economic", "H", "Housing", "")</f>
        <v>Economic</v>
      </c>
      <c r="K1555" t="s">
        <v>5603</v>
      </c>
      <c r="L1555" t="s">
        <v>5604</v>
      </c>
      <c r="M1555" t="str">
        <f>IF(Table1[[#This Row],[used]], _xlfn.CONCAT("🆔 ", Table1[[#This Row],[variable]], ": ",Table1[[#This Row],[alias]]), "")</f>
        <v>🆔 B19063_001E: Aggregate self-employment income in the past 12 months in 2014 Inflation-adjusted dollars</v>
      </c>
      <c r="O1555" t="s">
        <v>5714</v>
      </c>
      <c r="P1555" t="s">
        <v>5715</v>
      </c>
      <c r="Q1555" t="s">
        <v>41</v>
      </c>
      <c r="R1555" t="s">
        <v>5703</v>
      </c>
      <c r="S1555" t="b">
        <v>0</v>
      </c>
      <c r="T1555" t="b">
        <v>0</v>
      </c>
      <c r="U1555" t="b">
        <v>0</v>
      </c>
      <c r="V1555" t="b">
        <v>0</v>
      </c>
      <c r="W1555" t="b">
        <v>1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</row>
    <row r="1556" spans="1:33" x14ac:dyDescent="0.25">
      <c r="A1556" t="s">
        <v>23</v>
      </c>
      <c r="B1556">
        <v>1</v>
      </c>
      <c r="C1556" t="b">
        <v>0</v>
      </c>
      <c r="D1556" t="s">
        <v>5301</v>
      </c>
      <c r="E1556" t="s">
        <v>5698</v>
      </c>
      <c r="F1556" t="s">
        <v>5699</v>
      </c>
      <c r="G1556" t="s">
        <v>5716</v>
      </c>
      <c r="H1556">
        <v>1555</v>
      </c>
      <c r="I1556" t="str">
        <f>IF(ISBLANK(Table1[[#This Row],[oid]]),"FALSE","TRUE")</f>
        <v>TRUE</v>
      </c>
      <c r="J1556" t="str" cm="1">
        <f t="array" ref="J1556">_xlfn.SWITCH(LEFT(Table1[[#This Row],[section]],1), "D", "Demographic", "S", "Social", "E", "Economic", "H", "Housing", "")</f>
        <v>Economic</v>
      </c>
      <c r="K1556" t="s">
        <v>5603</v>
      </c>
      <c r="L1556" t="s">
        <v>5604</v>
      </c>
      <c r="M1556" t="str">
        <f>IF(Table1[[#This Row],[used]], _xlfn.CONCAT("🆔 ", Table1[[#This Row],[variable]], ": ",Table1[[#This Row],[alias]]), "")</f>
        <v>🆔 B19063_001E: Aggregate self-employment income in the past 12 months in 2015 Inflation-adjusted dollars</v>
      </c>
      <c r="O1556" t="s">
        <v>5717</v>
      </c>
      <c r="P1556" t="s">
        <v>5718</v>
      </c>
      <c r="Q1556" t="s">
        <v>41</v>
      </c>
      <c r="R1556" t="s">
        <v>5703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1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</row>
    <row r="1557" spans="1:33" x14ac:dyDescent="0.25">
      <c r="A1557" t="s">
        <v>24</v>
      </c>
      <c r="B1557">
        <v>1</v>
      </c>
      <c r="C1557" t="b">
        <v>0</v>
      </c>
      <c r="D1557" t="s">
        <v>5301</v>
      </c>
      <c r="E1557" t="s">
        <v>5698</v>
      </c>
      <c r="F1557" t="s">
        <v>5699</v>
      </c>
      <c r="G1557" t="s">
        <v>5719</v>
      </c>
      <c r="H1557">
        <v>1556</v>
      </c>
      <c r="I1557" t="str">
        <f>IF(ISBLANK(Table1[[#This Row],[oid]]),"FALSE","TRUE")</f>
        <v>TRUE</v>
      </c>
      <c r="J1557" t="str" cm="1">
        <f t="array" ref="J1557">_xlfn.SWITCH(LEFT(Table1[[#This Row],[section]],1), "D", "Demographic", "S", "Social", "E", "Economic", "H", "Housing", "")</f>
        <v>Economic</v>
      </c>
      <c r="K1557" t="s">
        <v>5603</v>
      </c>
      <c r="L1557" t="s">
        <v>5604</v>
      </c>
      <c r="M1557" t="str">
        <f>IF(Table1[[#This Row],[used]], _xlfn.CONCAT("🆔 ", Table1[[#This Row],[variable]], ": ",Table1[[#This Row],[alias]]), "")</f>
        <v>🆔 B19063_001E: Aggregate self-employment income in the past 12 months in 2016 inflation-adjusted dollars</v>
      </c>
      <c r="O1557" t="s">
        <v>5720</v>
      </c>
      <c r="P1557" t="s">
        <v>5721</v>
      </c>
      <c r="Q1557" t="s">
        <v>41</v>
      </c>
      <c r="R1557" t="s">
        <v>5703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1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</row>
    <row r="1558" spans="1:33" x14ac:dyDescent="0.25">
      <c r="A1558" t="s">
        <v>25</v>
      </c>
      <c r="B1558">
        <v>1</v>
      </c>
      <c r="C1558" t="b">
        <v>0</v>
      </c>
      <c r="D1558" t="s">
        <v>5301</v>
      </c>
      <c r="E1558" t="s">
        <v>5698</v>
      </c>
      <c r="F1558" t="s">
        <v>5699</v>
      </c>
      <c r="G1558" t="s">
        <v>5722</v>
      </c>
      <c r="H1558">
        <v>1557</v>
      </c>
      <c r="I1558" t="str">
        <f>IF(ISBLANK(Table1[[#This Row],[oid]]),"FALSE","TRUE")</f>
        <v>TRUE</v>
      </c>
      <c r="J1558" t="str" cm="1">
        <f t="array" ref="J1558">_xlfn.SWITCH(LEFT(Table1[[#This Row],[section]],1), "D", "Demographic", "S", "Social", "E", "Economic", "H", "Housing", "")</f>
        <v>Economic</v>
      </c>
      <c r="K1558" t="s">
        <v>5603</v>
      </c>
      <c r="L1558" t="s">
        <v>5604</v>
      </c>
      <c r="M1558" t="str">
        <f>IF(Table1[[#This Row],[used]], _xlfn.CONCAT("🆔 ", Table1[[#This Row],[variable]], ": ",Table1[[#This Row],[alias]]), "")</f>
        <v>🆔 B19063_001E: Aggregate self-employment income in the past 12 months in 2017 inflation-adjusted dollars</v>
      </c>
      <c r="O1558" t="s">
        <v>5723</v>
      </c>
      <c r="P1558" t="s">
        <v>5724</v>
      </c>
      <c r="Q1558" t="s">
        <v>41</v>
      </c>
      <c r="R1558" t="s">
        <v>5703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1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</row>
    <row r="1559" spans="1:33" x14ac:dyDescent="0.25">
      <c r="A1559" t="s">
        <v>26</v>
      </c>
      <c r="B1559">
        <v>1</v>
      </c>
      <c r="C1559" t="b">
        <v>0</v>
      </c>
      <c r="D1559" t="s">
        <v>5301</v>
      </c>
      <c r="E1559" t="s">
        <v>5698</v>
      </c>
      <c r="F1559" t="s">
        <v>5699</v>
      </c>
      <c r="G1559" t="s">
        <v>5725</v>
      </c>
      <c r="H1559">
        <v>1558</v>
      </c>
      <c r="I1559" t="str">
        <f>IF(ISBLANK(Table1[[#This Row],[oid]]),"FALSE","TRUE")</f>
        <v>TRUE</v>
      </c>
      <c r="J1559" t="str" cm="1">
        <f t="array" ref="J1559">_xlfn.SWITCH(LEFT(Table1[[#This Row],[section]],1), "D", "Demographic", "S", "Social", "E", "Economic", "H", "Housing", "")</f>
        <v>Economic</v>
      </c>
      <c r="K1559" t="s">
        <v>5603</v>
      </c>
      <c r="L1559" t="s">
        <v>5604</v>
      </c>
      <c r="M1559" t="str">
        <f>IF(Table1[[#This Row],[used]], _xlfn.CONCAT("🆔 ", Table1[[#This Row],[variable]], ": ",Table1[[#This Row],[alias]]), "")</f>
        <v>🆔 B19063_001E: Aggregate self-employment income in the past 12 months in 2018 inflation-adjusted dollars</v>
      </c>
      <c r="O1559" t="s">
        <v>5726</v>
      </c>
      <c r="P1559" t="s">
        <v>5727</v>
      </c>
      <c r="Q1559" t="s">
        <v>41</v>
      </c>
      <c r="R1559" t="s">
        <v>5703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1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</row>
    <row r="1560" spans="1:33" x14ac:dyDescent="0.25">
      <c r="A1560" t="s">
        <v>27</v>
      </c>
      <c r="B1560">
        <v>1</v>
      </c>
      <c r="C1560" t="b">
        <v>0</v>
      </c>
      <c r="D1560" t="s">
        <v>5301</v>
      </c>
      <c r="E1560" t="s">
        <v>5698</v>
      </c>
      <c r="F1560" t="s">
        <v>5699</v>
      </c>
      <c r="G1560" t="s">
        <v>5728</v>
      </c>
      <c r="H1560">
        <v>1559</v>
      </c>
      <c r="I1560" t="str">
        <f>IF(ISBLANK(Table1[[#This Row],[oid]]),"FALSE","TRUE")</f>
        <v>TRUE</v>
      </c>
      <c r="J1560" t="str" cm="1">
        <f t="array" ref="J1560">_xlfn.SWITCH(LEFT(Table1[[#This Row],[section]],1), "D", "Demographic", "S", "Social", "E", "Economic", "H", "Housing", "")</f>
        <v>Economic</v>
      </c>
      <c r="K1560" t="s">
        <v>5603</v>
      </c>
      <c r="L1560" t="s">
        <v>5604</v>
      </c>
      <c r="M1560" t="str">
        <f>IF(Table1[[#This Row],[used]], _xlfn.CONCAT("🆔 ", Table1[[#This Row],[variable]], ": ",Table1[[#This Row],[alias]]), "")</f>
        <v>🆔 B19063_001E: Aggregate self-employment income in the past 12 months in 2019 inflation-adjusted dollars</v>
      </c>
      <c r="O1560" t="s">
        <v>5729</v>
      </c>
      <c r="P1560" t="s">
        <v>5730</v>
      </c>
      <c r="Q1560" t="s">
        <v>41</v>
      </c>
      <c r="R1560" t="s">
        <v>5703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1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</row>
    <row r="1561" spans="1:33" x14ac:dyDescent="0.25">
      <c r="A1561" t="s">
        <v>28</v>
      </c>
      <c r="B1561">
        <v>1</v>
      </c>
      <c r="C1561" t="b">
        <v>0</v>
      </c>
      <c r="D1561" t="s">
        <v>5301</v>
      </c>
      <c r="E1561" t="s">
        <v>5698</v>
      </c>
      <c r="F1561" t="s">
        <v>5699</v>
      </c>
      <c r="G1561" t="s">
        <v>5731</v>
      </c>
      <c r="H1561">
        <v>1560</v>
      </c>
      <c r="I1561" t="str">
        <f>IF(ISBLANK(Table1[[#This Row],[oid]]),"FALSE","TRUE")</f>
        <v>TRUE</v>
      </c>
      <c r="J1561" t="str" cm="1">
        <f t="array" ref="J1561">_xlfn.SWITCH(LEFT(Table1[[#This Row],[section]],1), "D", "Demographic", "S", "Social", "E", "Economic", "H", "Housing", "")</f>
        <v>Economic</v>
      </c>
      <c r="K1561" t="s">
        <v>5603</v>
      </c>
      <c r="L1561" t="s">
        <v>5604</v>
      </c>
      <c r="M1561" t="str">
        <f>IF(Table1[[#This Row],[used]], _xlfn.CONCAT("🆔 ", Table1[[#This Row],[variable]], ": ",Table1[[#This Row],[alias]]), "")</f>
        <v>🆔 B19063_001E: Aggregate self-employment income in the past 12 months in 2020 inflation-adjusted dollars</v>
      </c>
      <c r="O1561" t="s">
        <v>5732</v>
      </c>
      <c r="P1561" t="s">
        <v>5733</v>
      </c>
      <c r="Q1561" t="s">
        <v>41</v>
      </c>
      <c r="R1561" t="s">
        <v>5703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1</v>
      </c>
      <c r="AD1561" t="b">
        <v>0</v>
      </c>
      <c r="AE1561" t="b">
        <v>0</v>
      </c>
      <c r="AF1561" t="b">
        <v>0</v>
      </c>
      <c r="AG1561" t="b">
        <v>0</v>
      </c>
    </row>
    <row r="1562" spans="1:33" x14ac:dyDescent="0.25">
      <c r="A1562" t="s">
        <v>29</v>
      </c>
      <c r="B1562">
        <v>1</v>
      </c>
      <c r="C1562" t="b">
        <v>0</v>
      </c>
      <c r="D1562" t="s">
        <v>5301</v>
      </c>
      <c r="E1562" t="s">
        <v>5698</v>
      </c>
      <c r="F1562" t="s">
        <v>5699</v>
      </c>
      <c r="G1562" t="s">
        <v>5734</v>
      </c>
      <c r="H1562">
        <v>1561</v>
      </c>
      <c r="I1562" t="str">
        <f>IF(ISBLANK(Table1[[#This Row],[oid]]),"FALSE","TRUE")</f>
        <v>TRUE</v>
      </c>
      <c r="J1562" t="str" cm="1">
        <f t="array" ref="J1562">_xlfn.SWITCH(LEFT(Table1[[#This Row],[section]],1), "D", "Demographic", "S", "Social", "E", "Economic", "H", "Housing", "")</f>
        <v>Economic</v>
      </c>
      <c r="K1562" t="s">
        <v>5603</v>
      </c>
      <c r="L1562" t="s">
        <v>5604</v>
      </c>
      <c r="M1562" t="str">
        <f>IF(Table1[[#This Row],[used]], _xlfn.CONCAT("🆔 ", Table1[[#This Row],[variable]], ": ",Table1[[#This Row],[alias]]), "")</f>
        <v>🆔 B19063_001E: Aggregate self-employment income in the past 12 months in 2021 inflation-adjusted dollars</v>
      </c>
      <c r="O1562" t="s">
        <v>5735</v>
      </c>
      <c r="P1562" t="s">
        <v>5736</v>
      </c>
      <c r="Q1562" t="s">
        <v>41</v>
      </c>
      <c r="R1562" t="s">
        <v>5703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1</v>
      </c>
      <c r="AE1562" t="b">
        <v>0</v>
      </c>
      <c r="AF1562" t="b">
        <v>0</v>
      </c>
      <c r="AG1562" t="b">
        <v>0</v>
      </c>
    </row>
    <row r="1563" spans="1:33" x14ac:dyDescent="0.25">
      <c r="A1563" t="s">
        <v>30</v>
      </c>
      <c r="B1563">
        <v>1</v>
      </c>
      <c r="C1563" t="b">
        <v>0</v>
      </c>
      <c r="D1563" t="s">
        <v>5301</v>
      </c>
      <c r="E1563" t="s">
        <v>5698</v>
      </c>
      <c r="F1563" t="s">
        <v>5699</v>
      </c>
      <c r="G1563" t="s">
        <v>5737</v>
      </c>
      <c r="H1563">
        <v>1562</v>
      </c>
      <c r="I1563" t="str">
        <f>IF(ISBLANK(Table1[[#This Row],[oid]]),"FALSE","TRUE")</f>
        <v>TRUE</v>
      </c>
      <c r="J1563" t="str" cm="1">
        <f t="array" ref="J1563">_xlfn.SWITCH(LEFT(Table1[[#This Row],[section]],1), "D", "Demographic", "S", "Social", "E", "Economic", "H", "Housing", "")</f>
        <v>Economic</v>
      </c>
      <c r="K1563" t="s">
        <v>5603</v>
      </c>
      <c r="L1563" t="s">
        <v>5604</v>
      </c>
      <c r="M1563" t="str">
        <f>IF(Table1[[#This Row],[used]], _xlfn.CONCAT("🆔 ", Table1[[#This Row],[variable]], ": ",Table1[[#This Row],[alias]]), "")</f>
        <v>🆔 B19063_001E: Aggregate self-employment income in the past 12 months in 2022 inflation-adjusted dollars</v>
      </c>
      <c r="O1563" t="s">
        <v>5738</v>
      </c>
      <c r="P1563" t="s">
        <v>5739</v>
      </c>
      <c r="Q1563" t="s">
        <v>41</v>
      </c>
      <c r="R1563" t="s">
        <v>5703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1</v>
      </c>
      <c r="AF1563" t="b">
        <v>0</v>
      </c>
      <c r="AG1563" t="b">
        <v>0</v>
      </c>
    </row>
    <row r="1564" spans="1:33" x14ac:dyDescent="0.25">
      <c r="A1564" t="s">
        <v>31</v>
      </c>
      <c r="B1564">
        <v>1</v>
      </c>
      <c r="C1564" t="b">
        <v>0</v>
      </c>
      <c r="D1564" t="s">
        <v>5301</v>
      </c>
      <c r="E1564" t="s">
        <v>5698</v>
      </c>
      <c r="F1564" t="s">
        <v>5699</v>
      </c>
      <c r="G1564" t="s">
        <v>5740</v>
      </c>
      <c r="H1564">
        <v>1563</v>
      </c>
      <c r="I1564" t="str">
        <f>IF(ISBLANK(Table1[[#This Row],[oid]]),"FALSE","TRUE")</f>
        <v>TRUE</v>
      </c>
      <c r="J1564" t="str" cm="1">
        <f t="array" ref="J1564">_xlfn.SWITCH(LEFT(Table1[[#This Row],[section]],1), "D", "Demographic", "S", "Social", "E", "Economic", "H", "Housing", "")</f>
        <v>Economic</v>
      </c>
      <c r="K1564" t="s">
        <v>5603</v>
      </c>
      <c r="L1564" t="s">
        <v>5604</v>
      </c>
      <c r="M1564" t="str">
        <f>IF(Table1[[#This Row],[used]], _xlfn.CONCAT("🆔 ", Table1[[#This Row],[variable]], ": ",Table1[[#This Row],[alias]]), "")</f>
        <v>🆔 B19063_001E: Aggregate self-employment income in the past 12 months in 2023 inflation-adjusted dollars</v>
      </c>
      <c r="O1564" t="s">
        <v>5741</v>
      </c>
      <c r="P1564" t="s">
        <v>5742</v>
      </c>
      <c r="Q1564" t="s">
        <v>41</v>
      </c>
      <c r="R1564" t="s">
        <v>5703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1</v>
      </c>
      <c r="AG1564" t="b">
        <v>0</v>
      </c>
    </row>
    <row r="1565" spans="1:33" x14ac:dyDescent="0.25">
      <c r="A1565" t="s">
        <v>32</v>
      </c>
      <c r="B1565">
        <v>1</v>
      </c>
      <c r="C1565" t="b">
        <v>0</v>
      </c>
      <c r="D1565" t="s">
        <v>5301</v>
      </c>
      <c r="E1565" t="s">
        <v>5698</v>
      </c>
      <c r="F1565" t="s">
        <v>5699</v>
      </c>
      <c r="G1565" t="s">
        <v>5743</v>
      </c>
      <c r="H1565">
        <v>1564</v>
      </c>
      <c r="I1565" t="str">
        <f>IF(ISBLANK(Table1[[#This Row],[oid]]),"FALSE","TRUE")</f>
        <v>TRUE</v>
      </c>
      <c r="J1565" t="str" cm="1">
        <f t="array" ref="J1565">_xlfn.SWITCH(LEFT(Table1[[#This Row],[section]],1), "D", "Demographic", "S", "Social", "E", "Economic", "H", "Housing", "")</f>
        <v>Economic</v>
      </c>
      <c r="K1565" t="s">
        <v>5603</v>
      </c>
      <c r="L1565" t="s">
        <v>5604</v>
      </c>
      <c r="M1565" t="str">
        <f>IF(Table1[[#This Row],[used]], _xlfn.CONCAT("🆔 ", Table1[[#This Row],[variable]], ": ",Table1[[#This Row],[alias]]), "")</f>
        <v>🆔 B19063_001E: Aggregate self-employment income in the past 12 months in 2024 inflation-adjusted dollars</v>
      </c>
      <c r="O1565" t="s">
        <v>5744</v>
      </c>
      <c r="P1565" t="s">
        <v>5745</v>
      </c>
      <c r="Q1565" t="s">
        <v>41</v>
      </c>
      <c r="R1565" t="s">
        <v>5703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1</v>
      </c>
    </row>
    <row r="1566" spans="1:33" x14ac:dyDescent="0.25">
      <c r="A1566" t="s">
        <v>18</v>
      </c>
      <c r="B1566">
        <v>1</v>
      </c>
      <c r="C1566" t="b">
        <v>0</v>
      </c>
      <c r="D1566" t="s">
        <v>5301</v>
      </c>
      <c r="E1566" t="s">
        <v>5746</v>
      </c>
      <c r="F1566" t="s">
        <v>5747</v>
      </c>
      <c r="G1566" t="s">
        <v>5748</v>
      </c>
      <c r="H1566">
        <v>1565</v>
      </c>
      <c r="I1566" t="str">
        <f>IF(ISBLANK(Table1[[#This Row],[oid]]),"FALSE","TRUE")</f>
        <v>TRUE</v>
      </c>
      <c r="J1566" t="str" cm="1">
        <f t="array" ref="J1566">_xlfn.SWITCH(LEFT(Table1[[#This Row],[section]],1), "D", "Demographic", "S", "Social", "E", "Economic", "H", "Housing", "")</f>
        <v>Economic</v>
      </c>
      <c r="K1566" t="s">
        <v>5603</v>
      </c>
      <c r="L1566" t="s">
        <v>5604</v>
      </c>
      <c r="M1566" t="str">
        <f>IF(Table1[[#This Row],[used]], _xlfn.CONCAT("🆔 ", Table1[[#This Row],[variable]], ": ",Table1[[#This Row],[alias]]), "")</f>
        <v>🆔 B19064_001E: Aggregate interest dividends or net rental income in the past 12 months in 2010 inflation-adjusted dollars</v>
      </c>
      <c r="O1566" t="s">
        <v>5749</v>
      </c>
      <c r="P1566" t="s">
        <v>5750</v>
      </c>
      <c r="Q1566" t="s">
        <v>41</v>
      </c>
      <c r="R1566" t="s">
        <v>5751</v>
      </c>
      <c r="S1566" t="b">
        <v>1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</row>
    <row r="1567" spans="1:33" x14ac:dyDescent="0.25">
      <c r="A1567" t="s">
        <v>19</v>
      </c>
      <c r="B1567">
        <v>1</v>
      </c>
      <c r="C1567" t="b">
        <v>0</v>
      </c>
      <c r="D1567" t="s">
        <v>5301</v>
      </c>
      <c r="E1567" t="s">
        <v>5746</v>
      </c>
      <c r="F1567" t="s">
        <v>5747</v>
      </c>
      <c r="G1567" t="s">
        <v>5752</v>
      </c>
      <c r="H1567">
        <v>1566</v>
      </c>
      <c r="I1567" t="str">
        <f>IF(ISBLANK(Table1[[#This Row],[oid]]),"FALSE","TRUE")</f>
        <v>TRUE</v>
      </c>
      <c r="J1567" t="str" cm="1">
        <f t="array" ref="J1567">_xlfn.SWITCH(LEFT(Table1[[#This Row],[section]],1), "D", "Demographic", "S", "Social", "E", "Economic", "H", "Housing", "")</f>
        <v>Economic</v>
      </c>
      <c r="K1567" t="s">
        <v>5603</v>
      </c>
      <c r="L1567" t="s">
        <v>5604</v>
      </c>
      <c r="M1567" t="str">
        <f>IF(Table1[[#This Row],[used]], _xlfn.CONCAT("🆔 ", Table1[[#This Row],[variable]], ": ",Table1[[#This Row],[alias]]), "")</f>
        <v>🆔 B19064_001E: Aggregate interest dividends or net rental income in the past 12 months in 2011 inflation-adjusted dollars</v>
      </c>
      <c r="O1567" t="s">
        <v>5753</v>
      </c>
      <c r="P1567" t="s">
        <v>5754</v>
      </c>
      <c r="Q1567" t="s">
        <v>41</v>
      </c>
      <c r="R1567" t="s">
        <v>5751</v>
      </c>
      <c r="S1567" t="b">
        <v>0</v>
      </c>
      <c r="T1567" t="b">
        <v>1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</row>
    <row r="1568" spans="1:33" x14ac:dyDescent="0.25">
      <c r="A1568" t="s">
        <v>20</v>
      </c>
      <c r="B1568">
        <v>1</v>
      </c>
      <c r="C1568" t="b">
        <v>0</v>
      </c>
      <c r="D1568" t="s">
        <v>5301</v>
      </c>
      <c r="E1568" t="s">
        <v>5746</v>
      </c>
      <c r="F1568" t="s">
        <v>5747</v>
      </c>
      <c r="G1568" t="s">
        <v>5755</v>
      </c>
      <c r="H1568">
        <v>1567</v>
      </c>
      <c r="I1568" t="str">
        <f>IF(ISBLANK(Table1[[#This Row],[oid]]),"FALSE","TRUE")</f>
        <v>TRUE</v>
      </c>
      <c r="J1568" t="str" cm="1">
        <f t="array" ref="J1568">_xlfn.SWITCH(LEFT(Table1[[#This Row],[section]],1), "D", "Demographic", "S", "Social", "E", "Economic", "H", "Housing", "")</f>
        <v>Economic</v>
      </c>
      <c r="K1568" t="s">
        <v>5603</v>
      </c>
      <c r="L1568" t="s">
        <v>5604</v>
      </c>
      <c r="M1568" t="str">
        <f>IF(Table1[[#This Row],[used]], _xlfn.CONCAT("🆔 ", Table1[[#This Row],[variable]], ": ",Table1[[#This Row],[alias]]), "")</f>
        <v>🆔 B19064_001E: Aggregate interest dividends or net rental income in the past 12 months in 2012 inflation-adjusted dollars</v>
      </c>
      <c r="O1568" t="s">
        <v>5756</v>
      </c>
      <c r="P1568" t="s">
        <v>5757</v>
      </c>
      <c r="Q1568" t="s">
        <v>41</v>
      </c>
      <c r="R1568" t="s">
        <v>5751</v>
      </c>
      <c r="S1568" t="b">
        <v>0</v>
      </c>
      <c r="T1568" t="b">
        <v>0</v>
      </c>
      <c r="U1568" t="b">
        <v>1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</row>
    <row r="1569" spans="1:33" x14ac:dyDescent="0.25">
      <c r="A1569" t="s">
        <v>21</v>
      </c>
      <c r="B1569">
        <v>1</v>
      </c>
      <c r="C1569" t="b">
        <v>0</v>
      </c>
      <c r="D1569" t="s">
        <v>5301</v>
      </c>
      <c r="E1569" t="s">
        <v>5746</v>
      </c>
      <c r="F1569" t="s">
        <v>5747</v>
      </c>
      <c r="G1569" t="s">
        <v>5758</v>
      </c>
      <c r="H1569">
        <v>1568</v>
      </c>
      <c r="I1569" t="str">
        <f>IF(ISBLANK(Table1[[#This Row],[oid]]),"FALSE","TRUE")</f>
        <v>TRUE</v>
      </c>
      <c r="J1569" t="str" cm="1">
        <f t="array" ref="J1569">_xlfn.SWITCH(LEFT(Table1[[#This Row],[section]],1), "D", "Demographic", "S", "Social", "E", "Economic", "H", "Housing", "")</f>
        <v>Economic</v>
      </c>
      <c r="K1569" t="s">
        <v>5603</v>
      </c>
      <c r="L1569" t="s">
        <v>5604</v>
      </c>
      <c r="M1569" t="str">
        <f>IF(Table1[[#This Row],[used]], _xlfn.CONCAT("🆔 ", Table1[[#This Row],[variable]], ": ",Table1[[#This Row],[alias]]), "")</f>
        <v>🆔 B19064_001E: Aggregate interest dividends or net rental income in the past 12 months in 2013 inflation-adjusted dollars</v>
      </c>
      <c r="O1569" t="s">
        <v>5759</v>
      </c>
      <c r="P1569" t="s">
        <v>5760</v>
      </c>
      <c r="Q1569" t="s">
        <v>41</v>
      </c>
      <c r="R1569" t="s">
        <v>5751</v>
      </c>
      <c r="S1569" t="b">
        <v>0</v>
      </c>
      <c r="T1569" t="b">
        <v>0</v>
      </c>
      <c r="U1569" t="b">
        <v>0</v>
      </c>
      <c r="V1569" t="b">
        <v>1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</row>
    <row r="1570" spans="1:33" x14ac:dyDescent="0.25">
      <c r="A1570" t="s">
        <v>22</v>
      </c>
      <c r="B1570">
        <v>1</v>
      </c>
      <c r="C1570" t="b">
        <v>0</v>
      </c>
      <c r="D1570" t="s">
        <v>5301</v>
      </c>
      <c r="E1570" t="s">
        <v>5746</v>
      </c>
      <c r="F1570" t="s">
        <v>5747</v>
      </c>
      <c r="G1570" t="s">
        <v>5761</v>
      </c>
      <c r="H1570">
        <v>1569</v>
      </c>
      <c r="I1570" t="str">
        <f>IF(ISBLANK(Table1[[#This Row],[oid]]),"FALSE","TRUE")</f>
        <v>TRUE</v>
      </c>
      <c r="J1570" t="str" cm="1">
        <f t="array" ref="J1570">_xlfn.SWITCH(LEFT(Table1[[#This Row],[section]],1), "D", "Demographic", "S", "Social", "E", "Economic", "H", "Housing", "")</f>
        <v>Economic</v>
      </c>
      <c r="K1570" t="s">
        <v>5603</v>
      </c>
      <c r="L1570" t="s">
        <v>5604</v>
      </c>
      <c r="M1570" t="str">
        <f>IF(Table1[[#This Row],[used]], _xlfn.CONCAT("🆔 ", Table1[[#This Row],[variable]], ": ",Table1[[#This Row],[alias]]), "")</f>
        <v>🆔 B19064_001E: Aggregate interest dividends or net rental income in the past 12 months in 2014 Inflation-adjusted dollars</v>
      </c>
      <c r="O1570" t="s">
        <v>5762</v>
      </c>
      <c r="P1570" t="s">
        <v>5763</v>
      </c>
      <c r="Q1570" t="s">
        <v>41</v>
      </c>
      <c r="R1570" t="s">
        <v>5751</v>
      </c>
      <c r="S1570" t="b">
        <v>0</v>
      </c>
      <c r="T1570" t="b">
        <v>0</v>
      </c>
      <c r="U1570" t="b">
        <v>0</v>
      </c>
      <c r="V1570" t="b">
        <v>0</v>
      </c>
      <c r="W1570" t="b">
        <v>1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</row>
    <row r="1571" spans="1:33" x14ac:dyDescent="0.25">
      <c r="A1571" t="s">
        <v>23</v>
      </c>
      <c r="B1571">
        <v>1</v>
      </c>
      <c r="C1571" t="b">
        <v>0</v>
      </c>
      <c r="D1571" t="s">
        <v>5301</v>
      </c>
      <c r="E1571" t="s">
        <v>5746</v>
      </c>
      <c r="F1571" t="s">
        <v>5747</v>
      </c>
      <c r="G1571" t="s">
        <v>5764</v>
      </c>
      <c r="H1571">
        <v>1570</v>
      </c>
      <c r="I1571" t="str">
        <f>IF(ISBLANK(Table1[[#This Row],[oid]]),"FALSE","TRUE")</f>
        <v>TRUE</v>
      </c>
      <c r="J1571" t="str" cm="1">
        <f t="array" ref="J1571">_xlfn.SWITCH(LEFT(Table1[[#This Row],[section]],1), "D", "Demographic", "S", "Social", "E", "Economic", "H", "Housing", "")</f>
        <v>Economic</v>
      </c>
      <c r="K1571" t="s">
        <v>5603</v>
      </c>
      <c r="L1571" t="s">
        <v>5604</v>
      </c>
      <c r="M1571" t="str">
        <f>IF(Table1[[#This Row],[used]], _xlfn.CONCAT("🆔 ", Table1[[#This Row],[variable]], ": ",Table1[[#This Row],[alias]]), "")</f>
        <v>🆔 B19064_001E: Aggregate interest dividends or net rental income in the past 12 months in 2015 Inflation-adjusted dollars</v>
      </c>
      <c r="O1571" t="s">
        <v>5765</v>
      </c>
      <c r="P1571" t="s">
        <v>5766</v>
      </c>
      <c r="Q1571" t="s">
        <v>41</v>
      </c>
      <c r="R1571" t="s">
        <v>5751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1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</row>
    <row r="1572" spans="1:33" x14ac:dyDescent="0.25">
      <c r="A1572" t="s">
        <v>24</v>
      </c>
      <c r="B1572">
        <v>1</v>
      </c>
      <c r="C1572" t="b">
        <v>0</v>
      </c>
      <c r="D1572" t="s">
        <v>5301</v>
      </c>
      <c r="E1572" t="s">
        <v>5746</v>
      </c>
      <c r="F1572" t="s">
        <v>5747</v>
      </c>
      <c r="G1572" t="s">
        <v>5767</v>
      </c>
      <c r="H1572">
        <v>1571</v>
      </c>
      <c r="I1572" t="str">
        <f>IF(ISBLANK(Table1[[#This Row],[oid]]),"FALSE","TRUE")</f>
        <v>TRUE</v>
      </c>
      <c r="J1572" t="str" cm="1">
        <f t="array" ref="J1572">_xlfn.SWITCH(LEFT(Table1[[#This Row],[section]],1), "D", "Demographic", "S", "Social", "E", "Economic", "H", "Housing", "")</f>
        <v>Economic</v>
      </c>
      <c r="K1572" t="s">
        <v>5603</v>
      </c>
      <c r="L1572" t="s">
        <v>5604</v>
      </c>
      <c r="M1572" t="str">
        <f>IF(Table1[[#This Row],[used]], _xlfn.CONCAT("🆔 ", Table1[[#This Row],[variable]], ": ",Table1[[#This Row],[alias]]), "")</f>
        <v>🆔 B19064_001E: Aggregate interest dividends or net rental income in the past 12 months in 2016 inflation-adjusted dollars</v>
      </c>
      <c r="O1572" t="s">
        <v>5768</v>
      </c>
      <c r="P1572" t="s">
        <v>5769</v>
      </c>
      <c r="Q1572" t="s">
        <v>41</v>
      </c>
      <c r="R1572" t="s">
        <v>5751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1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</row>
    <row r="1573" spans="1:33" x14ac:dyDescent="0.25">
      <c r="A1573" t="s">
        <v>25</v>
      </c>
      <c r="B1573">
        <v>1</v>
      </c>
      <c r="C1573" t="b">
        <v>0</v>
      </c>
      <c r="D1573" t="s">
        <v>5301</v>
      </c>
      <c r="E1573" t="s">
        <v>5746</v>
      </c>
      <c r="F1573" t="s">
        <v>5747</v>
      </c>
      <c r="G1573" t="s">
        <v>5770</v>
      </c>
      <c r="H1573">
        <v>1572</v>
      </c>
      <c r="I1573" t="str">
        <f>IF(ISBLANK(Table1[[#This Row],[oid]]),"FALSE","TRUE")</f>
        <v>TRUE</v>
      </c>
      <c r="J1573" t="str" cm="1">
        <f t="array" ref="J1573">_xlfn.SWITCH(LEFT(Table1[[#This Row],[section]],1), "D", "Demographic", "S", "Social", "E", "Economic", "H", "Housing", "")</f>
        <v>Economic</v>
      </c>
      <c r="K1573" t="s">
        <v>5603</v>
      </c>
      <c r="L1573" t="s">
        <v>5604</v>
      </c>
      <c r="M1573" t="str">
        <f>IF(Table1[[#This Row],[used]], _xlfn.CONCAT("🆔 ", Table1[[#This Row],[variable]], ": ",Table1[[#This Row],[alias]]), "")</f>
        <v>🆔 B19064_001E: Aggregate interest dividends or net rental income in the past 12 months in 2017 inflation-adjusted dollars</v>
      </c>
      <c r="O1573" t="s">
        <v>5771</v>
      </c>
      <c r="P1573" t="s">
        <v>5772</v>
      </c>
      <c r="Q1573" t="s">
        <v>41</v>
      </c>
      <c r="R1573" t="s">
        <v>5751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1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</row>
    <row r="1574" spans="1:33" x14ac:dyDescent="0.25">
      <c r="A1574" t="s">
        <v>26</v>
      </c>
      <c r="B1574">
        <v>1</v>
      </c>
      <c r="C1574" t="b">
        <v>0</v>
      </c>
      <c r="D1574" t="s">
        <v>5301</v>
      </c>
      <c r="E1574" t="s">
        <v>5746</v>
      </c>
      <c r="F1574" t="s">
        <v>5747</v>
      </c>
      <c r="G1574" t="s">
        <v>5773</v>
      </c>
      <c r="H1574">
        <v>1573</v>
      </c>
      <c r="I1574" t="str">
        <f>IF(ISBLANK(Table1[[#This Row],[oid]]),"FALSE","TRUE")</f>
        <v>TRUE</v>
      </c>
      <c r="J1574" t="str" cm="1">
        <f t="array" ref="J1574">_xlfn.SWITCH(LEFT(Table1[[#This Row],[section]],1), "D", "Demographic", "S", "Social", "E", "Economic", "H", "Housing", "")</f>
        <v>Economic</v>
      </c>
      <c r="K1574" t="s">
        <v>5603</v>
      </c>
      <c r="L1574" t="s">
        <v>5604</v>
      </c>
      <c r="M1574" t="str">
        <f>IF(Table1[[#This Row],[used]], _xlfn.CONCAT("🆔 ", Table1[[#This Row],[variable]], ": ",Table1[[#This Row],[alias]]), "")</f>
        <v>🆔 B19064_001E: Aggregate interest dividends or net rental income in the past 12 months in 2018 inflation-adjusted dollars</v>
      </c>
      <c r="O1574" t="s">
        <v>5774</v>
      </c>
      <c r="P1574" t="s">
        <v>5775</v>
      </c>
      <c r="Q1574" t="s">
        <v>41</v>
      </c>
      <c r="R1574" t="s">
        <v>5751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1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</row>
    <row r="1575" spans="1:33" x14ac:dyDescent="0.25">
      <c r="A1575" t="s">
        <v>27</v>
      </c>
      <c r="B1575">
        <v>1</v>
      </c>
      <c r="C1575" t="b">
        <v>0</v>
      </c>
      <c r="D1575" t="s">
        <v>5301</v>
      </c>
      <c r="E1575" t="s">
        <v>5746</v>
      </c>
      <c r="F1575" t="s">
        <v>5747</v>
      </c>
      <c r="G1575" t="s">
        <v>5776</v>
      </c>
      <c r="H1575">
        <v>1574</v>
      </c>
      <c r="I1575" t="str">
        <f>IF(ISBLANK(Table1[[#This Row],[oid]]),"FALSE","TRUE")</f>
        <v>TRUE</v>
      </c>
      <c r="J1575" t="str" cm="1">
        <f t="array" ref="J1575">_xlfn.SWITCH(LEFT(Table1[[#This Row],[section]],1), "D", "Demographic", "S", "Social", "E", "Economic", "H", "Housing", "")</f>
        <v>Economic</v>
      </c>
      <c r="K1575" t="s">
        <v>5603</v>
      </c>
      <c r="L1575" t="s">
        <v>5604</v>
      </c>
      <c r="M1575" t="str">
        <f>IF(Table1[[#This Row],[used]], _xlfn.CONCAT("🆔 ", Table1[[#This Row],[variable]], ": ",Table1[[#This Row],[alias]]), "")</f>
        <v>🆔 B19064_001E: Aggregate interest dividends or net rental income in the past 12 months in 2019 inflation-adjusted dollars</v>
      </c>
      <c r="O1575" t="s">
        <v>5777</v>
      </c>
      <c r="P1575" t="s">
        <v>5778</v>
      </c>
      <c r="Q1575" t="s">
        <v>41</v>
      </c>
      <c r="R1575" t="s">
        <v>5751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1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</row>
    <row r="1576" spans="1:33" x14ac:dyDescent="0.25">
      <c r="A1576" t="s">
        <v>28</v>
      </c>
      <c r="B1576">
        <v>1</v>
      </c>
      <c r="C1576" t="b">
        <v>0</v>
      </c>
      <c r="D1576" t="s">
        <v>5301</v>
      </c>
      <c r="E1576" t="s">
        <v>5746</v>
      </c>
      <c r="F1576" t="s">
        <v>5747</v>
      </c>
      <c r="G1576" t="s">
        <v>5779</v>
      </c>
      <c r="H1576">
        <v>1575</v>
      </c>
      <c r="I1576" t="str">
        <f>IF(ISBLANK(Table1[[#This Row],[oid]]),"FALSE","TRUE")</f>
        <v>TRUE</v>
      </c>
      <c r="J1576" t="str" cm="1">
        <f t="array" ref="J1576">_xlfn.SWITCH(LEFT(Table1[[#This Row],[section]],1), "D", "Demographic", "S", "Social", "E", "Economic", "H", "Housing", "")</f>
        <v>Economic</v>
      </c>
      <c r="K1576" t="s">
        <v>5603</v>
      </c>
      <c r="L1576" t="s">
        <v>5604</v>
      </c>
      <c r="M1576" t="str">
        <f>IF(Table1[[#This Row],[used]], _xlfn.CONCAT("🆔 ", Table1[[#This Row],[variable]], ": ",Table1[[#This Row],[alias]]), "")</f>
        <v>🆔 B19064_001E: Aggregate interest dividends or net rental income in the past 12 months in 2020 inflation-adjusted dollars</v>
      </c>
      <c r="O1576" t="s">
        <v>5780</v>
      </c>
      <c r="P1576" t="s">
        <v>5781</v>
      </c>
      <c r="Q1576" t="s">
        <v>41</v>
      </c>
      <c r="R1576" t="s">
        <v>5751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1</v>
      </c>
      <c r="AD1576" t="b">
        <v>0</v>
      </c>
      <c r="AE1576" t="b">
        <v>0</v>
      </c>
      <c r="AF1576" t="b">
        <v>0</v>
      </c>
      <c r="AG1576" t="b">
        <v>0</v>
      </c>
    </row>
    <row r="1577" spans="1:33" x14ac:dyDescent="0.25">
      <c r="A1577" t="s">
        <v>29</v>
      </c>
      <c r="B1577">
        <v>1</v>
      </c>
      <c r="C1577" t="b">
        <v>0</v>
      </c>
      <c r="D1577" t="s">
        <v>5301</v>
      </c>
      <c r="E1577" t="s">
        <v>5746</v>
      </c>
      <c r="F1577" t="s">
        <v>5747</v>
      </c>
      <c r="G1577" t="s">
        <v>5782</v>
      </c>
      <c r="H1577">
        <v>1576</v>
      </c>
      <c r="I1577" t="str">
        <f>IF(ISBLANK(Table1[[#This Row],[oid]]),"FALSE","TRUE")</f>
        <v>TRUE</v>
      </c>
      <c r="J1577" t="str" cm="1">
        <f t="array" ref="J1577">_xlfn.SWITCH(LEFT(Table1[[#This Row],[section]],1), "D", "Demographic", "S", "Social", "E", "Economic", "H", "Housing", "")</f>
        <v>Economic</v>
      </c>
      <c r="K1577" t="s">
        <v>5603</v>
      </c>
      <c r="L1577" t="s">
        <v>5604</v>
      </c>
      <c r="M1577" t="str">
        <f>IF(Table1[[#This Row],[used]], _xlfn.CONCAT("🆔 ", Table1[[#This Row],[variable]], ": ",Table1[[#This Row],[alias]]), "")</f>
        <v>🆔 B19064_001E: Aggregate interest dividends or net rental income in the past 12 months in 2021 inflation-adjusted dollars</v>
      </c>
      <c r="O1577" t="s">
        <v>5783</v>
      </c>
      <c r="P1577" t="s">
        <v>5784</v>
      </c>
      <c r="Q1577" t="s">
        <v>41</v>
      </c>
      <c r="R1577" t="s">
        <v>5751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1</v>
      </c>
      <c r="AE1577" t="b">
        <v>0</v>
      </c>
      <c r="AF1577" t="b">
        <v>0</v>
      </c>
      <c r="AG1577" t="b">
        <v>0</v>
      </c>
    </row>
    <row r="1578" spans="1:33" x14ac:dyDescent="0.25">
      <c r="A1578" t="s">
        <v>30</v>
      </c>
      <c r="B1578">
        <v>1</v>
      </c>
      <c r="C1578" t="b">
        <v>0</v>
      </c>
      <c r="D1578" t="s">
        <v>5301</v>
      </c>
      <c r="E1578" t="s">
        <v>5746</v>
      </c>
      <c r="F1578" t="s">
        <v>5747</v>
      </c>
      <c r="G1578" t="s">
        <v>5785</v>
      </c>
      <c r="H1578">
        <v>1577</v>
      </c>
      <c r="I1578" t="str">
        <f>IF(ISBLANK(Table1[[#This Row],[oid]]),"FALSE","TRUE")</f>
        <v>TRUE</v>
      </c>
      <c r="J1578" t="str" cm="1">
        <f t="array" ref="J1578">_xlfn.SWITCH(LEFT(Table1[[#This Row],[section]],1), "D", "Demographic", "S", "Social", "E", "Economic", "H", "Housing", "")</f>
        <v>Economic</v>
      </c>
      <c r="K1578" t="s">
        <v>5603</v>
      </c>
      <c r="L1578" t="s">
        <v>5604</v>
      </c>
      <c r="M1578" t="str">
        <f>IF(Table1[[#This Row],[used]], _xlfn.CONCAT("🆔 ", Table1[[#This Row],[variable]], ": ",Table1[[#This Row],[alias]]), "")</f>
        <v>🆔 B19064_001E: Aggregate interest dividends or net rental income in the past 12 months in 2022 inflation-adjusted dollars</v>
      </c>
      <c r="O1578" t="s">
        <v>5786</v>
      </c>
      <c r="P1578" t="s">
        <v>5787</v>
      </c>
      <c r="Q1578" t="s">
        <v>41</v>
      </c>
      <c r="R1578" t="s">
        <v>5751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1</v>
      </c>
      <c r="AF1578" t="b">
        <v>0</v>
      </c>
      <c r="AG1578" t="b">
        <v>0</v>
      </c>
    </row>
    <row r="1579" spans="1:33" x14ac:dyDescent="0.25">
      <c r="A1579" t="s">
        <v>31</v>
      </c>
      <c r="B1579">
        <v>1</v>
      </c>
      <c r="C1579" t="b">
        <v>0</v>
      </c>
      <c r="D1579" t="s">
        <v>5301</v>
      </c>
      <c r="E1579" t="s">
        <v>5746</v>
      </c>
      <c r="F1579" t="s">
        <v>5747</v>
      </c>
      <c r="G1579" t="s">
        <v>5788</v>
      </c>
      <c r="H1579">
        <v>1578</v>
      </c>
      <c r="I1579" t="str">
        <f>IF(ISBLANK(Table1[[#This Row],[oid]]),"FALSE","TRUE")</f>
        <v>TRUE</v>
      </c>
      <c r="J1579" t="str" cm="1">
        <f t="array" ref="J1579">_xlfn.SWITCH(LEFT(Table1[[#This Row],[section]],1), "D", "Demographic", "S", "Social", "E", "Economic", "H", "Housing", "")</f>
        <v>Economic</v>
      </c>
      <c r="K1579" t="s">
        <v>5603</v>
      </c>
      <c r="L1579" t="s">
        <v>5604</v>
      </c>
      <c r="M1579" t="str">
        <f>IF(Table1[[#This Row],[used]], _xlfn.CONCAT("🆔 ", Table1[[#This Row],[variable]], ": ",Table1[[#This Row],[alias]]), "")</f>
        <v>🆔 B19064_001E: Aggregate interest dividends or net rental income in the past 12 months in 2023 inflation-adjusted dollars</v>
      </c>
      <c r="O1579" t="s">
        <v>5789</v>
      </c>
      <c r="P1579" t="s">
        <v>5790</v>
      </c>
      <c r="Q1579" t="s">
        <v>41</v>
      </c>
      <c r="R1579" t="s">
        <v>5751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1</v>
      </c>
      <c r="AG1579" t="b">
        <v>0</v>
      </c>
    </row>
    <row r="1580" spans="1:33" x14ac:dyDescent="0.25">
      <c r="A1580" t="s">
        <v>32</v>
      </c>
      <c r="B1580">
        <v>1</v>
      </c>
      <c r="C1580" t="b">
        <v>0</v>
      </c>
      <c r="D1580" t="s">
        <v>5301</v>
      </c>
      <c r="E1580" t="s">
        <v>5746</v>
      </c>
      <c r="F1580" t="s">
        <v>5747</v>
      </c>
      <c r="G1580" t="s">
        <v>5791</v>
      </c>
      <c r="H1580">
        <v>1579</v>
      </c>
      <c r="I1580" t="str">
        <f>IF(ISBLANK(Table1[[#This Row],[oid]]),"FALSE","TRUE")</f>
        <v>TRUE</v>
      </c>
      <c r="J1580" t="str" cm="1">
        <f t="array" ref="J1580">_xlfn.SWITCH(LEFT(Table1[[#This Row],[section]],1), "D", "Demographic", "S", "Social", "E", "Economic", "H", "Housing", "")</f>
        <v>Economic</v>
      </c>
      <c r="K1580" t="s">
        <v>5603</v>
      </c>
      <c r="L1580" t="s">
        <v>5604</v>
      </c>
      <c r="M1580" t="str">
        <f>IF(Table1[[#This Row],[used]], _xlfn.CONCAT("🆔 ", Table1[[#This Row],[variable]], ": ",Table1[[#This Row],[alias]]), "")</f>
        <v>🆔 B19064_001E: Aggregate interest dividends or net rental income in the past 12 months in 2024 inflation-adjusted dollars</v>
      </c>
      <c r="O1580" t="s">
        <v>5792</v>
      </c>
      <c r="P1580" t="s">
        <v>5793</v>
      </c>
      <c r="Q1580" t="s">
        <v>41</v>
      </c>
      <c r="R1580" t="s">
        <v>5751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1</v>
      </c>
    </row>
    <row r="1581" spans="1:33" x14ac:dyDescent="0.25">
      <c r="A1581" t="s">
        <v>18</v>
      </c>
      <c r="B1581">
        <v>1</v>
      </c>
      <c r="C1581" t="b">
        <v>0</v>
      </c>
      <c r="D1581" t="s">
        <v>5301</v>
      </c>
      <c r="E1581" t="s">
        <v>5794</v>
      </c>
      <c r="F1581" t="s">
        <v>5795</v>
      </c>
      <c r="G1581" t="s">
        <v>5796</v>
      </c>
      <c r="H1581">
        <v>1580</v>
      </c>
      <c r="I1581" t="str">
        <f>IF(ISBLANK(Table1[[#This Row],[oid]]),"FALSE","TRUE")</f>
        <v>TRUE</v>
      </c>
      <c r="J1581" t="str" cm="1">
        <f t="array" ref="J1581">_xlfn.SWITCH(LEFT(Table1[[#This Row],[section]],1), "D", "Demographic", "S", "Social", "E", "Economic", "H", "Housing", "")</f>
        <v>Economic</v>
      </c>
      <c r="K1581" t="s">
        <v>5603</v>
      </c>
      <c r="L1581" t="s">
        <v>5604</v>
      </c>
      <c r="M1581" t="str">
        <f>IF(Table1[[#This Row],[used]], _xlfn.CONCAT("🆔 ", Table1[[#This Row],[variable]], ": ",Table1[[#This Row],[alias]]), "")</f>
        <v>🆔 B19065_001E: Aggregate Social Security income in the past 12 months in 2010 inflation-adjusted dollars</v>
      </c>
      <c r="O1581" t="s">
        <v>5797</v>
      </c>
      <c r="P1581" t="s">
        <v>5798</v>
      </c>
      <c r="Q1581" t="s">
        <v>41</v>
      </c>
      <c r="R1581" t="s">
        <v>5799</v>
      </c>
      <c r="S1581" t="b">
        <v>1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</row>
    <row r="1582" spans="1:33" x14ac:dyDescent="0.25">
      <c r="A1582" t="s">
        <v>19</v>
      </c>
      <c r="B1582">
        <v>1</v>
      </c>
      <c r="C1582" t="b">
        <v>0</v>
      </c>
      <c r="D1582" t="s">
        <v>5301</v>
      </c>
      <c r="E1582" t="s">
        <v>5794</v>
      </c>
      <c r="F1582" t="s">
        <v>5795</v>
      </c>
      <c r="G1582" t="s">
        <v>5800</v>
      </c>
      <c r="H1582">
        <v>1581</v>
      </c>
      <c r="I1582" t="str">
        <f>IF(ISBLANK(Table1[[#This Row],[oid]]),"FALSE","TRUE")</f>
        <v>TRUE</v>
      </c>
      <c r="J1582" t="str" cm="1">
        <f t="array" ref="J1582">_xlfn.SWITCH(LEFT(Table1[[#This Row],[section]],1), "D", "Demographic", "S", "Social", "E", "Economic", "H", "Housing", "")</f>
        <v>Economic</v>
      </c>
      <c r="K1582" t="s">
        <v>5603</v>
      </c>
      <c r="L1582" t="s">
        <v>5604</v>
      </c>
      <c r="M1582" t="str">
        <f>IF(Table1[[#This Row],[used]], _xlfn.CONCAT("🆔 ", Table1[[#This Row],[variable]], ": ",Table1[[#This Row],[alias]]), "")</f>
        <v>🆔 B19065_001E: Aggregate Social Security income in the past 12 months in 2011 inflation-adjusted dollars</v>
      </c>
      <c r="O1582" t="s">
        <v>5801</v>
      </c>
      <c r="P1582" t="s">
        <v>5802</v>
      </c>
      <c r="Q1582" t="s">
        <v>41</v>
      </c>
      <c r="R1582" t="s">
        <v>5799</v>
      </c>
      <c r="S1582" t="b">
        <v>0</v>
      </c>
      <c r="T1582" t="b">
        <v>1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</row>
    <row r="1583" spans="1:33" x14ac:dyDescent="0.25">
      <c r="A1583" t="s">
        <v>20</v>
      </c>
      <c r="B1583">
        <v>1</v>
      </c>
      <c r="C1583" t="b">
        <v>0</v>
      </c>
      <c r="D1583" t="s">
        <v>5301</v>
      </c>
      <c r="E1583" t="s">
        <v>5794</v>
      </c>
      <c r="F1583" t="s">
        <v>5795</v>
      </c>
      <c r="G1583" t="s">
        <v>5803</v>
      </c>
      <c r="H1583">
        <v>1582</v>
      </c>
      <c r="I1583" t="str">
        <f>IF(ISBLANK(Table1[[#This Row],[oid]]),"FALSE","TRUE")</f>
        <v>TRUE</v>
      </c>
      <c r="J1583" t="str" cm="1">
        <f t="array" ref="J1583">_xlfn.SWITCH(LEFT(Table1[[#This Row],[section]],1), "D", "Demographic", "S", "Social", "E", "Economic", "H", "Housing", "")</f>
        <v>Economic</v>
      </c>
      <c r="K1583" t="s">
        <v>5603</v>
      </c>
      <c r="L1583" t="s">
        <v>5604</v>
      </c>
      <c r="M1583" t="str">
        <f>IF(Table1[[#This Row],[used]], _xlfn.CONCAT("🆔 ", Table1[[#This Row],[variable]], ": ",Table1[[#This Row],[alias]]), "")</f>
        <v>🆔 B19065_001E: Aggregate Social Security income in the past 12 months in 2012 inflation-adjusted dollars</v>
      </c>
      <c r="O1583" t="s">
        <v>5804</v>
      </c>
      <c r="P1583" t="s">
        <v>5805</v>
      </c>
      <c r="Q1583" t="s">
        <v>41</v>
      </c>
      <c r="R1583" t="s">
        <v>5799</v>
      </c>
      <c r="S1583" t="b">
        <v>0</v>
      </c>
      <c r="T1583" t="b">
        <v>0</v>
      </c>
      <c r="U1583" t="b">
        <v>1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</row>
    <row r="1584" spans="1:33" x14ac:dyDescent="0.25">
      <c r="A1584" t="s">
        <v>21</v>
      </c>
      <c r="B1584">
        <v>1</v>
      </c>
      <c r="C1584" t="b">
        <v>0</v>
      </c>
      <c r="D1584" t="s">
        <v>5301</v>
      </c>
      <c r="E1584" t="s">
        <v>5794</v>
      </c>
      <c r="F1584" t="s">
        <v>5795</v>
      </c>
      <c r="G1584" t="s">
        <v>5806</v>
      </c>
      <c r="H1584">
        <v>1583</v>
      </c>
      <c r="I1584" t="str">
        <f>IF(ISBLANK(Table1[[#This Row],[oid]]),"FALSE","TRUE")</f>
        <v>TRUE</v>
      </c>
      <c r="J1584" t="str" cm="1">
        <f t="array" ref="J1584">_xlfn.SWITCH(LEFT(Table1[[#This Row],[section]],1), "D", "Demographic", "S", "Social", "E", "Economic", "H", "Housing", "")</f>
        <v>Economic</v>
      </c>
      <c r="K1584" t="s">
        <v>5603</v>
      </c>
      <c r="L1584" t="s">
        <v>5604</v>
      </c>
      <c r="M1584" t="str">
        <f>IF(Table1[[#This Row],[used]], _xlfn.CONCAT("🆔 ", Table1[[#This Row],[variable]], ": ",Table1[[#This Row],[alias]]), "")</f>
        <v>🆔 B19065_001E: Aggregate Social Security income in the past 12 months in 2013 inflation-adjusted dollars</v>
      </c>
      <c r="O1584" t="s">
        <v>5807</v>
      </c>
      <c r="P1584" t="s">
        <v>5808</v>
      </c>
      <c r="Q1584" t="s">
        <v>41</v>
      </c>
      <c r="R1584" t="s">
        <v>5799</v>
      </c>
      <c r="S1584" t="b">
        <v>0</v>
      </c>
      <c r="T1584" t="b">
        <v>0</v>
      </c>
      <c r="U1584" t="b">
        <v>0</v>
      </c>
      <c r="V1584" t="b">
        <v>1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</row>
    <row r="1585" spans="1:33" x14ac:dyDescent="0.25">
      <c r="A1585" t="s">
        <v>22</v>
      </c>
      <c r="B1585">
        <v>1</v>
      </c>
      <c r="C1585" t="b">
        <v>0</v>
      </c>
      <c r="D1585" t="s">
        <v>5301</v>
      </c>
      <c r="E1585" t="s">
        <v>5794</v>
      </c>
      <c r="F1585" t="s">
        <v>5795</v>
      </c>
      <c r="G1585" t="s">
        <v>5809</v>
      </c>
      <c r="H1585">
        <v>1584</v>
      </c>
      <c r="I1585" t="str">
        <f>IF(ISBLANK(Table1[[#This Row],[oid]]),"FALSE","TRUE")</f>
        <v>TRUE</v>
      </c>
      <c r="J1585" t="str" cm="1">
        <f t="array" ref="J1585">_xlfn.SWITCH(LEFT(Table1[[#This Row],[section]],1), "D", "Demographic", "S", "Social", "E", "Economic", "H", "Housing", "")</f>
        <v>Economic</v>
      </c>
      <c r="K1585" t="s">
        <v>5603</v>
      </c>
      <c r="L1585" t="s">
        <v>5604</v>
      </c>
      <c r="M1585" t="str">
        <f>IF(Table1[[#This Row],[used]], _xlfn.CONCAT("🆔 ", Table1[[#This Row],[variable]], ": ",Table1[[#This Row],[alias]]), "")</f>
        <v>🆔 B19065_001E: Aggregate Social Security income in the past 12 months in 2014 Inflation-adjusted dollars</v>
      </c>
      <c r="O1585" t="s">
        <v>5810</v>
      </c>
      <c r="P1585" t="s">
        <v>5811</v>
      </c>
      <c r="Q1585" t="s">
        <v>41</v>
      </c>
      <c r="R1585" t="s">
        <v>5799</v>
      </c>
      <c r="S1585" t="b">
        <v>0</v>
      </c>
      <c r="T1585" t="b">
        <v>0</v>
      </c>
      <c r="U1585" t="b">
        <v>0</v>
      </c>
      <c r="V1585" t="b">
        <v>0</v>
      </c>
      <c r="W1585" t="b">
        <v>1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</row>
    <row r="1586" spans="1:33" x14ac:dyDescent="0.25">
      <c r="A1586" t="s">
        <v>23</v>
      </c>
      <c r="B1586">
        <v>1</v>
      </c>
      <c r="C1586" t="b">
        <v>0</v>
      </c>
      <c r="D1586" t="s">
        <v>5301</v>
      </c>
      <c r="E1586" t="s">
        <v>5794</v>
      </c>
      <c r="F1586" t="s">
        <v>5795</v>
      </c>
      <c r="G1586" t="s">
        <v>5812</v>
      </c>
      <c r="H1586">
        <v>1585</v>
      </c>
      <c r="I1586" t="str">
        <f>IF(ISBLANK(Table1[[#This Row],[oid]]),"FALSE","TRUE")</f>
        <v>TRUE</v>
      </c>
      <c r="J1586" t="str" cm="1">
        <f t="array" ref="J1586">_xlfn.SWITCH(LEFT(Table1[[#This Row],[section]],1), "D", "Demographic", "S", "Social", "E", "Economic", "H", "Housing", "")</f>
        <v>Economic</v>
      </c>
      <c r="K1586" t="s">
        <v>5603</v>
      </c>
      <c r="L1586" t="s">
        <v>5604</v>
      </c>
      <c r="M1586" t="str">
        <f>IF(Table1[[#This Row],[used]], _xlfn.CONCAT("🆔 ", Table1[[#This Row],[variable]], ": ",Table1[[#This Row],[alias]]), "")</f>
        <v>🆔 B19065_001E: Aggregate Social Security income in the past 12 months in 2015 Inflation-adjusted dollars</v>
      </c>
      <c r="O1586" t="s">
        <v>5813</v>
      </c>
      <c r="P1586" t="s">
        <v>5814</v>
      </c>
      <c r="Q1586" t="s">
        <v>41</v>
      </c>
      <c r="R1586" t="s">
        <v>5799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1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</row>
    <row r="1587" spans="1:33" x14ac:dyDescent="0.25">
      <c r="A1587" t="s">
        <v>24</v>
      </c>
      <c r="B1587">
        <v>1</v>
      </c>
      <c r="C1587" t="b">
        <v>0</v>
      </c>
      <c r="D1587" t="s">
        <v>5301</v>
      </c>
      <c r="E1587" t="s">
        <v>5794</v>
      </c>
      <c r="F1587" t="s">
        <v>5795</v>
      </c>
      <c r="G1587" t="s">
        <v>5815</v>
      </c>
      <c r="H1587">
        <v>1586</v>
      </c>
      <c r="I1587" t="str">
        <f>IF(ISBLANK(Table1[[#This Row],[oid]]),"FALSE","TRUE")</f>
        <v>TRUE</v>
      </c>
      <c r="J1587" t="str" cm="1">
        <f t="array" ref="J1587">_xlfn.SWITCH(LEFT(Table1[[#This Row],[section]],1), "D", "Demographic", "S", "Social", "E", "Economic", "H", "Housing", "")</f>
        <v>Economic</v>
      </c>
      <c r="K1587" t="s">
        <v>5603</v>
      </c>
      <c r="L1587" t="s">
        <v>5604</v>
      </c>
      <c r="M1587" t="str">
        <f>IF(Table1[[#This Row],[used]], _xlfn.CONCAT("🆔 ", Table1[[#This Row],[variable]], ": ",Table1[[#This Row],[alias]]), "")</f>
        <v>🆔 B19065_001E: Aggregate Social Security income in the past 12 months in 2016 inflation-adjusted dollars</v>
      </c>
      <c r="O1587" t="s">
        <v>5816</v>
      </c>
      <c r="P1587" t="s">
        <v>5817</v>
      </c>
      <c r="Q1587" t="s">
        <v>41</v>
      </c>
      <c r="R1587" t="s">
        <v>5799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1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</row>
    <row r="1588" spans="1:33" x14ac:dyDescent="0.25">
      <c r="A1588" t="s">
        <v>25</v>
      </c>
      <c r="B1588">
        <v>1</v>
      </c>
      <c r="C1588" t="b">
        <v>0</v>
      </c>
      <c r="D1588" t="s">
        <v>5301</v>
      </c>
      <c r="E1588" t="s">
        <v>5794</v>
      </c>
      <c r="F1588" t="s">
        <v>5795</v>
      </c>
      <c r="G1588" t="s">
        <v>5818</v>
      </c>
      <c r="H1588">
        <v>1587</v>
      </c>
      <c r="I1588" t="str">
        <f>IF(ISBLANK(Table1[[#This Row],[oid]]),"FALSE","TRUE")</f>
        <v>TRUE</v>
      </c>
      <c r="J1588" t="str" cm="1">
        <f t="array" ref="J1588">_xlfn.SWITCH(LEFT(Table1[[#This Row],[section]],1), "D", "Demographic", "S", "Social", "E", "Economic", "H", "Housing", "")</f>
        <v>Economic</v>
      </c>
      <c r="K1588" t="s">
        <v>5603</v>
      </c>
      <c r="L1588" t="s">
        <v>5604</v>
      </c>
      <c r="M1588" t="str">
        <f>IF(Table1[[#This Row],[used]], _xlfn.CONCAT("🆔 ", Table1[[#This Row],[variable]], ": ",Table1[[#This Row],[alias]]), "")</f>
        <v>🆔 B19065_001E: Aggregate Social Security income in the past 12 months in 2017 inflation-adjusted dollars</v>
      </c>
      <c r="O1588" t="s">
        <v>5819</v>
      </c>
      <c r="P1588" t="s">
        <v>5820</v>
      </c>
      <c r="Q1588" t="s">
        <v>41</v>
      </c>
      <c r="R1588" t="s">
        <v>5799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1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</row>
    <row r="1589" spans="1:33" x14ac:dyDescent="0.25">
      <c r="A1589" t="s">
        <v>26</v>
      </c>
      <c r="B1589">
        <v>1</v>
      </c>
      <c r="C1589" t="b">
        <v>0</v>
      </c>
      <c r="D1589" t="s">
        <v>5301</v>
      </c>
      <c r="E1589" t="s">
        <v>5794</v>
      </c>
      <c r="F1589" t="s">
        <v>5795</v>
      </c>
      <c r="G1589" t="s">
        <v>5821</v>
      </c>
      <c r="H1589">
        <v>1588</v>
      </c>
      <c r="I1589" t="str">
        <f>IF(ISBLANK(Table1[[#This Row],[oid]]),"FALSE","TRUE")</f>
        <v>TRUE</v>
      </c>
      <c r="J1589" t="str" cm="1">
        <f t="array" ref="J1589">_xlfn.SWITCH(LEFT(Table1[[#This Row],[section]],1), "D", "Demographic", "S", "Social", "E", "Economic", "H", "Housing", "")</f>
        <v>Economic</v>
      </c>
      <c r="K1589" t="s">
        <v>5603</v>
      </c>
      <c r="L1589" t="s">
        <v>5604</v>
      </c>
      <c r="M1589" t="str">
        <f>IF(Table1[[#This Row],[used]], _xlfn.CONCAT("🆔 ", Table1[[#This Row],[variable]], ": ",Table1[[#This Row],[alias]]), "")</f>
        <v>🆔 B19065_001E: Aggregate Social Security income in the past 12 months in 2018 inflation-adjusted dollars</v>
      </c>
      <c r="O1589" t="s">
        <v>5822</v>
      </c>
      <c r="P1589" t="s">
        <v>5823</v>
      </c>
      <c r="Q1589" t="s">
        <v>41</v>
      </c>
      <c r="R1589" t="s">
        <v>5799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1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</row>
    <row r="1590" spans="1:33" x14ac:dyDescent="0.25">
      <c r="A1590" t="s">
        <v>27</v>
      </c>
      <c r="B1590">
        <v>1</v>
      </c>
      <c r="C1590" t="b">
        <v>0</v>
      </c>
      <c r="D1590" t="s">
        <v>5301</v>
      </c>
      <c r="E1590" t="s">
        <v>5794</v>
      </c>
      <c r="F1590" t="s">
        <v>5795</v>
      </c>
      <c r="G1590" t="s">
        <v>5824</v>
      </c>
      <c r="H1590">
        <v>1589</v>
      </c>
      <c r="I1590" t="str">
        <f>IF(ISBLANK(Table1[[#This Row],[oid]]),"FALSE","TRUE")</f>
        <v>TRUE</v>
      </c>
      <c r="J1590" t="str" cm="1">
        <f t="array" ref="J1590">_xlfn.SWITCH(LEFT(Table1[[#This Row],[section]],1), "D", "Demographic", "S", "Social", "E", "Economic", "H", "Housing", "")</f>
        <v>Economic</v>
      </c>
      <c r="K1590" t="s">
        <v>5603</v>
      </c>
      <c r="L1590" t="s">
        <v>5604</v>
      </c>
      <c r="M1590" t="str">
        <f>IF(Table1[[#This Row],[used]], _xlfn.CONCAT("🆔 ", Table1[[#This Row],[variable]], ": ",Table1[[#This Row],[alias]]), "")</f>
        <v>🆔 B19065_001E: Aggregate Social Security income in the past 12 months in 2019 inflation-adjusted dollars</v>
      </c>
      <c r="O1590" t="s">
        <v>5825</v>
      </c>
      <c r="P1590" t="s">
        <v>5826</v>
      </c>
      <c r="Q1590" t="s">
        <v>41</v>
      </c>
      <c r="R1590" t="s">
        <v>5799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1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</row>
    <row r="1591" spans="1:33" x14ac:dyDescent="0.25">
      <c r="A1591" t="s">
        <v>28</v>
      </c>
      <c r="B1591">
        <v>1</v>
      </c>
      <c r="C1591" t="b">
        <v>0</v>
      </c>
      <c r="D1591" t="s">
        <v>5301</v>
      </c>
      <c r="E1591" t="s">
        <v>5794</v>
      </c>
      <c r="F1591" t="s">
        <v>5795</v>
      </c>
      <c r="G1591" t="s">
        <v>5827</v>
      </c>
      <c r="H1591">
        <v>1590</v>
      </c>
      <c r="I1591" t="str">
        <f>IF(ISBLANK(Table1[[#This Row],[oid]]),"FALSE","TRUE")</f>
        <v>TRUE</v>
      </c>
      <c r="J1591" t="str" cm="1">
        <f t="array" ref="J1591">_xlfn.SWITCH(LEFT(Table1[[#This Row],[section]],1), "D", "Demographic", "S", "Social", "E", "Economic", "H", "Housing", "")</f>
        <v>Economic</v>
      </c>
      <c r="K1591" t="s">
        <v>5603</v>
      </c>
      <c r="L1591" t="s">
        <v>5604</v>
      </c>
      <c r="M1591" t="str">
        <f>IF(Table1[[#This Row],[used]], _xlfn.CONCAT("🆔 ", Table1[[#This Row],[variable]], ": ",Table1[[#This Row],[alias]]), "")</f>
        <v>🆔 B19065_001E: Aggregate Social Security income in the past 12 months in 2020 inflation-adjusted dollars</v>
      </c>
      <c r="O1591" t="s">
        <v>5828</v>
      </c>
      <c r="P1591" t="s">
        <v>5829</v>
      </c>
      <c r="Q1591" t="s">
        <v>41</v>
      </c>
      <c r="R1591" t="s">
        <v>5799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1</v>
      </c>
      <c r="AD1591" t="b">
        <v>0</v>
      </c>
      <c r="AE1591" t="b">
        <v>0</v>
      </c>
      <c r="AF1591" t="b">
        <v>0</v>
      </c>
      <c r="AG1591" t="b">
        <v>0</v>
      </c>
    </row>
    <row r="1592" spans="1:33" x14ac:dyDescent="0.25">
      <c r="A1592" t="s">
        <v>29</v>
      </c>
      <c r="B1592">
        <v>1</v>
      </c>
      <c r="C1592" t="b">
        <v>0</v>
      </c>
      <c r="D1592" t="s">
        <v>5301</v>
      </c>
      <c r="E1592" t="s">
        <v>5794</v>
      </c>
      <c r="F1592" t="s">
        <v>5795</v>
      </c>
      <c r="G1592" t="s">
        <v>5830</v>
      </c>
      <c r="H1592">
        <v>1591</v>
      </c>
      <c r="I1592" t="str">
        <f>IF(ISBLANK(Table1[[#This Row],[oid]]),"FALSE","TRUE")</f>
        <v>TRUE</v>
      </c>
      <c r="J1592" t="str" cm="1">
        <f t="array" ref="J1592">_xlfn.SWITCH(LEFT(Table1[[#This Row],[section]],1), "D", "Demographic", "S", "Social", "E", "Economic", "H", "Housing", "")</f>
        <v>Economic</v>
      </c>
      <c r="K1592" t="s">
        <v>5603</v>
      </c>
      <c r="L1592" t="s">
        <v>5604</v>
      </c>
      <c r="M1592" t="str">
        <f>IF(Table1[[#This Row],[used]], _xlfn.CONCAT("🆔 ", Table1[[#This Row],[variable]], ": ",Table1[[#This Row],[alias]]), "")</f>
        <v>🆔 B19065_001E: Aggregate Social Security income in the past 12 months in 2021 inflation-adjusted dollars</v>
      </c>
      <c r="O1592" t="s">
        <v>5831</v>
      </c>
      <c r="P1592" t="s">
        <v>5832</v>
      </c>
      <c r="Q1592" t="s">
        <v>41</v>
      </c>
      <c r="R1592" t="s">
        <v>5799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1</v>
      </c>
      <c r="AE1592" t="b">
        <v>0</v>
      </c>
      <c r="AF1592" t="b">
        <v>0</v>
      </c>
      <c r="AG1592" t="b">
        <v>0</v>
      </c>
    </row>
    <row r="1593" spans="1:33" x14ac:dyDescent="0.25">
      <c r="A1593" t="s">
        <v>30</v>
      </c>
      <c r="B1593">
        <v>1</v>
      </c>
      <c r="C1593" t="b">
        <v>0</v>
      </c>
      <c r="D1593" t="s">
        <v>5301</v>
      </c>
      <c r="E1593" t="s">
        <v>5794</v>
      </c>
      <c r="F1593" t="s">
        <v>5795</v>
      </c>
      <c r="G1593" t="s">
        <v>5833</v>
      </c>
      <c r="H1593">
        <v>1592</v>
      </c>
      <c r="I1593" t="str">
        <f>IF(ISBLANK(Table1[[#This Row],[oid]]),"FALSE","TRUE")</f>
        <v>TRUE</v>
      </c>
      <c r="J1593" t="str" cm="1">
        <f t="array" ref="J1593">_xlfn.SWITCH(LEFT(Table1[[#This Row],[section]],1), "D", "Demographic", "S", "Social", "E", "Economic", "H", "Housing", "")</f>
        <v>Economic</v>
      </c>
      <c r="K1593" t="s">
        <v>5603</v>
      </c>
      <c r="L1593" t="s">
        <v>5604</v>
      </c>
      <c r="M1593" t="str">
        <f>IF(Table1[[#This Row],[used]], _xlfn.CONCAT("🆔 ", Table1[[#This Row],[variable]], ": ",Table1[[#This Row],[alias]]), "")</f>
        <v>🆔 B19065_001E: Aggregate Social Security income in the past 12 months in 2022 inflation-adjusted dollars</v>
      </c>
      <c r="O1593" t="s">
        <v>5834</v>
      </c>
      <c r="P1593" t="s">
        <v>5835</v>
      </c>
      <c r="Q1593" t="s">
        <v>41</v>
      </c>
      <c r="R1593" t="s">
        <v>5799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1</v>
      </c>
      <c r="AF1593" t="b">
        <v>0</v>
      </c>
      <c r="AG1593" t="b">
        <v>0</v>
      </c>
    </row>
    <row r="1594" spans="1:33" x14ac:dyDescent="0.25">
      <c r="A1594" t="s">
        <v>31</v>
      </c>
      <c r="B1594">
        <v>1</v>
      </c>
      <c r="C1594" t="b">
        <v>0</v>
      </c>
      <c r="D1594" t="s">
        <v>5301</v>
      </c>
      <c r="E1594" t="s">
        <v>5794</v>
      </c>
      <c r="F1594" t="s">
        <v>5795</v>
      </c>
      <c r="G1594" t="s">
        <v>5836</v>
      </c>
      <c r="H1594">
        <v>1593</v>
      </c>
      <c r="I1594" t="str">
        <f>IF(ISBLANK(Table1[[#This Row],[oid]]),"FALSE","TRUE")</f>
        <v>TRUE</v>
      </c>
      <c r="J1594" t="str" cm="1">
        <f t="array" ref="J1594">_xlfn.SWITCH(LEFT(Table1[[#This Row],[section]],1), "D", "Demographic", "S", "Social", "E", "Economic", "H", "Housing", "")</f>
        <v>Economic</v>
      </c>
      <c r="K1594" t="s">
        <v>5603</v>
      </c>
      <c r="L1594" t="s">
        <v>5604</v>
      </c>
      <c r="M1594" t="str">
        <f>IF(Table1[[#This Row],[used]], _xlfn.CONCAT("🆔 ", Table1[[#This Row],[variable]], ": ",Table1[[#This Row],[alias]]), "")</f>
        <v>🆔 B19065_001E: Aggregate Social Security income in the past 12 months in 2023 inflation-adjusted dollars</v>
      </c>
      <c r="O1594" t="s">
        <v>5837</v>
      </c>
      <c r="P1594" t="s">
        <v>5838</v>
      </c>
      <c r="Q1594" t="s">
        <v>41</v>
      </c>
      <c r="R1594" t="s">
        <v>5799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1</v>
      </c>
      <c r="AG1594" t="b">
        <v>0</v>
      </c>
    </row>
    <row r="1595" spans="1:33" x14ac:dyDescent="0.25">
      <c r="A1595" t="s">
        <v>32</v>
      </c>
      <c r="B1595">
        <v>1</v>
      </c>
      <c r="C1595" t="b">
        <v>0</v>
      </c>
      <c r="D1595" t="s">
        <v>5301</v>
      </c>
      <c r="E1595" t="s">
        <v>5794</v>
      </c>
      <c r="F1595" t="s">
        <v>5795</v>
      </c>
      <c r="G1595" t="s">
        <v>5839</v>
      </c>
      <c r="H1595">
        <v>1594</v>
      </c>
      <c r="I1595" t="str">
        <f>IF(ISBLANK(Table1[[#This Row],[oid]]),"FALSE","TRUE")</f>
        <v>TRUE</v>
      </c>
      <c r="J1595" t="str" cm="1">
        <f t="array" ref="J1595">_xlfn.SWITCH(LEFT(Table1[[#This Row],[section]],1), "D", "Demographic", "S", "Social", "E", "Economic", "H", "Housing", "")</f>
        <v>Economic</v>
      </c>
      <c r="K1595" t="s">
        <v>5603</v>
      </c>
      <c r="L1595" t="s">
        <v>5604</v>
      </c>
      <c r="M1595" t="str">
        <f>IF(Table1[[#This Row],[used]], _xlfn.CONCAT("🆔 ", Table1[[#This Row],[variable]], ": ",Table1[[#This Row],[alias]]), "")</f>
        <v>🆔 B19065_001E: Aggregate Social Security income in the past 12 months in 2024 inflation-adjusted dollars</v>
      </c>
      <c r="O1595" t="s">
        <v>5840</v>
      </c>
      <c r="P1595" t="s">
        <v>5841</v>
      </c>
      <c r="Q1595" t="s">
        <v>41</v>
      </c>
      <c r="R1595" t="s">
        <v>5799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1</v>
      </c>
    </row>
    <row r="1596" spans="1:33" x14ac:dyDescent="0.25">
      <c r="A1596" t="s">
        <v>18</v>
      </c>
      <c r="B1596">
        <v>1</v>
      </c>
      <c r="C1596" t="b">
        <v>0</v>
      </c>
      <c r="D1596" t="s">
        <v>5301</v>
      </c>
      <c r="E1596" t="s">
        <v>5842</v>
      </c>
      <c r="F1596" t="s">
        <v>5843</v>
      </c>
      <c r="G1596" t="s">
        <v>5844</v>
      </c>
      <c r="H1596">
        <v>1595</v>
      </c>
      <c r="I1596" t="str">
        <f>IF(ISBLANK(Table1[[#This Row],[oid]]),"FALSE","TRUE")</f>
        <v>TRUE</v>
      </c>
      <c r="J1596" t="str" cm="1">
        <f t="array" ref="J1596">_xlfn.SWITCH(LEFT(Table1[[#This Row],[section]],1), "D", "Demographic", "S", "Social", "E", "Economic", "H", "Housing", "")</f>
        <v>Economic</v>
      </c>
      <c r="K1596" t="s">
        <v>5603</v>
      </c>
      <c r="L1596" t="s">
        <v>5604</v>
      </c>
      <c r="M1596" t="str">
        <f>IF(Table1[[#This Row],[used]], _xlfn.CONCAT("🆔 ", Table1[[#This Row],[variable]], ": ",Table1[[#This Row],[alias]]), "")</f>
        <v>🆔 B19066_001E: Aggregate Supplemental Security Income SSI in the past 12 months in 2010 inflation-adjusted dollars</v>
      </c>
      <c r="O1596" t="s">
        <v>5845</v>
      </c>
      <c r="P1596" t="s">
        <v>5846</v>
      </c>
      <c r="Q1596" t="s">
        <v>41</v>
      </c>
      <c r="R1596" t="s">
        <v>5847</v>
      </c>
      <c r="S1596" t="b">
        <v>1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</row>
    <row r="1597" spans="1:33" x14ac:dyDescent="0.25">
      <c r="A1597" t="s">
        <v>19</v>
      </c>
      <c r="B1597">
        <v>1</v>
      </c>
      <c r="C1597" t="b">
        <v>0</v>
      </c>
      <c r="D1597" t="s">
        <v>5301</v>
      </c>
      <c r="E1597" t="s">
        <v>5842</v>
      </c>
      <c r="F1597" t="s">
        <v>5843</v>
      </c>
      <c r="G1597" t="s">
        <v>5848</v>
      </c>
      <c r="H1597">
        <v>1596</v>
      </c>
      <c r="I1597" t="str">
        <f>IF(ISBLANK(Table1[[#This Row],[oid]]),"FALSE","TRUE")</f>
        <v>TRUE</v>
      </c>
      <c r="J1597" t="str" cm="1">
        <f t="array" ref="J1597">_xlfn.SWITCH(LEFT(Table1[[#This Row],[section]],1), "D", "Demographic", "S", "Social", "E", "Economic", "H", "Housing", "")</f>
        <v>Economic</v>
      </c>
      <c r="K1597" t="s">
        <v>5603</v>
      </c>
      <c r="L1597" t="s">
        <v>5604</v>
      </c>
      <c r="M1597" t="str">
        <f>IF(Table1[[#This Row],[used]], _xlfn.CONCAT("🆔 ", Table1[[#This Row],[variable]], ": ",Table1[[#This Row],[alias]]), "")</f>
        <v>🆔 B19066_001E: Aggregate Supplemental Security Income SSI in the past 12 months in 2011 inflation-adjusted dollars</v>
      </c>
      <c r="O1597" t="s">
        <v>5849</v>
      </c>
      <c r="P1597" t="s">
        <v>5850</v>
      </c>
      <c r="Q1597" t="s">
        <v>41</v>
      </c>
      <c r="R1597" t="s">
        <v>5847</v>
      </c>
      <c r="S1597" t="b">
        <v>0</v>
      </c>
      <c r="T1597" t="b">
        <v>1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</row>
    <row r="1598" spans="1:33" x14ac:dyDescent="0.25">
      <c r="A1598" t="s">
        <v>20</v>
      </c>
      <c r="B1598">
        <v>1</v>
      </c>
      <c r="C1598" t="b">
        <v>0</v>
      </c>
      <c r="D1598" t="s">
        <v>5301</v>
      </c>
      <c r="E1598" t="s">
        <v>5842</v>
      </c>
      <c r="F1598" t="s">
        <v>5843</v>
      </c>
      <c r="G1598" t="s">
        <v>5851</v>
      </c>
      <c r="H1598">
        <v>1597</v>
      </c>
      <c r="I1598" t="str">
        <f>IF(ISBLANK(Table1[[#This Row],[oid]]),"FALSE","TRUE")</f>
        <v>TRUE</v>
      </c>
      <c r="J1598" t="str" cm="1">
        <f t="array" ref="J1598">_xlfn.SWITCH(LEFT(Table1[[#This Row],[section]],1), "D", "Demographic", "S", "Social", "E", "Economic", "H", "Housing", "")</f>
        <v>Economic</v>
      </c>
      <c r="K1598" t="s">
        <v>5603</v>
      </c>
      <c r="L1598" t="s">
        <v>5604</v>
      </c>
      <c r="M1598" t="str">
        <f>IF(Table1[[#This Row],[used]], _xlfn.CONCAT("🆔 ", Table1[[#This Row],[variable]], ": ",Table1[[#This Row],[alias]]), "")</f>
        <v>🆔 B19066_001E: Aggregate Supplemental Security Income SSI in the past 12 months in 2012 inflation-adjusted dollars</v>
      </c>
      <c r="O1598" t="s">
        <v>5852</v>
      </c>
      <c r="P1598" t="s">
        <v>5853</v>
      </c>
      <c r="Q1598" t="s">
        <v>41</v>
      </c>
      <c r="R1598" t="s">
        <v>5847</v>
      </c>
      <c r="S1598" t="b">
        <v>0</v>
      </c>
      <c r="T1598" t="b">
        <v>0</v>
      </c>
      <c r="U1598" t="b">
        <v>1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</row>
    <row r="1599" spans="1:33" x14ac:dyDescent="0.25">
      <c r="A1599" t="s">
        <v>21</v>
      </c>
      <c r="B1599">
        <v>1</v>
      </c>
      <c r="C1599" t="b">
        <v>0</v>
      </c>
      <c r="D1599" t="s">
        <v>5301</v>
      </c>
      <c r="E1599" t="s">
        <v>5842</v>
      </c>
      <c r="F1599" t="s">
        <v>5843</v>
      </c>
      <c r="G1599" t="s">
        <v>5854</v>
      </c>
      <c r="H1599">
        <v>1598</v>
      </c>
      <c r="I1599" t="str">
        <f>IF(ISBLANK(Table1[[#This Row],[oid]]),"FALSE","TRUE")</f>
        <v>TRUE</v>
      </c>
      <c r="J1599" t="str" cm="1">
        <f t="array" ref="J1599">_xlfn.SWITCH(LEFT(Table1[[#This Row],[section]],1), "D", "Demographic", "S", "Social", "E", "Economic", "H", "Housing", "")</f>
        <v>Economic</v>
      </c>
      <c r="K1599" t="s">
        <v>5603</v>
      </c>
      <c r="L1599" t="s">
        <v>5604</v>
      </c>
      <c r="M1599" t="str">
        <f>IF(Table1[[#This Row],[used]], _xlfn.CONCAT("🆔 ", Table1[[#This Row],[variable]], ": ",Table1[[#This Row],[alias]]), "")</f>
        <v>🆔 B19066_001E: Aggregate Supplemental Security Income SSI in the past 12 months in 2013 inflation-adjusted dollars</v>
      </c>
      <c r="O1599" t="s">
        <v>5855</v>
      </c>
      <c r="P1599" t="s">
        <v>5856</v>
      </c>
      <c r="Q1599" t="s">
        <v>41</v>
      </c>
      <c r="R1599" t="s">
        <v>5847</v>
      </c>
      <c r="S1599" t="b">
        <v>0</v>
      </c>
      <c r="T1599" t="b">
        <v>0</v>
      </c>
      <c r="U1599" t="b">
        <v>0</v>
      </c>
      <c r="V1599" t="b">
        <v>1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</row>
    <row r="1600" spans="1:33" x14ac:dyDescent="0.25">
      <c r="A1600" t="s">
        <v>22</v>
      </c>
      <c r="B1600">
        <v>1</v>
      </c>
      <c r="C1600" t="b">
        <v>0</v>
      </c>
      <c r="D1600" t="s">
        <v>5301</v>
      </c>
      <c r="E1600" t="s">
        <v>5842</v>
      </c>
      <c r="F1600" t="s">
        <v>5843</v>
      </c>
      <c r="G1600" t="s">
        <v>5857</v>
      </c>
      <c r="H1600">
        <v>1599</v>
      </c>
      <c r="I1600" t="str">
        <f>IF(ISBLANK(Table1[[#This Row],[oid]]),"FALSE","TRUE")</f>
        <v>TRUE</v>
      </c>
      <c r="J1600" t="str" cm="1">
        <f t="array" ref="J1600">_xlfn.SWITCH(LEFT(Table1[[#This Row],[section]],1), "D", "Demographic", "S", "Social", "E", "Economic", "H", "Housing", "")</f>
        <v>Economic</v>
      </c>
      <c r="K1600" t="s">
        <v>5603</v>
      </c>
      <c r="L1600" t="s">
        <v>5604</v>
      </c>
      <c r="M1600" t="str">
        <f>IF(Table1[[#This Row],[used]], _xlfn.CONCAT("🆔 ", Table1[[#This Row],[variable]], ": ",Table1[[#This Row],[alias]]), "")</f>
        <v>🆔 B19066_001E: Aggregate Supplemental Security Income SSI in the past 12 months in 2014 Inflation-adjusted dollars</v>
      </c>
      <c r="O1600" t="s">
        <v>5858</v>
      </c>
      <c r="P1600" t="s">
        <v>5859</v>
      </c>
      <c r="Q1600" t="s">
        <v>41</v>
      </c>
      <c r="R1600" t="s">
        <v>5847</v>
      </c>
      <c r="S1600" t="b">
        <v>0</v>
      </c>
      <c r="T1600" t="b">
        <v>0</v>
      </c>
      <c r="U1600" t="b">
        <v>0</v>
      </c>
      <c r="V1600" t="b">
        <v>0</v>
      </c>
      <c r="W1600" t="b">
        <v>1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</row>
    <row r="1601" spans="1:33" x14ac:dyDescent="0.25">
      <c r="A1601" t="s">
        <v>23</v>
      </c>
      <c r="B1601">
        <v>1</v>
      </c>
      <c r="C1601" t="b">
        <v>0</v>
      </c>
      <c r="D1601" t="s">
        <v>5301</v>
      </c>
      <c r="E1601" t="s">
        <v>5842</v>
      </c>
      <c r="F1601" t="s">
        <v>5843</v>
      </c>
      <c r="G1601" t="s">
        <v>5860</v>
      </c>
      <c r="H1601">
        <v>1600</v>
      </c>
      <c r="I1601" t="str">
        <f>IF(ISBLANK(Table1[[#This Row],[oid]]),"FALSE","TRUE")</f>
        <v>TRUE</v>
      </c>
      <c r="J1601" t="str" cm="1">
        <f t="array" ref="J1601">_xlfn.SWITCH(LEFT(Table1[[#This Row],[section]],1), "D", "Demographic", "S", "Social", "E", "Economic", "H", "Housing", "")</f>
        <v>Economic</v>
      </c>
      <c r="K1601" t="s">
        <v>5603</v>
      </c>
      <c r="L1601" t="s">
        <v>5604</v>
      </c>
      <c r="M1601" t="str">
        <f>IF(Table1[[#This Row],[used]], _xlfn.CONCAT("🆔 ", Table1[[#This Row],[variable]], ": ",Table1[[#This Row],[alias]]), "")</f>
        <v>🆔 B19066_001E: Aggregate Supplemental Security Income SSI in the past 12 months in 2015 Inflation-adjusted dollars</v>
      </c>
      <c r="O1601" t="s">
        <v>5861</v>
      </c>
      <c r="P1601" t="s">
        <v>5862</v>
      </c>
      <c r="Q1601" t="s">
        <v>41</v>
      </c>
      <c r="R1601" t="s">
        <v>5847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1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</row>
    <row r="1602" spans="1:33" x14ac:dyDescent="0.25">
      <c r="A1602" t="s">
        <v>24</v>
      </c>
      <c r="B1602">
        <v>1</v>
      </c>
      <c r="C1602" t="b">
        <v>0</v>
      </c>
      <c r="D1602" t="s">
        <v>5301</v>
      </c>
      <c r="E1602" t="s">
        <v>5842</v>
      </c>
      <c r="F1602" t="s">
        <v>5843</v>
      </c>
      <c r="G1602" t="s">
        <v>5863</v>
      </c>
      <c r="H1602">
        <v>1601</v>
      </c>
      <c r="I1602" t="str">
        <f>IF(ISBLANK(Table1[[#This Row],[oid]]),"FALSE","TRUE")</f>
        <v>TRUE</v>
      </c>
      <c r="J1602" t="str" cm="1">
        <f t="array" ref="J1602">_xlfn.SWITCH(LEFT(Table1[[#This Row],[section]],1), "D", "Demographic", "S", "Social", "E", "Economic", "H", "Housing", "")</f>
        <v>Economic</v>
      </c>
      <c r="K1602" t="s">
        <v>5603</v>
      </c>
      <c r="L1602" t="s">
        <v>5604</v>
      </c>
      <c r="M1602" t="str">
        <f>IF(Table1[[#This Row],[used]], _xlfn.CONCAT("🆔 ", Table1[[#This Row],[variable]], ": ",Table1[[#This Row],[alias]]), "")</f>
        <v>🆔 B19066_001E: Aggregate Supplemental Security Income SSI in the past 12 months in 2016 inflation-adjusted dollars</v>
      </c>
      <c r="O1602" t="s">
        <v>5864</v>
      </c>
      <c r="P1602" t="s">
        <v>5865</v>
      </c>
      <c r="Q1602" t="s">
        <v>41</v>
      </c>
      <c r="R1602" t="s">
        <v>5847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1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</row>
    <row r="1603" spans="1:33" x14ac:dyDescent="0.25">
      <c r="A1603" t="s">
        <v>25</v>
      </c>
      <c r="B1603">
        <v>1</v>
      </c>
      <c r="C1603" t="b">
        <v>0</v>
      </c>
      <c r="D1603" t="s">
        <v>5301</v>
      </c>
      <c r="E1603" t="s">
        <v>5842</v>
      </c>
      <c r="F1603" t="s">
        <v>5843</v>
      </c>
      <c r="G1603" t="s">
        <v>5866</v>
      </c>
      <c r="H1603">
        <v>1602</v>
      </c>
      <c r="I1603" t="str">
        <f>IF(ISBLANK(Table1[[#This Row],[oid]]),"FALSE","TRUE")</f>
        <v>TRUE</v>
      </c>
      <c r="J1603" t="str" cm="1">
        <f t="array" ref="J1603">_xlfn.SWITCH(LEFT(Table1[[#This Row],[section]],1), "D", "Demographic", "S", "Social", "E", "Economic", "H", "Housing", "")</f>
        <v>Economic</v>
      </c>
      <c r="K1603" t="s">
        <v>5603</v>
      </c>
      <c r="L1603" t="s">
        <v>5604</v>
      </c>
      <c r="M1603" t="str">
        <f>IF(Table1[[#This Row],[used]], _xlfn.CONCAT("🆔 ", Table1[[#This Row],[variable]], ": ",Table1[[#This Row],[alias]]), "")</f>
        <v>🆔 B19066_001E: Aggregate Supplemental Security Income SSI in the past 12 months in 2017 inflation-adjusted dollars</v>
      </c>
      <c r="O1603" t="s">
        <v>5867</v>
      </c>
      <c r="P1603" t="s">
        <v>5868</v>
      </c>
      <c r="Q1603" t="s">
        <v>41</v>
      </c>
      <c r="R1603" t="s">
        <v>5847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1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</row>
    <row r="1604" spans="1:33" x14ac:dyDescent="0.25">
      <c r="A1604" t="s">
        <v>26</v>
      </c>
      <c r="B1604">
        <v>1</v>
      </c>
      <c r="C1604" t="b">
        <v>0</v>
      </c>
      <c r="D1604" t="s">
        <v>5301</v>
      </c>
      <c r="E1604" t="s">
        <v>5842</v>
      </c>
      <c r="F1604" t="s">
        <v>5843</v>
      </c>
      <c r="G1604" t="s">
        <v>5869</v>
      </c>
      <c r="H1604">
        <v>1603</v>
      </c>
      <c r="I1604" t="str">
        <f>IF(ISBLANK(Table1[[#This Row],[oid]]),"FALSE","TRUE")</f>
        <v>TRUE</v>
      </c>
      <c r="J1604" t="str" cm="1">
        <f t="array" ref="J1604">_xlfn.SWITCH(LEFT(Table1[[#This Row],[section]],1), "D", "Demographic", "S", "Social", "E", "Economic", "H", "Housing", "")</f>
        <v>Economic</v>
      </c>
      <c r="K1604" t="s">
        <v>5603</v>
      </c>
      <c r="L1604" t="s">
        <v>5604</v>
      </c>
      <c r="M1604" t="str">
        <f>IF(Table1[[#This Row],[used]], _xlfn.CONCAT("🆔 ", Table1[[#This Row],[variable]], ": ",Table1[[#This Row],[alias]]), "")</f>
        <v>🆔 B19066_001E: Aggregate Supplemental Security Income SSI in the past 12 months in 2018 inflation-adjusted dollars</v>
      </c>
      <c r="O1604" t="s">
        <v>5870</v>
      </c>
      <c r="P1604" t="s">
        <v>5871</v>
      </c>
      <c r="Q1604" t="s">
        <v>41</v>
      </c>
      <c r="R1604" t="s">
        <v>5847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1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</row>
    <row r="1605" spans="1:33" x14ac:dyDescent="0.25">
      <c r="A1605" t="s">
        <v>27</v>
      </c>
      <c r="B1605">
        <v>1</v>
      </c>
      <c r="C1605" t="b">
        <v>0</v>
      </c>
      <c r="D1605" t="s">
        <v>5301</v>
      </c>
      <c r="E1605" t="s">
        <v>5842</v>
      </c>
      <c r="F1605" t="s">
        <v>5843</v>
      </c>
      <c r="G1605" t="s">
        <v>5872</v>
      </c>
      <c r="H1605">
        <v>1604</v>
      </c>
      <c r="I1605" t="str">
        <f>IF(ISBLANK(Table1[[#This Row],[oid]]),"FALSE","TRUE")</f>
        <v>TRUE</v>
      </c>
      <c r="J1605" t="str" cm="1">
        <f t="array" ref="J1605">_xlfn.SWITCH(LEFT(Table1[[#This Row],[section]],1), "D", "Demographic", "S", "Social", "E", "Economic", "H", "Housing", "")</f>
        <v>Economic</v>
      </c>
      <c r="K1605" t="s">
        <v>5603</v>
      </c>
      <c r="L1605" t="s">
        <v>5604</v>
      </c>
      <c r="M1605" t="str">
        <f>IF(Table1[[#This Row],[used]], _xlfn.CONCAT("🆔 ", Table1[[#This Row],[variable]], ": ",Table1[[#This Row],[alias]]), "")</f>
        <v>🆔 B19066_001E: Aggregate Supplemental Security Income SSI in the past 12 months in 2019 inflation-adjusted dollars</v>
      </c>
      <c r="O1605" t="s">
        <v>5873</v>
      </c>
      <c r="P1605" t="s">
        <v>5874</v>
      </c>
      <c r="Q1605" t="s">
        <v>41</v>
      </c>
      <c r="R1605" t="s">
        <v>5847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1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</row>
    <row r="1606" spans="1:33" x14ac:dyDescent="0.25">
      <c r="A1606" t="s">
        <v>28</v>
      </c>
      <c r="B1606">
        <v>1</v>
      </c>
      <c r="C1606" t="b">
        <v>0</v>
      </c>
      <c r="D1606" t="s">
        <v>5301</v>
      </c>
      <c r="E1606" t="s">
        <v>5842</v>
      </c>
      <c r="F1606" t="s">
        <v>5843</v>
      </c>
      <c r="G1606" t="s">
        <v>5875</v>
      </c>
      <c r="H1606">
        <v>1605</v>
      </c>
      <c r="I1606" t="str">
        <f>IF(ISBLANK(Table1[[#This Row],[oid]]),"FALSE","TRUE")</f>
        <v>TRUE</v>
      </c>
      <c r="J1606" t="str" cm="1">
        <f t="array" ref="J1606">_xlfn.SWITCH(LEFT(Table1[[#This Row],[section]],1), "D", "Demographic", "S", "Social", "E", "Economic", "H", "Housing", "")</f>
        <v>Economic</v>
      </c>
      <c r="K1606" t="s">
        <v>5603</v>
      </c>
      <c r="L1606" t="s">
        <v>5604</v>
      </c>
      <c r="M1606" t="str">
        <f>IF(Table1[[#This Row],[used]], _xlfn.CONCAT("🆔 ", Table1[[#This Row],[variable]], ": ",Table1[[#This Row],[alias]]), "")</f>
        <v>🆔 B19066_001E: Aggregate Supplemental Security Income SSI in the past 12 months in 2020 inflation-adjusted dollars</v>
      </c>
      <c r="O1606" t="s">
        <v>5876</v>
      </c>
      <c r="P1606" t="s">
        <v>5877</v>
      </c>
      <c r="Q1606" t="s">
        <v>41</v>
      </c>
      <c r="R1606" t="s">
        <v>5847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1</v>
      </c>
      <c r="AD1606" t="b">
        <v>0</v>
      </c>
      <c r="AE1606" t="b">
        <v>0</v>
      </c>
      <c r="AF1606" t="b">
        <v>0</v>
      </c>
      <c r="AG1606" t="b">
        <v>0</v>
      </c>
    </row>
    <row r="1607" spans="1:33" x14ac:dyDescent="0.25">
      <c r="A1607" t="s">
        <v>29</v>
      </c>
      <c r="B1607">
        <v>1</v>
      </c>
      <c r="C1607" t="b">
        <v>0</v>
      </c>
      <c r="D1607" t="s">
        <v>5301</v>
      </c>
      <c r="E1607" t="s">
        <v>5842</v>
      </c>
      <c r="F1607" t="s">
        <v>5843</v>
      </c>
      <c r="G1607" t="s">
        <v>5878</v>
      </c>
      <c r="H1607">
        <v>1606</v>
      </c>
      <c r="I1607" t="str">
        <f>IF(ISBLANK(Table1[[#This Row],[oid]]),"FALSE","TRUE")</f>
        <v>TRUE</v>
      </c>
      <c r="J1607" t="str" cm="1">
        <f t="array" ref="J1607">_xlfn.SWITCH(LEFT(Table1[[#This Row],[section]],1), "D", "Demographic", "S", "Social", "E", "Economic", "H", "Housing", "")</f>
        <v>Economic</v>
      </c>
      <c r="K1607" t="s">
        <v>5603</v>
      </c>
      <c r="L1607" t="s">
        <v>5604</v>
      </c>
      <c r="M1607" t="str">
        <f>IF(Table1[[#This Row],[used]], _xlfn.CONCAT("🆔 ", Table1[[#This Row],[variable]], ": ",Table1[[#This Row],[alias]]), "")</f>
        <v>🆔 B19066_001E: Aggregate Supplemental Security Income SSI in the past 12 months in 2021 inflation-adjusted dollars</v>
      </c>
      <c r="O1607" t="s">
        <v>5879</v>
      </c>
      <c r="P1607" t="s">
        <v>5880</v>
      </c>
      <c r="Q1607" t="s">
        <v>41</v>
      </c>
      <c r="R1607" t="s">
        <v>5847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1</v>
      </c>
      <c r="AE1607" t="b">
        <v>0</v>
      </c>
      <c r="AF1607" t="b">
        <v>0</v>
      </c>
      <c r="AG1607" t="b">
        <v>0</v>
      </c>
    </row>
    <row r="1608" spans="1:33" x14ac:dyDescent="0.25">
      <c r="A1608" t="s">
        <v>30</v>
      </c>
      <c r="B1608">
        <v>1</v>
      </c>
      <c r="C1608" t="b">
        <v>0</v>
      </c>
      <c r="D1608" t="s">
        <v>5301</v>
      </c>
      <c r="E1608" t="s">
        <v>5842</v>
      </c>
      <c r="F1608" t="s">
        <v>5843</v>
      </c>
      <c r="G1608" t="s">
        <v>5881</v>
      </c>
      <c r="H1608">
        <v>1607</v>
      </c>
      <c r="I1608" t="str">
        <f>IF(ISBLANK(Table1[[#This Row],[oid]]),"FALSE","TRUE")</f>
        <v>TRUE</v>
      </c>
      <c r="J1608" t="str" cm="1">
        <f t="array" ref="J1608">_xlfn.SWITCH(LEFT(Table1[[#This Row],[section]],1), "D", "Demographic", "S", "Social", "E", "Economic", "H", "Housing", "")</f>
        <v>Economic</v>
      </c>
      <c r="K1608" t="s">
        <v>5603</v>
      </c>
      <c r="L1608" t="s">
        <v>5604</v>
      </c>
      <c r="M1608" t="str">
        <f>IF(Table1[[#This Row],[used]], _xlfn.CONCAT("🆔 ", Table1[[#This Row],[variable]], ": ",Table1[[#This Row],[alias]]), "")</f>
        <v>🆔 B19066_001E: Aggregate Supplemental Security Income SSI in the past 12 months in 2022 inflation-adjusted dollars</v>
      </c>
      <c r="O1608" t="s">
        <v>5882</v>
      </c>
      <c r="P1608" t="s">
        <v>5883</v>
      </c>
      <c r="Q1608" t="s">
        <v>41</v>
      </c>
      <c r="R1608" t="s">
        <v>5847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1</v>
      </c>
      <c r="AF1608" t="b">
        <v>0</v>
      </c>
      <c r="AG1608" t="b">
        <v>0</v>
      </c>
    </row>
    <row r="1609" spans="1:33" x14ac:dyDescent="0.25">
      <c r="A1609" t="s">
        <v>31</v>
      </c>
      <c r="B1609">
        <v>1</v>
      </c>
      <c r="C1609" t="b">
        <v>0</v>
      </c>
      <c r="D1609" t="s">
        <v>5301</v>
      </c>
      <c r="E1609" t="s">
        <v>5842</v>
      </c>
      <c r="F1609" t="s">
        <v>5843</v>
      </c>
      <c r="G1609" t="s">
        <v>5884</v>
      </c>
      <c r="H1609">
        <v>1608</v>
      </c>
      <c r="I1609" t="str">
        <f>IF(ISBLANK(Table1[[#This Row],[oid]]),"FALSE","TRUE")</f>
        <v>TRUE</v>
      </c>
      <c r="J1609" t="str" cm="1">
        <f t="array" ref="J1609">_xlfn.SWITCH(LEFT(Table1[[#This Row],[section]],1), "D", "Demographic", "S", "Social", "E", "Economic", "H", "Housing", "")</f>
        <v>Economic</v>
      </c>
      <c r="K1609" t="s">
        <v>5603</v>
      </c>
      <c r="L1609" t="s">
        <v>5604</v>
      </c>
      <c r="M1609" t="str">
        <f>IF(Table1[[#This Row],[used]], _xlfn.CONCAT("🆔 ", Table1[[#This Row],[variable]], ": ",Table1[[#This Row],[alias]]), "")</f>
        <v>🆔 B19066_001E: Aggregate Supplemental Security Income SSI in the past 12 months in 2023 inflation-adjusted dollars</v>
      </c>
      <c r="O1609" t="s">
        <v>5885</v>
      </c>
      <c r="P1609" t="s">
        <v>5886</v>
      </c>
      <c r="Q1609" t="s">
        <v>41</v>
      </c>
      <c r="R1609" t="s">
        <v>5847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1</v>
      </c>
      <c r="AG1609" t="b">
        <v>0</v>
      </c>
    </row>
    <row r="1610" spans="1:33" x14ac:dyDescent="0.25">
      <c r="A1610" t="s">
        <v>32</v>
      </c>
      <c r="B1610">
        <v>1</v>
      </c>
      <c r="C1610" t="b">
        <v>0</v>
      </c>
      <c r="D1610" t="s">
        <v>5301</v>
      </c>
      <c r="E1610" t="s">
        <v>5842</v>
      </c>
      <c r="F1610" t="s">
        <v>5843</v>
      </c>
      <c r="G1610" t="s">
        <v>5887</v>
      </c>
      <c r="H1610">
        <v>1609</v>
      </c>
      <c r="I1610" t="str">
        <f>IF(ISBLANK(Table1[[#This Row],[oid]]),"FALSE","TRUE")</f>
        <v>TRUE</v>
      </c>
      <c r="J1610" t="str" cm="1">
        <f t="array" ref="J1610">_xlfn.SWITCH(LEFT(Table1[[#This Row],[section]],1), "D", "Demographic", "S", "Social", "E", "Economic", "H", "Housing", "")</f>
        <v>Economic</v>
      </c>
      <c r="K1610" t="s">
        <v>5603</v>
      </c>
      <c r="L1610" t="s">
        <v>5604</v>
      </c>
      <c r="M1610" t="str">
        <f>IF(Table1[[#This Row],[used]], _xlfn.CONCAT("🆔 ", Table1[[#This Row],[variable]], ": ",Table1[[#This Row],[alias]]), "")</f>
        <v>🆔 B19066_001E: Aggregate Supplemental Security Income SSI in the past 12 months in 2024 inflation-adjusted dollars</v>
      </c>
      <c r="O1610" t="s">
        <v>5888</v>
      </c>
      <c r="P1610" t="s">
        <v>5889</v>
      </c>
      <c r="Q1610" t="s">
        <v>41</v>
      </c>
      <c r="R1610" t="s">
        <v>5847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1</v>
      </c>
    </row>
    <row r="1611" spans="1:33" x14ac:dyDescent="0.25">
      <c r="A1611" t="s">
        <v>18</v>
      </c>
      <c r="B1611">
        <v>1</v>
      </c>
      <c r="C1611" t="b">
        <v>0</v>
      </c>
      <c r="D1611" t="s">
        <v>5301</v>
      </c>
      <c r="E1611" t="s">
        <v>5890</v>
      </c>
      <c r="F1611" t="s">
        <v>5891</v>
      </c>
      <c r="G1611" t="s">
        <v>5892</v>
      </c>
      <c r="H1611">
        <v>1610</v>
      </c>
      <c r="I1611" t="str">
        <f>IF(ISBLANK(Table1[[#This Row],[oid]]),"FALSE","TRUE")</f>
        <v>TRUE</v>
      </c>
      <c r="J1611" t="str" cm="1">
        <f t="array" ref="J1611">_xlfn.SWITCH(LEFT(Table1[[#This Row],[section]],1), "D", "Demographic", "S", "Social", "E", "Economic", "H", "Housing", "")</f>
        <v>Economic</v>
      </c>
      <c r="K1611" t="s">
        <v>5603</v>
      </c>
      <c r="L1611" t="s">
        <v>5604</v>
      </c>
      <c r="M1611" t="str">
        <f>IF(Table1[[#This Row],[used]], _xlfn.CONCAT("🆔 ", Table1[[#This Row],[variable]], ": ",Table1[[#This Row],[alias]]), "")</f>
        <v>🆔 B19067_001E: Aggregate public assistance income in the past 12 months in 2010 inflation-adjusted dollars</v>
      </c>
      <c r="O1611" t="s">
        <v>5893</v>
      </c>
      <c r="P1611" t="s">
        <v>5894</v>
      </c>
      <c r="Q1611" t="s">
        <v>41</v>
      </c>
      <c r="R1611" t="s">
        <v>5895</v>
      </c>
      <c r="S1611" t="b">
        <v>1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</row>
    <row r="1612" spans="1:33" x14ac:dyDescent="0.25">
      <c r="A1612" t="s">
        <v>19</v>
      </c>
      <c r="B1612">
        <v>1</v>
      </c>
      <c r="C1612" t="b">
        <v>0</v>
      </c>
      <c r="D1612" t="s">
        <v>5301</v>
      </c>
      <c r="E1612" t="s">
        <v>5890</v>
      </c>
      <c r="F1612" t="s">
        <v>5891</v>
      </c>
      <c r="G1612" t="s">
        <v>5896</v>
      </c>
      <c r="H1612">
        <v>1611</v>
      </c>
      <c r="I1612" t="str">
        <f>IF(ISBLANK(Table1[[#This Row],[oid]]),"FALSE","TRUE")</f>
        <v>TRUE</v>
      </c>
      <c r="J1612" t="str" cm="1">
        <f t="array" ref="J1612">_xlfn.SWITCH(LEFT(Table1[[#This Row],[section]],1), "D", "Demographic", "S", "Social", "E", "Economic", "H", "Housing", "")</f>
        <v>Economic</v>
      </c>
      <c r="K1612" t="s">
        <v>5603</v>
      </c>
      <c r="L1612" t="s">
        <v>5604</v>
      </c>
      <c r="M1612" t="str">
        <f>IF(Table1[[#This Row],[used]], _xlfn.CONCAT("🆔 ", Table1[[#This Row],[variable]], ": ",Table1[[#This Row],[alias]]), "")</f>
        <v>🆔 B19067_001E: Aggregate public assistance income in the past 12 months in 2011 inflation-adjusted dollars</v>
      </c>
      <c r="O1612" t="s">
        <v>5897</v>
      </c>
      <c r="P1612" t="s">
        <v>5898</v>
      </c>
      <c r="Q1612" t="s">
        <v>41</v>
      </c>
      <c r="R1612" t="s">
        <v>5895</v>
      </c>
      <c r="S1612" t="b">
        <v>0</v>
      </c>
      <c r="T1612" t="b">
        <v>1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</row>
    <row r="1613" spans="1:33" x14ac:dyDescent="0.25">
      <c r="A1613" t="s">
        <v>20</v>
      </c>
      <c r="B1613">
        <v>1</v>
      </c>
      <c r="C1613" t="b">
        <v>0</v>
      </c>
      <c r="D1613" t="s">
        <v>5301</v>
      </c>
      <c r="E1613" t="s">
        <v>5890</v>
      </c>
      <c r="F1613" t="s">
        <v>5891</v>
      </c>
      <c r="G1613" t="s">
        <v>5899</v>
      </c>
      <c r="H1613">
        <v>1612</v>
      </c>
      <c r="I1613" t="str">
        <f>IF(ISBLANK(Table1[[#This Row],[oid]]),"FALSE","TRUE")</f>
        <v>TRUE</v>
      </c>
      <c r="J1613" t="str" cm="1">
        <f t="array" ref="J1613">_xlfn.SWITCH(LEFT(Table1[[#This Row],[section]],1), "D", "Demographic", "S", "Social", "E", "Economic", "H", "Housing", "")</f>
        <v>Economic</v>
      </c>
      <c r="K1613" t="s">
        <v>5603</v>
      </c>
      <c r="L1613" t="s">
        <v>5604</v>
      </c>
      <c r="M1613" t="str">
        <f>IF(Table1[[#This Row],[used]], _xlfn.CONCAT("🆔 ", Table1[[#This Row],[variable]], ": ",Table1[[#This Row],[alias]]), "")</f>
        <v>🆔 B19067_001E: Aggregate public assistance income in the past 12 months in 2012 inflation-adjusted dollars</v>
      </c>
      <c r="O1613" t="s">
        <v>5900</v>
      </c>
      <c r="P1613" t="s">
        <v>5901</v>
      </c>
      <c r="Q1613" t="s">
        <v>41</v>
      </c>
      <c r="R1613" t="s">
        <v>5895</v>
      </c>
      <c r="S1613" t="b">
        <v>0</v>
      </c>
      <c r="T1613" t="b">
        <v>0</v>
      </c>
      <c r="U1613" t="b">
        <v>1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</row>
    <row r="1614" spans="1:33" x14ac:dyDescent="0.25">
      <c r="A1614" t="s">
        <v>21</v>
      </c>
      <c r="B1614">
        <v>1</v>
      </c>
      <c r="C1614" t="b">
        <v>0</v>
      </c>
      <c r="D1614" t="s">
        <v>5301</v>
      </c>
      <c r="E1614" t="s">
        <v>5890</v>
      </c>
      <c r="F1614" t="s">
        <v>5891</v>
      </c>
      <c r="G1614" t="s">
        <v>5902</v>
      </c>
      <c r="H1614">
        <v>1613</v>
      </c>
      <c r="I1614" t="str">
        <f>IF(ISBLANK(Table1[[#This Row],[oid]]),"FALSE","TRUE")</f>
        <v>TRUE</v>
      </c>
      <c r="J1614" t="str" cm="1">
        <f t="array" ref="J1614">_xlfn.SWITCH(LEFT(Table1[[#This Row],[section]],1), "D", "Demographic", "S", "Social", "E", "Economic", "H", "Housing", "")</f>
        <v>Economic</v>
      </c>
      <c r="K1614" t="s">
        <v>5603</v>
      </c>
      <c r="L1614" t="s">
        <v>5604</v>
      </c>
      <c r="M1614" t="str">
        <f>IF(Table1[[#This Row],[used]], _xlfn.CONCAT("🆔 ", Table1[[#This Row],[variable]], ": ",Table1[[#This Row],[alias]]), "")</f>
        <v>🆔 B19067_001E: Aggregate public assistance income in the past 12 months in 2013 inflation-adjusted dollars</v>
      </c>
      <c r="O1614" t="s">
        <v>5903</v>
      </c>
      <c r="P1614" t="s">
        <v>5904</v>
      </c>
      <c r="Q1614" t="s">
        <v>41</v>
      </c>
      <c r="R1614" t="s">
        <v>5895</v>
      </c>
      <c r="S1614" t="b">
        <v>0</v>
      </c>
      <c r="T1614" t="b">
        <v>0</v>
      </c>
      <c r="U1614" t="b">
        <v>0</v>
      </c>
      <c r="V1614" t="b">
        <v>1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</row>
    <row r="1615" spans="1:33" x14ac:dyDescent="0.25">
      <c r="A1615" t="s">
        <v>22</v>
      </c>
      <c r="B1615">
        <v>1</v>
      </c>
      <c r="C1615" t="b">
        <v>0</v>
      </c>
      <c r="D1615" t="s">
        <v>5301</v>
      </c>
      <c r="E1615" t="s">
        <v>5890</v>
      </c>
      <c r="F1615" t="s">
        <v>5891</v>
      </c>
      <c r="G1615" t="s">
        <v>5905</v>
      </c>
      <c r="H1615">
        <v>1614</v>
      </c>
      <c r="I1615" t="str">
        <f>IF(ISBLANK(Table1[[#This Row],[oid]]),"FALSE","TRUE")</f>
        <v>TRUE</v>
      </c>
      <c r="J1615" t="str" cm="1">
        <f t="array" ref="J1615">_xlfn.SWITCH(LEFT(Table1[[#This Row],[section]],1), "D", "Demographic", "S", "Social", "E", "Economic", "H", "Housing", "")</f>
        <v>Economic</v>
      </c>
      <c r="K1615" t="s">
        <v>5603</v>
      </c>
      <c r="L1615" t="s">
        <v>5604</v>
      </c>
      <c r="M1615" t="str">
        <f>IF(Table1[[#This Row],[used]], _xlfn.CONCAT("🆔 ", Table1[[#This Row],[variable]], ": ",Table1[[#This Row],[alias]]), "")</f>
        <v>🆔 B19067_001E: Aggregate public assistance income in the past 12 months in 2014 Inflation-adjusted dollars</v>
      </c>
      <c r="O1615" t="s">
        <v>5906</v>
      </c>
      <c r="P1615" t="s">
        <v>5907</v>
      </c>
      <c r="Q1615" t="s">
        <v>41</v>
      </c>
      <c r="R1615" t="s">
        <v>5895</v>
      </c>
      <c r="S1615" t="b">
        <v>0</v>
      </c>
      <c r="T1615" t="b">
        <v>0</v>
      </c>
      <c r="U1615" t="b">
        <v>0</v>
      </c>
      <c r="V1615" t="b">
        <v>0</v>
      </c>
      <c r="W1615" t="b">
        <v>1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</row>
    <row r="1616" spans="1:33" x14ac:dyDescent="0.25">
      <c r="A1616" t="s">
        <v>23</v>
      </c>
      <c r="B1616">
        <v>1</v>
      </c>
      <c r="C1616" t="b">
        <v>0</v>
      </c>
      <c r="D1616" t="s">
        <v>5301</v>
      </c>
      <c r="E1616" t="s">
        <v>5890</v>
      </c>
      <c r="F1616" t="s">
        <v>5891</v>
      </c>
      <c r="G1616" t="s">
        <v>5908</v>
      </c>
      <c r="H1616">
        <v>1615</v>
      </c>
      <c r="I1616" t="str">
        <f>IF(ISBLANK(Table1[[#This Row],[oid]]),"FALSE","TRUE")</f>
        <v>TRUE</v>
      </c>
      <c r="J1616" t="str" cm="1">
        <f t="array" ref="J1616">_xlfn.SWITCH(LEFT(Table1[[#This Row],[section]],1), "D", "Demographic", "S", "Social", "E", "Economic", "H", "Housing", "")</f>
        <v>Economic</v>
      </c>
      <c r="K1616" t="s">
        <v>5603</v>
      </c>
      <c r="L1616" t="s">
        <v>5604</v>
      </c>
      <c r="M1616" t="str">
        <f>IF(Table1[[#This Row],[used]], _xlfn.CONCAT("🆔 ", Table1[[#This Row],[variable]], ": ",Table1[[#This Row],[alias]]), "")</f>
        <v>🆔 B19067_001E: Aggregate public assistance income in the past 12 months in 2015 Inflation-adjusted dollars</v>
      </c>
      <c r="O1616" t="s">
        <v>5909</v>
      </c>
      <c r="P1616" t="s">
        <v>5910</v>
      </c>
      <c r="Q1616" t="s">
        <v>41</v>
      </c>
      <c r="R1616" t="s">
        <v>5895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1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</row>
    <row r="1617" spans="1:33" x14ac:dyDescent="0.25">
      <c r="A1617" t="s">
        <v>24</v>
      </c>
      <c r="B1617">
        <v>1</v>
      </c>
      <c r="C1617" t="b">
        <v>0</v>
      </c>
      <c r="D1617" t="s">
        <v>5301</v>
      </c>
      <c r="E1617" t="s">
        <v>5890</v>
      </c>
      <c r="F1617" t="s">
        <v>5891</v>
      </c>
      <c r="G1617" t="s">
        <v>5911</v>
      </c>
      <c r="H1617">
        <v>1616</v>
      </c>
      <c r="I1617" t="str">
        <f>IF(ISBLANK(Table1[[#This Row],[oid]]),"FALSE","TRUE")</f>
        <v>TRUE</v>
      </c>
      <c r="J1617" t="str" cm="1">
        <f t="array" ref="J1617">_xlfn.SWITCH(LEFT(Table1[[#This Row],[section]],1), "D", "Demographic", "S", "Social", "E", "Economic", "H", "Housing", "")</f>
        <v>Economic</v>
      </c>
      <c r="K1617" t="s">
        <v>5603</v>
      </c>
      <c r="L1617" t="s">
        <v>5604</v>
      </c>
      <c r="M1617" t="str">
        <f>IF(Table1[[#This Row],[used]], _xlfn.CONCAT("🆔 ", Table1[[#This Row],[variable]], ": ",Table1[[#This Row],[alias]]), "")</f>
        <v>🆔 B19067_001E: Aggregate public assistance income in the past 12 months in 2016 inflation-adjusted dollars</v>
      </c>
      <c r="O1617" t="s">
        <v>5912</v>
      </c>
      <c r="P1617" t="s">
        <v>5913</v>
      </c>
      <c r="Q1617" t="s">
        <v>41</v>
      </c>
      <c r="R1617" t="s">
        <v>5895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1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</row>
    <row r="1618" spans="1:33" x14ac:dyDescent="0.25">
      <c r="A1618" t="s">
        <v>25</v>
      </c>
      <c r="B1618">
        <v>1</v>
      </c>
      <c r="C1618" t="b">
        <v>0</v>
      </c>
      <c r="D1618" t="s">
        <v>5301</v>
      </c>
      <c r="E1618" t="s">
        <v>5890</v>
      </c>
      <c r="F1618" t="s">
        <v>5891</v>
      </c>
      <c r="G1618" t="s">
        <v>5914</v>
      </c>
      <c r="H1618">
        <v>1617</v>
      </c>
      <c r="I1618" t="str">
        <f>IF(ISBLANK(Table1[[#This Row],[oid]]),"FALSE","TRUE")</f>
        <v>TRUE</v>
      </c>
      <c r="J1618" t="str" cm="1">
        <f t="array" ref="J1618">_xlfn.SWITCH(LEFT(Table1[[#This Row],[section]],1), "D", "Demographic", "S", "Social", "E", "Economic", "H", "Housing", "")</f>
        <v>Economic</v>
      </c>
      <c r="K1618" t="s">
        <v>5603</v>
      </c>
      <c r="L1618" t="s">
        <v>5604</v>
      </c>
      <c r="M1618" t="str">
        <f>IF(Table1[[#This Row],[used]], _xlfn.CONCAT("🆔 ", Table1[[#This Row],[variable]], ": ",Table1[[#This Row],[alias]]), "")</f>
        <v>🆔 B19067_001E: Aggregate public assistance income in the past 12 months in 2017 inflation-adjusted dollars</v>
      </c>
      <c r="O1618" t="s">
        <v>5915</v>
      </c>
      <c r="P1618" t="s">
        <v>5916</v>
      </c>
      <c r="Q1618" t="s">
        <v>41</v>
      </c>
      <c r="R1618" t="s">
        <v>5895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1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</row>
    <row r="1619" spans="1:33" x14ac:dyDescent="0.25">
      <c r="A1619" t="s">
        <v>26</v>
      </c>
      <c r="B1619">
        <v>1</v>
      </c>
      <c r="C1619" t="b">
        <v>0</v>
      </c>
      <c r="D1619" t="s">
        <v>5301</v>
      </c>
      <c r="E1619" t="s">
        <v>5890</v>
      </c>
      <c r="F1619" t="s">
        <v>5891</v>
      </c>
      <c r="G1619" t="s">
        <v>5917</v>
      </c>
      <c r="H1619">
        <v>1618</v>
      </c>
      <c r="I1619" t="str">
        <f>IF(ISBLANK(Table1[[#This Row],[oid]]),"FALSE","TRUE")</f>
        <v>TRUE</v>
      </c>
      <c r="J1619" t="str" cm="1">
        <f t="array" ref="J1619">_xlfn.SWITCH(LEFT(Table1[[#This Row],[section]],1), "D", "Demographic", "S", "Social", "E", "Economic", "H", "Housing", "")</f>
        <v>Economic</v>
      </c>
      <c r="K1619" t="s">
        <v>5603</v>
      </c>
      <c r="L1619" t="s">
        <v>5604</v>
      </c>
      <c r="M1619" t="str">
        <f>IF(Table1[[#This Row],[used]], _xlfn.CONCAT("🆔 ", Table1[[#This Row],[variable]], ": ",Table1[[#This Row],[alias]]), "")</f>
        <v>🆔 B19067_001E: Aggregate public assistance income in the past 12 months in 2018 inflation-adjusted dollars</v>
      </c>
      <c r="O1619" t="s">
        <v>5918</v>
      </c>
      <c r="P1619" t="s">
        <v>5919</v>
      </c>
      <c r="Q1619" t="s">
        <v>41</v>
      </c>
      <c r="R1619" t="s">
        <v>5895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1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</row>
    <row r="1620" spans="1:33" x14ac:dyDescent="0.25">
      <c r="A1620" t="s">
        <v>27</v>
      </c>
      <c r="B1620">
        <v>1</v>
      </c>
      <c r="C1620" t="b">
        <v>0</v>
      </c>
      <c r="D1620" t="s">
        <v>5301</v>
      </c>
      <c r="E1620" t="s">
        <v>5890</v>
      </c>
      <c r="F1620" t="s">
        <v>5891</v>
      </c>
      <c r="G1620" t="s">
        <v>5920</v>
      </c>
      <c r="H1620">
        <v>1619</v>
      </c>
      <c r="I1620" t="str">
        <f>IF(ISBLANK(Table1[[#This Row],[oid]]),"FALSE","TRUE")</f>
        <v>TRUE</v>
      </c>
      <c r="J1620" t="str" cm="1">
        <f t="array" ref="J1620">_xlfn.SWITCH(LEFT(Table1[[#This Row],[section]],1), "D", "Demographic", "S", "Social", "E", "Economic", "H", "Housing", "")</f>
        <v>Economic</v>
      </c>
      <c r="K1620" t="s">
        <v>5603</v>
      </c>
      <c r="L1620" t="s">
        <v>5604</v>
      </c>
      <c r="M1620" t="str">
        <f>IF(Table1[[#This Row],[used]], _xlfn.CONCAT("🆔 ", Table1[[#This Row],[variable]], ": ",Table1[[#This Row],[alias]]), "")</f>
        <v>🆔 B19067_001E: Aggregate public assistance income in the past 12 months in 2019 inflation-adjusted dollars</v>
      </c>
      <c r="O1620" t="s">
        <v>5921</v>
      </c>
      <c r="P1620" t="s">
        <v>5922</v>
      </c>
      <c r="Q1620" t="s">
        <v>41</v>
      </c>
      <c r="R1620" t="s">
        <v>5895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1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</row>
    <row r="1621" spans="1:33" x14ac:dyDescent="0.25">
      <c r="A1621" t="s">
        <v>28</v>
      </c>
      <c r="B1621">
        <v>1</v>
      </c>
      <c r="C1621" t="b">
        <v>0</v>
      </c>
      <c r="D1621" t="s">
        <v>5301</v>
      </c>
      <c r="E1621" t="s">
        <v>5890</v>
      </c>
      <c r="F1621" t="s">
        <v>5891</v>
      </c>
      <c r="G1621" t="s">
        <v>5923</v>
      </c>
      <c r="H1621">
        <v>1620</v>
      </c>
      <c r="I1621" t="str">
        <f>IF(ISBLANK(Table1[[#This Row],[oid]]),"FALSE","TRUE")</f>
        <v>TRUE</v>
      </c>
      <c r="J1621" t="str" cm="1">
        <f t="array" ref="J1621">_xlfn.SWITCH(LEFT(Table1[[#This Row],[section]],1), "D", "Demographic", "S", "Social", "E", "Economic", "H", "Housing", "")</f>
        <v>Economic</v>
      </c>
      <c r="K1621" t="s">
        <v>5603</v>
      </c>
      <c r="L1621" t="s">
        <v>5604</v>
      </c>
      <c r="M1621" t="str">
        <f>IF(Table1[[#This Row],[used]], _xlfn.CONCAT("🆔 ", Table1[[#This Row],[variable]], ": ",Table1[[#This Row],[alias]]), "")</f>
        <v>🆔 B19067_001E: Aggregate public assistance income in the past 12 months in 2020 inflation-adjusted dollars</v>
      </c>
      <c r="O1621" t="s">
        <v>5924</v>
      </c>
      <c r="P1621" t="s">
        <v>5925</v>
      </c>
      <c r="Q1621" t="s">
        <v>41</v>
      </c>
      <c r="R1621" t="s">
        <v>5895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1</v>
      </c>
      <c r="AD1621" t="b">
        <v>0</v>
      </c>
      <c r="AE1621" t="b">
        <v>0</v>
      </c>
      <c r="AF1621" t="b">
        <v>0</v>
      </c>
      <c r="AG1621" t="b">
        <v>0</v>
      </c>
    </row>
    <row r="1622" spans="1:33" x14ac:dyDescent="0.25">
      <c r="A1622" t="s">
        <v>29</v>
      </c>
      <c r="B1622">
        <v>1</v>
      </c>
      <c r="C1622" t="b">
        <v>0</v>
      </c>
      <c r="D1622" t="s">
        <v>5301</v>
      </c>
      <c r="E1622" t="s">
        <v>5890</v>
      </c>
      <c r="F1622" t="s">
        <v>5891</v>
      </c>
      <c r="G1622" t="s">
        <v>5926</v>
      </c>
      <c r="H1622">
        <v>1621</v>
      </c>
      <c r="I1622" t="str">
        <f>IF(ISBLANK(Table1[[#This Row],[oid]]),"FALSE","TRUE")</f>
        <v>TRUE</v>
      </c>
      <c r="J1622" t="str" cm="1">
        <f t="array" ref="J1622">_xlfn.SWITCH(LEFT(Table1[[#This Row],[section]],1), "D", "Demographic", "S", "Social", "E", "Economic", "H", "Housing", "")</f>
        <v>Economic</v>
      </c>
      <c r="K1622" t="s">
        <v>5603</v>
      </c>
      <c r="L1622" t="s">
        <v>5604</v>
      </c>
      <c r="M1622" t="str">
        <f>IF(Table1[[#This Row],[used]], _xlfn.CONCAT("🆔 ", Table1[[#This Row],[variable]], ": ",Table1[[#This Row],[alias]]), "")</f>
        <v>🆔 B19067_001E: Aggregate public assistance income in the past 12 months in 2021 inflation-adjusted dollars</v>
      </c>
      <c r="O1622" t="s">
        <v>5927</v>
      </c>
      <c r="P1622" t="s">
        <v>5928</v>
      </c>
      <c r="Q1622" t="s">
        <v>41</v>
      </c>
      <c r="R1622" t="s">
        <v>5895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1</v>
      </c>
      <c r="AE1622" t="b">
        <v>0</v>
      </c>
      <c r="AF1622" t="b">
        <v>0</v>
      </c>
      <c r="AG1622" t="b">
        <v>0</v>
      </c>
    </row>
    <row r="1623" spans="1:33" x14ac:dyDescent="0.25">
      <c r="A1623" t="s">
        <v>30</v>
      </c>
      <c r="B1623">
        <v>1</v>
      </c>
      <c r="C1623" t="b">
        <v>0</v>
      </c>
      <c r="D1623" t="s">
        <v>5301</v>
      </c>
      <c r="E1623" t="s">
        <v>5890</v>
      </c>
      <c r="F1623" t="s">
        <v>5891</v>
      </c>
      <c r="G1623" t="s">
        <v>5929</v>
      </c>
      <c r="H1623">
        <v>1622</v>
      </c>
      <c r="I1623" t="str">
        <f>IF(ISBLANK(Table1[[#This Row],[oid]]),"FALSE","TRUE")</f>
        <v>TRUE</v>
      </c>
      <c r="J1623" t="str" cm="1">
        <f t="array" ref="J1623">_xlfn.SWITCH(LEFT(Table1[[#This Row],[section]],1), "D", "Demographic", "S", "Social", "E", "Economic", "H", "Housing", "")</f>
        <v>Economic</v>
      </c>
      <c r="K1623" t="s">
        <v>5603</v>
      </c>
      <c r="L1623" t="s">
        <v>5604</v>
      </c>
      <c r="M1623" t="str">
        <f>IF(Table1[[#This Row],[used]], _xlfn.CONCAT("🆔 ", Table1[[#This Row],[variable]], ": ",Table1[[#This Row],[alias]]), "")</f>
        <v>🆔 B19067_001E: Aggregate public assistance income in the past 12 months in 2022 inflation-adjusted dollars</v>
      </c>
      <c r="O1623" t="s">
        <v>5930</v>
      </c>
      <c r="P1623" t="s">
        <v>5931</v>
      </c>
      <c r="Q1623" t="s">
        <v>41</v>
      </c>
      <c r="R1623" t="s">
        <v>5895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1</v>
      </c>
      <c r="AF1623" t="b">
        <v>0</v>
      </c>
      <c r="AG1623" t="b">
        <v>0</v>
      </c>
    </row>
    <row r="1624" spans="1:33" x14ac:dyDescent="0.25">
      <c r="A1624" t="s">
        <v>31</v>
      </c>
      <c r="B1624">
        <v>1</v>
      </c>
      <c r="C1624" t="b">
        <v>0</v>
      </c>
      <c r="D1624" t="s">
        <v>5301</v>
      </c>
      <c r="E1624" t="s">
        <v>5890</v>
      </c>
      <c r="F1624" t="s">
        <v>5891</v>
      </c>
      <c r="G1624" t="s">
        <v>5932</v>
      </c>
      <c r="H1624">
        <v>1623</v>
      </c>
      <c r="I1624" t="str">
        <f>IF(ISBLANK(Table1[[#This Row],[oid]]),"FALSE","TRUE")</f>
        <v>TRUE</v>
      </c>
      <c r="J1624" t="str" cm="1">
        <f t="array" ref="J1624">_xlfn.SWITCH(LEFT(Table1[[#This Row],[section]],1), "D", "Demographic", "S", "Social", "E", "Economic", "H", "Housing", "")</f>
        <v>Economic</v>
      </c>
      <c r="K1624" t="s">
        <v>5603</v>
      </c>
      <c r="L1624" t="s">
        <v>5604</v>
      </c>
      <c r="M1624" t="str">
        <f>IF(Table1[[#This Row],[used]], _xlfn.CONCAT("🆔 ", Table1[[#This Row],[variable]], ": ",Table1[[#This Row],[alias]]), "")</f>
        <v>🆔 B19067_001E: Aggregate public assistance income in the past 12 months in 2023 inflation-adjusted dollars</v>
      </c>
      <c r="O1624" t="s">
        <v>5933</v>
      </c>
      <c r="P1624" t="s">
        <v>5934</v>
      </c>
      <c r="Q1624" t="s">
        <v>41</v>
      </c>
      <c r="R1624" t="s">
        <v>5895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1</v>
      </c>
      <c r="AG1624" t="b">
        <v>0</v>
      </c>
    </row>
    <row r="1625" spans="1:33" x14ac:dyDescent="0.25">
      <c r="A1625" t="s">
        <v>32</v>
      </c>
      <c r="B1625">
        <v>1</v>
      </c>
      <c r="C1625" t="b">
        <v>0</v>
      </c>
      <c r="D1625" t="s">
        <v>5301</v>
      </c>
      <c r="E1625" t="s">
        <v>5890</v>
      </c>
      <c r="F1625" t="s">
        <v>5891</v>
      </c>
      <c r="G1625" t="s">
        <v>5935</v>
      </c>
      <c r="H1625">
        <v>1624</v>
      </c>
      <c r="I1625" t="str">
        <f>IF(ISBLANK(Table1[[#This Row],[oid]]),"FALSE","TRUE")</f>
        <v>TRUE</v>
      </c>
      <c r="J1625" t="str" cm="1">
        <f t="array" ref="J1625">_xlfn.SWITCH(LEFT(Table1[[#This Row],[section]],1), "D", "Demographic", "S", "Social", "E", "Economic", "H", "Housing", "")</f>
        <v>Economic</v>
      </c>
      <c r="K1625" t="s">
        <v>5603</v>
      </c>
      <c r="L1625" t="s">
        <v>5604</v>
      </c>
      <c r="M1625" t="str">
        <f>IF(Table1[[#This Row],[used]], _xlfn.CONCAT("🆔 ", Table1[[#This Row],[variable]], ": ",Table1[[#This Row],[alias]]), "")</f>
        <v>🆔 B19067_001E: Aggregate public assistance income in the past 12 months in 2024 inflation-adjusted dollars</v>
      </c>
      <c r="O1625" t="s">
        <v>5936</v>
      </c>
      <c r="P1625" t="s">
        <v>5937</v>
      </c>
      <c r="Q1625" t="s">
        <v>41</v>
      </c>
      <c r="R1625" t="s">
        <v>5895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1</v>
      </c>
    </row>
    <row r="1626" spans="1:33" x14ac:dyDescent="0.25">
      <c r="A1626" t="s">
        <v>18</v>
      </c>
      <c r="B1626">
        <v>1</v>
      </c>
      <c r="C1626" t="b">
        <v>0</v>
      </c>
      <c r="D1626" t="s">
        <v>5301</v>
      </c>
      <c r="E1626" t="s">
        <v>5938</v>
      </c>
      <c r="F1626" t="s">
        <v>5939</v>
      </c>
      <c r="G1626" t="s">
        <v>5940</v>
      </c>
      <c r="H1626">
        <v>1625</v>
      </c>
      <c r="I1626" t="str">
        <f>IF(ISBLANK(Table1[[#This Row],[oid]]),"FALSE","TRUE")</f>
        <v>TRUE</v>
      </c>
      <c r="J1626" t="str" cm="1">
        <f t="array" ref="J1626">_xlfn.SWITCH(LEFT(Table1[[#This Row],[section]],1), "D", "Demographic", "S", "Social", "E", "Economic", "H", "Housing", "")</f>
        <v>Economic</v>
      </c>
      <c r="K1626" t="s">
        <v>5603</v>
      </c>
      <c r="L1626" t="s">
        <v>5604</v>
      </c>
      <c r="M1626" t="str">
        <f>IF(Table1[[#This Row],[used]], _xlfn.CONCAT("🆔 ", Table1[[#This Row],[variable]], ": ",Table1[[#This Row],[alias]]), "")</f>
        <v>🆔 B19069_001E: Aggregate retirement income in the past 12 months in 2010 inflation-adjusted dollars</v>
      </c>
      <c r="O1626" t="s">
        <v>5941</v>
      </c>
      <c r="P1626" t="s">
        <v>5942</v>
      </c>
      <c r="Q1626" t="s">
        <v>41</v>
      </c>
      <c r="R1626" t="s">
        <v>5943</v>
      </c>
      <c r="S1626" t="b">
        <v>1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</row>
    <row r="1627" spans="1:33" x14ac:dyDescent="0.25">
      <c r="A1627" t="s">
        <v>19</v>
      </c>
      <c r="B1627">
        <v>1</v>
      </c>
      <c r="C1627" t="b">
        <v>0</v>
      </c>
      <c r="D1627" t="s">
        <v>5301</v>
      </c>
      <c r="E1627" t="s">
        <v>5938</v>
      </c>
      <c r="F1627" t="s">
        <v>5939</v>
      </c>
      <c r="G1627" t="s">
        <v>5944</v>
      </c>
      <c r="H1627">
        <v>1626</v>
      </c>
      <c r="I1627" t="str">
        <f>IF(ISBLANK(Table1[[#This Row],[oid]]),"FALSE","TRUE")</f>
        <v>TRUE</v>
      </c>
      <c r="J1627" t="str" cm="1">
        <f t="array" ref="J1627">_xlfn.SWITCH(LEFT(Table1[[#This Row],[section]],1), "D", "Demographic", "S", "Social", "E", "Economic", "H", "Housing", "")</f>
        <v>Economic</v>
      </c>
      <c r="K1627" t="s">
        <v>5603</v>
      </c>
      <c r="L1627" t="s">
        <v>5604</v>
      </c>
      <c r="M1627" t="str">
        <f>IF(Table1[[#This Row],[used]], _xlfn.CONCAT("🆔 ", Table1[[#This Row],[variable]], ": ",Table1[[#This Row],[alias]]), "")</f>
        <v>🆔 B19069_001E: Aggregate retirement income in the past 12 months in 2011 inflation-adjusted dollars</v>
      </c>
      <c r="O1627" t="s">
        <v>5945</v>
      </c>
      <c r="P1627" t="s">
        <v>5946</v>
      </c>
      <c r="Q1627" t="s">
        <v>41</v>
      </c>
      <c r="R1627" t="s">
        <v>5943</v>
      </c>
      <c r="S1627" t="b">
        <v>0</v>
      </c>
      <c r="T1627" t="b">
        <v>1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</row>
    <row r="1628" spans="1:33" x14ac:dyDescent="0.25">
      <c r="A1628" t="s">
        <v>20</v>
      </c>
      <c r="B1628">
        <v>1</v>
      </c>
      <c r="C1628" t="b">
        <v>0</v>
      </c>
      <c r="D1628" t="s">
        <v>5301</v>
      </c>
      <c r="E1628" t="s">
        <v>5938</v>
      </c>
      <c r="F1628" t="s">
        <v>5939</v>
      </c>
      <c r="G1628" t="s">
        <v>5947</v>
      </c>
      <c r="H1628">
        <v>1627</v>
      </c>
      <c r="I1628" t="str">
        <f>IF(ISBLANK(Table1[[#This Row],[oid]]),"FALSE","TRUE")</f>
        <v>TRUE</v>
      </c>
      <c r="J1628" t="str" cm="1">
        <f t="array" ref="J1628">_xlfn.SWITCH(LEFT(Table1[[#This Row],[section]],1), "D", "Demographic", "S", "Social", "E", "Economic", "H", "Housing", "")</f>
        <v>Economic</v>
      </c>
      <c r="K1628" t="s">
        <v>5603</v>
      </c>
      <c r="L1628" t="s">
        <v>5604</v>
      </c>
      <c r="M1628" t="str">
        <f>IF(Table1[[#This Row],[used]], _xlfn.CONCAT("🆔 ", Table1[[#This Row],[variable]], ": ",Table1[[#This Row],[alias]]), "")</f>
        <v>🆔 B19069_001E: Aggregate retirement income in the past 12 months in 2012 inflation-adjusted dollars</v>
      </c>
      <c r="O1628" t="s">
        <v>5948</v>
      </c>
      <c r="P1628" t="s">
        <v>5949</v>
      </c>
      <c r="Q1628" t="s">
        <v>41</v>
      </c>
      <c r="R1628" t="s">
        <v>5943</v>
      </c>
      <c r="S1628" t="b">
        <v>0</v>
      </c>
      <c r="T1628" t="b">
        <v>0</v>
      </c>
      <c r="U1628" t="b">
        <v>1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</row>
    <row r="1629" spans="1:33" x14ac:dyDescent="0.25">
      <c r="A1629" t="s">
        <v>21</v>
      </c>
      <c r="B1629">
        <v>1</v>
      </c>
      <c r="C1629" t="b">
        <v>0</v>
      </c>
      <c r="D1629" t="s">
        <v>5301</v>
      </c>
      <c r="E1629" t="s">
        <v>5938</v>
      </c>
      <c r="F1629" t="s">
        <v>5939</v>
      </c>
      <c r="G1629" t="s">
        <v>5950</v>
      </c>
      <c r="H1629">
        <v>1628</v>
      </c>
      <c r="I1629" t="str">
        <f>IF(ISBLANK(Table1[[#This Row],[oid]]),"FALSE","TRUE")</f>
        <v>TRUE</v>
      </c>
      <c r="J1629" t="str" cm="1">
        <f t="array" ref="J1629">_xlfn.SWITCH(LEFT(Table1[[#This Row],[section]],1), "D", "Demographic", "S", "Social", "E", "Economic", "H", "Housing", "")</f>
        <v>Economic</v>
      </c>
      <c r="K1629" t="s">
        <v>5603</v>
      </c>
      <c r="L1629" t="s">
        <v>5604</v>
      </c>
      <c r="M1629" t="str">
        <f>IF(Table1[[#This Row],[used]], _xlfn.CONCAT("🆔 ", Table1[[#This Row],[variable]], ": ",Table1[[#This Row],[alias]]), "")</f>
        <v>🆔 B19069_001E: Aggregate retirement income in the past 12 months in 2013 inflation-adjusted dollars</v>
      </c>
      <c r="O1629" t="s">
        <v>5951</v>
      </c>
      <c r="P1629" t="s">
        <v>5952</v>
      </c>
      <c r="Q1629" t="s">
        <v>41</v>
      </c>
      <c r="R1629" t="s">
        <v>5943</v>
      </c>
      <c r="S1629" t="b">
        <v>0</v>
      </c>
      <c r="T1629" t="b">
        <v>0</v>
      </c>
      <c r="U1629" t="b">
        <v>0</v>
      </c>
      <c r="V1629" t="b">
        <v>1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</row>
    <row r="1630" spans="1:33" x14ac:dyDescent="0.25">
      <c r="A1630" t="s">
        <v>22</v>
      </c>
      <c r="B1630">
        <v>1</v>
      </c>
      <c r="C1630" t="b">
        <v>0</v>
      </c>
      <c r="D1630" t="s">
        <v>5301</v>
      </c>
      <c r="E1630" t="s">
        <v>5938</v>
      </c>
      <c r="F1630" t="s">
        <v>5939</v>
      </c>
      <c r="G1630" t="s">
        <v>5953</v>
      </c>
      <c r="H1630">
        <v>1629</v>
      </c>
      <c r="I1630" t="str">
        <f>IF(ISBLANK(Table1[[#This Row],[oid]]),"FALSE","TRUE")</f>
        <v>TRUE</v>
      </c>
      <c r="J1630" t="str" cm="1">
        <f t="array" ref="J1630">_xlfn.SWITCH(LEFT(Table1[[#This Row],[section]],1), "D", "Demographic", "S", "Social", "E", "Economic", "H", "Housing", "")</f>
        <v>Economic</v>
      </c>
      <c r="K1630" t="s">
        <v>5603</v>
      </c>
      <c r="L1630" t="s">
        <v>5604</v>
      </c>
      <c r="M1630" t="str">
        <f>IF(Table1[[#This Row],[used]], _xlfn.CONCAT("🆔 ", Table1[[#This Row],[variable]], ": ",Table1[[#This Row],[alias]]), "")</f>
        <v>🆔 B19069_001E: Aggregate retirement income in the past 12 months in 2014 Inflation-adjusted dollars</v>
      </c>
      <c r="O1630" t="s">
        <v>5954</v>
      </c>
      <c r="P1630" t="s">
        <v>5955</v>
      </c>
      <c r="Q1630" t="s">
        <v>41</v>
      </c>
      <c r="R1630" t="s">
        <v>5943</v>
      </c>
      <c r="S1630" t="b">
        <v>0</v>
      </c>
      <c r="T1630" t="b">
        <v>0</v>
      </c>
      <c r="U1630" t="b">
        <v>0</v>
      </c>
      <c r="V1630" t="b">
        <v>0</v>
      </c>
      <c r="W1630" t="b">
        <v>1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</row>
    <row r="1631" spans="1:33" x14ac:dyDescent="0.25">
      <c r="A1631" t="s">
        <v>23</v>
      </c>
      <c r="B1631">
        <v>1</v>
      </c>
      <c r="C1631" t="b">
        <v>0</v>
      </c>
      <c r="D1631" t="s">
        <v>5301</v>
      </c>
      <c r="E1631" t="s">
        <v>5938</v>
      </c>
      <c r="F1631" t="s">
        <v>5939</v>
      </c>
      <c r="G1631" t="s">
        <v>5956</v>
      </c>
      <c r="H1631">
        <v>1630</v>
      </c>
      <c r="I1631" t="str">
        <f>IF(ISBLANK(Table1[[#This Row],[oid]]),"FALSE","TRUE")</f>
        <v>TRUE</v>
      </c>
      <c r="J1631" t="str" cm="1">
        <f t="array" ref="J1631">_xlfn.SWITCH(LEFT(Table1[[#This Row],[section]],1), "D", "Demographic", "S", "Social", "E", "Economic", "H", "Housing", "")</f>
        <v>Economic</v>
      </c>
      <c r="K1631" t="s">
        <v>5603</v>
      </c>
      <c r="L1631" t="s">
        <v>5604</v>
      </c>
      <c r="M1631" t="str">
        <f>IF(Table1[[#This Row],[used]], _xlfn.CONCAT("🆔 ", Table1[[#This Row],[variable]], ": ",Table1[[#This Row],[alias]]), "")</f>
        <v>🆔 B19069_001E: Aggregate retirement income in the past 12 months in 2015 Inflation-adjusted dollars</v>
      </c>
      <c r="O1631" t="s">
        <v>5957</v>
      </c>
      <c r="P1631" t="s">
        <v>5958</v>
      </c>
      <c r="Q1631" t="s">
        <v>41</v>
      </c>
      <c r="R1631" t="s">
        <v>5943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1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</row>
    <row r="1632" spans="1:33" x14ac:dyDescent="0.25">
      <c r="A1632" t="s">
        <v>24</v>
      </c>
      <c r="B1632">
        <v>1</v>
      </c>
      <c r="C1632" t="b">
        <v>0</v>
      </c>
      <c r="D1632" t="s">
        <v>5301</v>
      </c>
      <c r="E1632" t="s">
        <v>5938</v>
      </c>
      <c r="F1632" t="s">
        <v>5939</v>
      </c>
      <c r="G1632" t="s">
        <v>5959</v>
      </c>
      <c r="H1632">
        <v>1631</v>
      </c>
      <c r="I1632" t="str">
        <f>IF(ISBLANK(Table1[[#This Row],[oid]]),"FALSE","TRUE")</f>
        <v>TRUE</v>
      </c>
      <c r="J1632" t="str" cm="1">
        <f t="array" ref="J1632">_xlfn.SWITCH(LEFT(Table1[[#This Row],[section]],1), "D", "Demographic", "S", "Social", "E", "Economic", "H", "Housing", "")</f>
        <v>Economic</v>
      </c>
      <c r="K1632" t="s">
        <v>5603</v>
      </c>
      <c r="L1632" t="s">
        <v>5604</v>
      </c>
      <c r="M1632" t="str">
        <f>IF(Table1[[#This Row],[used]], _xlfn.CONCAT("🆔 ", Table1[[#This Row],[variable]], ": ",Table1[[#This Row],[alias]]), "")</f>
        <v>🆔 B19069_001E: Aggregate retirement income in the past 12 months in 2016 inflation-adjusted dollars</v>
      </c>
      <c r="O1632" t="s">
        <v>5960</v>
      </c>
      <c r="P1632" t="s">
        <v>5961</v>
      </c>
      <c r="Q1632" t="s">
        <v>41</v>
      </c>
      <c r="R1632" t="s">
        <v>5943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1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</row>
    <row r="1633" spans="1:33" x14ac:dyDescent="0.25">
      <c r="A1633" t="s">
        <v>25</v>
      </c>
      <c r="B1633">
        <v>1</v>
      </c>
      <c r="C1633" t="b">
        <v>0</v>
      </c>
      <c r="D1633" t="s">
        <v>5301</v>
      </c>
      <c r="E1633" t="s">
        <v>5938</v>
      </c>
      <c r="F1633" t="s">
        <v>5939</v>
      </c>
      <c r="G1633" t="s">
        <v>5962</v>
      </c>
      <c r="H1633">
        <v>1632</v>
      </c>
      <c r="I1633" t="str">
        <f>IF(ISBLANK(Table1[[#This Row],[oid]]),"FALSE","TRUE")</f>
        <v>TRUE</v>
      </c>
      <c r="J1633" t="str" cm="1">
        <f t="array" ref="J1633">_xlfn.SWITCH(LEFT(Table1[[#This Row],[section]],1), "D", "Demographic", "S", "Social", "E", "Economic", "H", "Housing", "")</f>
        <v>Economic</v>
      </c>
      <c r="K1633" t="s">
        <v>5603</v>
      </c>
      <c r="L1633" t="s">
        <v>5604</v>
      </c>
      <c r="M1633" t="str">
        <f>IF(Table1[[#This Row],[used]], _xlfn.CONCAT("🆔 ", Table1[[#This Row],[variable]], ": ",Table1[[#This Row],[alias]]), "")</f>
        <v>🆔 B19069_001E: Aggregate retirement income in the past 12 months in 2017 inflation-adjusted dollars</v>
      </c>
      <c r="O1633" t="s">
        <v>5963</v>
      </c>
      <c r="P1633" t="s">
        <v>5964</v>
      </c>
      <c r="Q1633" t="s">
        <v>41</v>
      </c>
      <c r="R1633" t="s">
        <v>5943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1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</row>
    <row r="1634" spans="1:33" x14ac:dyDescent="0.25">
      <c r="A1634" t="s">
        <v>26</v>
      </c>
      <c r="B1634">
        <v>1</v>
      </c>
      <c r="C1634" t="b">
        <v>0</v>
      </c>
      <c r="D1634" t="s">
        <v>5301</v>
      </c>
      <c r="E1634" t="s">
        <v>5938</v>
      </c>
      <c r="F1634" t="s">
        <v>5939</v>
      </c>
      <c r="G1634" t="s">
        <v>5965</v>
      </c>
      <c r="H1634">
        <v>1633</v>
      </c>
      <c r="I1634" t="str">
        <f>IF(ISBLANK(Table1[[#This Row],[oid]]),"FALSE","TRUE")</f>
        <v>TRUE</v>
      </c>
      <c r="J1634" t="str" cm="1">
        <f t="array" ref="J1634">_xlfn.SWITCH(LEFT(Table1[[#This Row],[section]],1), "D", "Demographic", "S", "Social", "E", "Economic", "H", "Housing", "")</f>
        <v>Economic</v>
      </c>
      <c r="K1634" t="s">
        <v>5603</v>
      </c>
      <c r="L1634" t="s">
        <v>5604</v>
      </c>
      <c r="M1634" t="str">
        <f>IF(Table1[[#This Row],[used]], _xlfn.CONCAT("🆔 ", Table1[[#This Row],[variable]], ": ",Table1[[#This Row],[alias]]), "")</f>
        <v>🆔 B19069_001E: Aggregate retirement income in the past 12 months in 2018 inflation-adjusted dollars</v>
      </c>
      <c r="O1634" t="s">
        <v>5966</v>
      </c>
      <c r="P1634" t="s">
        <v>5967</v>
      </c>
      <c r="Q1634" t="s">
        <v>41</v>
      </c>
      <c r="R1634" t="s">
        <v>5943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1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</row>
    <row r="1635" spans="1:33" x14ac:dyDescent="0.25">
      <c r="A1635" t="s">
        <v>27</v>
      </c>
      <c r="B1635">
        <v>1</v>
      </c>
      <c r="C1635" t="b">
        <v>0</v>
      </c>
      <c r="D1635" t="s">
        <v>5301</v>
      </c>
      <c r="E1635" t="s">
        <v>5938</v>
      </c>
      <c r="F1635" t="s">
        <v>5939</v>
      </c>
      <c r="G1635" t="s">
        <v>5968</v>
      </c>
      <c r="H1635">
        <v>1634</v>
      </c>
      <c r="I1635" t="str">
        <f>IF(ISBLANK(Table1[[#This Row],[oid]]),"FALSE","TRUE")</f>
        <v>TRUE</v>
      </c>
      <c r="J1635" t="str" cm="1">
        <f t="array" ref="J1635">_xlfn.SWITCH(LEFT(Table1[[#This Row],[section]],1), "D", "Demographic", "S", "Social", "E", "Economic", "H", "Housing", "")</f>
        <v>Economic</v>
      </c>
      <c r="K1635" t="s">
        <v>5603</v>
      </c>
      <c r="L1635" t="s">
        <v>5604</v>
      </c>
      <c r="M1635" t="str">
        <f>IF(Table1[[#This Row],[used]], _xlfn.CONCAT("🆔 ", Table1[[#This Row],[variable]], ": ",Table1[[#This Row],[alias]]), "")</f>
        <v>🆔 B19069_001E: Aggregate retirement income in the past 12 months in 2019 inflation-adjusted dollars</v>
      </c>
      <c r="O1635" t="s">
        <v>5969</v>
      </c>
      <c r="P1635" t="s">
        <v>5970</v>
      </c>
      <c r="Q1635" t="s">
        <v>41</v>
      </c>
      <c r="R1635" t="s">
        <v>5943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1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</row>
    <row r="1636" spans="1:33" x14ac:dyDescent="0.25">
      <c r="A1636" t="s">
        <v>28</v>
      </c>
      <c r="B1636">
        <v>1</v>
      </c>
      <c r="C1636" t="b">
        <v>0</v>
      </c>
      <c r="D1636" t="s">
        <v>5301</v>
      </c>
      <c r="E1636" t="s">
        <v>5938</v>
      </c>
      <c r="F1636" t="s">
        <v>5939</v>
      </c>
      <c r="G1636" t="s">
        <v>5971</v>
      </c>
      <c r="H1636">
        <v>1635</v>
      </c>
      <c r="I1636" t="str">
        <f>IF(ISBLANK(Table1[[#This Row],[oid]]),"FALSE","TRUE")</f>
        <v>TRUE</v>
      </c>
      <c r="J1636" t="str" cm="1">
        <f t="array" ref="J1636">_xlfn.SWITCH(LEFT(Table1[[#This Row],[section]],1), "D", "Demographic", "S", "Social", "E", "Economic", "H", "Housing", "")</f>
        <v>Economic</v>
      </c>
      <c r="K1636" t="s">
        <v>5603</v>
      </c>
      <c r="L1636" t="s">
        <v>5604</v>
      </c>
      <c r="M1636" t="str">
        <f>IF(Table1[[#This Row],[used]], _xlfn.CONCAT("🆔 ", Table1[[#This Row],[variable]], ": ",Table1[[#This Row],[alias]]), "")</f>
        <v>🆔 B19069_001E: Aggregate retirement income in the past 12 months in 2020 inflation-adjusted dollars</v>
      </c>
      <c r="O1636" t="s">
        <v>5972</v>
      </c>
      <c r="P1636" t="s">
        <v>5973</v>
      </c>
      <c r="Q1636" t="s">
        <v>41</v>
      </c>
      <c r="R1636" t="s">
        <v>5943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1</v>
      </c>
      <c r="AD1636" t="b">
        <v>0</v>
      </c>
      <c r="AE1636" t="b">
        <v>0</v>
      </c>
      <c r="AF1636" t="b">
        <v>0</v>
      </c>
      <c r="AG1636" t="b">
        <v>0</v>
      </c>
    </row>
    <row r="1637" spans="1:33" x14ac:dyDescent="0.25">
      <c r="A1637" t="s">
        <v>29</v>
      </c>
      <c r="B1637">
        <v>1</v>
      </c>
      <c r="C1637" t="b">
        <v>0</v>
      </c>
      <c r="D1637" t="s">
        <v>5301</v>
      </c>
      <c r="E1637" t="s">
        <v>5938</v>
      </c>
      <c r="F1637" t="s">
        <v>5939</v>
      </c>
      <c r="G1637" t="s">
        <v>5974</v>
      </c>
      <c r="H1637">
        <v>1636</v>
      </c>
      <c r="I1637" t="str">
        <f>IF(ISBLANK(Table1[[#This Row],[oid]]),"FALSE","TRUE")</f>
        <v>TRUE</v>
      </c>
      <c r="J1637" t="str" cm="1">
        <f t="array" ref="J1637">_xlfn.SWITCH(LEFT(Table1[[#This Row],[section]],1), "D", "Demographic", "S", "Social", "E", "Economic", "H", "Housing", "")</f>
        <v>Economic</v>
      </c>
      <c r="K1637" t="s">
        <v>5603</v>
      </c>
      <c r="L1637" t="s">
        <v>5604</v>
      </c>
      <c r="M1637" t="str">
        <f>IF(Table1[[#This Row],[used]], _xlfn.CONCAT("🆔 ", Table1[[#This Row],[variable]], ": ",Table1[[#This Row],[alias]]), "")</f>
        <v>🆔 B19069_001E: Aggregate retirement income in the past 12 months in 2021 inflation-adjusted dollars</v>
      </c>
      <c r="O1637" t="s">
        <v>5975</v>
      </c>
      <c r="P1637" t="s">
        <v>5976</v>
      </c>
      <c r="Q1637" t="s">
        <v>41</v>
      </c>
      <c r="R1637" t="s">
        <v>5943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1</v>
      </c>
      <c r="AE1637" t="b">
        <v>0</v>
      </c>
      <c r="AF1637" t="b">
        <v>0</v>
      </c>
      <c r="AG1637" t="b">
        <v>0</v>
      </c>
    </row>
    <row r="1638" spans="1:33" x14ac:dyDescent="0.25">
      <c r="A1638" t="s">
        <v>30</v>
      </c>
      <c r="B1638">
        <v>1</v>
      </c>
      <c r="C1638" t="b">
        <v>0</v>
      </c>
      <c r="D1638" t="s">
        <v>5301</v>
      </c>
      <c r="E1638" t="s">
        <v>5938</v>
      </c>
      <c r="F1638" t="s">
        <v>5939</v>
      </c>
      <c r="G1638" t="s">
        <v>5977</v>
      </c>
      <c r="H1638">
        <v>1637</v>
      </c>
      <c r="I1638" t="str">
        <f>IF(ISBLANK(Table1[[#This Row],[oid]]),"FALSE","TRUE")</f>
        <v>TRUE</v>
      </c>
      <c r="J1638" t="str" cm="1">
        <f t="array" ref="J1638">_xlfn.SWITCH(LEFT(Table1[[#This Row],[section]],1), "D", "Demographic", "S", "Social", "E", "Economic", "H", "Housing", "")</f>
        <v>Economic</v>
      </c>
      <c r="K1638" t="s">
        <v>5603</v>
      </c>
      <c r="L1638" t="s">
        <v>5604</v>
      </c>
      <c r="M1638" t="str">
        <f>IF(Table1[[#This Row],[used]], _xlfn.CONCAT("🆔 ", Table1[[#This Row],[variable]], ": ",Table1[[#This Row],[alias]]), "")</f>
        <v>🆔 B19069_001E: Aggregate retirement income in the past 12 months in 2022 inflation-adjusted dollars</v>
      </c>
      <c r="O1638" t="s">
        <v>5978</v>
      </c>
      <c r="P1638" t="s">
        <v>5979</v>
      </c>
      <c r="Q1638" t="s">
        <v>41</v>
      </c>
      <c r="R1638" t="s">
        <v>5943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1</v>
      </c>
      <c r="AF1638" t="b">
        <v>0</v>
      </c>
      <c r="AG1638" t="b">
        <v>0</v>
      </c>
    </row>
    <row r="1639" spans="1:33" x14ac:dyDescent="0.25">
      <c r="A1639" t="s">
        <v>31</v>
      </c>
      <c r="B1639">
        <v>1</v>
      </c>
      <c r="C1639" t="b">
        <v>0</v>
      </c>
      <c r="D1639" t="s">
        <v>5301</v>
      </c>
      <c r="E1639" t="s">
        <v>5938</v>
      </c>
      <c r="F1639" t="s">
        <v>5939</v>
      </c>
      <c r="G1639" t="s">
        <v>5980</v>
      </c>
      <c r="H1639">
        <v>1638</v>
      </c>
      <c r="I1639" t="str">
        <f>IF(ISBLANK(Table1[[#This Row],[oid]]),"FALSE","TRUE")</f>
        <v>TRUE</v>
      </c>
      <c r="J1639" t="str" cm="1">
        <f t="array" ref="J1639">_xlfn.SWITCH(LEFT(Table1[[#This Row],[section]],1), "D", "Demographic", "S", "Social", "E", "Economic", "H", "Housing", "")</f>
        <v>Economic</v>
      </c>
      <c r="K1639" t="s">
        <v>5603</v>
      </c>
      <c r="L1639" t="s">
        <v>5604</v>
      </c>
      <c r="M1639" t="str">
        <f>IF(Table1[[#This Row],[used]], _xlfn.CONCAT("🆔 ", Table1[[#This Row],[variable]], ": ",Table1[[#This Row],[alias]]), "")</f>
        <v>🆔 B19069_001E: Aggregate retirement income in the past 12 months in 2023 inflation-adjusted dollars</v>
      </c>
      <c r="O1639" t="s">
        <v>5981</v>
      </c>
      <c r="P1639" t="s">
        <v>5982</v>
      </c>
      <c r="Q1639" t="s">
        <v>41</v>
      </c>
      <c r="R1639" t="s">
        <v>5943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1</v>
      </c>
      <c r="AG1639" t="b">
        <v>0</v>
      </c>
    </row>
    <row r="1640" spans="1:33" x14ac:dyDescent="0.25">
      <c r="A1640" t="s">
        <v>32</v>
      </c>
      <c r="B1640">
        <v>1</v>
      </c>
      <c r="C1640" t="b">
        <v>0</v>
      </c>
      <c r="D1640" t="s">
        <v>5301</v>
      </c>
      <c r="E1640" t="s">
        <v>5938</v>
      </c>
      <c r="F1640" t="s">
        <v>5939</v>
      </c>
      <c r="G1640" t="s">
        <v>5983</v>
      </c>
      <c r="H1640">
        <v>1639</v>
      </c>
      <c r="I1640" t="str">
        <f>IF(ISBLANK(Table1[[#This Row],[oid]]),"FALSE","TRUE")</f>
        <v>TRUE</v>
      </c>
      <c r="J1640" t="str" cm="1">
        <f t="array" ref="J1640">_xlfn.SWITCH(LEFT(Table1[[#This Row],[section]],1), "D", "Demographic", "S", "Social", "E", "Economic", "H", "Housing", "")</f>
        <v>Economic</v>
      </c>
      <c r="K1640" t="s">
        <v>5603</v>
      </c>
      <c r="L1640" t="s">
        <v>5604</v>
      </c>
      <c r="M1640" t="str">
        <f>IF(Table1[[#This Row],[used]], _xlfn.CONCAT("🆔 ", Table1[[#This Row],[variable]], ": ",Table1[[#This Row],[alias]]), "")</f>
        <v>🆔 B19069_001E: Aggregate retirement income in the past 12 months in 2024 inflation-adjusted dollars</v>
      </c>
      <c r="O1640" t="s">
        <v>5984</v>
      </c>
      <c r="P1640" t="s">
        <v>5985</v>
      </c>
      <c r="Q1640" t="s">
        <v>41</v>
      </c>
      <c r="R1640" t="s">
        <v>5943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1</v>
      </c>
    </row>
    <row r="1641" spans="1:33" x14ac:dyDescent="0.25">
      <c r="A1641" t="s">
        <v>18</v>
      </c>
      <c r="B1641">
        <v>1</v>
      </c>
      <c r="C1641" t="b">
        <v>0</v>
      </c>
      <c r="D1641" t="s">
        <v>5301</v>
      </c>
      <c r="E1641" t="s">
        <v>5986</v>
      </c>
      <c r="F1641" t="s">
        <v>5987</v>
      </c>
      <c r="G1641" t="s">
        <v>5988</v>
      </c>
      <c r="H1641">
        <v>1640</v>
      </c>
      <c r="I1641" t="str">
        <f>IF(ISBLANK(Table1[[#This Row],[oid]]),"FALSE","TRUE")</f>
        <v>TRUE</v>
      </c>
      <c r="J1641" t="str" cm="1">
        <f t="array" ref="J1641">_xlfn.SWITCH(LEFT(Table1[[#This Row],[section]],1), "D", "Demographic", "S", "Social", "E", "Economic", "H", "Housing", "")</f>
        <v>Economic</v>
      </c>
      <c r="K1641" t="s">
        <v>5603</v>
      </c>
      <c r="L1641" t="s">
        <v>5604</v>
      </c>
      <c r="M1641" t="str">
        <f>IF(Table1[[#This Row],[used]], _xlfn.CONCAT("🆔 ", Table1[[#This Row],[variable]], ": ",Table1[[#This Row],[alias]]), "")</f>
        <v>🆔 B19070_001E: Aggregate other types of income in the past 12 months in 2010 inflation-adjusted dollars</v>
      </c>
      <c r="O1641" t="s">
        <v>5989</v>
      </c>
      <c r="P1641" t="s">
        <v>5990</v>
      </c>
      <c r="Q1641" t="s">
        <v>41</v>
      </c>
      <c r="R1641" t="s">
        <v>5991</v>
      </c>
      <c r="S1641" t="b">
        <v>1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</row>
    <row r="1642" spans="1:33" x14ac:dyDescent="0.25">
      <c r="A1642" t="s">
        <v>19</v>
      </c>
      <c r="B1642">
        <v>1</v>
      </c>
      <c r="C1642" t="b">
        <v>0</v>
      </c>
      <c r="D1642" t="s">
        <v>5301</v>
      </c>
      <c r="E1642" t="s">
        <v>5986</v>
      </c>
      <c r="F1642" t="s">
        <v>5987</v>
      </c>
      <c r="G1642" t="s">
        <v>5992</v>
      </c>
      <c r="H1642">
        <v>1641</v>
      </c>
      <c r="I1642" t="str">
        <f>IF(ISBLANK(Table1[[#This Row],[oid]]),"FALSE","TRUE")</f>
        <v>TRUE</v>
      </c>
      <c r="J1642" t="str" cm="1">
        <f t="array" ref="J1642">_xlfn.SWITCH(LEFT(Table1[[#This Row],[section]],1), "D", "Demographic", "S", "Social", "E", "Economic", "H", "Housing", "")</f>
        <v>Economic</v>
      </c>
      <c r="K1642" t="s">
        <v>5603</v>
      </c>
      <c r="L1642" t="s">
        <v>5604</v>
      </c>
      <c r="M1642" t="str">
        <f>IF(Table1[[#This Row],[used]], _xlfn.CONCAT("🆔 ", Table1[[#This Row],[variable]], ": ",Table1[[#This Row],[alias]]), "")</f>
        <v>🆔 B19070_001E: Aggregate other types of income in the past 12 months in 2011 inflation-adjusted dollars</v>
      </c>
      <c r="O1642" t="s">
        <v>5993</v>
      </c>
      <c r="P1642" t="s">
        <v>5994</v>
      </c>
      <c r="Q1642" t="s">
        <v>41</v>
      </c>
      <c r="R1642" t="s">
        <v>5991</v>
      </c>
      <c r="S1642" t="b">
        <v>0</v>
      </c>
      <c r="T1642" t="b">
        <v>1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</row>
    <row r="1643" spans="1:33" x14ac:dyDescent="0.25">
      <c r="A1643" t="s">
        <v>20</v>
      </c>
      <c r="B1643">
        <v>1</v>
      </c>
      <c r="C1643" t="b">
        <v>0</v>
      </c>
      <c r="D1643" t="s">
        <v>5301</v>
      </c>
      <c r="E1643" t="s">
        <v>5986</v>
      </c>
      <c r="F1643" t="s">
        <v>5987</v>
      </c>
      <c r="G1643" t="s">
        <v>5995</v>
      </c>
      <c r="H1643">
        <v>1642</v>
      </c>
      <c r="I1643" t="str">
        <f>IF(ISBLANK(Table1[[#This Row],[oid]]),"FALSE","TRUE")</f>
        <v>TRUE</v>
      </c>
      <c r="J1643" t="str" cm="1">
        <f t="array" ref="J1643">_xlfn.SWITCH(LEFT(Table1[[#This Row],[section]],1), "D", "Demographic", "S", "Social", "E", "Economic", "H", "Housing", "")</f>
        <v>Economic</v>
      </c>
      <c r="K1643" t="s">
        <v>5603</v>
      </c>
      <c r="L1643" t="s">
        <v>5604</v>
      </c>
      <c r="M1643" t="str">
        <f>IF(Table1[[#This Row],[used]], _xlfn.CONCAT("🆔 ", Table1[[#This Row],[variable]], ": ",Table1[[#This Row],[alias]]), "")</f>
        <v>🆔 B19070_001E: Aggregate other types of income in the past 12 months in 2012 inflation-adjusted dollars</v>
      </c>
      <c r="O1643" t="s">
        <v>5996</v>
      </c>
      <c r="P1643" t="s">
        <v>5997</v>
      </c>
      <c r="Q1643" t="s">
        <v>41</v>
      </c>
      <c r="R1643" t="s">
        <v>5991</v>
      </c>
      <c r="S1643" t="b">
        <v>0</v>
      </c>
      <c r="T1643" t="b">
        <v>0</v>
      </c>
      <c r="U1643" t="b">
        <v>1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</row>
    <row r="1644" spans="1:33" x14ac:dyDescent="0.25">
      <c r="A1644" t="s">
        <v>21</v>
      </c>
      <c r="B1644">
        <v>1</v>
      </c>
      <c r="C1644" t="b">
        <v>0</v>
      </c>
      <c r="D1644" t="s">
        <v>5301</v>
      </c>
      <c r="E1644" t="s">
        <v>5986</v>
      </c>
      <c r="F1644" t="s">
        <v>5987</v>
      </c>
      <c r="G1644" t="s">
        <v>5998</v>
      </c>
      <c r="H1644">
        <v>1643</v>
      </c>
      <c r="I1644" t="str">
        <f>IF(ISBLANK(Table1[[#This Row],[oid]]),"FALSE","TRUE")</f>
        <v>TRUE</v>
      </c>
      <c r="J1644" t="str" cm="1">
        <f t="array" ref="J1644">_xlfn.SWITCH(LEFT(Table1[[#This Row],[section]],1), "D", "Demographic", "S", "Social", "E", "Economic", "H", "Housing", "")</f>
        <v>Economic</v>
      </c>
      <c r="K1644" t="s">
        <v>5603</v>
      </c>
      <c r="L1644" t="s">
        <v>5604</v>
      </c>
      <c r="M1644" t="str">
        <f>IF(Table1[[#This Row],[used]], _xlfn.CONCAT("🆔 ", Table1[[#This Row],[variable]], ": ",Table1[[#This Row],[alias]]), "")</f>
        <v>🆔 B19070_001E: Aggregate other types of income in the past 12 months in 2013 inflation-adjusted dollars</v>
      </c>
      <c r="O1644" t="s">
        <v>5999</v>
      </c>
      <c r="P1644" t="s">
        <v>6000</v>
      </c>
      <c r="Q1644" t="s">
        <v>41</v>
      </c>
      <c r="R1644" t="s">
        <v>5991</v>
      </c>
      <c r="S1644" t="b">
        <v>0</v>
      </c>
      <c r="T1644" t="b">
        <v>0</v>
      </c>
      <c r="U1644" t="b">
        <v>0</v>
      </c>
      <c r="V1644" t="b">
        <v>1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</row>
    <row r="1645" spans="1:33" x14ac:dyDescent="0.25">
      <c r="A1645" t="s">
        <v>22</v>
      </c>
      <c r="B1645">
        <v>1</v>
      </c>
      <c r="C1645" t="b">
        <v>0</v>
      </c>
      <c r="D1645" t="s">
        <v>5301</v>
      </c>
      <c r="E1645" t="s">
        <v>5986</v>
      </c>
      <c r="F1645" t="s">
        <v>5987</v>
      </c>
      <c r="G1645" t="s">
        <v>6001</v>
      </c>
      <c r="H1645">
        <v>1644</v>
      </c>
      <c r="I1645" t="str">
        <f>IF(ISBLANK(Table1[[#This Row],[oid]]),"FALSE","TRUE")</f>
        <v>TRUE</v>
      </c>
      <c r="J1645" t="str" cm="1">
        <f t="array" ref="J1645">_xlfn.SWITCH(LEFT(Table1[[#This Row],[section]],1), "D", "Demographic", "S", "Social", "E", "Economic", "H", "Housing", "")</f>
        <v>Economic</v>
      </c>
      <c r="K1645" t="s">
        <v>5603</v>
      </c>
      <c r="L1645" t="s">
        <v>5604</v>
      </c>
      <c r="M1645" t="str">
        <f>IF(Table1[[#This Row],[used]], _xlfn.CONCAT("🆔 ", Table1[[#This Row],[variable]], ": ",Table1[[#This Row],[alias]]), "")</f>
        <v>🆔 B19070_001E: Aggregate other types of income in the past 12 months in 2014 Inflation-adjusted dollars</v>
      </c>
      <c r="O1645" t="s">
        <v>6002</v>
      </c>
      <c r="P1645" t="s">
        <v>6003</v>
      </c>
      <c r="Q1645" t="s">
        <v>41</v>
      </c>
      <c r="R1645" t="s">
        <v>5991</v>
      </c>
      <c r="S1645" t="b">
        <v>0</v>
      </c>
      <c r="T1645" t="b">
        <v>0</v>
      </c>
      <c r="U1645" t="b">
        <v>0</v>
      </c>
      <c r="V1645" t="b">
        <v>0</v>
      </c>
      <c r="W1645" t="b">
        <v>1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</row>
    <row r="1646" spans="1:33" x14ac:dyDescent="0.25">
      <c r="A1646" t="s">
        <v>23</v>
      </c>
      <c r="B1646">
        <v>1</v>
      </c>
      <c r="C1646" t="b">
        <v>0</v>
      </c>
      <c r="D1646" t="s">
        <v>5301</v>
      </c>
      <c r="E1646" t="s">
        <v>5986</v>
      </c>
      <c r="F1646" t="s">
        <v>5987</v>
      </c>
      <c r="G1646" t="s">
        <v>6004</v>
      </c>
      <c r="H1646">
        <v>1645</v>
      </c>
      <c r="I1646" t="str">
        <f>IF(ISBLANK(Table1[[#This Row],[oid]]),"FALSE","TRUE")</f>
        <v>TRUE</v>
      </c>
      <c r="J1646" t="str" cm="1">
        <f t="array" ref="J1646">_xlfn.SWITCH(LEFT(Table1[[#This Row],[section]],1), "D", "Demographic", "S", "Social", "E", "Economic", "H", "Housing", "")</f>
        <v>Economic</v>
      </c>
      <c r="K1646" t="s">
        <v>5603</v>
      </c>
      <c r="L1646" t="s">
        <v>5604</v>
      </c>
      <c r="M1646" t="str">
        <f>IF(Table1[[#This Row],[used]], _xlfn.CONCAT("🆔 ", Table1[[#This Row],[variable]], ": ",Table1[[#This Row],[alias]]), "")</f>
        <v>🆔 B19070_001E: Aggregate other types of income in the past 12 months in 2015 Inflation-adjusted dollars</v>
      </c>
      <c r="O1646" t="s">
        <v>6005</v>
      </c>
      <c r="P1646" t="s">
        <v>6006</v>
      </c>
      <c r="Q1646" t="s">
        <v>41</v>
      </c>
      <c r="R1646" t="s">
        <v>5991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1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</row>
    <row r="1647" spans="1:33" x14ac:dyDescent="0.25">
      <c r="A1647" t="s">
        <v>24</v>
      </c>
      <c r="B1647">
        <v>1</v>
      </c>
      <c r="C1647" t="b">
        <v>0</v>
      </c>
      <c r="D1647" t="s">
        <v>5301</v>
      </c>
      <c r="E1647" t="s">
        <v>5986</v>
      </c>
      <c r="F1647" t="s">
        <v>5987</v>
      </c>
      <c r="G1647" t="s">
        <v>6007</v>
      </c>
      <c r="H1647">
        <v>1646</v>
      </c>
      <c r="I1647" t="str">
        <f>IF(ISBLANK(Table1[[#This Row],[oid]]),"FALSE","TRUE")</f>
        <v>TRUE</v>
      </c>
      <c r="J1647" t="str" cm="1">
        <f t="array" ref="J1647">_xlfn.SWITCH(LEFT(Table1[[#This Row],[section]],1), "D", "Demographic", "S", "Social", "E", "Economic", "H", "Housing", "")</f>
        <v>Economic</v>
      </c>
      <c r="K1647" t="s">
        <v>5603</v>
      </c>
      <c r="L1647" t="s">
        <v>5604</v>
      </c>
      <c r="M1647" t="str">
        <f>IF(Table1[[#This Row],[used]], _xlfn.CONCAT("🆔 ", Table1[[#This Row],[variable]], ": ",Table1[[#This Row],[alias]]), "")</f>
        <v>🆔 B19070_001E: Aggregate other types of income in the past 12 months in 2016 inflation-adjusted dollars</v>
      </c>
      <c r="O1647" t="s">
        <v>6008</v>
      </c>
      <c r="P1647" t="s">
        <v>6009</v>
      </c>
      <c r="Q1647" t="s">
        <v>41</v>
      </c>
      <c r="R1647" t="s">
        <v>5991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1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</row>
    <row r="1648" spans="1:33" x14ac:dyDescent="0.25">
      <c r="A1648" t="s">
        <v>25</v>
      </c>
      <c r="B1648">
        <v>1</v>
      </c>
      <c r="C1648" t="b">
        <v>0</v>
      </c>
      <c r="D1648" t="s">
        <v>5301</v>
      </c>
      <c r="E1648" t="s">
        <v>5986</v>
      </c>
      <c r="F1648" t="s">
        <v>5987</v>
      </c>
      <c r="G1648" t="s">
        <v>6010</v>
      </c>
      <c r="H1648">
        <v>1647</v>
      </c>
      <c r="I1648" t="str">
        <f>IF(ISBLANK(Table1[[#This Row],[oid]]),"FALSE","TRUE")</f>
        <v>TRUE</v>
      </c>
      <c r="J1648" t="str" cm="1">
        <f t="array" ref="J1648">_xlfn.SWITCH(LEFT(Table1[[#This Row],[section]],1), "D", "Demographic", "S", "Social", "E", "Economic", "H", "Housing", "")</f>
        <v>Economic</v>
      </c>
      <c r="K1648" t="s">
        <v>5603</v>
      </c>
      <c r="L1648" t="s">
        <v>5604</v>
      </c>
      <c r="M1648" t="str">
        <f>IF(Table1[[#This Row],[used]], _xlfn.CONCAT("🆔 ", Table1[[#This Row],[variable]], ": ",Table1[[#This Row],[alias]]), "")</f>
        <v>🆔 B19070_001E: Aggregate other types of income in the past 12 months in 2017 inflation-adjusted dollars</v>
      </c>
      <c r="O1648" t="s">
        <v>6011</v>
      </c>
      <c r="P1648" t="s">
        <v>6012</v>
      </c>
      <c r="Q1648" t="s">
        <v>41</v>
      </c>
      <c r="R1648" t="s">
        <v>5991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1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</row>
    <row r="1649" spans="1:33" x14ac:dyDescent="0.25">
      <c r="A1649" t="s">
        <v>26</v>
      </c>
      <c r="B1649">
        <v>1</v>
      </c>
      <c r="C1649" t="b">
        <v>0</v>
      </c>
      <c r="D1649" t="s">
        <v>5301</v>
      </c>
      <c r="E1649" t="s">
        <v>5986</v>
      </c>
      <c r="F1649" t="s">
        <v>5987</v>
      </c>
      <c r="G1649" t="s">
        <v>6013</v>
      </c>
      <c r="H1649">
        <v>1648</v>
      </c>
      <c r="I1649" t="str">
        <f>IF(ISBLANK(Table1[[#This Row],[oid]]),"FALSE","TRUE")</f>
        <v>TRUE</v>
      </c>
      <c r="J1649" t="str" cm="1">
        <f t="array" ref="J1649">_xlfn.SWITCH(LEFT(Table1[[#This Row],[section]],1), "D", "Demographic", "S", "Social", "E", "Economic", "H", "Housing", "")</f>
        <v>Economic</v>
      </c>
      <c r="K1649" t="s">
        <v>5603</v>
      </c>
      <c r="L1649" t="s">
        <v>5604</v>
      </c>
      <c r="M1649" t="str">
        <f>IF(Table1[[#This Row],[used]], _xlfn.CONCAT("🆔 ", Table1[[#This Row],[variable]], ": ",Table1[[#This Row],[alias]]), "")</f>
        <v>🆔 B19070_001E: Aggregate other types of income in the past 12 months in 2018 inflation-adjusted dollars</v>
      </c>
      <c r="O1649" t="s">
        <v>6014</v>
      </c>
      <c r="P1649" t="s">
        <v>6015</v>
      </c>
      <c r="Q1649" t="s">
        <v>41</v>
      </c>
      <c r="R1649" t="s">
        <v>5991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1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</row>
    <row r="1650" spans="1:33" x14ac:dyDescent="0.25">
      <c r="A1650" t="s">
        <v>27</v>
      </c>
      <c r="B1650">
        <v>1</v>
      </c>
      <c r="C1650" t="b">
        <v>0</v>
      </c>
      <c r="D1650" t="s">
        <v>5301</v>
      </c>
      <c r="E1650" t="s">
        <v>5986</v>
      </c>
      <c r="F1650" t="s">
        <v>5987</v>
      </c>
      <c r="G1650" t="s">
        <v>6016</v>
      </c>
      <c r="H1650">
        <v>1649</v>
      </c>
      <c r="I1650" t="str">
        <f>IF(ISBLANK(Table1[[#This Row],[oid]]),"FALSE","TRUE")</f>
        <v>TRUE</v>
      </c>
      <c r="J1650" t="str" cm="1">
        <f t="array" ref="J1650">_xlfn.SWITCH(LEFT(Table1[[#This Row],[section]],1), "D", "Demographic", "S", "Social", "E", "Economic", "H", "Housing", "")</f>
        <v>Economic</v>
      </c>
      <c r="K1650" t="s">
        <v>5603</v>
      </c>
      <c r="L1650" t="s">
        <v>5604</v>
      </c>
      <c r="M1650" t="str">
        <f>IF(Table1[[#This Row],[used]], _xlfn.CONCAT("🆔 ", Table1[[#This Row],[variable]], ": ",Table1[[#This Row],[alias]]), "")</f>
        <v>🆔 B19070_001E: Aggregate other types of income in the past 12 months in 2019 inflation-adjusted dollars</v>
      </c>
      <c r="O1650" t="s">
        <v>6017</v>
      </c>
      <c r="P1650" t="s">
        <v>6018</v>
      </c>
      <c r="Q1650" t="s">
        <v>41</v>
      </c>
      <c r="R1650" t="s">
        <v>5991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1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</row>
    <row r="1651" spans="1:33" x14ac:dyDescent="0.25">
      <c r="A1651" t="s">
        <v>28</v>
      </c>
      <c r="B1651">
        <v>1</v>
      </c>
      <c r="C1651" t="b">
        <v>0</v>
      </c>
      <c r="D1651" t="s">
        <v>5301</v>
      </c>
      <c r="E1651" t="s">
        <v>5986</v>
      </c>
      <c r="F1651" t="s">
        <v>5987</v>
      </c>
      <c r="G1651" t="s">
        <v>6019</v>
      </c>
      <c r="H1651">
        <v>1650</v>
      </c>
      <c r="I1651" t="str">
        <f>IF(ISBLANK(Table1[[#This Row],[oid]]),"FALSE","TRUE")</f>
        <v>TRUE</v>
      </c>
      <c r="J1651" t="str" cm="1">
        <f t="array" ref="J1651">_xlfn.SWITCH(LEFT(Table1[[#This Row],[section]],1), "D", "Demographic", "S", "Social", "E", "Economic", "H", "Housing", "")</f>
        <v>Economic</v>
      </c>
      <c r="K1651" t="s">
        <v>5603</v>
      </c>
      <c r="L1651" t="s">
        <v>5604</v>
      </c>
      <c r="M1651" t="str">
        <f>IF(Table1[[#This Row],[used]], _xlfn.CONCAT("🆔 ", Table1[[#This Row],[variable]], ": ",Table1[[#This Row],[alias]]), "")</f>
        <v>🆔 B19070_001E: Aggregate other types of income in the past 12 months in 2020 inflation-adjusted dollars</v>
      </c>
      <c r="O1651" t="s">
        <v>6020</v>
      </c>
      <c r="P1651" t="s">
        <v>6021</v>
      </c>
      <c r="Q1651" t="s">
        <v>41</v>
      </c>
      <c r="R1651" t="s">
        <v>5991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1</v>
      </c>
      <c r="AD1651" t="b">
        <v>0</v>
      </c>
      <c r="AE1651" t="b">
        <v>0</v>
      </c>
      <c r="AF1651" t="b">
        <v>0</v>
      </c>
      <c r="AG1651" t="b">
        <v>0</v>
      </c>
    </row>
    <row r="1652" spans="1:33" x14ac:dyDescent="0.25">
      <c r="A1652" t="s">
        <v>29</v>
      </c>
      <c r="B1652">
        <v>1</v>
      </c>
      <c r="C1652" t="b">
        <v>0</v>
      </c>
      <c r="D1652" t="s">
        <v>5301</v>
      </c>
      <c r="E1652" t="s">
        <v>5986</v>
      </c>
      <c r="F1652" t="s">
        <v>5987</v>
      </c>
      <c r="G1652" t="s">
        <v>6022</v>
      </c>
      <c r="H1652">
        <v>1651</v>
      </c>
      <c r="I1652" t="str">
        <f>IF(ISBLANK(Table1[[#This Row],[oid]]),"FALSE","TRUE")</f>
        <v>TRUE</v>
      </c>
      <c r="J1652" t="str" cm="1">
        <f t="array" ref="J1652">_xlfn.SWITCH(LEFT(Table1[[#This Row],[section]],1), "D", "Demographic", "S", "Social", "E", "Economic", "H", "Housing", "")</f>
        <v>Economic</v>
      </c>
      <c r="K1652" t="s">
        <v>5603</v>
      </c>
      <c r="L1652" t="s">
        <v>5604</v>
      </c>
      <c r="M1652" t="str">
        <f>IF(Table1[[#This Row],[used]], _xlfn.CONCAT("🆔 ", Table1[[#This Row],[variable]], ": ",Table1[[#This Row],[alias]]), "")</f>
        <v>🆔 B19070_001E: Aggregate other types of income in the past 12 months in 2021 inflation-adjusted dollars</v>
      </c>
      <c r="O1652" t="s">
        <v>6023</v>
      </c>
      <c r="P1652" t="s">
        <v>6024</v>
      </c>
      <c r="Q1652" t="s">
        <v>41</v>
      </c>
      <c r="R1652" t="s">
        <v>5991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1</v>
      </c>
      <c r="AE1652" t="b">
        <v>0</v>
      </c>
      <c r="AF1652" t="b">
        <v>0</v>
      </c>
      <c r="AG1652" t="b">
        <v>0</v>
      </c>
    </row>
    <row r="1653" spans="1:33" x14ac:dyDescent="0.25">
      <c r="A1653" t="s">
        <v>30</v>
      </c>
      <c r="B1653">
        <v>1</v>
      </c>
      <c r="C1653" t="b">
        <v>0</v>
      </c>
      <c r="D1653" t="s">
        <v>5301</v>
      </c>
      <c r="E1653" t="s">
        <v>5986</v>
      </c>
      <c r="F1653" t="s">
        <v>5987</v>
      </c>
      <c r="G1653" t="s">
        <v>6025</v>
      </c>
      <c r="H1653">
        <v>1652</v>
      </c>
      <c r="I1653" t="str">
        <f>IF(ISBLANK(Table1[[#This Row],[oid]]),"FALSE","TRUE")</f>
        <v>TRUE</v>
      </c>
      <c r="J1653" t="str" cm="1">
        <f t="array" ref="J1653">_xlfn.SWITCH(LEFT(Table1[[#This Row],[section]],1), "D", "Demographic", "S", "Social", "E", "Economic", "H", "Housing", "")</f>
        <v>Economic</v>
      </c>
      <c r="K1653" t="s">
        <v>5603</v>
      </c>
      <c r="L1653" t="s">
        <v>5604</v>
      </c>
      <c r="M1653" t="str">
        <f>IF(Table1[[#This Row],[used]], _xlfn.CONCAT("🆔 ", Table1[[#This Row],[variable]], ": ",Table1[[#This Row],[alias]]), "")</f>
        <v>🆔 B19070_001E: Aggregate other types of income in the past 12 months in 2022 inflation-adjusted dollars</v>
      </c>
      <c r="O1653" t="s">
        <v>6026</v>
      </c>
      <c r="P1653" t="s">
        <v>6027</v>
      </c>
      <c r="Q1653" t="s">
        <v>41</v>
      </c>
      <c r="R1653" t="s">
        <v>5991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1</v>
      </c>
      <c r="AF1653" t="b">
        <v>0</v>
      </c>
      <c r="AG1653" t="b">
        <v>0</v>
      </c>
    </row>
    <row r="1654" spans="1:33" x14ac:dyDescent="0.25">
      <c r="A1654" t="s">
        <v>31</v>
      </c>
      <c r="B1654">
        <v>1</v>
      </c>
      <c r="C1654" t="b">
        <v>0</v>
      </c>
      <c r="D1654" t="s">
        <v>5301</v>
      </c>
      <c r="E1654" t="s">
        <v>5986</v>
      </c>
      <c r="F1654" t="s">
        <v>5987</v>
      </c>
      <c r="G1654" t="s">
        <v>6028</v>
      </c>
      <c r="H1654">
        <v>1653</v>
      </c>
      <c r="I1654" t="str">
        <f>IF(ISBLANK(Table1[[#This Row],[oid]]),"FALSE","TRUE")</f>
        <v>TRUE</v>
      </c>
      <c r="J1654" t="str" cm="1">
        <f t="array" ref="J1654">_xlfn.SWITCH(LEFT(Table1[[#This Row],[section]],1), "D", "Demographic", "S", "Social", "E", "Economic", "H", "Housing", "")</f>
        <v>Economic</v>
      </c>
      <c r="K1654" t="s">
        <v>5603</v>
      </c>
      <c r="L1654" t="s">
        <v>5604</v>
      </c>
      <c r="M1654" t="str">
        <f>IF(Table1[[#This Row],[used]], _xlfn.CONCAT("🆔 ", Table1[[#This Row],[variable]], ": ",Table1[[#This Row],[alias]]), "")</f>
        <v>🆔 B19070_001E: Aggregate other types of income in the past 12 months in 2023 inflation-adjusted dollars</v>
      </c>
      <c r="O1654" t="s">
        <v>6029</v>
      </c>
      <c r="P1654" t="s">
        <v>6030</v>
      </c>
      <c r="Q1654" t="s">
        <v>41</v>
      </c>
      <c r="R1654" t="s">
        <v>5991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1</v>
      </c>
      <c r="AG1654" t="b">
        <v>0</v>
      </c>
    </row>
    <row r="1655" spans="1:33" x14ac:dyDescent="0.25">
      <c r="A1655" t="s">
        <v>32</v>
      </c>
      <c r="B1655">
        <v>1</v>
      </c>
      <c r="C1655" t="b">
        <v>0</v>
      </c>
      <c r="D1655" t="s">
        <v>5301</v>
      </c>
      <c r="E1655" t="s">
        <v>5986</v>
      </c>
      <c r="F1655" t="s">
        <v>5987</v>
      </c>
      <c r="G1655" t="s">
        <v>6031</v>
      </c>
      <c r="H1655">
        <v>1654</v>
      </c>
      <c r="I1655" t="str">
        <f>IF(ISBLANK(Table1[[#This Row],[oid]]),"FALSE","TRUE")</f>
        <v>TRUE</v>
      </c>
      <c r="J1655" t="str" cm="1">
        <f t="array" ref="J1655">_xlfn.SWITCH(LEFT(Table1[[#This Row],[section]],1), "D", "Demographic", "S", "Social", "E", "Economic", "H", "Housing", "")</f>
        <v>Economic</v>
      </c>
      <c r="K1655" t="s">
        <v>5603</v>
      </c>
      <c r="L1655" t="s">
        <v>5604</v>
      </c>
      <c r="M1655" t="str">
        <f>IF(Table1[[#This Row],[used]], _xlfn.CONCAT("🆔 ", Table1[[#This Row],[variable]], ": ",Table1[[#This Row],[alias]]), "")</f>
        <v>🆔 B19070_001E: Aggregate other types of income in the past 12 months in 2024 inflation-adjusted dollars</v>
      </c>
      <c r="O1655" t="s">
        <v>6032</v>
      </c>
      <c r="P1655" t="s">
        <v>6033</v>
      </c>
      <c r="Q1655" t="s">
        <v>41</v>
      </c>
      <c r="R1655" t="s">
        <v>5991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1</v>
      </c>
    </row>
    <row r="1656" spans="1:33" x14ac:dyDescent="0.25">
      <c r="A1656" t="s">
        <v>18</v>
      </c>
      <c r="B1656">
        <v>1</v>
      </c>
      <c r="C1656" t="b">
        <v>0</v>
      </c>
      <c r="D1656" t="s">
        <v>5301</v>
      </c>
      <c r="E1656" t="s">
        <v>6034</v>
      </c>
      <c r="F1656" t="s">
        <v>6035</v>
      </c>
      <c r="G1656" t="s">
        <v>6036</v>
      </c>
      <c r="H1656">
        <v>1655</v>
      </c>
      <c r="I1656" t="str">
        <f>IF(ISBLANK(Table1[[#This Row],[oid]]),"FALSE","TRUE")</f>
        <v>TRUE</v>
      </c>
      <c r="J1656" t="str" cm="1">
        <f t="array" ref="J1656">_xlfn.SWITCH(LEFT(Table1[[#This Row],[section]],1), "D", "Demographic", "S", "Social", "E", "Economic", "H", "Housing", "")</f>
        <v>Economic</v>
      </c>
      <c r="K1656" t="s">
        <v>5603</v>
      </c>
      <c r="L1656" t="s">
        <v>5604</v>
      </c>
      <c r="M1656" t="str">
        <f>IF(Table1[[#This Row],[used]], _xlfn.CONCAT("🆔 ", Table1[[#This Row],[variable]], ": ",Table1[[#This Row],[alias]]), "")</f>
        <v>🆔 B19113_001E: Median family income in the past 12 months in 2010 inflation-adjusted dollars</v>
      </c>
      <c r="O1656" t="s">
        <v>6037</v>
      </c>
      <c r="P1656" t="s">
        <v>6038</v>
      </c>
      <c r="Q1656" t="s">
        <v>41</v>
      </c>
      <c r="R1656" t="s">
        <v>6039</v>
      </c>
      <c r="S1656" t="b">
        <v>1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</row>
    <row r="1657" spans="1:33" x14ac:dyDescent="0.25">
      <c r="A1657" t="s">
        <v>19</v>
      </c>
      <c r="B1657">
        <v>1</v>
      </c>
      <c r="C1657" t="b">
        <v>0</v>
      </c>
      <c r="D1657" t="s">
        <v>5301</v>
      </c>
      <c r="E1657" t="s">
        <v>6034</v>
      </c>
      <c r="F1657" t="s">
        <v>6035</v>
      </c>
      <c r="G1657" t="s">
        <v>6040</v>
      </c>
      <c r="H1657">
        <v>1656</v>
      </c>
      <c r="I1657" t="str">
        <f>IF(ISBLANK(Table1[[#This Row],[oid]]),"FALSE","TRUE")</f>
        <v>TRUE</v>
      </c>
      <c r="J1657" t="str" cm="1">
        <f t="array" ref="J1657">_xlfn.SWITCH(LEFT(Table1[[#This Row],[section]],1), "D", "Demographic", "S", "Social", "E", "Economic", "H", "Housing", "")</f>
        <v>Economic</v>
      </c>
      <c r="K1657" t="s">
        <v>5603</v>
      </c>
      <c r="L1657" t="s">
        <v>5604</v>
      </c>
      <c r="M1657" t="str">
        <f>IF(Table1[[#This Row],[used]], _xlfn.CONCAT("🆔 ", Table1[[#This Row],[variable]], ": ",Table1[[#This Row],[alias]]), "")</f>
        <v>🆔 B19113_001E: Median family income in the past 12 months in 2011 inflation-adjusted dollars</v>
      </c>
      <c r="O1657" t="s">
        <v>6041</v>
      </c>
      <c r="P1657" t="s">
        <v>6042</v>
      </c>
      <c r="Q1657" t="s">
        <v>41</v>
      </c>
      <c r="R1657" t="s">
        <v>6039</v>
      </c>
      <c r="S1657" t="b">
        <v>0</v>
      </c>
      <c r="T1657" t="b">
        <v>1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</row>
    <row r="1658" spans="1:33" x14ac:dyDescent="0.25">
      <c r="A1658" t="s">
        <v>20</v>
      </c>
      <c r="B1658">
        <v>1</v>
      </c>
      <c r="C1658" t="b">
        <v>0</v>
      </c>
      <c r="D1658" t="s">
        <v>5301</v>
      </c>
      <c r="E1658" t="s">
        <v>6034</v>
      </c>
      <c r="F1658" t="s">
        <v>6035</v>
      </c>
      <c r="G1658" t="s">
        <v>6043</v>
      </c>
      <c r="H1658">
        <v>1657</v>
      </c>
      <c r="I1658" t="str">
        <f>IF(ISBLANK(Table1[[#This Row],[oid]]),"FALSE","TRUE")</f>
        <v>TRUE</v>
      </c>
      <c r="J1658" t="str" cm="1">
        <f t="array" ref="J1658">_xlfn.SWITCH(LEFT(Table1[[#This Row],[section]],1), "D", "Demographic", "S", "Social", "E", "Economic", "H", "Housing", "")</f>
        <v>Economic</v>
      </c>
      <c r="K1658" t="s">
        <v>5603</v>
      </c>
      <c r="L1658" t="s">
        <v>5604</v>
      </c>
      <c r="M1658" t="str">
        <f>IF(Table1[[#This Row],[used]], _xlfn.CONCAT("🆔 ", Table1[[#This Row],[variable]], ": ",Table1[[#This Row],[alias]]), "")</f>
        <v>🆔 B19113_001E: Median family income in the past 12 months in 2012 inflation-adjusted dollars</v>
      </c>
      <c r="O1658" t="s">
        <v>6044</v>
      </c>
      <c r="P1658" t="s">
        <v>6045</v>
      </c>
      <c r="Q1658" t="s">
        <v>41</v>
      </c>
      <c r="R1658" t="s">
        <v>6039</v>
      </c>
      <c r="S1658" t="b">
        <v>0</v>
      </c>
      <c r="T1658" t="b">
        <v>0</v>
      </c>
      <c r="U1658" t="b">
        <v>1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</row>
    <row r="1659" spans="1:33" x14ac:dyDescent="0.25">
      <c r="A1659" t="s">
        <v>21</v>
      </c>
      <c r="B1659">
        <v>1</v>
      </c>
      <c r="C1659" t="b">
        <v>0</v>
      </c>
      <c r="D1659" t="s">
        <v>5301</v>
      </c>
      <c r="E1659" t="s">
        <v>6034</v>
      </c>
      <c r="F1659" t="s">
        <v>6035</v>
      </c>
      <c r="G1659" t="s">
        <v>6046</v>
      </c>
      <c r="H1659">
        <v>1658</v>
      </c>
      <c r="I1659" t="str">
        <f>IF(ISBLANK(Table1[[#This Row],[oid]]),"FALSE","TRUE")</f>
        <v>TRUE</v>
      </c>
      <c r="J1659" t="str" cm="1">
        <f t="array" ref="J1659">_xlfn.SWITCH(LEFT(Table1[[#This Row],[section]],1), "D", "Demographic", "S", "Social", "E", "Economic", "H", "Housing", "")</f>
        <v>Economic</v>
      </c>
      <c r="K1659" t="s">
        <v>5603</v>
      </c>
      <c r="L1659" t="s">
        <v>5604</v>
      </c>
      <c r="M1659" t="str">
        <f>IF(Table1[[#This Row],[used]], _xlfn.CONCAT("🆔 ", Table1[[#This Row],[variable]], ": ",Table1[[#This Row],[alias]]), "")</f>
        <v>🆔 B19113_001E: Median family income in the past 12 months in 2013 inflation-adjusted dollars</v>
      </c>
      <c r="O1659" t="s">
        <v>6047</v>
      </c>
      <c r="P1659" t="s">
        <v>6048</v>
      </c>
      <c r="Q1659" t="s">
        <v>41</v>
      </c>
      <c r="R1659" t="s">
        <v>6039</v>
      </c>
      <c r="S1659" t="b">
        <v>0</v>
      </c>
      <c r="T1659" t="b">
        <v>0</v>
      </c>
      <c r="U1659" t="b">
        <v>0</v>
      </c>
      <c r="V1659" t="b">
        <v>1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</row>
    <row r="1660" spans="1:33" x14ac:dyDescent="0.25">
      <c r="A1660" t="s">
        <v>22</v>
      </c>
      <c r="B1660">
        <v>1</v>
      </c>
      <c r="C1660" t="b">
        <v>0</v>
      </c>
      <c r="D1660" t="s">
        <v>5301</v>
      </c>
      <c r="E1660" t="s">
        <v>6034</v>
      </c>
      <c r="F1660" t="s">
        <v>6035</v>
      </c>
      <c r="G1660" t="s">
        <v>6049</v>
      </c>
      <c r="H1660">
        <v>1659</v>
      </c>
      <c r="I1660" t="str">
        <f>IF(ISBLANK(Table1[[#This Row],[oid]]),"FALSE","TRUE")</f>
        <v>TRUE</v>
      </c>
      <c r="J1660" t="str" cm="1">
        <f t="array" ref="J1660">_xlfn.SWITCH(LEFT(Table1[[#This Row],[section]],1), "D", "Demographic", "S", "Social", "E", "Economic", "H", "Housing", "")</f>
        <v>Economic</v>
      </c>
      <c r="K1660" t="s">
        <v>5603</v>
      </c>
      <c r="L1660" t="s">
        <v>5604</v>
      </c>
      <c r="M1660" t="str">
        <f>IF(Table1[[#This Row],[used]], _xlfn.CONCAT("🆔 ", Table1[[#This Row],[variable]], ": ",Table1[[#This Row],[alias]]), "")</f>
        <v>🆔 B19113_001E: Median family income in the past 12 months in 2014 Inflation-adjusted dollars</v>
      </c>
      <c r="O1660" t="s">
        <v>6050</v>
      </c>
      <c r="P1660" t="s">
        <v>6051</v>
      </c>
      <c r="Q1660" t="s">
        <v>41</v>
      </c>
      <c r="R1660" t="s">
        <v>6039</v>
      </c>
      <c r="S1660" t="b">
        <v>0</v>
      </c>
      <c r="T1660" t="b">
        <v>0</v>
      </c>
      <c r="U1660" t="b">
        <v>0</v>
      </c>
      <c r="V1660" t="b">
        <v>0</v>
      </c>
      <c r="W1660" t="b">
        <v>1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</row>
    <row r="1661" spans="1:33" x14ac:dyDescent="0.25">
      <c r="A1661" t="s">
        <v>23</v>
      </c>
      <c r="B1661">
        <v>1</v>
      </c>
      <c r="C1661" t="b">
        <v>0</v>
      </c>
      <c r="D1661" t="s">
        <v>5301</v>
      </c>
      <c r="E1661" t="s">
        <v>6034</v>
      </c>
      <c r="F1661" t="s">
        <v>6035</v>
      </c>
      <c r="G1661" t="s">
        <v>6052</v>
      </c>
      <c r="H1661">
        <v>1660</v>
      </c>
      <c r="I1661" t="str">
        <f>IF(ISBLANK(Table1[[#This Row],[oid]]),"FALSE","TRUE")</f>
        <v>TRUE</v>
      </c>
      <c r="J1661" t="str" cm="1">
        <f t="array" ref="J1661">_xlfn.SWITCH(LEFT(Table1[[#This Row],[section]],1), "D", "Demographic", "S", "Social", "E", "Economic", "H", "Housing", "")</f>
        <v>Economic</v>
      </c>
      <c r="K1661" t="s">
        <v>5603</v>
      </c>
      <c r="L1661" t="s">
        <v>5604</v>
      </c>
      <c r="M1661" t="str">
        <f>IF(Table1[[#This Row],[used]], _xlfn.CONCAT("🆔 ", Table1[[#This Row],[variable]], ": ",Table1[[#This Row],[alias]]), "")</f>
        <v>🆔 B19113_001E: Median family income in the past 12 months in 2015 Inflation-adjusted dollars</v>
      </c>
      <c r="O1661" t="s">
        <v>6053</v>
      </c>
      <c r="P1661" t="s">
        <v>6054</v>
      </c>
      <c r="Q1661" t="s">
        <v>41</v>
      </c>
      <c r="R1661" t="s">
        <v>6039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1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</row>
    <row r="1662" spans="1:33" x14ac:dyDescent="0.25">
      <c r="A1662" t="s">
        <v>24</v>
      </c>
      <c r="B1662">
        <v>1</v>
      </c>
      <c r="C1662" t="b">
        <v>0</v>
      </c>
      <c r="D1662" t="s">
        <v>5301</v>
      </c>
      <c r="E1662" t="s">
        <v>6034</v>
      </c>
      <c r="F1662" t="s">
        <v>6035</v>
      </c>
      <c r="G1662" t="s">
        <v>6055</v>
      </c>
      <c r="H1662">
        <v>1661</v>
      </c>
      <c r="I1662" t="str">
        <f>IF(ISBLANK(Table1[[#This Row],[oid]]),"FALSE","TRUE")</f>
        <v>TRUE</v>
      </c>
      <c r="J1662" t="str" cm="1">
        <f t="array" ref="J1662">_xlfn.SWITCH(LEFT(Table1[[#This Row],[section]],1), "D", "Demographic", "S", "Social", "E", "Economic", "H", "Housing", "")</f>
        <v>Economic</v>
      </c>
      <c r="K1662" t="s">
        <v>5603</v>
      </c>
      <c r="L1662" t="s">
        <v>5604</v>
      </c>
      <c r="M1662" t="str">
        <f>IF(Table1[[#This Row],[used]], _xlfn.CONCAT("🆔 ", Table1[[#This Row],[variable]], ": ",Table1[[#This Row],[alias]]), "")</f>
        <v>🆔 B19113_001E: Median family income in the past 12 months in 2016 inflation-adjusted dollars</v>
      </c>
      <c r="O1662" t="s">
        <v>6056</v>
      </c>
      <c r="P1662" t="s">
        <v>6057</v>
      </c>
      <c r="Q1662" t="s">
        <v>41</v>
      </c>
      <c r="R1662" t="s">
        <v>6039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1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</row>
    <row r="1663" spans="1:33" x14ac:dyDescent="0.25">
      <c r="A1663" t="s">
        <v>25</v>
      </c>
      <c r="B1663">
        <v>1</v>
      </c>
      <c r="C1663" t="b">
        <v>0</v>
      </c>
      <c r="D1663" t="s">
        <v>5301</v>
      </c>
      <c r="E1663" t="s">
        <v>6034</v>
      </c>
      <c r="F1663" t="s">
        <v>6035</v>
      </c>
      <c r="G1663" t="s">
        <v>6058</v>
      </c>
      <c r="H1663">
        <v>1662</v>
      </c>
      <c r="I1663" t="str">
        <f>IF(ISBLANK(Table1[[#This Row],[oid]]),"FALSE","TRUE")</f>
        <v>TRUE</v>
      </c>
      <c r="J1663" t="str" cm="1">
        <f t="array" ref="J1663">_xlfn.SWITCH(LEFT(Table1[[#This Row],[section]],1), "D", "Demographic", "S", "Social", "E", "Economic", "H", "Housing", "")</f>
        <v>Economic</v>
      </c>
      <c r="K1663" t="s">
        <v>5603</v>
      </c>
      <c r="L1663" t="s">
        <v>5604</v>
      </c>
      <c r="M1663" t="str">
        <f>IF(Table1[[#This Row],[used]], _xlfn.CONCAT("🆔 ", Table1[[#This Row],[variable]], ": ",Table1[[#This Row],[alias]]), "")</f>
        <v>🆔 B19113_001E: Median family income in the past 12 months in 2017 inflation-adjusted dollars</v>
      </c>
      <c r="O1663" t="s">
        <v>6059</v>
      </c>
      <c r="P1663" t="s">
        <v>6060</v>
      </c>
      <c r="Q1663" t="s">
        <v>41</v>
      </c>
      <c r="R1663" t="s">
        <v>6039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1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</row>
    <row r="1664" spans="1:33" x14ac:dyDescent="0.25">
      <c r="A1664" t="s">
        <v>26</v>
      </c>
      <c r="B1664">
        <v>1</v>
      </c>
      <c r="C1664" t="b">
        <v>0</v>
      </c>
      <c r="D1664" t="s">
        <v>5301</v>
      </c>
      <c r="E1664" t="s">
        <v>6034</v>
      </c>
      <c r="F1664" t="s">
        <v>6035</v>
      </c>
      <c r="G1664" t="s">
        <v>6061</v>
      </c>
      <c r="H1664">
        <v>1663</v>
      </c>
      <c r="I1664" t="str">
        <f>IF(ISBLANK(Table1[[#This Row],[oid]]),"FALSE","TRUE")</f>
        <v>TRUE</v>
      </c>
      <c r="J1664" t="str" cm="1">
        <f t="array" ref="J1664">_xlfn.SWITCH(LEFT(Table1[[#This Row],[section]],1), "D", "Demographic", "S", "Social", "E", "Economic", "H", "Housing", "")</f>
        <v>Economic</v>
      </c>
      <c r="K1664" t="s">
        <v>5603</v>
      </c>
      <c r="L1664" t="s">
        <v>5604</v>
      </c>
      <c r="M1664" t="str">
        <f>IF(Table1[[#This Row],[used]], _xlfn.CONCAT("🆔 ", Table1[[#This Row],[variable]], ": ",Table1[[#This Row],[alias]]), "")</f>
        <v>🆔 B19113_001E: Median family income in the past 12 months in 2018 inflation-adjusted dollars</v>
      </c>
      <c r="O1664" t="s">
        <v>6062</v>
      </c>
      <c r="P1664" t="s">
        <v>6063</v>
      </c>
      <c r="Q1664" t="s">
        <v>41</v>
      </c>
      <c r="R1664" t="s">
        <v>6039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1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</row>
    <row r="1665" spans="1:33" x14ac:dyDescent="0.25">
      <c r="A1665" t="s">
        <v>27</v>
      </c>
      <c r="B1665">
        <v>1</v>
      </c>
      <c r="C1665" t="b">
        <v>0</v>
      </c>
      <c r="D1665" t="s">
        <v>5301</v>
      </c>
      <c r="E1665" t="s">
        <v>6034</v>
      </c>
      <c r="F1665" t="s">
        <v>6035</v>
      </c>
      <c r="G1665" t="s">
        <v>6064</v>
      </c>
      <c r="H1665">
        <v>1664</v>
      </c>
      <c r="I1665" t="str">
        <f>IF(ISBLANK(Table1[[#This Row],[oid]]),"FALSE","TRUE")</f>
        <v>TRUE</v>
      </c>
      <c r="J1665" t="str" cm="1">
        <f t="array" ref="J1665">_xlfn.SWITCH(LEFT(Table1[[#This Row],[section]],1), "D", "Demographic", "S", "Social", "E", "Economic", "H", "Housing", "")</f>
        <v>Economic</v>
      </c>
      <c r="K1665" t="s">
        <v>5603</v>
      </c>
      <c r="L1665" t="s">
        <v>5604</v>
      </c>
      <c r="M1665" t="str">
        <f>IF(Table1[[#This Row],[used]], _xlfn.CONCAT("🆔 ", Table1[[#This Row],[variable]], ": ",Table1[[#This Row],[alias]]), "")</f>
        <v>🆔 B19113_001E: Median family income in the past 12 months in 2019 inflation-adjusted dollars</v>
      </c>
      <c r="O1665" t="s">
        <v>6065</v>
      </c>
      <c r="P1665" t="s">
        <v>6066</v>
      </c>
      <c r="Q1665" t="s">
        <v>41</v>
      </c>
      <c r="R1665" t="s">
        <v>6039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1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</row>
    <row r="1666" spans="1:33" x14ac:dyDescent="0.25">
      <c r="A1666" t="s">
        <v>28</v>
      </c>
      <c r="B1666">
        <v>1</v>
      </c>
      <c r="C1666" t="b">
        <v>0</v>
      </c>
      <c r="D1666" t="s">
        <v>5301</v>
      </c>
      <c r="E1666" t="s">
        <v>6034</v>
      </c>
      <c r="F1666" t="s">
        <v>6035</v>
      </c>
      <c r="G1666" t="s">
        <v>6067</v>
      </c>
      <c r="H1666">
        <v>1665</v>
      </c>
      <c r="I1666" t="str">
        <f>IF(ISBLANK(Table1[[#This Row],[oid]]),"FALSE","TRUE")</f>
        <v>TRUE</v>
      </c>
      <c r="J1666" t="str" cm="1">
        <f t="array" ref="J1666">_xlfn.SWITCH(LEFT(Table1[[#This Row],[section]],1), "D", "Demographic", "S", "Social", "E", "Economic", "H", "Housing", "")</f>
        <v>Economic</v>
      </c>
      <c r="K1666" t="s">
        <v>5603</v>
      </c>
      <c r="L1666" t="s">
        <v>5604</v>
      </c>
      <c r="M1666" t="str">
        <f>IF(Table1[[#This Row],[used]], _xlfn.CONCAT("🆔 ", Table1[[#This Row],[variable]], ": ",Table1[[#This Row],[alias]]), "")</f>
        <v>🆔 B19113_001E: Median family income in the past 12 months in 2020 inflation-adjusted dollars</v>
      </c>
      <c r="O1666" t="s">
        <v>6068</v>
      </c>
      <c r="P1666" t="s">
        <v>6069</v>
      </c>
      <c r="Q1666" t="s">
        <v>41</v>
      </c>
      <c r="R1666" t="s">
        <v>6039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1</v>
      </c>
      <c r="AD1666" t="b">
        <v>0</v>
      </c>
      <c r="AE1666" t="b">
        <v>0</v>
      </c>
      <c r="AF1666" t="b">
        <v>0</v>
      </c>
      <c r="AG1666" t="b">
        <v>0</v>
      </c>
    </row>
    <row r="1667" spans="1:33" x14ac:dyDescent="0.25">
      <c r="A1667" t="s">
        <v>29</v>
      </c>
      <c r="B1667">
        <v>1</v>
      </c>
      <c r="C1667" t="b">
        <v>0</v>
      </c>
      <c r="D1667" t="s">
        <v>5301</v>
      </c>
      <c r="E1667" t="s">
        <v>6034</v>
      </c>
      <c r="F1667" t="s">
        <v>6035</v>
      </c>
      <c r="G1667" t="s">
        <v>6070</v>
      </c>
      <c r="H1667">
        <v>1666</v>
      </c>
      <c r="I1667" t="str">
        <f>IF(ISBLANK(Table1[[#This Row],[oid]]),"FALSE","TRUE")</f>
        <v>TRUE</v>
      </c>
      <c r="J1667" t="str" cm="1">
        <f t="array" ref="J1667">_xlfn.SWITCH(LEFT(Table1[[#This Row],[section]],1), "D", "Demographic", "S", "Social", "E", "Economic", "H", "Housing", "")</f>
        <v>Economic</v>
      </c>
      <c r="K1667" t="s">
        <v>5603</v>
      </c>
      <c r="L1667" t="s">
        <v>5604</v>
      </c>
      <c r="M1667" t="str">
        <f>IF(Table1[[#This Row],[used]], _xlfn.CONCAT("🆔 ", Table1[[#This Row],[variable]], ": ",Table1[[#This Row],[alias]]), "")</f>
        <v>🆔 B19113_001E: Median family income in the past 12 months in 2021 inflation-adjusted dollars</v>
      </c>
      <c r="O1667" t="s">
        <v>6071</v>
      </c>
      <c r="P1667" t="s">
        <v>6072</v>
      </c>
      <c r="Q1667" t="s">
        <v>41</v>
      </c>
      <c r="R1667" t="s">
        <v>6039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1</v>
      </c>
      <c r="AE1667" t="b">
        <v>0</v>
      </c>
      <c r="AF1667" t="b">
        <v>0</v>
      </c>
      <c r="AG1667" t="b">
        <v>0</v>
      </c>
    </row>
    <row r="1668" spans="1:33" x14ac:dyDescent="0.25">
      <c r="A1668" t="s">
        <v>30</v>
      </c>
      <c r="B1668">
        <v>1</v>
      </c>
      <c r="C1668" t="b">
        <v>0</v>
      </c>
      <c r="D1668" t="s">
        <v>5301</v>
      </c>
      <c r="E1668" t="s">
        <v>6034</v>
      </c>
      <c r="F1668" t="s">
        <v>6035</v>
      </c>
      <c r="G1668" t="s">
        <v>6073</v>
      </c>
      <c r="H1668">
        <v>1667</v>
      </c>
      <c r="I1668" t="str">
        <f>IF(ISBLANK(Table1[[#This Row],[oid]]),"FALSE","TRUE")</f>
        <v>TRUE</v>
      </c>
      <c r="J1668" t="str" cm="1">
        <f t="array" ref="J1668">_xlfn.SWITCH(LEFT(Table1[[#This Row],[section]],1), "D", "Demographic", "S", "Social", "E", "Economic", "H", "Housing", "")</f>
        <v>Economic</v>
      </c>
      <c r="K1668" t="s">
        <v>5603</v>
      </c>
      <c r="L1668" t="s">
        <v>5604</v>
      </c>
      <c r="M1668" t="str">
        <f>IF(Table1[[#This Row],[used]], _xlfn.CONCAT("🆔 ", Table1[[#This Row],[variable]], ": ",Table1[[#This Row],[alias]]), "")</f>
        <v>🆔 B19113_001E: Median family income in the past 12 months in 2022 inflation-adjusted dollars</v>
      </c>
      <c r="O1668" t="s">
        <v>6074</v>
      </c>
      <c r="P1668" t="s">
        <v>6075</v>
      </c>
      <c r="Q1668" t="s">
        <v>41</v>
      </c>
      <c r="R1668" t="s">
        <v>6039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1</v>
      </c>
      <c r="AF1668" t="b">
        <v>0</v>
      </c>
      <c r="AG1668" t="b">
        <v>0</v>
      </c>
    </row>
    <row r="1669" spans="1:33" x14ac:dyDescent="0.25">
      <c r="A1669" t="s">
        <v>31</v>
      </c>
      <c r="B1669">
        <v>1</v>
      </c>
      <c r="C1669" t="b">
        <v>0</v>
      </c>
      <c r="D1669" t="s">
        <v>5301</v>
      </c>
      <c r="E1669" t="s">
        <v>6034</v>
      </c>
      <c r="F1669" t="s">
        <v>6035</v>
      </c>
      <c r="G1669" t="s">
        <v>6076</v>
      </c>
      <c r="H1669">
        <v>1668</v>
      </c>
      <c r="I1669" t="str">
        <f>IF(ISBLANK(Table1[[#This Row],[oid]]),"FALSE","TRUE")</f>
        <v>TRUE</v>
      </c>
      <c r="J1669" t="str" cm="1">
        <f t="array" ref="J1669">_xlfn.SWITCH(LEFT(Table1[[#This Row],[section]],1), "D", "Demographic", "S", "Social", "E", "Economic", "H", "Housing", "")</f>
        <v>Economic</v>
      </c>
      <c r="K1669" t="s">
        <v>5603</v>
      </c>
      <c r="L1669" t="s">
        <v>5604</v>
      </c>
      <c r="M1669" t="str">
        <f>IF(Table1[[#This Row],[used]], _xlfn.CONCAT("🆔 ", Table1[[#This Row],[variable]], ": ",Table1[[#This Row],[alias]]), "")</f>
        <v>🆔 B19113_001E: Median family income in the past 12 months in 2023 inflation-adjusted dollars</v>
      </c>
      <c r="O1669" t="s">
        <v>6077</v>
      </c>
      <c r="P1669" t="s">
        <v>6078</v>
      </c>
      <c r="Q1669" t="s">
        <v>41</v>
      </c>
      <c r="R1669" t="s">
        <v>6039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1</v>
      </c>
      <c r="AG1669" t="b">
        <v>0</v>
      </c>
    </row>
    <row r="1670" spans="1:33" x14ac:dyDescent="0.25">
      <c r="A1670" t="s">
        <v>32</v>
      </c>
      <c r="B1670">
        <v>1</v>
      </c>
      <c r="C1670" t="b">
        <v>0</v>
      </c>
      <c r="D1670" t="s">
        <v>5301</v>
      </c>
      <c r="E1670" t="s">
        <v>6034</v>
      </c>
      <c r="F1670" t="s">
        <v>6035</v>
      </c>
      <c r="G1670" t="s">
        <v>6079</v>
      </c>
      <c r="H1670">
        <v>1669</v>
      </c>
      <c r="I1670" t="str">
        <f>IF(ISBLANK(Table1[[#This Row],[oid]]),"FALSE","TRUE")</f>
        <v>TRUE</v>
      </c>
      <c r="J1670" t="str" cm="1">
        <f t="array" ref="J1670">_xlfn.SWITCH(LEFT(Table1[[#This Row],[section]],1), "D", "Demographic", "S", "Social", "E", "Economic", "H", "Housing", "")</f>
        <v>Economic</v>
      </c>
      <c r="K1670" t="s">
        <v>5603</v>
      </c>
      <c r="L1670" t="s">
        <v>5604</v>
      </c>
      <c r="M1670" t="str">
        <f>IF(Table1[[#This Row],[used]], _xlfn.CONCAT("🆔 ", Table1[[#This Row],[variable]], ": ",Table1[[#This Row],[alias]]), "")</f>
        <v>🆔 B19113_001E: Median family income in the past 12 months in 2024 inflation-adjusted dollars</v>
      </c>
      <c r="O1670" t="s">
        <v>6080</v>
      </c>
      <c r="P1670" t="s">
        <v>6081</v>
      </c>
      <c r="Q1670" t="s">
        <v>41</v>
      </c>
      <c r="R1670" t="s">
        <v>6039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1</v>
      </c>
    </row>
    <row r="1671" spans="1:33" x14ac:dyDescent="0.25">
      <c r="A1671" t="s">
        <v>18</v>
      </c>
      <c r="B1671">
        <v>1</v>
      </c>
      <c r="C1671" t="b">
        <v>0</v>
      </c>
      <c r="D1671" t="s">
        <v>5301</v>
      </c>
      <c r="E1671" t="s">
        <v>6082</v>
      </c>
      <c r="F1671" t="s">
        <v>6083</v>
      </c>
      <c r="G1671" t="s">
        <v>6084</v>
      </c>
      <c r="H1671">
        <v>1670</v>
      </c>
      <c r="I1671" t="str">
        <f>IF(ISBLANK(Table1[[#This Row],[oid]]),"FALSE","TRUE")</f>
        <v>TRUE</v>
      </c>
      <c r="J1671" t="str" cm="1">
        <f t="array" ref="J1671">_xlfn.SWITCH(LEFT(Table1[[#This Row],[section]],1), "D", "Demographic", "S", "Social", "E", "Economic", "H", "Housing", "")</f>
        <v>Economic</v>
      </c>
      <c r="K1671" t="s">
        <v>5603</v>
      </c>
      <c r="L1671" t="s">
        <v>5604</v>
      </c>
      <c r="M1671" t="str">
        <f>IF(Table1[[#This Row],[used]], _xlfn.CONCAT("🆔 ", Table1[[#This Row],[variable]], ": ",Table1[[#This Row],[alias]]), "")</f>
        <v>🆔 B19202_001E: Median Non-family household income in the past 12 months in 2010 inflation-adjusted dollars</v>
      </c>
      <c r="O1671" t="s">
        <v>6085</v>
      </c>
      <c r="P1671" t="s">
        <v>6086</v>
      </c>
      <c r="Q1671" t="s">
        <v>41</v>
      </c>
      <c r="R1671" t="s">
        <v>6087</v>
      </c>
      <c r="S1671" t="b">
        <v>1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</row>
    <row r="1672" spans="1:33" x14ac:dyDescent="0.25">
      <c r="A1672" t="s">
        <v>19</v>
      </c>
      <c r="B1672">
        <v>1</v>
      </c>
      <c r="C1672" t="b">
        <v>0</v>
      </c>
      <c r="D1672" t="s">
        <v>5301</v>
      </c>
      <c r="E1672" t="s">
        <v>6082</v>
      </c>
      <c r="F1672" t="s">
        <v>6083</v>
      </c>
      <c r="G1672" t="s">
        <v>6088</v>
      </c>
      <c r="H1672">
        <v>1671</v>
      </c>
      <c r="I1672" t="str">
        <f>IF(ISBLANK(Table1[[#This Row],[oid]]),"FALSE","TRUE")</f>
        <v>TRUE</v>
      </c>
      <c r="J1672" t="str" cm="1">
        <f t="array" ref="J1672">_xlfn.SWITCH(LEFT(Table1[[#This Row],[section]],1), "D", "Demographic", "S", "Social", "E", "Economic", "H", "Housing", "")</f>
        <v>Economic</v>
      </c>
      <c r="K1672" t="s">
        <v>5603</v>
      </c>
      <c r="L1672" t="s">
        <v>5604</v>
      </c>
      <c r="M1672" t="str">
        <f>IF(Table1[[#This Row],[used]], _xlfn.CONCAT("🆔 ", Table1[[#This Row],[variable]], ": ",Table1[[#This Row],[alias]]), "")</f>
        <v>🆔 B19202_001E: Median Non-family household income in the past 12 months in 2011 inflation-adjusted dollars</v>
      </c>
      <c r="O1672" t="s">
        <v>6089</v>
      </c>
      <c r="P1672" t="s">
        <v>6090</v>
      </c>
      <c r="Q1672" t="s">
        <v>41</v>
      </c>
      <c r="R1672" t="s">
        <v>6087</v>
      </c>
      <c r="S1672" t="b">
        <v>0</v>
      </c>
      <c r="T1672" t="b">
        <v>1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</row>
    <row r="1673" spans="1:33" x14ac:dyDescent="0.25">
      <c r="A1673" t="s">
        <v>20</v>
      </c>
      <c r="B1673">
        <v>1</v>
      </c>
      <c r="C1673" t="b">
        <v>0</v>
      </c>
      <c r="D1673" t="s">
        <v>5301</v>
      </c>
      <c r="E1673" t="s">
        <v>6082</v>
      </c>
      <c r="F1673" t="s">
        <v>6083</v>
      </c>
      <c r="G1673" t="s">
        <v>6091</v>
      </c>
      <c r="H1673">
        <v>1672</v>
      </c>
      <c r="I1673" t="str">
        <f>IF(ISBLANK(Table1[[#This Row],[oid]]),"FALSE","TRUE")</f>
        <v>TRUE</v>
      </c>
      <c r="J1673" t="str" cm="1">
        <f t="array" ref="J1673">_xlfn.SWITCH(LEFT(Table1[[#This Row],[section]],1), "D", "Demographic", "S", "Social", "E", "Economic", "H", "Housing", "")</f>
        <v>Economic</v>
      </c>
      <c r="K1673" t="s">
        <v>5603</v>
      </c>
      <c r="L1673" t="s">
        <v>5604</v>
      </c>
      <c r="M1673" t="str">
        <f>IF(Table1[[#This Row],[used]], _xlfn.CONCAT("🆔 ", Table1[[#This Row],[variable]], ": ",Table1[[#This Row],[alias]]), "")</f>
        <v>🆔 B19202_001E: Median Non-family household income in the past 12 months in 2012 inflation-adjusted dollars</v>
      </c>
      <c r="O1673" t="s">
        <v>6092</v>
      </c>
      <c r="P1673" t="s">
        <v>6093</v>
      </c>
      <c r="Q1673" t="s">
        <v>41</v>
      </c>
      <c r="R1673" t="s">
        <v>6087</v>
      </c>
      <c r="S1673" t="b">
        <v>0</v>
      </c>
      <c r="T1673" t="b">
        <v>0</v>
      </c>
      <c r="U1673" t="b">
        <v>1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</row>
    <row r="1674" spans="1:33" x14ac:dyDescent="0.25">
      <c r="A1674" t="s">
        <v>21</v>
      </c>
      <c r="B1674">
        <v>1</v>
      </c>
      <c r="C1674" t="b">
        <v>0</v>
      </c>
      <c r="D1674" t="s">
        <v>5301</v>
      </c>
      <c r="E1674" t="s">
        <v>6082</v>
      </c>
      <c r="F1674" t="s">
        <v>6083</v>
      </c>
      <c r="G1674" t="s">
        <v>6094</v>
      </c>
      <c r="H1674">
        <v>1673</v>
      </c>
      <c r="I1674" t="str">
        <f>IF(ISBLANK(Table1[[#This Row],[oid]]),"FALSE","TRUE")</f>
        <v>TRUE</v>
      </c>
      <c r="J1674" t="str" cm="1">
        <f t="array" ref="J1674">_xlfn.SWITCH(LEFT(Table1[[#This Row],[section]],1), "D", "Demographic", "S", "Social", "E", "Economic", "H", "Housing", "")</f>
        <v>Economic</v>
      </c>
      <c r="K1674" t="s">
        <v>5603</v>
      </c>
      <c r="L1674" t="s">
        <v>5604</v>
      </c>
      <c r="M1674" t="str">
        <f>IF(Table1[[#This Row],[used]], _xlfn.CONCAT("🆔 ", Table1[[#This Row],[variable]], ": ",Table1[[#This Row],[alias]]), "")</f>
        <v>🆔 B19202_001E: Median Non-family household income in the past 12 months in 2013 inflation-adjusted dollars</v>
      </c>
      <c r="O1674" t="s">
        <v>6095</v>
      </c>
      <c r="P1674" t="s">
        <v>6096</v>
      </c>
      <c r="Q1674" t="s">
        <v>41</v>
      </c>
      <c r="R1674" t="s">
        <v>6087</v>
      </c>
      <c r="S1674" t="b">
        <v>0</v>
      </c>
      <c r="T1674" t="b">
        <v>0</v>
      </c>
      <c r="U1674" t="b">
        <v>0</v>
      </c>
      <c r="V1674" t="b">
        <v>1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</row>
    <row r="1675" spans="1:33" x14ac:dyDescent="0.25">
      <c r="A1675" t="s">
        <v>22</v>
      </c>
      <c r="B1675">
        <v>1</v>
      </c>
      <c r="C1675" t="b">
        <v>0</v>
      </c>
      <c r="D1675" t="s">
        <v>5301</v>
      </c>
      <c r="E1675" t="s">
        <v>6082</v>
      </c>
      <c r="F1675" t="s">
        <v>6083</v>
      </c>
      <c r="G1675" t="s">
        <v>6097</v>
      </c>
      <c r="H1675">
        <v>1674</v>
      </c>
      <c r="I1675" t="str">
        <f>IF(ISBLANK(Table1[[#This Row],[oid]]),"FALSE","TRUE")</f>
        <v>TRUE</v>
      </c>
      <c r="J1675" t="str" cm="1">
        <f t="array" ref="J1675">_xlfn.SWITCH(LEFT(Table1[[#This Row],[section]],1), "D", "Demographic", "S", "Social", "E", "Economic", "H", "Housing", "")</f>
        <v>Economic</v>
      </c>
      <c r="K1675" t="s">
        <v>5603</v>
      </c>
      <c r="L1675" t="s">
        <v>5604</v>
      </c>
      <c r="M1675" t="str">
        <f>IF(Table1[[#This Row],[used]], _xlfn.CONCAT("🆔 ", Table1[[#This Row],[variable]], ": ",Table1[[#This Row],[alias]]), "")</f>
        <v>🆔 B19202_001E: Median Non-family household income in the past 12 months in 2014 Inflation-adjusted dollars</v>
      </c>
      <c r="O1675" t="s">
        <v>6098</v>
      </c>
      <c r="P1675" t="s">
        <v>6099</v>
      </c>
      <c r="Q1675" t="s">
        <v>41</v>
      </c>
      <c r="R1675" t="s">
        <v>6087</v>
      </c>
      <c r="S1675" t="b">
        <v>0</v>
      </c>
      <c r="T1675" t="b">
        <v>0</v>
      </c>
      <c r="U1675" t="b">
        <v>0</v>
      </c>
      <c r="V1675" t="b">
        <v>0</v>
      </c>
      <c r="W1675" t="b">
        <v>1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</row>
    <row r="1676" spans="1:33" x14ac:dyDescent="0.25">
      <c r="A1676" t="s">
        <v>23</v>
      </c>
      <c r="B1676">
        <v>1</v>
      </c>
      <c r="C1676" t="b">
        <v>0</v>
      </c>
      <c r="D1676" t="s">
        <v>5301</v>
      </c>
      <c r="E1676" t="s">
        <v>6082</v>
      </c>
      <c r="F1676" t="s">
        <v>6083</v>
      </c>
      <c r="G1676" t="s">
        <v>6100</v>
      </c>
      <c r="H1676">
        <v>1675</v>
      </c>
      <c r="I1676" t="str">
        <f>IF(ISBLANK(Table1[[#This Row],[oid]]),"FALSE","TRUE")</f>
        <v>TRUE</v>
      </c>
      <c r="J1676" t="str" cm="1">
        <f t="array" ref="J1676">_xlfn.SWITCH(LEFT(Table1[[#This Row],[section]],1), "D", "Demographic", "S", "Social", "E", "Economic", "H", "Housing", "")</f>
        <v>Economic</v>
      </c>
      <c r="K1676" t="s">
        <v>5603</v>
      </c>
      <c r="L1676" t="s">
        <v>5604</v>
      </c>
      <c r="M1676" t="str">
        <f>IF(Table1[[#This Row],[used]], _xlfn.CONCAT("🆔 ", Table1[[#This Row],[variable]], ": ",Table1[[#This Row],[alias]]), "")</f>
        <v>🆔 B19202_001E: Median Non-family household income in the past 12 months in 2015 Inflation-adjusted dollars</v>
      </c>
      <c r="O1676" t="s">
        <v>6101</v>
      </c>
      <c r="P1676" t="s">
        <v>6102</v>
      </c>
      <c r="Q1676" t="s">
        <v>41</v>
      </c>
      <c r="R1676" t="s">
        <v>6087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1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</row>
    <row r="1677" spans="1:33" x14ac:dyDescent="0.25">
      <c r="A1677" t="s">
        <v>24</v>
      </c>
      <c r="B1677">
        <v>1</v>
      </c>
      <c r="C1677" t="b">
        <v>0</v>
      </c>
      <c r="D1677" t="s">
        <v>5301</v>
      </c>
      <c r="E1677" t="s">
        <v>6082</v>
      </c>
      <c r="F1677" t="s">
        <v>6083</v>
      </c>
      <c r="G1677" t="s">
        <v>6103</v>
      </c>
      <c r="H1677">
        <v>1676</v>
      </c>
      <c r="I1677" t="str">
        <f>IF(ISBLANK(Table1[[#This Row],[oid]]),"FALSE","TRUE")</f>
        <v>TRUE</v>
      </c>
      <c r="J1677" t="str" cm="1">
        <f t="array" ref="J1677">_xlfn.SWITCH(LEFT(Table1[[#This Row],[section]],1), "D", "Demographic", "S", "Social", "E", "Economic", "H", "Housing", "")</f>
        <v>Economic</v>
      </c>
      <c r="K1677" t="s">
        <v>5603</v>
      </c>
      <c r="L1677" t="s">
        <v>5604</v>
      </c>
      <c r="M1677" t="str">
        <f>IF(Table1[[#This Row],[used]], _xlfn.CONCAT("🆔 ", Table1[[#This Row],[variable]], ": ",Table1[[#This Row],[alias]]), "")</f>
        <v>🆔 B19202_001E: Median Non-family household income in the past 12 months in 2016 inflation-adjusted dollars</v>
      </c>
      <c r="O1677" t="s">
        <v>6104</v>
      </c>
      <c r="P1677" t="s">
        <v>6105</v>
      </c>
      <c r="Q1677" t="s">
        <v>41</v>
      </c>
      <c r="R1677" t="s">
        <v>6087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1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</row>
    <row r="1678" spans="1:33" x14ac:dyDescent="0.25">
      <c r="A1678" t="s">
        <v>25</v>
      </c>
      <c r="B1678">
        <v>1</v>
      </c>
      <c r="C1678" t="b">
        <v>0</v>
      </c>
      <c r="D1678" t="s">
        <v>5301</v>
      </c>
      <c r="E1678" t="s">
        <v>6082</v>
      </c>
      <c r="F1678" t="s">
        <v>6083</v>
      </c>
      <c r="G1678" t="s">
        <v>6106</v>
      </c>
      <c r="H1678">
        <v>1677</v>
      </c>
      <c r="I1678" t="str">
        <f>IF(ISBLANK(Table1[[#This Row],[oid]]),"FALSE","TRUE")</f>
        <v>TRUE</v>
      </c>
      <c r="J1678" t="str" cm="1">
        <f t="array" ref="J1678">_xlfn.SWITCH(LEFT(Table1[[#This Row],[section]],1), "D", "Demographic", "S", "Social", "E", "Economic", "H", "Housing", "")</f>
        <v>Economic</v>
      </c>
      <c r="K1678" t="s">
        <v>5603</v>
      </c>
      <c r="L1678" t="s">
        <v>5604</v>
      </c>
      <c r="M1678" t="str">
        <f>IF(Table1[[#This Row],[used]], _xlfn.CONCAT("🆔 ", Table1[[#This Row],[variable]], ": ",Table1[[#This Row],[alias]]), "")</f>
        <v>🆔 B19202_001E: Median Non-family household income in the past 12 months in 2017 inflation-adjusted dollars</v>
      </c>
      <c r="O1678" t="s">
        <v>6107</v>
      </c>
      <c r="P1678" t="s">
        <v>6108</v>
      </c>
      <c r="Q1678" t="s">
        <v>41</v>
      </c>
      <c r="R1678" t="s">
        <v>6087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1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</row>
    <row r="1679" spans="1:33" x14ac:dyDescent="0.25">
      <c r="A1679" t="s">
        <v>26</v>
      </c>
      <c r="B1679">
        <v>1</v>
      </c>
      <c r="C1679" t="b">
        <v>0</v>
      </c>
      <c r="D1679" t="s">
        <v>5301</v>
      </c>
      <c r="E1679" t="s">
        <v>6082</v>
      </c>
      <c r="F1679" t="s">
        <v>6083</v>
      </c>
      <c r="G1679" t="s">
        <v>6109</v>
      </c>
      <c r="H1679">
        <v>1678</v>
      </c>
      <c r="I1679" t="str">
        <f>IF(ISBLANK(Table1[[#This Row],[oid]]),"FALSE","TRUE")</f>
        <v>TRUE</v>
      </c>
      <c r="J1679" t="str" cm="1">
        <f t="array" ref="J1679">_xlfn.SWITCH(LEFT(Table1[[#This Row],[section]],1), "D", "Demographic", "S", "Social", "E", "Economic", "H", "Housing", "")</f>
        <v>Economic</v>
      </c>
      <c r="K1679" t="s">
        <v>5603</v>
      </c>
      <c r="L1679" t="s">
        <v>5604</v>
      </c>
      <c r="M1679" t="str">
        <f>IF(Table1[[#This Row],[used]], _xlfn.CONCAT("🆔 ", Table1[[#This Row],[variable]], ": ",Table1[[#This Row],[alias]]), "")</f>
        <v>🆔 B19202_001E: Median Non-family household income in the past 12 months in 2018 inflation-adjusted dollars</v>
      </c>
      <c r="O1679" t="s">
        <v>6110</v>
      </c>
      <c r="P1679" t="s">
        <v>6111</v>
      </c>
      <c r="Q1679" t="s">
        <v>41</v>
      </c>
      <c r="R1679" t="s">
        <v>6087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1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</row>
    <row r="1680" spans="1:33" x14ac:dyDescent="0.25">
      <c r="A1680" t="s">
        <v>27</v>
      </c>
      <c r="B1680">
        <v>1</v>
      </c>
      <c r="C1680" t="b">
        <v>0</v>
      </c>
      <c r="D1680" t="s">
        <v>5301</v>
      </c>
      <c r="E1680" t="s">
        <v>6082</v>
      </c>
      <c r="F1680" t="s">
        <v>6083</v>
      </c>
      <c r="G1680" t="s">
        <v>6112</v>
      </c>
      <c r="H1680">
        <v>1679</v>
      </c>
      <c r="I1680" t="str">
        <f>IF(ISBLANK(Table1[[#This Row],[oid]]),"FALSE","TRUE")</f>
        <v>TRUE</v>
      </c>
      <c r="J1680" t="str" cm="1">
        <f t="array" ref="J1680">_xlfn.SWITCH(LEFT(Table1[[#This Row],[section]],1), "D", "Demographic", "S", "Social", "E", "Economic", "H", "Housing", "")</f>
        <v>Economic</v>
      </c>
      <c r="K1680" t="s">
        <v>5603</v>
      </c>
      <c r="L1680" t="s">
        <v>5604</v>
      </c>
      <c r="M1680" t="str">
        <f>IF(Table1[[#This Row],[used]], _xlfn.CONCAT("🆔 ", Table1[[#This Row],[variable]], ": ",Table1[[#This Row],[alias]]), "")</f>
        <v>🆔 B19202_001E: Median Non-family household income in the past 12 months in 2019 inflation-adjusted dollars</v>
      </c>
      <c r="O1680" t="s">
        <v>6113</v>
      </c>
      <c r="P1680" t="s">
        <v>6114</v>
      </c>
      <c r="Q1680" t="s">
        <v>41</v>
      </c>
      <c r="R1680" t="s">
        <v>6087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1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</row>
    <row r="1681" spans="1:33" x14ac:dyDescent="0.25">
      <c r="A1681" t="s">
        <v>28</v>
      </c>
      <c r="B1681">
        <v>1</v>
      </c>
      <c r="C1681" t="b">
        <v>0</v>
      </c>
      <c r="D1681" t="s">
        <v>5301</v>
      </c>
      <c r="E1681" t="s">
        <v>6082</v>
      </c>
      <c r="F1681" t="s">
        <v>6083</v>
      </c>
      <c r="G1681" t="s">
        <v>6115</v>
      </c>
      <c r="H1681">
        <v>1680</v>
      </c>
      <c r="I1681" t="str">
        <f>IF(ISBLANK(Table1[[#This Row],[oid]]),"FALSE","TRUE")</f>
        <v>TRUE</v>
      </c>
      <c r="J1681" t="str" cm="1">
        <f t="array" ref="J1681">_xlfn.SWITCH(LEFT(Table1[[#This Row],[section]],1), "D", "Demographic", "S", "Social", "E", "Economic", "H", "Housing", "")</f>
        <v>Economic</v>
      </c>
      <c r="K1681" t="s">
        <v>5603</v>
      </c>
      <c r="L1681" t="s">
        <v>5604</v>
      </c>
      <c r="M1681" t="str">
        <f>IF(Table1[[#This Row],[used]], _xlfn.CONCAT("🆔 ", Table1[[#This Row],[variable]], ": ",Table1[[#This Row],[alias]]), "")</f>
        <v>🆔 B19202_001E: Median Non-family household income in the past 12 months in 2020 inflation-adjusted dollars</v>
      </c>
      <c r="O1681" t="s">
        <v>6116</v>
      </c>
      <c r="P1681" t="s">
        <v>6117</v>
      </c>
      <c r="Q1681" t="s">
        <v>41</v>
      </c>
      <c r="R1681" t="s">
        <v>6087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1</v>
      </c>
      <c r="AD1681" t="b">
        <v>0</v>
      </c>
      <c r="AE1681" t="b">
        <v>0</v>
      </c>
      <c r="AF1681" t="b">
        <v>0</v>
      </c>
      <c r="AG1681" t="b">
        <v>0</v>
      </c>
    </row>
    <row r="1682" spans="1:33" x14ac:dyDescent="0.25">
      <c r="A1682" t="s">
        <v>29</v>
      </c>
      <c r="B1682">
        <v>1</v>
      </c>
      <c r="C1682" t="b">
        <v>0</v>
      </c>
      <c r="D1682" t="s">
        <v>5301</v>
      </c>
      <c r="E1682" t="s">
        <v>6082</v>
      </c>
      <c r="F1682" t="s">
        <v>6083</v>
      </c>
      <c r="G1682" t="s">
        <v>6118</v>
      </c>
      <c r="H1682">
        <v>1681</v>
      </c>
      <c r="I1682" t="str">
        <f>IF(ISBLANK(Table1[[#This Row],[oid]]),"FALSE","TRUE")</f>
        <v>TRUE</v>
      </c>
      <c r="J1682" t="str" cm="1">
        <f t="array" ref="J1682">_xlfn.SWITCH(LEFT(Table1[[#This Row],[section]],1), "D", "Demographic", "S", "Social", "E", "Economic", "H", "Housing", "")</f>
        <v>Economic</v>
      </c>
      <c r="K1682" t="s">
        <v>5603</v>
      </c>
      <c r="L1682" t="s">
        <v>5604</v>
      </c>
      <c r="M1682" t="str">
        <f>IF(Table1[[#This Row],[used]], _xlfn.CONCAT("🆔 ", Table1[[#This Row],[variable]], ": ",Table1[[#This Row],[alias]]), "")</f>
        <v>🆔 B19202_001E: Median Non-family household income in the past 12 months in 2021 inflation-adjusted dollars</v>
      </c>
      <c r="O1682" t="s">
        <v>6119</v>
      </c>
      <c r="P1682" t="s">
        <v>6120</v>
      </c>
      <c r="Q1682" t="s">
        <v>41</v>
      </c>
      <c r="R1682" t="s">
        <v>6087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1</v>
      </c>
      <c r="AE1682" t="b">
        <v>0</v>
      </c>
      <c r="AF1682" t="b">
        <v>0</v>
      </c>
      <c r="AG1682" t="b">
        <v>0</v>
      </c>
    </row>
    <row r="1683" spans="1:33" x14ac:dyDescent="0.25">
      <c r="A1683" t="s">
        <v>30</v>
      </c>
      <c r="B1683">
        <v>1</v>
      </c>
      <c r="C1683" t="b">
        <v>0</v>
      </c>
      <c r="D1683" t="s">
        <v>5301</v>
      </c>
      <c r="E1683" t="s">
        <v>6082</v>
      </c>
      <c r="F1683" t="s">
        <v>6083</v>
      </c>
      <c r="G1683" t="s">
        <v>6121</v>
      </c>
      <c r="H1683">
        <v>1682</v>
      </c>
      <c r="I1683" t="str">
        <f>IF(ISBLANK(Table1[[#This Row],[oid]]),"FALSE","TRUE")</f>
        <v>TRUE</v>
      </c>
      <c r="J1683" t="str" cm="1">
        <f t="array" ref="J1683">_xlfn.SWITCH(LEFT(Table1[[#This Row],[section]],1), "D", "Demographic", "S", "Social", "E", "Economic", "H", "Housing", "")</f>
        <v>Economic</v>
      </c>
      <c r="K1683" t="s">
        <v>5603</v>
      </c>
      <c r="L1683" t="s">
        <v>5604</v>
      </c>
      <c r="M1683" t="str">
        <f>IF(Table1[[#This Row],[used]], _xlfn.CONCAT("🆔 ", Table1[[#This Row],[variable]], ": ",Table1[[#This Row],[alias]]), "")</f>
        <v>🆔 B19202_001E: Median Non-family household income in the past 12 months in 2022 inflation-adjusted dollars</v>
      </c>
      <c r="O1683" t="s">
        <v>6122</v>
      </c>
      <c r="P1683" t="s">
        <v>6123</v>
      </c>
      <c r="Q1683" t="s">
        <v>41</v>
      </c>
      <c r="R1683" t="s">
        <v>6087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1</v>
      </c>
      <c r="AF1683" t="b">
        <v>0</v>
      </c>
      <c r="AG1683" t="b">
        <v>0</v>
      </c>
    </row>
    <row r="1684" spans="1:33" x14ac:dyDescent="0.25">
      <c r="A1684" t="s">
        <v>31</v>
      </c>
      <c r="B1684">
        <v>1</v>
      </c>
      <c r="C1684" t="b">
        <v>0</v>
      </c>
      <c r="D1684" t="s">
        <v>5301</v>
      </c>
      <c r="E1684" t="s">
        <v>6082</v>
      </c>
      <c r="F1684" t="s">
        <v>6083</v>
      </c>
      <c r="G1684" t="s">
        <v>6124</v>
      </c>
      <c r="H1684">
        <v>1683</v>
      </c>
      <c r="I1684" t="str">
        <f>IF(ISBLANK(Table1[[#This Row],[oid]]),"FALSE","TRUE")</f>
        <v>TRUE</v>
      </c>
      <c r="J1684" t="str" cm="1">
        <f t="array" ref="J1684">_xlfn.SWITCH(LEFT(Table1[[#This Row],[section]],1), "D", "Demographic", "S", "Social", "E", "Economic", "H", "Housing", "")</f>
        <v>Economic</v>
      </c>
      <c r="K1684" t="s">
        <v>5603</v>
      </c>
      <c r="L1684" t="s">
        <v>5604</v>
      </c>
      <c r="M1684" t="str">
        <f>IF(Table1[[#This Row],[used]], _xlfn.CONCAT("🆔 ", Table1[[#This Row],[variable]], ": ",Table1[[#This Row],[alias]]), "")</f>
        <v>🆔 B19202_001E: Median Non-family household income in the past 12 months in 2023 inflation-adjusted dollars</v>
      </c>
      <c r="O1684" t="s">
        <v>6125</v>
      </c>
      <c r="P1684" t="s">
        <v>6126</v>
      </c>
      <c r="Q1684" t="s">
        <v>41</v>
      </c>
      <c r="R1684" t="s">
        <v>6087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1</v>
      </c>
      <c r="AG1684" t="b">
        <v>0</v>
      </c>
    </row>
    <row r="1685" spans="1:33" x14ac:dyDescent="0.25">
      <c r="A1685" t="s">
        <v>32</v>
      </c>
      <c r="B1685">
        <v>1</v>
      </c>
      <c r="C1685" t="b">
        <v>0</v>
      </c>
      <c r="D1685" t="s">
        <v>5301</v>
      </c>
      <c r="E1685" t="s">
        <v>6082</v>
      </c>
      <c r="F1685" t="s">
        <v>6083</v>
      </c>
      <c r="G1685" t="s">
        <v>6127</v>
      </c>
      <c r="H1685">
        <v>1684</v>
      </c>
      <c r="I1685" t="str">
        <f>IF(ISBLANK(Table1[[#This Row],[oid]]),"FALSE","TRUE")</f>
        <v>TRUE</v>
      </c>
      <c r="J1685" t="str" cm="1">
        <f t="array" ref="J1685">_xlfn.SWITCH(LEFT(Table1[[#This Row],[section]],1), "D", "Demographic", "S", "Social", "E", "Economic", "H", "Housing", "")</f>
        <v>Economic</v>
      </c>
      <c r="K1685" t="s">
        <v>5603</v>
      </c>
      <c r="L1685" t="s">
        <v>5604</v>
      </c>
      <c r="M1685" t="str">
        <f>IF(Table1[[#This Row],[used]], _xlfn.CONCAT("🆔 ", Table1[[#This Row],[variable]], ": ",Table1[[#This Row],[alias]]), "")</f>
        <v>🆔 B19202_001E: Median Non-family household income in the past 12 months in 2024 inflation-adjusted dollars</v>
      </c>
      <c r="O1685" t="s">
        <v>6128</v>
      </c>
      <c r="P1685" t="s">
        <v>6129</v>
      </c>
      <c r="Q1685" t="s">
        <v>41</v>
      </c>
      <c r="R1685" t="s">
        <v>6087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1</v>
      </c>
    </row>
    <row r="1686" spans="1:33" x14ac:dyDescent="0.25">
      <c r="A1686" t="s">
        <v>18</v>
      </c>
      <c r="B1686">
        <v>1</v>
      </c>
      <c r="C1686" t="b">
        <v>0</v>
      </c>
      <c r="D1686" t="s">
        <v>5301</v>
      </c>
      <c r="E1686" t="s">
        <v>6130</v>
      </c>
      <c r="F1686" t="s">
        <v>6131</v>
      </c>
      <c r="G1686" t="s">
        <v>6132</v>
      </c>
      <c r="H1686">
        <v>1685</v>
      </c>
      <c r="I1686" t="str">
        <f>IF(ISBLANK(Table1[[#This Row],[oid]]),"FALSE","TRUE")</f>
        <v>TRUE</v>
      </c>
      <c r="J1686" t="str" cm="1">
        <f t="array" ref="J1686">_xlfn.SWITCH(LEFT(Table1[[#This Row],[section]],1), "D", "Demographic", "S", "Social", "E", "Economic", "H", "Housing", "")</f>
        <v>Economic</v>
      </c>
      <c r="K1686" t="s">
        <v>5603</v>
      </c>
      <c r="L1686" t="s">
        <v>5604</v>
      </c>
      <c r="M1686" t="str">
        <f>IF(Table1[[#This Row],[used]], _xlfn.CONCAT("🆔 ", Table1[[#This Row],[variable]], ": ",Table1[[#This Row],[alias]]), "")</f>
        <v>🆔 B19214_001E: Aggregate Non-family household income in the past 12 months in 2010 inflation-adjusted dollars</v>
      </c>
      <c r="O1686" t="s">
        <v>6133</v>
      </c>
      <c r="P1686" t="s">
        <v>6134</v>
      </c>
      <c r="Q1686" t="s">
        <v>41</v>
      </c>
      <c r="R1686" t="s">
        <v>6135</v>
      </c>
      <c r="S1686" t="b">
        <v>1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</row>
    <row r="1687" spans="1:33" x14ac:dyDescent="0.25">
      <c r="A1687" t="s">
        <v>19</v>
      </c>
      <c r="B1687">
        <v>1</v>
      </c>
      <c r="C1687" t="b">
        <v>0</v>
      </c>
      <c r="D1687" t="s">
        <v>5301</v>
      </c>
      <c r="E1687" t="s">
        <v>6130</v>
      </c>
      <c r="F1687" t="s">
        <v>6131</v>
      </c>
      <c r="G1687" t="s">
        <v>6136</v>
      </c>
      <c r="H1687">
        <v>1686</v>
      </c>
      <c r="I1687" t="str">
        <f>IF(ISBLANK(Table1[[#This Row],[oid]]),"FALSE","TRUE")</f>
        <v>TRUE</v>
      </c>
      <c r="J1687" t="str" cm="1">
        <f t="array" ref="J1687">_xlfn.SWITCH(LEFT(Table1[[#This Row],[section]],1), "D", "Demographic", "S", "Social", "E", "Economic", "H", "Housing", "")</f>
        <v>Economic</v>
      </c>
      <c r="K1687" t="s">
        <v>5603</v>
      </c>
      <c r="L1687" t="s">
        <v>5604</v>
      </c>
      <c r="M1687" t="str">
        <f>IF(Table1[[#This Row],[used]], _xlfn.CONCAT("🆔 ", Table1[[#This Row],[variable]], ": ",Table1[[#This Row],[alias]]), "")</f>
        <v>🆔 B19214_001E: Aggregate Non-family household income in the past 12 months in 2011 inflation-adjusted dollars</v>
      </c>
      <c r="O1687" t="s">
        <v>6137</v>
      </c>
      <c r="P1687" t="s">
        <v>6138</v>
      </c>
      <c r="Q1687" t="s">
        <v>41</v>
      </c>
      <c r="R1687" t="s">
        <v>6135</v>
      </c>
      <c r="S1687" t="b">
        <v>0</v>
      </c>
      <c r="T1687" t="b">
        <v>1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</row>
    <row r="1688" spans="1:33" x14ac:dyDescent="0.25">
      <c r="A1688" t="s">
        <v>20</v>
      </c>
      <c r="B1688">
        <v>1</v>
      </c>
      <c r="C1688" t="b">
        <v>0</v>
      </c>
      <c r="D1688" t="s">
        <v>5301</v>
      </c>
      <c r="E1688" t="s">
        <v>6130</v>
      </c>
      <c r="F1688" t="s">
        <v>6131</v>
      </c>
      <c r="G1688" t="s">
        <v>6139</v>
      </c>
      <c r="H1688">
        <v>1687</v>
      </c>
      <c r="I1688" t="str">
        <f>IF(ISBLANK(Table1[[#This Row],[oid]]),"FALSE","TRUE")</f>
        <v>TRUE</v>
      </c>
      <c r="J1688" t="str" cm="1">
        <f t="array" ref="J1688">_xlfn.SWITCH(LEFT(Table1[[#This Row],[section]],1), "D", "Demographic", "S", "Social", "E", "Economic", "H", "Housing", "")</f>
        <v>Economic</v>
      </c>
      <c r="K1688" t="s">
        <v>5603</v>
      </c>
      <c r="L1688" t="s">
        <v>5604</v>
      </c>
      <c r="M1688" t="str">
        <f>IF(Table1[[#This Row],[used]], _xlfn.CONCAT("🆔 ", Table1[[#This Row],[variable]], ": ",Table1[[#This Row],[alias]]), "")</f>
        <v>🆔 B19214_001E: Aggregate Non-family household income in the past 12 months in 2012 inflation-adjusted dollars</v>
      </c>
      <c r="O1688" t="s">
        <v>6140</v>
      </c>
      <c r="P1688" t="s">
        <v>6141</v>
      </c>
      <c r="Q1688" t="s">
        <v>41</v>
      </c>
      <c r="R1688" t="s">
        <v>6135</v>
      </c>
      <c r="S1688" t="b">
        <v>0</v>
      </c>
      <c r="T1688" t="b">
        <v>0</v>
      </c>
      <c r="U1688" t="b">
        <v>1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</row>
    <row r="1689" spans="1:33" x14ac:dyDescent="0.25">
      <c r="A1689" t="s">
        <v>21</v>
      </c>
      <c r="B1689">
        <v>1</v>
      </c>
      <c r="C1689" t="b">
        <v>0</v>
      </c>
      <c r="D1689" t="s">
        <v>5301</v>
      </c>
      <c r="E1689" t="s">
        <v>6130</v>
      </c>
      <c r="F1689" t="s">
        <v>6131</v>
      </c>
      <c r="G1689" t="s">
        <v>6142</v>
      </c>
      <c r="H1689">
        <v>1688</v>
      </c>
      <c r="I1689" t="str">
        <f>IF(ISBLANK(Table1[[#This Row],[oid]]),"FALSE","TRUE")</f>
        <v>TRUE</v>
      </c>
      <c r="J1689" t="str" cm="1">
        <f t="array" ref="J1689">_xlfn.SWITCH(LEFT(Table1[[#This Row],[section]],1), "D", "Demographic", "S", "Social", "E", "Economic", "H", "Housing", "")</f>
        <v>Economic</v>
      </c>
      <c r="K1689" t="s">
        <v>5603</v>
      </c>
      <c r="L1689" t="s">
        <v>5604</v>
      </c>
      <c r="M1689" t="str">
        <f>IF(Table1[[#This Row],[used]], _xlfn.CONCAT("🆔 ", Table1[[#This Row],[variable]], ": ",Table1[[#This Row],[alias]]), "")</f>
        <v>🆔 B19214_001E: Aggregate Non-family household income in the past 12 months in 2013 inflation-adjusted dollars</v>
      </c>
      <c r="O1689" t="s">
        <v>6143</v>
      </c>
      <c r="P1689" t="s">
        <v>6144</v>
      </c>
      <c r="Q1689" t="s">
        <v>41</v>
      </c>
      <c r="R1689" t="s">
        <v>6135</v>
      </c>
      <c r="S1689" t="b">
        <v>0</v>
      </c>
      <c r="T1689" t="b">
        <v>0</v>
      </c>
      <c r="U1689" t="b">
        <v>0</v>
      </c>
      <c r="V1689" t="b">
        <v>1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</row>
    <row r="1690" spans="1:33" x14ac:dyDescent="0.25">
      <c r="A1690" t="s">
        <v>22</v>
      </c>
      <c r="B1690">
        <v>1</v>
      </c>
      <c r="C1690" t="b">
        <v>0</v>
      </c>
      <c r="D1690" t="s">
        <v>5301</v>
      </c>
      <c r="E1690" t="s">
        <v>6130</v>
      </c>
      <c r="F1690" t="s">
        <v>6131</v>
      </c>
      <c r="G1690" t="s">
        <v>6145</v>
      </c>
      <c r="H1690">
        <v>1689</v>
      </c>
      <c r="I1690" t="str">
        <f>IF(ISBLANK(Table1[[#This Row],[oid]]),"FALSE","TRUE")</f>
        <v>TRUE</v>
      </c>
      <c r="J1690" t="str" cm="1">
        <f t="array" ref="J1690">_xlfn.SWITCH(LEFT(Table1[[#This Row],[section]],1), "D", "Demographic", "S", "Social", "E", "Economic", "H", "Housing", "")</f>
        <v>Economic</v>
      </c>
      <c r="K1690" t="s">
        <v>5603</v>
      </c>
      <c r="L1690" t="s">
        <v>5604</v>
      </c>
      <c r="M1690" t="str">
        <f>IF(Table1[[#This Row],[used]], _xlfn.CONCAT("🆔 ", Table1[[#This Row],[variable]], ": ",Table1[[#This Row],[alias]]), "")</f>
        <v>🆔 B19214_001E: Aggregate Non-family household income in the past 12 months in 2014 Inflation-adjusted dollars</v>
      </c>
      <c r="O1690" t="s">
        <v>6146</v>
      </c>
      <c r="P1690" t="s">
        <v>6147</v>
      </c>
      <c r="Q1690" t="s">
        <v>41</v>
      </c>
      <c r="R1690" t="s">
        <v>6135</v>
      </c>
      <c r="S1690" t="b">
        <v>0</v>
      </c>
      <c r="T1690" t="b">
        <v>0</v>
      </c>
      <c r="U1690" t="b">
        <v>0</v>
      </c>
      <c r="V1690" t="b">
        <v>0</v>
      </c>
      <c r="W1690" t="b">
        <v>1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</row>
    <row r="1691" spans="1:33" x14ac:dyDescent="0.25">
      <c r="A1691" t="s">
        <v>23</v>
      </c>
      <c r="B1691">
        <v>1</v>
      </c>
      <c r="C1691" t="b">
        <v>0</v>
      </c>
      <c r="D1691" t="s">
        <v>5301</v>
      </c>
      <c r="E1691" t="s">
        <v>6130</v>
      </c>
      <c r="F1691" t="s">
        <v>6131</v>
      </c>
      <c r="G1691" t="s">
        <v>6148</v>
      </c>
      <c r="H1691">
        <v>1690</v>
      </c>
      <c r="I1691" t="str">
        <f>IF(ISBLANK(Table1[[#This Row],[oid]]),"FALSE","TRUE")</f>
        <v>TRUE</v>
      </c>
      <c r="J1691" t="str" cm="1">
        <f t="array" ref="J1691">_xlfn.SWITCH(LEFT(Table1[[#This Row],[section]],1), "D", "Demographic", "S", "Social", "E", "Economic", "H", "Housing", "")</f>
        <v>Economic</v>
      </c>
      <c r="K1691" t="s">
        <v>5603</v>
      </c>
      <c r="L1691" t="s">
        <v>5604</v>
      </c>
      <c r="M1691" t="str">
        <f>IF(Table1[[#This Row],[used]], _xlfn.CONCAT("🆔 ", Table1[[#This Row],[variable]], ": ",Table1[[#This Row],[alias]]), "")</f>
        <v>🆔 B19214_001E: Aggregate Non-family household income in the past 12 months in 2015 Inflation-adjusted dollars</v>
      </c>
      <c r="O1691" t="s">
        <v>6149</v>
      </c>
      <c r="P1691" t="s">
        <v>6150</v>
      </c>
      <c r="Q1691" t="s">
        <v>41</v>
      </c>
      <c r="R1691" t="s">
        <v>6135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1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</row>
    <row r="1692" spans="1:33" x14ac:dyDescent="0.25">
      <c r="A1692" t="s">
        <v>24</v>
      </c>
      <c r="B1692">
        <v>1</v>
      </c>
      <c r="C1692" t="b">
        <v>0</v>
      </c>
      <c r="D1692" t="s">
        <v>5301</v>
      </c>
      <c r="E1692" t="s">
        <v>6130</v>
      </c>
      <c r="F1692" t="s">
        <v>6131</v>
      </c>
      <c r="G1692" t="s">
        <v>6151</v>
      </c>
      <c r="H1692">
        <v>1691</v>
      </c>
      <c r="I1692" t="str">
        <f>IF(ISBLANK(Table1[[#This Row],[oid]]),"FALSE","TRUE")</f>
        <v>TRUE</v>
      </c>
      <c r="J1692" t="str" cm="1">
        <f t="array" ref="J1692">_xlfn.SWITCH(LEFT(Table1[[#This Row],[section]],1), "D", "Demographic", "S", "Social", "E", "Economic", "H", "Housing", "")</f>
        <v>Economic</v>
      </c>
      <c r="K1692" t="s">
        <v>5603</v>
      </c>
      <c r="L1692" t="s">
        <v>5604</v>
      </c>
      <c r="M1692" t="str">
        <f>IF(Table1[[#This Row],[used]], _xlfn.CONCAT("🆔 ", Table1[[#This Row],[variable]], ": ",Table1[[#This Row],[alias]]), "")</f>
        <v>🆔 B19214_001E: Aggregate Non-family household income in the past 12 months in 2016 inflation-adjusted dollars</v>
      </c>
      <c r="O1692" t="s">
        <v>6152</v>
      </c>
      <c r="P1692" t="s">
        <v>6153</v>
      </c>
      <c r="Q1692" t="s">
        <v>41</v>
      </c>
      <c r="R1692" t="s">
        <v>6135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1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</row>
    <row r="1693" spans="1:33" x14ac:dyDescent="0.25">
      <c r="A1693" t="s">
        <v>25</v>
      </c>
      <c r="B1693">
        <v>1</v>
      </c>
      <c r="C1693" t="b">
        <v>0</v>
      </c>
      <c r="D1693" t="s">
        <v>5301</v>
      </c>
      <c r="E1693" t="s">
        <v>6130</v>
      </c>
      <c r="F1693" t="s">
        <v>6131</v>
      </c>
      <c r="G1693" t="s">
        <v>6154</v>
      </c>
      <c r="H1693">
        <v>1692</v>
      </c>
      <c r="I1693" t="str">
        <f>IF(ISBLANK(Table1[[#This Row],[oid]]),"FALSE","TRUE")</f>
        <v>TRUE</v>
      </c>
      <c r="J1693" t="str" cm="1">
        <f t="array" ref="J1693">_xlfn.SWITCH(LEFT(Table1[[#This Row],[section]],1), "D", "Demographic", "S", "Social", "E", "Economic", "H", "Housing", "")</f>
        <v>Economic</v>
      </c>
      <c r="K1693" t="s">
        <v>5603</v>
      </c>
      <c r="L1693" t="s">
        <v>5604</v>
      </c>
      <c r="M1693" t="str">
        <f>IF(Table1[[#This Row],[used]], _xlfn.CONCAT("🆔 ", Table1[[#This Row],[variable]], ": ",Table1[[#This Row],[alias]]), "")</f>
        <v>🆔 B19214_001E: Aggregate Non-family household income in the past 12 months in 2017 inflation-adjusted dollars</v>
      </c>
      <c r="O1693" t="s">
        <v>6155</v>
      </c>
      <c r="P1693" t="s">
        <v>6156</v>
      </c>
      <c r="Q1693" t="s">
        <v>41</v>
      </c>
      <c r="R1693" t="s">
        <v>6135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1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</row>
    <row r="1694" spans="1:33" x14ac:dyDescent="0.25">
      <c r="A1694" t="s">
        <v>26</v>
      </c>
      <c r="B1694">
        <v>1</v>
      </c>
      <c r="C1694" t="b">
        <v>0</v>
      </c>
      <c r="D1694" t="s">
        <v>5301</v>
      </c>
      <c r="E1694" t="s">
        <v>6130</v>
      </c>
      <c r="F1694" t="s">
        <v>6131</v>
      </c>
      <c r="G1694" t="s">
        <v>6157</v>
      </c>
      <c r="H1694">
        <v>1693</v>
      </c>
      <c r="I1694" t="str">
        <f>IF(ISBLANK(Table1[[#This Row],[oid]]),"FALSE","TRUE")</f>
        <v>TRUE</v>
      </c>
      <c r="J1694" t="str" cm="1">
        <f t="array" ref="J1694">_xlfn.SWITCH(LEFT(Table1[[#This Row],[section]],1), "D", "Demographic", "S", "Social", "E", "Economic", "H", "Housing", "")</f>
        <v>Economic</v>
      </c>
      <c r="K1694" t="s">
        <v>5603</v>
      </c>
      <c r="L1694" t="s">
        <v>5604</v>
      </c>
      <c r="M1694" t="str">
        <f>IF(Table1[[#This Row],[used]], _xlfn.CONCAT("🆔 ", Table1[[#This Row],[variable]], ": ",Table1[[#This Row],[alias]]), "")</f>
        <v>🆔 B19214_001E: Aggregate Non-family household income in the past 12 months in 2018 inflation-adjusted dollars</v>
      </c>
      <c r="O1694" t="s">
        <v>6158</v>
      </c>
      <c r="P1694" t="s">
        <v>6159</v>
      </c>
      <c r="Q1694" t="s">
        <v>41</v>
      </c>
      <c r="R1694" t="s">
        <v>6135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1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</row>
    <row r="1695" spans="1:33" x14ac:dyDescent="0.25">
      <c r="A1695" t="s">
        <v>27</v>
      </c>
      <c r="B1695">
        <v>1</v>
      </c>
      <c r="C1695" t="b">
        <v>0</v>
      </c>
      <c r="D1695" t="s">
        <v>5301</v>
      </c>
      <c r="E1695" t="s">
        <v>6130</v>
      </c>
      <c r="F1695" t="s">
        <v>6131</v>
      </c>
      <c r="G1695" t="s">
        <v>6160</v>
      </c>
      <c r="H1695">
        <v>1694</v>
      </c>
      <c r="I1695" t="str">
        <f>IF(ISBLANK(Table1[[#This Row],[oid]]),"FALSE","TRUE")</f>
        <v>TRUE</v>
      </c>
      <c r="J1695" t="str" cm="1">
        <f t="array" ref="J1695">_xlfn.SWITCH(LEFT(Table1[[#This Row],[section]],1), "D", "Demographic", "S", "Social", "E", "Economic", "H", "Housing", "")</f>
        <v>Economic</v>
      </c>
      <c r="K1695" t="s">
        <v>5603</v>
      </c>
      <c r="L1695" t="s">
        <v>5604</v>
      </c>
      <c r="M1695" t="str">
        <f>IF(Table1[[#This Row],[used]], _xlfn.CONCAT("🆔 ", Table1[[#This Row],[variable]], ": ",Table1[[#This Row],[alias]]), "")</f>
        <v>🆔 B19214_001E: Aggregate Non-family household income in the past 12 months in 2019 inflation-adjusted dollars</v>
      </c>
      <c r="O1695" t="s">
        <v>6161</v>
      </c>
      <c r="P1695" t="s">
        <v>6162</v>
      </c>
      <c r="Q1695" t="s">
        <v>41</v>
      </c>
      <c r="R1695" t="s">
        <v>6135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1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</row>
    <row r="1696" spans="1:33" x14ac:dyDescent="0.25">
      <c r="A1696" t="s">
        <v>28</v>
      </c>
      <c r="B1696">
        <v>1</v>
      </c>
      <c r="C1696" t="b">
        <v>0</v>
      </c>
      <c r="D1696" t="s">
        <v>5301</v>
      </c>
      <c r="E1696" t="s">
        <v>6130</v>
      </c>
      <c r="F1696" t="s">
        <v>6131</v>
      </c>
      <c r="G1696" t="s">
        <v>6163</v>
      </c>
      <c r="H1696">
        <v>1695</v>
      </c>
      <c r="I1696" t="str">
        <f>IF(ISBLANK(Table1[[#This Row],[oid]]),"FALSE","TRUE")</f>
        <v>TRUE</v>
      </c>
      <c r="J1696" t="str" cm="1">
        <f t="array" ref="J1696">_xlfn.SWITCH(LEFT(Table1[[#This Row],[section]],1), "D", "Demographic", "S", "Social", "E", "Economic", "H", "Housing", "")</f>
        <v>Economic</v>
      </c>
      <c r="K1696" t="s">
        <v>5603</v>
      </c>
      <c r="L1696" t="s">
        <v>5604</v>
      </c>
      <c r="M1696" t="str">
        <f>IF(Table1[[#This Row],[used]], _xlfn.CONCAT("🆔 ", Table1[[#This Row],[variable]], ": ",Table1[[#This Row],[alias]]), "")</f>
        <v>🆔 B19214_001E: Aggregate Non-family household income in the past 12 months in 2020 inflation-adjusted dollars</v>
      </c>
      <c r="O1696" t="s">
        <v>6164</v>
      </c>
      <c r="P1696" t="s">
        <v>6165</v>
      </c>
      <c r="Q1696" t="s">
        <v>41</v>
      </c>
      <c r="R1696" t="s">
        <v>6135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1</v>
      </c>
      <c r="AD1696" t="b">
        <v>0</v>
      </c>
      <c r="AE1696" t="b">
        <v>0</v>
      </c>
      <c r="AF1696" t="b">
        <v>0</v>
      </c>
      <c r="AG1696" t="b">
        <v>0</v>
      </c>
    </row>
    <row r="1697" spans="1:33" x14ac:dyDescent="0.25">
      <c r="A1697" t="s">
        <v>29</v>
      </c>
      <c r="B1697">
        <v>1</v>
      </c>
      <c r="C1697" t="b">
        <v>0</v>
      </c>
      <c r="D1697" t="s">
        <v>5301</v>
      </c>
      <c r="E1697" t="s">
        <v>6130</v>
      </c>
      <c r="F1697" t="s">
        <v>6131</v>
      </c>
      <c r="G1697" t="s">
        <v>6166</v>
      </c>
      <c r="H1697">
        <v>1696</v>
      </c>
      <c r="I1697" t="str">
        <f>IF(ISBLANK(Table1[[#This Row],[oid]]),"FALSE","TRUE")</f>
        <v>TRUE</v>
      </c>
      <c r="J1697" t="str" cm="1">
        <f t="array" ref="J1697">_xlfn.SWITCH(LEFT(Table1[[#This Row],[section]],1), "D", "Demographic", "S", "Social", "E", "Economic", "H", "Housing", "")</f>
        <v>Economic</v>
      </c>
      <c r="K1697" t="s">
        <v>5603</v>
      </c>
      <c r="L1697" t="s">
        <v>5604</v>
      </c>
      <c r="M1697" t="str">
        <f>IF(Table1[[#This Row],[used]], _xlfn.CONCAT("🆔 ", Table1[[#This Row],[variable]], ": ",Table1[[#This Row],[alias]]), "")</f>
        <v>🆔 B19214_001E: Aggregate Non-family household income in the past 12 months in 2021 inflation-adjusted dollars</v>
      </c>
      <c r="O1697" t="s">
        <v>6167</v>
      </c>
      <c r="P1697" t="s">
        <v>6168</v>
      </c>
      <c r="Q1697" t="s">
        <v>41</v>
      </c>
      <c r="R1697" t="s">
        <v>6135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1</v>
      </c>
      <c r="AE1697" t="b">
        <v>0</v>
      </c>
      <c r="AF1697" t="b">
        <v>0</v>
      </c>
      <c r="AG1697" t="b">
        <v>0</v>
      </c>
    </row>
    <row r="1698" spans="1:33" x14ac:dyDescent="0.25">
      <c r="A1698" t="s">
        <v>30</v>
      </c>
      <c r="B1698">
        <v>1</v>
      </c>
      <c r="C1698" t="b">
        <v>0</v>
      </c>
      <c r="D1698" t="s">
        <v>5301</v>
      </c>
      <c r="E1698" t="s">
        <v>6130</v>
      </c>
      <c r="F1698" t="s">
        <v>6131</v>
      </c>
      <c r="G1698" t="s">
        <v>6169</v>
      </c>
      <c r="H1698">
        <v>1697</v>
      </c>
      <c r="I1698" t="str">
        <f>IF(ISBLANK(Table1[[#This Row],[oid]]),"FALSE","TRUE")</f>
        <v>TRUE</v>
      </c>
      <c r="J1698" t="str" cm="1">
        <f t="array" ref="J1698">_xlfn.SWITCH(LEFT(Table1[[#This Row],[section]],1), "D", "Demographic", "S", "Social", "E", "Economic", "H", "Housing", "")</f>
        <v>Economic</v>
      </c>
      <c r="K1698" t="s">
        <v>5603</v>
      </c>
      <c r="L1698" t="s">
        <v>5604</v>
      </c>
      <c r="M1698" t="str">
        <f>IF(Table1[[#This Row],[used]], _xlfn.CONCAT("🆔 ", Table1[[#This Row],[variable]], ": ",Table1[[#This Row],[alias]]), "")</f>
        <v>🆔 B19214_001E: Aggregate Non-family household income in the past 12 months in 2022 inflation-adjusted dollars</v>
      </c>
      <c r="O1698" t="s">
        <v>6170</v>
      </c>
      <c r="P1698" t="s">
        <v>6171</v>
      </c>
      <c r="Q1698" t="s">
        <v>41</v>
      </c>
      <c r="R1698" t="s">
        <v>6135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1</v>
      </c>
      <c r="AF1698" t="b">
        <v>0</v>
      </c>
      <c r="AG1698" t="b">
        <v>0</v>
      </c>
    </row>
    <row r="1699" spans="1:33" x14ac:dyDescent="0.25">
      <c r="A1699" t="s">
        <v>31</v>
      </c>
      <c r="B1699">
        <v>1</v>
      </c>
      <c r="C1699" t="b">
        <v>0</v>
      </c>
      <c r="D1699" t="s">
        <v>5301</v>
      </c>
      <c r="E1699" t="s">
        <v>6130</v>
      </c>
      <c r="F1699" t="s">
        <v>6131</v>
      </c>
      <c r="G1699" t="s">
        <v>6172</v>
      </c>
      <c r="H1699">
        <v>1698</v>
      </c>
      <c r="I1699" t="str">
        <f>IF(ISBLANK(Table1[[#This Row],[oid]]),"FALSE","TRUE")</f>
        <v>TRUE</v>
      </c>
      <c r="J1699" t="str" cm="1">
        <f t="array" ref="J1699">_xlfn.SWITCH(LEFT(Table1[[#This Row],[section]],1), "D", "Demographic", "S", "Social", "E", "Economic", "H", "Housing", "")</f>
        <v>Economic</v>
      </c>
      <c r="K1699" t="s">
        <v>5603</v>
      </c>
      <c r="L1699" t="s">
        <v>5604</v>
      </c>
      <c r="M1699" t="str">
        <f>IF(Table1[[#This Row],[used]], _xlfn.CONCAT("🆔 ", Table1[[#This Row],[variable]], ": ",Table1[[#This Row],[alias]]), "")</f>
        <v>🆔 B19214_001E: Aggregate Non-family household income in the past 12 months in 2023 inflation-adjusted dollars</v>
      </c>
      <c r="O1699" t="s">
        <v>6173</v>
      </c>
      <c r="P1699" t="s">
        <v>6174</v>
      </c>
      <c r="Q1699" t="s">
        <v>41</v>
      </c>
      <c r="R1699" t="s">
        <v>6135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1</v>
      </c>
      <c r="AG1699" t="b">
        <v>0</v>
      </c>
    </row>
    <row r="1700" spans="1:33" x14ac:dyDescent="0.25">
      <c r="A1700" t="s">
        <v>32</v>
      </c>
      <c r="B1700">
        <v>1</v>
      </c>
      <c r="C1700" t="b">
        <v>0</v>
      </c>
      <c r="D1700" t="s">
        <v>5301</v>
      </c>
      <c r="E1700" t="s">
        <v>6130</v>
      </c>
      <c r="F1700" t="s">
        <v>6131</v>
      </c>
      <c r="G1700" t="s">
        <v>6175</v>
      </c>
      <c r="H1700">
        <v>1699</v>
      </c>
      <c r="I1700" t="str">
        <f>IF(ISBLANK(Table1[[#This Row],[oid]]),"FALSE","TRUE")</f>
        <v>TRUE</v>
      </c>
      <c r="J1700" t="str" cm="1">
        <f t="array" ref="J1700">_xlfn.SWITCH(LEFT(Table1[[#This Row],[section]],1), "D", "Demographic", "S", "Social", "E", "Economic", "H", "Housing", "")</f>
        <v>Economic</v>
      </c>
      <c r="K1700" t="s">
        <v>5603</v>
      </c>
      <c r="L1700" t="s">
        <v>5604</v>
      </c>
      <c r="M1700" t="str">
        <f>IF(Table1[[#This Row],[used]], _xlfn.CONCAT("🆔 ", Table1[[#This Row],[variable]], ": ",Table1[[#This Row],[alias]]), "")</f>
        <v>🆔 B19214_001E: Aggregate Non-family household income in the past 12 months in 2024 inflation-adjusted dollars</v>
      </c>
      <c r="O1700" t="s">
        <v>6176</v>
      </c>
      <c r="P1700" t="s">
        <v>6177</v>
      </c>
      <c r="Q1700" t="s">
        <v>41</v>
      </c>
      <c r="R1700" t="s">
        <v>6135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1</v>
      </c>
    </row>
    <row r="1701" spans="1:33" x14ac:dyDescent="0.25">
      <c r="A1701" t="s">
        <v>18</v>
      </c>
      <c r="B1701">
        <v>1</v>
      </c>
      <c r="C1701" t="b">
        <v>0</v>
      </c>
      <c r="D1701" t="s">
        <v>5301</v>
      </c>
      <c r="E1701" t="s">
        <v>6178</v>
      </c>
      <c r="F1701" t="s">
        <v>6179</v>
      </c>
      <c r="G1701" t="s">
        <v>6180</v>
      </c>
      <c r="H1701">
        <v>1700</v>
      </c>
      <c r="I1701" t="str">
        <f>IF(ISBLANK(Table1[[#This Row],[oid]]),"FALSE","TRUE")</f>
        <v>TRUE</v>
      </c>
      <c r="J1701" t="str" cm="1">
        <f t="array" ref="J1701">_xlfn.SWITCH(LEFT(Table1[[#This Row],[section]],1), "D", "Demographic", "S", "Social", "E", "Economic", "H", "Housing", "")</f>
        <v>Economic</v>
      </c>
      <c r="K1701" t="s">
        <v>5603</v>
      </c>
      <c r="L1701" t="s">
        <v>5604</v>
      </c>
      <c r="M1701" t="str">
        <f>IF(Table1[[#This Row],[used]], _xlfn.CONCAT("🆔 ", Table1[[#This Row],[variable]], ": ",Table1[[#This Row],[alias]]), "")</f>
        <v>🆔 B19301_001E: Per capita income in the past 12 months in 2010 inflation-adjusted dollars</v>
      </c>
      <c r="O1701" t="s">
        <v>6181</v>
      </c>
      <c r="P1701" t="s">
        <v>6182</v>
      </c>
      <c r="Q1701" t="s">
        <v>41</v>
      </c>
      <c r="R1701" t="s">
        <v>6183</v>
      </c>
      <c r="S1701" t="b">
        <v>1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</row>
    <row r="1702" spans="1:33" x14ac:dyDescent="0.25">
      <c r="A1702" t="s">
        <v>19</v>
      </c>
      <c r="B1702">
        <v>1</v>
      </c>
      <c r="C1702" t="b">
        <v>0</v>
      </c>
      <c r="D1702" t="s">
        <v>5301</v>
      </c>
      <c r="E1702" t="s">
        <v>6178</v>
      </c>
      <c r="F1702" t="s">
        <v>6179</v>
      </c>
      <c r="G1702" t="s">
        <v>6184</v>
      </c>
      <c r="H1702">
        <v>1701</v>
      </c>
      <c r="I1702" t="str">
        <f>IF(ISBLANK(Table1[[#This Row],[oid]]),"FALSE","TRUE")</f>
        <v>TRUE</v>
      </c>
      <c r="J1702" t="str" cm="1">
        <f t="array" ref="J1702">_xlfn.SWITCH(LEFT(Table1[[#This Row],[section]],1), "D", "Demographic", "S", "Social", "E", "Economic", "H", "Housing", "")</f>
        <v>Economic</v>
      </c>
      <c r="K1702" t="s">
        <v>5603</v>
      </c>
      <c r="L1702" t="s">
        <v>5604</v>
      </c>
      <c r="M1702" t="str">
        <f>IF(Table1[[#This Row],[used]], _xlfn.CONCAT("🆔 ", Table1[[#This Row],[variable]], ": ",Table1[[#This Row],[alias]]), "")</f>
        <v>🆔 B19301_001E: Per capita income in the past 12 months in 2011 inflation-adjusted dollars</v>
      </c>
      <c r="O1702" t="s">
        <v>6185</v>
      </c>
      <c r="P1702" t="s">
        <v>6186</v>
      </c>
      <c r="Q1702" t="s">
        <v>41</v>
      </c>
      <c r="R1702" t="s">
        <v>6183</v>
      </c>
      <c r="S1702" t="b">
        <v>0</v>
      </c>
      <c r="T1702" t="b">
        <v>1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</row>
    <row r="1703" spans="1:33" x14ac:dyDescent="0.25">
      <c r="A1703" t="s">
        <v>20</v>
      </c>
      <c r="B1703">
        <v>1</v>
      </c>
      <c r="C1703" t="b">
        <v>0</v>
      </c>
      <c r="D1703" t="s">
        <v>5301</v>
      </c>
      <c r="E1703" t="s">
        <v>6178</v>
      </c>
      <c r="F1703" t="s">
        <v>6179</v>
      </c>
      <c r="G1703" t="s">
        <v>6187</v>
      </c>
      <c r="H1703">
        <v>1702</v>
      </c>
      <c r="I1703" t="str">
        <f>IF(ISBLANK(Table1[[#This Row],[oid]]),"FALSE","TRUE")</f>
        <v>TRUE</v>
      </c>
      <c r="J1703" t="str" cm="1">
        <f t="array" ref="J1703">_xlfn.SWITCH(LEFT(Table1[[#This Row],[section]],1), "D", "Demographic", "S", "Social", "E", "Economic", "H", "Housing", "")</f>
        <v>Economic</v>
      </c>
      <c r="K1703" t="s">
        <v>5603</v>
      </c>
      <c r="L1703" t="s">
        <v>5604</v>
      </c>
      <c r="M1703" t="str">
        <f>IF(Table1[[#This Row],[used]], _xlfn.CONCAT("🆔 ", Table1[[#This Row],[variable]], ": ",Table1[[#This Row],[alias]]), "")</f>
        <v>🆔 B19301_001E: Per capita income in the past 12 months in 2012 inflation-adjusted dollars</v>
      </c>
      <c r="O1703" t="s">
        <v>6188</v>
      </c>
      <c r="P1703" t="s">
        <v>6189</v>
      </c>
      <c r="Q1703" t="s">
        <v>41</v>
      </c>
      <c r="R1703" t="s">
        <v>6183</v>
      </c>
      <c r="S1703" t="b">
        <v>0</v>
      </c>
      <c r="T1703" t="b">
        <v>0</v>
      </c>
      <c r="U1703" t="b">
        <v>1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</row>
    <row r="1704" spans="1:33" x14ac:dyDescent="0.25">
      <c r="A1704" t="s">
        <v>21</v>
      </c>
      <c r="B1704">
        <v>1</v>
      </c>
      <c r="C1704" t="b">
        <v>0</v>
      </c>
      <c r="D1704" t="s">
        <v>5301</v>
      </c>
      <c r="E1704" t="s">
        <v>6178</v>
      </c>
      <c r="F1704" t="s">
        <v>6179</v>
      </c>
      <c r="G1704" t="s">
        <v>6190</v>
      </c>
      <c r="H1704">
        <v>1703</v>
      </c>
      <c r="I1704" t="str">
        <f>IF(ISBLANK(Table1[[#This Row],[oid]]),"FALSE","TRUE")</f>
        <v>TRUE</v>
      </c>
      <c r="J1704" t="str" cm="1">
        <f t="array" ref="J1704">_xlfn.SWITCH(LEFT(Table1[[#This Row],[section]],1), "D", "Demographic", "S", "Social", "E", "Economic", "H", "Housing", "")</f>
        <v>Economic</v>
      </c>
      <c r="K1704" t="s">
        <v>5603</v>
      </c>
      <c r="L1704" t="s">
        <v>5604</v>
      </c>
      <c r="M1704" t="str">
        <f>IF(Table1[[#This Row],[used]], _xlfn.CONCAT("🆔 ", Table1[[#This Row],[variable]], ": ",Table1[[#This Row],[alias]]), "")</f>
        <v>🆔 B19301_001E: Per capita income in the past 12 months in 2013 inflation-adjusted dollars</v>
      </c>
      <c r="O1704" t="s">
        <v>6191</v>
      </c>
      <c r="P1704" t="s">
        <v>6192</v>
      </c>
      <c r="Q1704" t="s">
        <v>41</v>
      </c>
      <c r="R1704" t="s">
        <v>6183</v>
      </c>
      <c r="S1704" t="b">
        <v>0</v>
      </c>
      <c r="T1704" t="b">
        <v>0</v>
      </c>
      <c r="U1704" t="b">
        <v>0</v>
      </c>
      <c r="V1704" t="b">
        <v>1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</row>
    <row r="1705" spans="1:33" x14ac:dyDescent="0.25">
      <c r="A1705" t="s">
        <v>22</v>
      </c>
      <c r="B1705">
        <v>1</v>
      </c>
      <c r="C1705" t="b">
        <v>0</v>
      </c>
      <c r="D1705" t="s">
        <v>5301</v>
      </c>
      <c r="E1705" t="s">
        <v>6178</v>
      </c>
      <c r="F1705" t="s">
        <v>6179</v>
      </c>
      <c r="G1705" t="s">
        <v>6193</v>
      </c>
      <c r="H1705">
        <v>1704</v>
      </c>
      <c r="I1705" t="str">
        <f>IF(ISBLANK(Table1[[#This Row],[oid]]),"FALSE","TRUE")</f>
        <v>TRUE</v>
      </c>
      <c r="J1705" t="str" cm="1">
        <f t="array" ref="J1705">_xlfn.SWITCH(LEFT(Table1[[#This Row],[section]],1), "D", "Demographic", "S", "Social", "E", "Economic", "H", "Housing", "")</f>
        <v>Economic</v>
      </c>
      <c r="K1705" t="s">
        <v>5603</v>
      </c>
      <c r="L1705" t="s">
        <v>5604</v>
      </c>
      <c r="M1705" t="str">
        <f>IF(Table1[[#This Row],[used]], _xlfn.CONCAT("🆔 ", Table1[[#This Row],[variable]], ": ",Table1[[#This Row],[alias]]), "")</f>
        <v>🆔 B19301_001E: Per capita income in the past 12 months in 2014 Inflation-adjusted dollars</v>
      </c>
      <c r="O1705" t="s">
        <v>6194</v>
      </c>
      <c r="P1705" t="s">
        <v>6195</v>
      </c>
      <c r="Q1705" t="s">
        <v>41</v>
      </c>
      <c r="R1705" t="s">
        <v>6183</v>
      </c>
      <c r="S1705" t="b">
        <v>0</v>
      </c>
      <c r="T1705" t="b">
        <v>0</v>
      </c>
      <c r="U1705" t="b">
        <v>0</v>
      </c>
      <c r="V1705" t="b">
        <v>0</v>
      </c>
      <c r="W1705" t="b">
        <v>1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</row>
    <row r="1706" spans="1:33" x14ac:dyDescent="0.25">
      <c r="A1706" t="s">
        <v>23</v>
      </c>
      <c r="B1706">
        <v>1</v>
      </c>
      <c r="C1706" t="b">
        <v>0</v>
      </c>
      <c r="D1706" t="s">
        <v>5301</v>
      </c>
      <c r="E1706" t="s">
        <v>6178</v>
      </c>
      <c r="F1706" t="s">
        <v>6179</v>
      </c>
      <c r="G1706" t="s">
        <v>6196</v>
      </c>
      <c r="H1706">
        <v>1705</v>
      </c>
      <c r="I1706" t="str">
        <f>IF(ISBLANK(Table1[[#This Row],[oid]]),"FALSE","TRUE")</f>
        <v>TRUE</v>
      </c>
      <c r="J1706" t="str" cm="1">
        <f t="array" ref="J1706">_xlfn.SWITCH(LEFT(Table1[[#This Row],[section]],1), "D", "Demographic", "S", "Social", "E", "Economic", "H", "Housing", "")</f>
        <v>Economic</v>
      </c>
      <c r="K1706" t="s">
        <v>5603</v>
      </c>
      <c r="L1706" t="s">
        <v>5604</v>
      </c>
      <c r="M1706" t="str">
        <f>IF(Table1[[#This Row],[used]], _xlfn.CONCAT("🆔 ", Table1[[#This Row],[variable]], ": ",Table1[[#This Row],[alias]]), "")</f>
        <v>🆔 B19301_001E: Per capita income in the past 12 months in 2015 Inflation-adjusted dollars</v>
      </c>
      <c r="O1706" t="s">
        <v>6197</v>
      </c>
      <c r="P1706" t="s">
        <v>6198</v>
      </c>
      <c r="Q1706" t="s">
        <v>41</v>
      </c>
      <c r="R1706" t="s">
        <v>6183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1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</row>
    <row r="1707" spans="1:33" x14ac:dyDescent="0.25">
      <c r="A1707" t="s">
        <v>24</v>
      </c>
      <c r="B1707">
        <v>1</v>
      </c>
      <c r="C1707" t="b">
        <v>0</v>
      </c>
      <c r="D1707" t="s">
        <v>5301</v>
      </c>
      <c r="E1707" t="s">
        <v>6178</v>
      </c>
      <c r="F1707" t="s">
        <v>6179</v>
      </c>
      <c r="G1707" t="s">
        <v>6199</v>
      </c>
      <c r="H1707">
        <v>1706</v>
      </c>
      <c r="I1707" t="str">
        <f>IF(ISBLANK(Table1[[#This Row],[oid]]),"FALSE","TRUE")</f>
        <v>TRUE</v>
      </c>
      <c r="J1707" t="str" cm="1">
        <f t="array" ref="J1707">_xlfn.SWITCH(LEFT(Table1[[#This Row],[section]],1), "D", "Demographic", "S", "Social", "E", "Economic", "H", "Housing", "")</f>
        <v>Economic</v>
      </c>
      <c r="K1707" t="s">
        <v>5603</v>
      </c>
      <c r="L1707" t="s">
        <v>5604</v>
      </c>
      <c r="M1707" t="str">
        <f>IF(Table1[[#This Row],[used]], _xlfn.CONCAT("🆔 ", Table1[[#This Row],[variable]], ": ",Table1[[#This Row],[alias]]), "")</f>
        <v>🆔 B19301_001E: Per capita income in the past 12 months in 2016 inflation-adjusted dollars</v>
      </c>
      <c r="O1707" t="s">
        <v>6200</v>
      </c>
      <c r="P1707" t="s">
        <v>6201</v>
      </c>
      <c r="Q1707" t="s">
        <v>41</v>
      </c>
      <c r="R1707" t="s">
        <v>6183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1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</row>
    <row r="1708" spans="1:33" x14ac:dyDescent="0.25">
      <c r="A1708" t="s">
        <v>25</v>
      </c>
      <c r="B1708">
        <v>1</v>
      </c>
      <c r="C1708" t="b">
        <v>0</v>
      </c>
      <c r="D1708" t="s">
        <v>5301</v>
      </c>
      <c r="E1708" t="s">
        <v>6178</v>
      </c>
      <c r="F1708" t="s">
        <v>6179</v>
      </c>
      <c r="G1708" t="s">
        <v>6202</v>
      </c>
      <c r="H1708">
        <v>1707</v>
      </c>
      <c r="I1708" t="str">
        <f>IF(ISBLANK(Table1[[#This Row],[oid]]),"FALSE","TRUE")</f>
        <v>TRUE</v>
      </c>
      <c r="J1708" t="str" cm="1">
        <f t="array" ref="J1708">_xlfn.SWITCH(LEFT(Table1[[#This Row],[section]],1), "D", "Demographic", "S", "Social", "E", "Economic", "H", "Housing", "")</f>
        <v>Economic</v>
      </c>
      <c r="K1708" t="s">
        <v>5603</v>
      </c>
      <c r="L1708" t="s">
        <v>5604</v>
      </c>
      <c r="M1708" t="str">
        <f>IF(Table1[[#This Row],[used]], _xlfn.CONCAT("🆔 ", Table1[[#This Row],[variable]], ": ",Table1[[#This Row],[alias]]), "")</f>
        <v>🆔 B19301_001E: Per capita income in the past 12 months in 2017 inflation-adjusted dollars</v>
      </c>
      <c r="O1708" t="s">
        <v>6203</v>
      </c>
      <c r="P1708" t="s">
        <v>6204</v>
      </c>
      <c r="Q1708" t="s">
        <v>41</v>
      </c>
      <c r="R1708" t="s">
        <v>6183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1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</row>
    <row r="1709" spans="1:33" x14ac:dyDescent="0.25">
      <c r="A1709" t="s">
        <v>26</v>
      </c>
      <c r="B1709">
        <v>1</v>
      </c>
      <c r="C1709" t="b">
        <v>0</v>
      </c>
      <c r="D1709" t="s">
        <v>5301</v>
      </c>
      <c r="E1709" t="s">
        <v>6178</v>
      </c>
      <c r="F1709" t="s">
        <v>6179</v>
      </c>
      <c r="G1709" t="s">
        <v>6205</v>
      </c>
      <c r="H1709">
        <v>1708</v>
      </c>
      <c r="I1709" t="str">
        <f>IF(ISBLANK(Table1[[#This Row],[oid]]),"FALSE","TRUE")</f>
        <v>TRUE</v>
      </c>
      <c r="J1709" t="str" cm="1">
        <f t="array" ref="J1709">_xlfn.SWITCH(LEFT(Table1[[#This Row],[section]],1), "D", "Demographic", "S", "Social", "E", "Economic", "H", "Housing", "")</f>
        <v>Economic</v>
      </c>
      <c r="K1709" t="s">
        <v>5603</v>
      </c>
      <c r="L1709" t="s">
        <v>5604</v>
      </c>
      <c r="M1709" t="str">
        <f>IF(Table1[[#This Row],[used]], _xlfn.CONCAT("🆔 ", Table1[[#This Row],[variable]], ": ",Table1[[#This Row],[alias]]), "")</f>
        <v>🆔 B19301_001E: Per capita income in the past 12 months in 2018 inflation-adjusted dollars</v>
      </c>
      <c r="O1709" t="s">
        <v>6206</v>
      </c>
      <c r="P1709" t="s">
        <v>6207</v>
      </c>
      <c r="Q1709" t="s">
        <v>41</v>
      </c>
      <c r="R1709" t="s">
        <v>6183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1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</row>
    <row r="1710" spans="1:33" x14ac:dyDescent="0.25">
      <c r="A1710" t="s">
        <v>27</v>
      </c>
      <c r="B1710">
        <v>1</v>
      </c>
      <c r="C1710" t="b">
        <v>0</v>
      </c>
      <c r="D1710" t="s">
        <v>5301</v>
      </c>
      <c r="E1710" t="s">
        <v>6178</v>
      </c>
      <c r="F1710" t="s">
        <v>6179</v>
      </c>
      <c r="G1710" t="s">
        <v>6208</v>
      </c>
      <c r="H1710">
        <v>1709</v>
      </c>
      <c r="I1710" t="str">
        <f>IF(ISBLANK(Table1[[#This Row],[oid]]),"FALSE","TRUE")</f>
        <v>TRUE</v>
      </c>
      <c r="J1710" t="str" cm="1">
        <f t="array" ref="J1710">_xlfn.SWITCH(LEFT(Table1[[#This Row],[section]],1), "D", "Demographic", "S", "Social", "E", "Economic", "H", "Housing", "")</f>
        <v>Economic</v>
      </c>
      <c r="K1710" t="s">
        <v>5603</v>
      </c>
      <c r="L1710" t="s">
        <v>5604</v>
      </c>
      <c r="M1710" t="str">
        <f>IF(Table1[[#This Row],[used]], _xlfn.CONCAT("🆔 ", Table1[[#This Row],[variable]], ": ",Table1[[#This Row],[alias]]), "")</f>
        <v>🆔 B19301_001E: Per capita income in the past 12 months in 2019 inflation-adjusted dollars</v>
      </c>
      <c r="O1710" t="s">
        <v>6209</v>
      </c>
      <c r="P1710" t="s">
        <v>6210</v>
      </c>
      <c r="Q1710" t="s">
        <v>41</v>
      </c>
      <c r="R1710" t="s">
        <v>6183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1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</row>
    <row r="1711" spans="1:33" x14ac:dyDescent="0.25">
      <c r="A1711" t="s">
        <v>28</v>
      </c>
      <c r="B1711">
        <v>1</v>
      </c>
      <c r="C1711" t="b">
        <v>0</v>
      </c>
      <c r="D1711" t="s">
        <v>5301</v>
      </c>
      <c r="E1711" t="s">
        <v>6178</v>
      </c>
      <c r="F1711" t="s">
        <v>6179</v>
      </c>
      <c r="G1711" t="s">
        <v>6211</v>
      </c>
      <c r="H1711">
        <v>1710</v>
      </c>
      <c r="I1711" t="str">
        <f>IF(ISBLANK(Table1[[#This Row],[oid]]),"FALSE","TRUE")</f>
        <v>TRUE</v>
      </c>
      <c r="J1711" t="str" cm="1">
        <f t="array" ref="J1711">_xlfn.SWITCH(LEFT(Table1[[#This Row],[section]],1), "D", "Demographic", "S", "Social", "E", "Economic", "H", "Housing", "")</f>
        <v>Economic</v>
      </c>
      <c r="K1711" t="s">
        <v>5603</v>
      </c>
      <c r="L1711" t="s">
        <v>5604</v>
      </c>
      <c r="M1711" t="str">
        <f>IF(Table1[[#This Row],[used]], _xlfn.CONCAT("🆔 ", Table1[[#This Row],[variable]], ": ",Table1[[#This Row],[alias]]), "")</f>
        <v>🆔 B19301_001E: Per capita income in the past 12 months in 2020 inflation-adjusted dollars</v>
      </c>
      <c r="O1711" t="s">
        <v>6212</v>
      </c>
      <c r="P1711" t="s">
        <v>6213</v>
      </c>
      <c r="Q1711" t="s">
        <v>41</v>
      </c>
      <c r="R1711" t="s">
        <v>6183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1</v>
      </c>
      <c r="AD1711" t="b">
        <v>0</v>
      </c>
      <c r="AE1711" t="b">
        <v>0</v>
      </c>
      <c r="AF1711" t="b">
        <v>0</v>
      </c>
      <c r="AG1711" t="b">
        <v>0</v>
      </c>
    </row>
    <row r="1712" spans="1:33" x14ac:dyDescent="0.25">
      <c r="A1712" t="s">
        <v>29</v>
      </c>
      <c r="B1712">
        <v>1</v>
      </c>
      <c r="C1712" t="b">
        <v>0</v>
      </c>
      <c r="D1712" t="s">
        <v>5301</v>
      </c>
      <c r="E1712" t="s">
        <v>6178</v>
      </c>
      <c r="F1712" t="s">
        <v>6179</v>
      </c>
      <c r="G1712" t="s">
        <v>6214</v>
      </c>
      <c r="H1712">
        <v>1711</v>
      </c>
      <c r="I1712" t="str">
        <f>IF(ISBLANK(Table1[[#This Row],[oid]]),"FALSE","TRUE")</f>
        <v>TRUE</v>
      </c>
      <c r="J1712" t="str" cm="1">
        <f t="array" ref="J1712">_xlfn.SWITCH(LEFT(Table1[[#This Row],[section]],1), "D", "Demographic", "S", "Social", "E", "Economic", "H", "Housing", "")</f>
        <v>Economic</v>
      </c>
      <c r="K1712" t="s">
        <v>5603</v>
      </c>
      <c r="L1712" t="s">
        <v>5604</v>
      </c>
      <c r="M1712" t="str">
        <f>IF(Table1[[#This Row],[used]], _xlfn.CONCAT("🆔 ", Table1[[#This Row],[variable]], ": ",Table1[[#This Row],[alias]]), "")</f>
        <v>🆔 B19301_001E: Per capita income in the past 12 months in 2021 inflation-adjusted dollars</v>
      </c>
      <c r="O1712" t="s">
        <v>6215</v>
      </c>
      <c r="P1712" t="s">
        <v>6216</v>
      </c>
      <c r="Q1712" t="s">
        <v>41</v>
      </c>
      <c r="R1712" t="s">
        <v>6183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1</v>
      </c>
      <c r="AE1712" t="b">
        <v>0</v>
      </c>
      <c r="AF1712" t="b">
        <v>0</v>
      </c>
      <c r="AG1712" t="b">
        <v>0</v>
      </c>
    </row>
    <row r="1713" spans="1:33" x14ac:dyDescent="0.25">
      <c r="A1713" t="s">
        <v>30</v>
      </c>
      <c r="B1713">
        <v>1</v>
      </c>
      <c r="C1713" t="b">
        <v>0</v>
      </c>
      <c r="D1713" t="s">
        <v>5301</v>
      </c>
      <c r="E1713" t="s">
        <v>6178</v>
      </c>
      <c r="F1713" t="s">
        <v>6179</v>
      </c>
      <c r="G1713" t="s">
        <v>6217</v>
      </c>
      <c r="H1713">
        <v>1712</v>
      </c>
      <c r="I1713" t="str">
        <f>IF(ISBLANK(Table1[[#This Row],[oid]]),"FALSE","TRUE")</f>
        <v>TRUE</v>
      </c>
      <c r="J1713" t="str" cm="1">
        <f t="array" ref="J1713">_xlfn.SWITCH(LEFT(Table1[[#This Row],[section]],1), "D", "Demographic", "S", "Social", "E", "Economic", "H", "Housing", "")</f>
        <v>Economic</v>
      </c>
      <c r="K1713" t="s">
        <v>5603</v>
      </c>
      <c r="L1713" t="s">
        <v>5604</v>
      </c>
      <c r="M1713" t="str">
        <f>IF(Table1[[#This Row],[used]], _xlfn.CONCAT("🆔 ", Table1[[#This Row],[variable]], ": ",Table1[[#This Row],[alias]]), "")</f>
        <v>🆔 B19301_001E: Per capita income in the past 12 months in 2022 inflation-adjusted dollars</v>
      </c>
      <c r="O1713" t="s">
        <v>6218</v>
      </c>
      <c r="P1713" t="s">
        <v>6219</v>
      </c>
      <c r="Q1713" t="s">
        <v>41</v>
      </c>
      <c r="R1713" t="s">
        <v>6183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1</v>
      </c>
      <c r="AF1713" t="b">
        <v>0</v>
      </c>
      <c r="AG1713" t="b">
        <v>0</v>
      </c>
    </row>
    <row r="1714" spans="1:33" x14ac:dyDescent="0.25">
      <c r="A1714" t="s">
        <v>31</v>
      </c>
      <c r="B1714">
        <v>1</v>
      </c>
      <c r="C1714" t="b">
        <v>0</v>
      </c>
      <c r="D1714" t="s">
        <v>5301</v>
      </c>
      <c r="E1714" t="s">
        <v>6178</v>
      </c>
      <c r="F1714" t="s">
        <v>6179</v>
      </c>
      <c r="G1714" t="s">
        <v>6220</v>
      </c>
      <c r="H1714">
        <v>1713</v>
      </c>
      <c r="I1714" t="str">
        <f>IF(ISBLANK(Table1[[#This Row],[oid]]),"FALSE","TRUE")</f>
        <v>TRUE</v>
      </c>
      <c r="J1714" t="str" cm="1">
        <f t="array" ref="J1714">_xlfn.SWITCH(LEFT(Table1[[#This Row],[section]],1), "D", "Demographic", "S", "Social", "E", "Economic", "H", "Housing", "")</f>
        <v>Economic</v>
      </c>
      <c r="K1714" t="s">
        <v>5603</v>
      </c>
      <c r="L1714" t="s">
        <v>5604</v>
      </c>
      <c r="M1714" t="str">
        <f>IF(Table1[[#This Row],[used]], _xlfn.CONCAT("🆔 ", Table1[[#This Row],[variable]], ": ",Table1[[#This Row],[alias]]), "")</f>
        <v>🆔 B19301_001E: Per capita income in the past 12 months in 2023 inflation-adjusted dollars</v>
      </c>
      <c r="O1714" t="s">
        <v>6221</v>
      </c>
      <c r="P1714" t="s">
        <v>6222</v>
      </c>
      <c r="Q1714" t="s">
        <v>41</v>
      </c>
      <c r="R1714" t="s">
        <v>6183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1</v>
      </c>
      <c r="AG1714" t="b">
        <v>0</v>
      </c>
    </row>
    <row r="1715" spans="1:33" x14ac:dyDescent="0.25">
      <c r="A1715" t="s">
        <v>32</v>
      </c>
      <c r="B1715">
        <v>1</v>
      </c>
      <c r="C1715" t="b">
        <v>0</v>
      </c>
      <c r="D1715" t="s">
        <v>5301</v>
      </c>
      <c r="E1715" t="s">
        <v>6178</v>
      </c>
      <c r="F1715" t="s">
        <v>6179</v>
      </c>
      <c r="G1715" t="s">
        <v>6223</v>
      </c>
      <c r="H1715">
        <v>1714</v>
      </c>
      <c r="I1715" t="str">
        <f>IF(ISBLANK(Table1[[#This Row],[oid]]),"FALSE","TRUE")</f>
        <v>TRUE</v>
      </c>
      <c r="J1715" t="str" cm="1">
        <f t="array" ref="J1715">_xlfn.SWITCH(LEFT(Table1[[#This Row],[section]],1), "D", "Demographic", "S", "Social", "E", "Economic", "H", "Housing", "")</f>
        <v>Economic</v>
      </c>
      <c r="K1715" t="s">
        <v>5603</v>
      </c>
      <c r="L1715" t="s">
        <v>5604</v>
      </c>
      <c r="M1715" t="str">
        <f>IF(Table1[[#This Row],[used]], _xlfn.CONCAT("🆔 ", Table1[[#This Row],[variable]], ": ",Table1[[#This Row],[alias]]), "")</f>
        <v>🆔 B19301_001E: Per capita income in the past 12 months in 2024 inflation-adjusted dollars</v>
      </c>
      <c r="O1715" t="s">
        <v>6224</v>
      </c>
      <c r="P1715" t="s">
        <v>6225</v>
      </c>
      <c r="Q1715" t="s">
        <v>41</v>
      </c>
      <c r="R1715" t="s">
        <v>6183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1</v>
      </c>
    </row>
    <row r="1716" spans="1:33" x14ac:dyDescent="0.25">
      <c r="A1716" t="s">
        <v>18</v>
      </c>
      <c r="B1716">
        <v>1</v>
      </c>
      <c r="C1716" t="b">
        <v>0</v>
      </c>
      <c r="D1716" t="s">
        <v>5301</v>
      </c>
      <c r="E1716" t="s">
        <v>6226</v>
      </c>
      <c r="F1716" t="s">
        <v>6227</v>
      </c>
      <c r="G1716" t="s">
        <v>6228</v>
      </c>
      <c r="H1716">
        <v>1715</v>
      </c>
      <c r="I1716" t="str">
        <f>IF(ISBLANK(Table1[[#This Row],[oid]]),"FALSE","TRUE")</f>
        <v>TRUE</v>
      </c>
      <c r="J1716" t="str" cm="1">
        <f t="array" ref="J1716">_xlfn.SWITCH(LEFT(Table1[[#This Row],[section]],1), "D", "Demographic", "S", "Social", "E", "Economic", "H", "Housing", "")</f>
        <v>Economic</v>
      </c>
      <c r="K1716" t="s">
        <v>5603</v>
      </c>
      <c r="L1716" t="s">
        <v>5604</v>
      </c>
      <c r="M1716" t="str">
        <f>IF(Table1[[#This Row],[used]], _xlfn.CONCAT("🆔 ", Table1[[#This Row],[variable]], ": ",Table1[[#This Row],[alias]]), "")</f>
        <v>🆔 B19301A_001E: White alone: Per capita income in the past 12 months in 2010 inflation-adjusted dollars</v>
      </c>
      <c r="O1716" t="s">
        <v>6181</v>
      </c>
      <c r="P1716" t="s">
        <v>6229</v>
      </c>
      <c r="Q1716" t="s">
        <v>41</v>
      </c>
      <c r="R1716" t="s">
        <v>6230</v>
      </c>
      <c r="S1716" t="b">
        <v>1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</row>
    <row r="1717" spans="1:33" x14ac:dyDescent="0.25">
      <c r="A1717" t="s">
        <v>19</v>
      </c>
      <c r="B1717">
        <v>1</v>
      </c>
      <c r="C1717" t="b">
        <v>0</v>
      </c>
      <c r="D1717" t="s">
        <v>5301</v>
      </c>
      <c r="E1717" t="s">
        <v>6226</v>
      </c>
      <c r="F1717" t="s">
        <v>6227</v>
      </c>
      <c r="G1717" t="s">
        <v>6231</v>
      </c>
      <c r="H1717">
        <v>1716</v>
      </c>
      <c r="I1717" t="str">
        <f>IF(ISBLANK(Table1[[#This Row],[oid]]),"FALSE","TRUE")</f>
        <v>TRUE</v>
      </c>
      <c r="J1717" t="str" cm="1">
        <f t="array" ref="J1717">_xlfn.SWITCH(LEFT(Table1[[#This Row],[section]],1), "D", "Demographic", "S", "Social", "E", "Economic", "H", "Housing", "")</f>
        <v>Economic</v>
      </c>
      <c r="K1717" t="s">
        <v>5603</v>
      </c>
      <c r="L1717" t="s">
        <v>5604</v>
      </c>
      <c r="M1717" t="str">
        <f>IF(Table1[[#This Row],[used]], _xlfn.CONCAT("🆔 ", Table1[[#This Row],[variable]], ": ",Table1[[#This Row],[alias]]), "")</f>
        <v>🆔 B19301A_001E: White alone: Per capita income in the past 12 months in 2011 inflation-adjusted dollars</v>
      </c>
      <c r="O1717" t="s">
        <v>6185</v>
      </c>
      <c r="P1717" t="s">
        <v>6232</v>
      </c>
      <c r="Q1717" t="s">
        <v>41</v>
      </c>
      <c r="R1717" t="s">
        <v>6230</v>
      </c>
      <c r="S1717" t="b">
        <v>0</v>
      </c>
      <c r="T1717" t="b">
        <v>1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</row>
    <row r="1718" spans="1:33" x14ac:dyDescent="0.25">
      <c r="A1718" t="s">
        <v>20</v>
      </c>
      <c r="B1718">
        <v>1</v>
      </c>
      <c r="C1718" t="b">
        <v>0</v>
      </c>
      <c r="D1718" t="s">
        <v>5301</v>
      </c>
      <c r="E1718" t="s">
        <v>6226</v>
      </c>
      <c r="F1718" t="s">
        <v>6227</v>
      </c>
      <c r="G1718" t="s">
        <v>6233</v>
      </c>
      <c r="H1718">
        <v>1717</v>
      </c>
      <c r="I1718" t="str">
        <f>IF(ISBLANK(Table1[[#This Row],[oid]]),"FALSE","TRUE")</f>
        <v>TRUE</v>
      </c>
      <c r="J1718" t="str" cm="1">
        <f t="array" ref="J1718">_xlfn.SWITCH(LEFT(Table1[[#This Row],[section]],1), "D", "Demographic", "S", "Social", "E", "Economic", "H", "Housing", "")</f>
        <v>Economic</v>
      </c>
      <c r="K1718" t="s">
        <v>5603</v>
      </c>
      <c r="L1718" t="s">
        <v>5604</v>
      </c>
      <c r="M1718" t="str">
        <f>IF(Table1[[#This Row],[used]], _xlfn.CONCAT("🆔 ", Table1[[#This Row],[variable]], ": ",Table1[[#This Row],[alias]]), "")</f>
        <v>🆔 B19301A_001E: White alone: Per capita income in the past 12 months in 2012 inflation-adjusted dollars</v>
      </c>
      <c r="O1718" t="s">
        <v>6188</v>
      </c>
      <c r="P1718" t="s">
        <v>6234</v>
      </c>
      <c r="Q1718" t="s">
        <v>41</v>
      </c>
      <c r="R1718" t="s">
        <v>6230</v>
      </c>
      <c r="S1718" t="b">
        <v>0</v>
      </c>
      <c r="T1718" t="b">
        <v>0</v>
      </c>
      <c r="U1718" t="b">
        <v>1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</row>
    <row r="1719" spans="1:33" x14ac:dyDescent="0.25">
      <c r="A1719" t="s">
        <v>21</v>
      </c>
      <c r="B1719">
        <v>1</v>
      </c>
      <c r="C1719" t="b">
        <v>0</v>
      </c>
      <c r="D1719" t="s">
        <v>5301</v>
      </c>
      <c r="E1719" t="s">
        <v>6226</v>
      </c>
      <c r="F1719" t="s">
        <v>6227</v>
      </c>
      <c r="G1719" t="s">
        <v>6235</v>
      </c>
      <c r="H1719">
        <v>1718</v>
      </c>
      <c r="I1719" t="str">
        <f>IF(ISBLANK(Table1[[#This Row],[oid]]),"FALSE","TRUE")</f>
        <v>TRUE</v>
      </c>
      <c r="J1719" t="str" cm="1">
        <f t="array" ref="J1719">_xlfn.SWITCH(LEFT(Table1[[#This Row],[section]],1), "D", "Demographic", "S", "Social", "E", "Economic", "H", "Housing", "")</f>
        <v>Economic</v>
      </c>
      <c r="K1719" t="s">
        <v>5603</v>
      </c>
      <c r="L1719" t="s">
        <v>5604</v>
      </c>
      <c r="M1719" t="str">
        <f>IF(Table1[[#This Row],[used]], _xlfn.CONCAT("🆔 ", Table1[[#This Row],[variable]], ": ",Table1[[#This Row],[alias]]), "")</f>
        <v>🆔 B19301A_001E: White alone: Per capita income in the past 12 months in 2013 inflation-adjusted dollars</v>
      </c>
      <c r="O1719" t="s">
        <v>6191</v>
      </c>
      <c r="P1719" t="s">
        <v>6236</v>
      </c>
      <c r="Q1719" t="s">
        <v>41</v>
      </c>
      <c r="R1719" t="s">
        <v>6230</v>
      </c>
      <c r="S1719" t="b">
        <v>0</v>
      </c>
      <c r="T1719" t="b">
        <v>0</v>
      </c>
      <c r="U1719" t="b">
        <v>0</v>
      </c>
      <c r="V1719" t="b">
        <v>1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</row>
    <row r="1720" spans="1:33" x14ac:dyDescent="0.25">
      <c r="A1720" t="s">
        <v>22</v>
      </c>
      <c r="B1720">
        <v>1</v>
      </c>
      <c r="C1720" t="b">
        <v>0</v>
      </c>
      <c r="D1720" t="s">
        <v>5301</v>
      </c>
      <c r="E1720" t="s">
        <v>6226</v>
      </c>
      <c r="F1720" t="s">
        <v>6227</v>
      </c>
      <c r="G1720" t="s">
        <v>6237</v>
      </c>
      <c r="H1720">
        <v>1719</v>
      </c>
      <c r="I1720" t="str">
        <f>IF(ISBLANK(Table1[[#This Row],[oid]]),"FALSE","TRUE")</f>
        <v>TRUE</v>
      </c>
      <c r="J1720" t="str" cm="1">
        <f t="array" ref="J1720">_xlfn.SWITCH(LEFT(Table1[[#This Row],[section]],1), "D", "Demographic", "S", "Social", "E", "Economic", "H", "Housing", "")</f>
        <v>Economic</v>
      </c>
      <c r="K1720" t="s">
        <v>5603</v>
      </c>
      <c r="L1720" t="s">
        <v>5604</v>
      </c>
      <c r="M1720" t="str">
        <f>IF(Table1[[#This Row],[used]], _xlfn.CONCAT("🆔 ", Table1[[#This Row],[variable]], ": ",Table1[[#This Row],[alias]]), "")</f>
        <v>🆔 B19301A_001E: White alone: Per capita income in the past 12 months in 2014 Inflation-adjusted dollars</v>
      </c>
      <c r="O1720" t="s">
        <v>6194</v>
      </c>
      <c r="P1720" t="s">
        <v>6238</v>
      </c>
      <c r="Q1720" t="s">
        <v>41</v>
      </c>
      <c r="R1720" t="s">
        <v>6230</v>
      </c>
      <c r="S1720" t="b">
        <v>0</v>
      </c>
      <c r="T1720" t="b">
        <v>0</v>
      </c>
      <c r="U1720" t="b">
        <v>0</v>
      </c>
      <c r="V1720" t="b">
        <v>0</v>
      </c>
      <c r="W1720" t="b">
        <v>1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</row>
    <row r="1721" spans="1:33" x14ac:dyDescent="0.25">
      <c r="A1721" t="s">
        <v>23</v>
      </c>
      <c r="B1721">
        <v>1</v>
      </c>
      <c r="C1721" t="b">
        <v>0</v>
      </c>
      <c r="D1721" t="s">
        <v>5301</v>
      </c>
      <c r="E1721" t="s">
        <v>6226</v>
      </c>
      <c r="F1721" t="s">
        <v>6227</v>
      </c>
      <c r="G1721" t="s">
        <v>6239</v>
      </c>
      <c r="H1721">
        <v>1720</v>
      </c>
      <c r="I1721" t="str">
        <f>IF(ISBLANK(Table1[[#This Row],[oid]]),"FALSE","TRUE")</f>
        <v>TRUE</v>
      </c>
      <c r="J1721" t="str" cm="1">
        <f t="array" ref="J1721">_xlfn.SWITCH(LEFT(Table1[[#This Row],[section]],1), "D", "Demographic", "S", "Social", "E", "Economic", "H", "Housing", "")</f>
        <v>Economic</v>
      </c>
      <c r="K1721" t="s">
        <v>5603</v>
      </c>
      <c r="L1721" t="s">
        <v>5604</v>
      </c>
      <c r="M1721" t="str">
        <f>IF(Table1[[#This Row],[used]], _xlfn.CONCAT("🆔 ", Table1[[#This Row],[variable]], ": ",Table1[[#This Row],[alias]]), "")</f>
        <v>🆔 B19301A_001E: White alone: Per capita income in the past 12 months in 2015 Inflation-adjusted dollars</v>
      </c>
      <c r="O1721" t="s">
        <v>6197</v>
      </c>
      <c r="P1721" t="s">
        <v>6240</v>
      </c>
      <c r="Q1721" t="s">
        <v>41</v>
      </c>
      <c r="R1721" t="s">
        <v>6230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1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</row>
    <row r="1722" spans="1:33" x14ac:dyDescent="0.25">
      <c r="A1722" t="s">
        <v>24</v>
      </c>
      <c r="B1722">
        <v>1</v>
      </c>
      <c r="C1722" t="b">
        <v>0</v>
      </c>
      <c r="D1722" t="s">
        <v>5301</v>
      </c>
      <c r="E1722" t="s">
        <v>6226</v>
      </c>
      <c r="F1722" t="s">
        <v>6227</v>
      </c>
      <c r="G1722" t="s">
        <v>6241</v>
      </c>
      <c r="H1722">
        <v>1721</v>
      </c>
      <c r="I1722" t="str">
        <f>IF(ISBLANK(Table1[[#This Row],[oid]]),"FALSE","TRUE")</f>
        <v>TRUE</v>
      </c>
      <c r="J1722" t="str" cm="1">
        <f t="array" ref="J1722">_xlfn.SWITCH(LEFT(Table1[[#This Row],[section]],1), "D", "Demographic", "S", "Social", "E", "Economic", "H", "Housing", "")</f>
        <v>Economic</v>
      </c>
      <c r="K1722" t="s">
        <v>5603</v>
      </c>
      <c r="L1722" t="s">
        <v>5604</v>
      </c>
      <c r="M1722" t="str">
        <f>IF(Table1[[#This Row],[used]], _xlfn.CONCAT("🆔 ", Table1[[#This Row],[variable]], ": ",Table1[[#This Row],[alias]]), "")</f>
        <v>🆔 B19301A_001E: White alone: Per capita income in the past 12 months in 2016 inflation-adjusted dollars</v>
      </c>
      <c r="O1722" t="s">
        <v>6200</v>
      </c>
      <c r="P1722" t="s">
        <v>6242</v>
      </c>
      <c r="Q1722" t="s">
        <v>41</v>
      </c>
      <c r="R1722" t="s">
        <v>6230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1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</row>
    <row r="1723" spans="1:33" x14ac:dyDescent="0.25">
      <c r="A1723" t="s">
        <v>25</v>
      </c>
      <c r="B1723">
        <v>1</v>
      </c>
      <c r="C1723" t="b">
        <v>0</v>
      </c>
      <c r="D1723" t="s">
        <v>5301</v>
      </c>
      <c r="E1723" t="s">
        <v>6226</v>
      </c>
      <c r="F1723" t="s">
        <v>6227</v>
      </c>
      <c r="G1723" t="s">
        <v>6243</v>
      </c>
      <c r="H1723">
        <v>1722</v>
      </c>
      <c r="I1723" t="str">
        <f>IF(ISBLANK(Table1[[#This Row],[oid]]),"FALSE","TRUE")</f>
        <v>TRUE</v>
      </c>
      <c r="J1723" t="str" cm="1">
        <f t="array" ref="J1723">_xlfn.SWITCH(LEFT(Table1[[#This Row],[section]],1), "D", "Demographic", "S", "Social", "E", "Economic", "H", "Housing", "")</f>
        <v>Economic</v>
      </c>
      <c r="K1723" t="s">
        <v>5603</v>
      </c>
      <c r="L1723" t="s">
        <v>5604</v>
      </c>
      <c r="M1723" t="str">
        <f>IF(Table1[[#This Row],[used]], _xlfn.CONCAT("🆔 ", Table1[[#This Row],[variable]], ": ",Table1[[#This Row],[alias]]), "")</f>
        <v>🆔 B19301A_001E: White alone: Per capita income in the past 12 months in 2017 inflation-adjusted dollars</v>
      </c>
      <c r="O1723" t="s">
        <v>6203</v>
      </c>
      <c r="P1723" t="s">
        <v>6244</v>
      </c>
      <c r="Q1723" t="s">
        <v>41</v>
      </c>
      <c r="R1723" t="s">
        <v>6230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1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</row>
    <row r="1724" spans="1:33" x14ac:dyDescent="0.25">
      <c r="A1724" t="s">
        <v>26</v>
      </c>
      <c r="B1724">
        <v>1</v>
      </c>
      <c r="C1724" t="b">
        <v>0</v>
      </c>
      <c r="D1724" t="s">
        <v>5301</v>
      </c>
      <c r="E1724" t="s">
        <v>6226</v>
      </c>
      <c r="F1724" t="s">
        <v>6227</v>
      </c>
      <c r="G1724" t="s">
        <v>6245</v>
      </c>
      <c r="H1724">
        <v>1723</v>
      </c>
      <c r="I1724" t="str">
        <f>IF(ISBLANK(Table1[[#This Row],[oid]]),"FALSE","TRUE")</f>
        <v>TRUE</v>
      </c>
      <c r="J1724" t="str" cm="1">
        <f t="array" ref="J1724">_xlfn.SWITCH(LEFT(Table1[[#This Row],[section]],1), "D", "Demographic", "S", "Social", "E", "Economic", "H", "Housing", "")</f>
        <v>Economic</v>
      </c>
      <c r="K1724" t="s">
        <v>5603</v>
      </c>
      <c r="L1724" t="s">
        <v>5604</v>
      </c>
      <c r="M1724" t="str">
        <f>IF(Table1[[#This Row],[used]], _xlfn.CONCAT("🆔 ", Table1[[#This Row],[variable]], ": ",Table1[[#This Row],[alias]]), "")</f>
        <v>🆔 B19301A_001E: White alone: Per capita income in the past 12 months in 2018 inflation-adjusted dollars</v>
      </c>
      <c r="O1724" t="s">
        <v>6206</v>
      </c>
      <c r="P1724" t="s">
        <v>6246</v>
      </c>
      <c r="Q1724" t="s">
        <v>41</v>
      </c>
      <c r="R1724" t="s">
        <v>6230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1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</row>
    <row r="1725" spans="1:33" x14ac:dyDescent="0.25">
      <c r="A1725" t="s">
        <v>27</v>
      </c>
      <c r="B1725">
        <v>1</v>
      </c>
      <c r="C1725" t="b">
        <v>0</v>
      </c>
      <c r="D1725" t="s">
        <v>5301</v>
      </c>
      <c r="E1725" t="s">
        <v>6226</v>
      </c>
      <c r="F1725" t="s">
        <v>6227</v>
      </c>
      <c r="G1725" t="s">
        <v>6247</v>
      </c>
      <c r="H1725">
        <v>1724</v>
      </c>
      <c r="I1725" t="str">
        <f>IF(ISBLANK(Table1[[#This Row],[oid]]),"FALSE","TRUE")</f>
        <v>TRUE</v>
      </c>
      <c r="J1725" t="str" cm="1">
        <f t="array" ref="J1725">_xlfn.SWITCH(LEFT(Table1[[#This Row],[section]],1), "D", "Demographic", "S", "Social", "E", "Economic", "H", "Housing", "")</f>
        <v>Economic</v>
      </c>
      <c r="K1725" t="s">
        <v>5603</v>
      </c>
      <c r="L1725" t="s">
        <v>5604</v>
      </c>
      <c r="M1725" t="str">
        <f>IF(Table1[[#This Row],[used]], _xlfn.CONCAT("🆔 ", Table1[[#This Row],[variable]], ": ",Table1[[#This Row],[alias]]), "")</f>
        <v>🆔 B19301A_001E: White alone: Per capita income in the past 12 months in 2019 inflation-adjusted dollars</v>
      </c>
      <c r="O1725" t="s">
        <v>6209</v>
      </c>
      <c r="P1725" t="s">
        <v>6248</v>
      </c>
      <c r="Q1725" t="s">
        <v>41</v>
      </c>
      <c r="R1725" t="s">
        <v>6230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1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</row>
    <row r="1726" spans="1:33" x14ac:dyDescent="0.25">
      <c r="A1726" t="s">
        <v>28</v>
      </c>
      <c r="B1726">
        <v>1</v>
      </c>
      <c r="C1726" t="b">
        <v>0</v>
      </c>
      <c r="D1726" t="s">
        <v>5301</v>
      </c>
      <c r="E1726" t="s">
        <v>6226</v>
      </c>
      <c r="F1726" t="s">
        <v>6227</v>
      </c>
      <c r="G1726" t="s">
        <v>6249</v>
      </c>
      <c r="H1726">
        <v>1725</v>
      </c>
      <c r="I1726" t="str">
        <f>IF(ISBLANK(Table1[[#This Row],[oid]]),"FALSE","TRUE")</f>
        <v>TRUE</v>
      </c>
      <c r="J1726" t="str" cm="1">
        <f t="array" ref="J1726">_xlfn.SWITCH(LEFT(Table1[[#This Row],[section]],1), "D", "Demographic", "S", "Social", "E", "Economic", "H", "Housing", "")</f>
        <v>Economic</v>
      </c>
      <c r="K1726" t="s">
        <v>5603</v>
      </c>
      <c r="L1726" t="s">
        <v>5604</v>
      </c>
      <c r="M1726" t="str">
        <f>IF(Table1[[#This Row],[used]], _xlfn.CONCAT("🆔 ", Table1[[#This Row],[variable]], ": ",Table1[[#This Row],[alias]]), "")</f>
        <v>🆔 B19301A_001E: White alone: Per capita income in the past 12 months in 2020 inflation-adjusted dollars</v>
      </c>
      <c r="O1726" t="s">
        <v>6212</v>
      </c>
      <c r="P1726" t="s">
        <v>6250</v>
      </c>
      <c r="Q1726" t="s">
        <v>41</v>
      </c>
      <c r="R1726" t="s">
        <v>6230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1</v>
      </c>
      <c r="AD1726" t="b">
        <v>0</v>
      </c>
      <c r="AE1726" t="b">
        <v>0</v>
      </c>
      <c r="AF1726" t="b">
        <v>0</v>
      </c>
      <c r="AG1726" t="b">
        <v>0</v>
      </c>
    </row>
    <row r="1727" spans="1:33" x14ac:dyDescent="0.25">
      <c r="A1727" t="s">
        <v>29</v>
      </c>
      <c r="B1727">
        <v>1</v>
      </c>
      <c r="C1727" t="b">
        <v>0</v>
      </c>
      <c r="D1727" t="s">
        <v>5301</v>
      </c>
      <c r="E1727" t="s">
        <v>6226</v>
      </c>
      <c r="F1727" t="s">
        <v>6227</v>
      </c>
      <c r="G1727" t="s">
        <v>6251</v>
      </c>
      <c r="H1727">
        <v>1726</v>
      </c>
      <c r="I1727" t="str">
        <f>IF(ISBLANK(Table1[[#This Row],[oid]]),"FALSE","TRUE")</f>
        <v>TRUE</v>
      </c>
      <c r="J1727" t="str" cm="1">
        <f t="array" ref="J1727">_xlfn.SWITCH(LEFT(Table1[[#This Row],[section]],1), "D", "Demographic", "S", "Social", "E", "Economic", "H", "Housing", "")</f>
        <v>Economic</v>
      </c>
      <c r="K1727" t="s">
        <v>5603</v>
      </c>
      <c r="L1727" t="s">
        <v>5604</v>
      </c>
      <c r="M1727" t="str">
        <f>IF(Table1[[#This Row],[used]], _xlfn.CONCAT("🆔 ", Table1[[#This Row],[variable]], ": ",Table1[[#This Row],[alias]]), "")</f>
        <v>🆔 B19301A_001E: White alone: Per capita income in the past 12 months in 2021 inflation-adjusted dollars</v>
      </c>
      <c r="O1727" t="s">
        <v>6215</v>
      </c>
      <c r="P1727" t="s">
        <v>6252</v>
      </c>
      <c r="Q1727" t="s">
        <v>41</v>
      </c>
      <c r="R1727" t="s">
        <v>6230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1</v>
      </c>
      <c r="AE1727" t="b">
        <v>0</v>
      </c>
      <c r="AF1727" t="b">
        <v>0</v>
      </c>
      <c r="AG1727" t="b">
        <v>0</v>
      </c>
    </row>
    <row r="1728" spans="1:33" x14ac:dyDescent="0.25">
      <c r="A1728" t="s">
        <v>30</v>
      </c>
      <c r="B1728">
        <v>1</v>
      </c>
      <c r="C1728" t="b">
        <v>0</v>
      </c>
      <c r="D1728" t="s">
        <v>5301</v>
      </c>
      <c r="E1728" t="s">
        <v>6226</v>
      </c>
      <c r="F1728" t="s">
        <v>6227</v>
      </c>
      <c r="G1728" t="s">
        <v>6253</v>
      </c>
      <c r="H1728">
        <v>1727</v>
      </c>
      <c r="I1728" t="str">
        <f>IF(ISBLANK(Table1[[#This Row],[oid]]),"FALSE","TRUE")</f>
        <v>TRUE</v>
      </c>
      <c r="J1728" t="str" cm="1">
        <f t="array" ref="J1728">_xlfn.SWITCH(LEFT(Table1[[#This Row],[section]],1), "D", "Demographic", "S", "Social", "E", "Economic", "H", "Housing", "")</f>
        <v>Economic</v>
      </c>
      <c r="K1728" t="s">
        <v>5603</v>
      </c>
      <c r="L1728" t="s">
        <v>5604</v>
      </c>
      <c r="M1728" t="str">
        <f>IF(Table1[[#This Row],[used]], _xlfn.CONCAT("🆔 ", Table1[[#This Row],[variable]], ": ",Table1[[#This Row],[alias]]), "")</f>
        <v>🆔 B19301A_001E: White alone: Per capita income in the past 12 months in 2022 inflation-adjusted dollars</v>
      </c>
      <c r="O1728" t="s">
        <v>6218</v>
      </c>
      <c r="P1728" t="s">
        <v>6254</v>
      </c>
      <c r="Q1728" t="s">
        <v>41</v>
      </c>
      <c r="R1728" t="s">
        <v>6230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1</v>
      </c>
      <c r="AF1728" t="b">
        <v>0</v>
      </c>
      <c r="AG1728" t="b">
        <v>0</v>
      </c>
    </row>
    <row r="1729" spans="1:33" x14ac:dyDescent="0.25">
      <c r="A1729" t="s">
        <v>31</v>
      </c>
      <c r="B1729">
        <v>1</v>
      </c>
      <c r="C1729" t="b">
        <v>0</v>
      </c>
      <c r="D1729" t="s">
        <v>5301</v>
      </c>
      <c r="E1729" t="s">
        <v>6226</v>
      </c>
      <c r="F1729" t="s">
        <v>6227</v>
      </c>
      <c r="G1729" t="s">
        <v>6255</v>
      </c>
      <c r="H1729">
        <v>1728</v>
      </c>
      <c r="I1729" t="str">
        <f>IF(ISBLANK(Table1[[#This Row],[oid]]),"FALSE","TRUE")</f>
        <v>TRUE</v>
      </c>
      <c r="J1729" t="str" cm="1">
        <f t="array" ref="J1729">_xlfn.SWITCH(LEFT(Table1[[#This Row],[section]],1), "D", "Demographic", "S", "Social", "E", "Economic", "H", "Housing", "")</f>
        <v>Economic</v>
      </c>
      <c r="K1729" t="s">
        <v>5603</v>
      </c>
      <c r="L1729" t="s">
        <v>5604</v>
      </c>
      <c r="M1729" t="str">
        <f>IF(Table1[[#This Row],[used]], _xlfn.CONCAT("🆔 ", Table1[[#This Row],[variable]], ": ",Table1[[#This Row],[alias]]), "")</f>
        <v>🆔 B19301A_001E: White alone: Per capita income in the past 12 months in 2023 inflation-adjusted dollars</v>
      </c>
      <c r="O1729" t="s">
        <v>6221</v>
      </c>
      <c r="P1729" t="s">
        <v>6256</v>
      </c>
      <c r="Q1729" t="s">
        <v>41</v>
      </c>
      <c r="R1729" t="s">
        <v>6230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1</v>
      </c>
      <c r="AG1729" t="b">
        <v>0</v>
      </c>
    </row>
    <row r="1730" spans="1:33" x14ac:dyDescent="0.25">
      <c r="A1730" t="s">
        <v>32</v>
      </c>
      <c r="B1730">
        <v>1</v>
      </c>
      <c r="C1730" t="b">
        <v>0</v>
      </c>
      <c r="D1730" t="s">
        <v>5301</v>
      </c>
      <c r="E1730" t="s">
        <v>6226</v>
      </c>
      <c r="F1730" t="s">
        <v>6227</v>
      </c>
      <c r="G1730" t="s">
        <v>6257</v>
      </c>
      <c r="H1730">
        <v>1729</v>
      </c>
      <c r="I1730" t="str">
        <f>IF(ISBLANK(Table1[[#This Row],[oid]]),"FALSE","TRUE")</f>
        <v>TRUE</v>
      </c>
      <c r="J1730" t="str" cm="1">
        <f t="array" ref="J1730">_xlfn.SWITCH(LEFT(Table1[[#This Row],[section]],1), "D", "Demographic", "S", "Social", "E", "Economic", "H", "Housing", "")</f>
        <v>Economic</v>
      </c>
      <c r="K1730" t="s">
        <v>5603</v>
      </c>
      <c r="L1730" t="s">
        <v>5604</v>
      </c>
      <c r="M1730" t="str">
        <f>IF(Table1[[#This Row],[used]], _xlfn.CONCAT("🆔 ", Table1[[#This Row],[variable]], ": ",Table1[[#This Row],[alias]]), "")</f>
        <v>🆔 B19301A_001E: White alone: Per capita income in the past 12 months in 2024 inflation-adjusted dollars</v>
      </c>
      <c r="O1730" t="s">
        <v>6224</v>
      </c>
      <c r="P1730" t="s">
        <v>6258</v>
      </c>
      <c r="Q1730" t="s">
        <v>41</v>
      </c>
      <c r="R1730" t="s">
        <v>6230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1</v>
      </c>
    </row>
    <row r="1731" spans="1:33" x14ac:dyDescent="0.25">
      <c r="A1731" t="s">
        <v>18</v>
      </c>
      <c r="B1731">
        <v>1</v>
      </c>
      <c r="C1731" t="b">
        <v>0</v>
      </c>
      <c r="D1731" t="s">
        <v>5301</v>
      </c>
      <c r="E1731" t="s">
        <v>6259</v>
      </c>
      <c r="F1731" t="s">
        <v>6260</v>
      </c>
      <c r="G1731" t="s">
        <v>6261</v>
      </c>
      <c r="H1731">
        <v>1730</v>
      </c>
      <c r="I1731" t="str">
        <f>IF(ISBLANK(Table1[[#This Row],[oid]]),"FALSE","TRUE")</f>
        <v>TRUE</v>
      </c>
      <c r="J1731" t="str" cm="1">
        <f t="array" ref="J1731">_xlfn.SWITCH(LEFT(Table1[[#This Row],[section]],1), "D", "Demographic", "S", "Social", "E", "Economic", "H", "Housing", "")</f>
        <v>Economic</v>
      </c>
      <c r="K1731" t="s">
        <v>5603</v>
      </c>
      <c r="L1731" t="s">
        <v>5604</v>
      </c>
      <c r="M1731" t="str">
        <f>IF(Table1[[#This Row],[used]], _xlfn.CONCAT("🆔 ", Table1[[#This Row],[variable]], ": ",Table1[[#This Row],[alias]]), "")</f>
        <v>🆔 B19301B_001E: Black or African American alone: Per capita income in the past 12 months in 2010 inflation-adjusted dollars</v>
      </c>
      <c r="O1731" t="s">
        <v>6181</v>
      </c>
      <c r="P1731" t="s">
        <v>6262</v>
      </c>
      <c r="Q1731" t="s">
        <v>41</v>
      </c>
      <c r="R1731" t="s">
        <v>6263</v>
      </c>
      <c r="S1731" t="b">
        <v>1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</row>
    <row r="1732" spans="1:33" x14ac:dyDescent="0.25">
      <c r="A1732" t="s">
        <v>19</v>
      </c>
      <c r="B1732">
        <v>1</v>
      </c>
      <c r="C1732" t="b">
        <v>0</v>
      </c>
      <c r="D1732" t="s">
        <v>5301</v>
      </c>
      <c r="E1732" t="s">
        <v>6259</v>
      </c>
      <c r="F1732" t="s">
        <v>6260</v>
      </c>
      <c r="G1732" t="s">
        <v>6264</v>
      </c>
      <c r="H1732">
        <v>1731</v>
      </c>
      <c r="I1732" t="str">
        <f>IF(ISBLANK(Table1[[#This Row],[oid]]),"FALSE","TRUE")</f>
        <v>TRUE</v>
      </c>
      <c r="J1732" t="str" cm="1">
        <f t="array" ref="J1732">_xlfn.SWITCH(LEFT(Table1[[#This Row],[section]],1), "D", "Demographic", "S", "Social", "E", "Economic", "H", "Housing", "")</f>
        <v>Economic</v>
      </c>
      <c r="K1732" t="s">
        <v>5603</v>
      </c>
      <c r="L1732" t="s">
        <v>5604</v>
      </c>
      <c r="M1732" t="str">
        <f>IF(Table1[[#This Row],[used]], _xlfn.CONCAT("🆔 ", Table1[[#This Row],[variable]], ": ",Table1[[#This Row],[alias]]), "")</f>
        <v>🆔 B19301B_001E: Black or African American alone: Per capita income in the past 12 months in 2011 inflation-adjusted dollars</v>
      </c>
      <c r="O1732" t="s">
        <v>6185</v>
      </c>
      <c r="P1732" t="s">
        <v>6265</v>
      </c>
      <c r="Q1732" t="s">
        <v>41</v>
      </c>
      <c r="R1732" t="s">
        <v>6263</v>
      </c>
      <c r="S1732" t="b">
        <v>0</v>
      </c>
      <c r="T1732" t="b">
        <v>1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</row>
    <row r="1733" spans="1:33" x14ac:dyDescent="0.25">
      <c r="A1733" t="s">
        <v>20</v>
      </c>
      <c r="B1733">
        <v>1</v>
      </c>
      <c r="C1733" t="b">
        <v>0</v>
      </c>
      <c r="D1733" t="s">
        <v>5301</v>
      </c>
      <c r="E1733" t="s">
        <v>6259</v>
      </c>
      <c r="F1733" t="s">
        <v>6260</v>
      </c>
      <c r="G1733" t="s">
        <v>6266</v>
      </c>
      <c r="H1733">
        <v>1732</v>
      </c>
      <c r="I1733" t="str">
        <f>IF(ISBLANK(Table1[[#This Row],[oid]]),"FALSE","TRUE")</f>
        <v>TRUE</v>
      </c>
      <c r="J1733" t="str" cm="1">
        <f t="array" ref="J1733">_xlfn.SWITCH(LEFT(Table1[[#This Row],[section]],1), "D", "Demographic", "S", "Social", "E", "Economic", "H", "Housing", "")</f>
        <v>Economic</v>
      </c>
      <c r="K1733" t="s">
        <v>5603</v>
      </c>
      <c r="L1733" t="s">
        <v>5604</v>
      </c>
      <c r="M1733" t="str">
        <f>IF(Table1[[#This Row],[used]], _xlfn.CONCAT("🆔 ", Table1[[#This Row],[variable]], ": ",Table1[[#This Row],[alias]]), "")</f>
        <v>🆔 B19301B_001E: Black or African American alone: Per capita income in the past 12 months in 2012 inflation-adjusted dollars</v>
      </c>
      <c r="O1733" t="s">
        <v>6188</v>
      </c>
      <c r="P1733" t="s">
        <v>6267</v>
      </c>
      <c r="Q1733" t="s">
        <v>41</v>
      </c>
      <c r="R1733" t="s">
        <v>6263</v>
      </c>
      <c r="S1733" t="b">
        <v>0</v>
      </c>
      <c r="T1733" t="b">
        <v>0</v>
      </c>
      <c r="U1733" t="b">
        <v>1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</row>
    <row r="1734" spans="1:33" x14ac:dyDescent="0.25">
      <c r="A1734" t="s">
        <v>21</v>
      </c>
      <c r="B1734">
        <v>1</v>
      </c>
      <c r="C1734" t="b">
        <v>0</v>
      </c>
      <c r="D1734" t="s">
        <v>5301</v>
      </c>
      <c r="E1734" t="s">
        <v>6259</v>
      </c>
      <c r="F1734" t="s">
        <v>6260</v>
      </c>
      <c r="G1734" t="s">
        <v>6268</v>
      </c>
      <c r="H1734">
        <v>1733</v>
      </c>
      <c r="I1734" t="str">
        <f>IF(ISBLANK(Table1[[#This Row],[oid]]),"FALSE","TRUE")</f>
        <v>TRUE</v>
      </c>
      <c r="J1734" t="str" cm="1">
        <f t="array" ref="J1734">_xlfn.SWITCH(LEFT(Table1[[#This Row],[section]],1), "D", "Demographic", "S", "Social", "E", "Economic", "H", "Housing", "")</f>
        <v>Economic</v>
      </c>
      <c r="K1734" t="s">
        <v>5603</v>
      </c>
      <c r="L1734" t="s">
        <v>5604</v>
      </c>
      <c r="M1734" t="str">
        <f>IF(Table1[[#This Row],[used]], _xlfn.CONCAT("🆔 ", Table1[[#This Row],[variable]], ": ",Table1[[#This Row],[alias]]), "")</f>
        <v>🆔 B19301B_001E: Black or African American alone: Per capita income in the past 12 months in 2013 inflation-adjusted dollars</v>
      </c>
      <c r="O1734" t="s">
        <v>6191</v>
      </c>
      <c r="P1734" t="s">
        <v>6269</v>
      </c>
      <c r="Q1734" t="s">
        <v>41</v>
      </c>
      <c r="R1734" t="s">
        <v>6263</v>
      </c>
      <c r="S1734" t="b">
        <v>0</v>
      </c>
      <c r="T1734" t="b">
        <v>0</v>
      </c>
      <c r="U1734" t="b">
        <v>0</v>
      </c>
      <c r="V1734" t="b">
        <v>1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</row>
    <row r="1735" spans="1:33" x14ac:dyDescent="0.25">
      <c r="A1735" t="s">
        <v>22</v>
      </c>
      <c r="B1735">
        <v>1</v>
      </c>
      <c r="C1735" t="b">
        <v>0</v>
      </c>
      <c r="D1735" t="s">
        <v>5301</v>
      </c>
      <c r="E1735" t="s">
        <v>6259</v>
      </c>
      <c r="F1735" t="s">
        <v>6260</v>
      </c>
      <c r="G1735" t="s">
        <v>6270</v>
      </c>
      <c r="H1735">
        <v>1734</v>
      </c>
      <c r="I1735" t="str">
        <f>IF(ISBLANK(Table1[[#This Row],[oid]]),"FALSE","TRUE")</f>
        <v>TRUE</v>
      </c>
      <c r="J1735" t="str" cm="1">
        <f t="array" ref="J1735">_xlfn.SWITCH(LEFT(Table1[[#This Row],[section]],1), "D", "Demographic", "S", "Social", "E", "Economic", "H", "Housing", "")</f>
        <v>Economic</v>
      </c>
      <c r="K1735" t="s">
        <v>5603</v>
      </c>
      <c r="L1735" t="s">
        <v>5604</v>
      </c>
      <c r="M1735" t="str">
        <f>IF(Table1[[#This Row],[used]], _xlfn.CONCAT("🆔 ", Table1[[#This Row],[variable]], ": ",Table1[[#This Row],[alias]]), "")</f>
        <v>🆔 B19301B_001E: Black or African American alone: Per capita income in the past 12 months in 2014 Inflation-adjusted dollars</v>
      </c>
      <c r="O1735" t="s">
        <v>6194</v>
      </c>
      <c r="P1735" t="s">
        <v>6271</v>
      </c>
      <c r="Q1735" t="s">
        <v>41</v>
      </c>
      <c r="R1735" t="s">
        <v>6263</v>
      </c>
      <c r="S1735" t="b">
        <v>0</v>
      </c>
      <c r="T1735" t="b">
        <v>0</v>
      </c>
      <c r="U1735" t="b">
        <v>0</v>
      </c>
      <c r="V1735" t="b">
        <v>0</v>
      </c>
      <c r="W1735" t="b">
        <v>1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</row>
    <row r="1736" spans="1:33" x14ac:dyDescent="0.25">
      <c r="A1736" t="s">
        <v>23</v>
      </c>
      <c r="B1736">
        <v>1</v>
      </c>
      <c r="C1736" t="b">
        <v>0</v>
      </c>
      <c r="D1736" t="s">
        <v>5301</v>
      </c>
      <c r="E1736" t="s">
        <v>6259</v>
      </c>
      <c r="F1736" t="s">
        <v>6260</v>
      </c>
      <c r="G1736" t="s">
        <v>6272</v>
      </c>
      <c r="H1736">
        <v>1735</v>
      </c>
      <c r="I1736" t="str">
        <f>IF(ISBLANK(Table1[[#This Row],[oid]]),"FALSE","TRUE")</f>
        <v>TRUE</v>
      </c>
      <c r="J1736" t="str" cm="1">
        <f t="array" ref="J1736">_xlfn.SWITCH(LEFT(Table1[[#This Row],[section]],1), "D", "Demographic", "S", "Social", "E", "Economic", "H", "Housing", "")</f>
        <v>Economic</v>
      </c>
      <c r="K1736" t="s">
        <v>5603</v>
      </c>
      <c r="L1736" t="s">
        <v>5604</v>
      </c>
      <c r="M1736" t="str">
        <f>IF(Table1[[#This Row],[used]], _xlfn.CONCAT("🆔 ", Table1[[#This Row],[variable]], ": ",Table1[[#This Row],[alias]]), "")</f>
        <v>🆔 B19301B_001E: Black or African American alone: Per capita income in the past 12 months in 2015 Inflation-adjusted dollars</v>
      </c>
      <c r="O1736" t="s">
        <v>6197</v>
      </c>
      <c r="P1736" t="s">
        <v>6273</v>
      </c>
      <c r="Q1736" t="s">
        <v>41</v>
      </c>
      <c r="R1736" t="s">
        <v>6263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1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</row>
    <row r="1737" spans="1:33" x14ac:dyDescent="0.25">
      <c r="A1737" t="s">
        <v>24</v>
      </c>
      <c r="B1737">
        <v>1</v>
      </c>
      <c r="C1737" t="b">
        <v>0</v>
      </c>
      <c r="D1737" t="s">
        <v>5301</v>
      </c>
      <c r="E1737" t="s">
        <v>6259</v>
      </c>
      <c r="F1737" t="s">
        <v>6260</v>
      </c>
      <c r="G1737" t="s">
        <v>6274</v>
      </c>
      <c r="H1737">
        <v>1736</v>
      </c>
      <c r="I1737" t="str">
        <f>IF(ISBLANK(Table1[[#This Row],[oid]]),"FALSE","TRUE")</f>
        <v>TRUE</v>
      </c>
      <c r="J1737" t="str" cm="1">
        <f t="array" ref="J1737">_xlfn.SWITCH(LEFT(Table1[[#This Row],[section]],1), "D", "Demographic", "S", "Social", "E", "Economic", "H", "Housing", "")</f>
        <v>Economic</v>
      </c>
      <c r="K1737" t="s">
        <v>5603</v>
      </c>
      <c r="L1737" t="s">
        <v>5604</v>
      </c>
      <c r="M1737" t="str">
        <f>IF(Table1[[#This Row],[used]], _xlfn.CONCAT("🆔 ", Table1[[#This Row],[variable]], ": ",Table1[[#This Row],[alias]]), "")</f>
        <v>🆔 B19301B_001E: Black or African American alone: Per capita income in the past 12 months in 2016 inflation-adjusted dollars</v>
      </c>
      <c r="O1737" t="s">
        <v>6200</v>
      </c>
      <c r="P1737" t="s">
        <v>6275</v>
      </c>
      <c r="Q1737" t="s">
        <v>41</v>
      </c>
      <c r="R1737" t="s">
        <v>6263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1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</row>
    <row r="1738" spans="1:33" x14ac:dyDescent="0.25">
      <c r="A1738" t="s">
        <v>25</v>
      </c>
      <c r="B1738">
        <v>1</v>
      </c>
      <c r="C1738" t="b">
        <v>0</v>
      </c>
      <c r="D1738" t="s">
        <v>5301</v>
      </c>
      <c r="E1738" t="s">
        <v>6259</v>
      </c>
      <c r="F1738" t="s">
        <v>6260</v>
      </c>
      <c r="G1738" t="s">
        <v>6276</v>
      </c>
      <c r="H1738">
        <v>1737</v>
      </c>
      <c r="I1738" t="str">
        <f>IF(ISBLANK(Table1[[#This Row],[oid]]),"FALSE","TRUE")</f>
        <v>TRUE</v>
      </c>
      <c r="J1738" t="str" cm="1">
        <f t="array" ref="J1738">_xlfn.SWITCH(LEFT(Table1[[#This Row],[section]],1), "D", "Demographic", "S", "Social", "E", "Economic", "H", "Housing", "")</f>
        <v>Economic</v>
      </c>
      <c r="K1738" t="s">
        <v>5603</v>
      </c>
      <c r="L1738" t="s">
        <v>5604</v>
      </c>
      <c r="M1738" t="str">
        <f>IF(Table1[[#This Row],[used]], _xlfn.CONCAT("🆔 ", Table1[[#This Row],[variable]], ": ",Table1[[#This Row],[alias]]), "")</f>
        <v>🆔 B19301B_001E: Black or African American alone: Per capita income in the past 12 months in 2017 inflation-adjusted dollars</v>
      </c>
      <c r="O1738" t="s">
        <v>6203</v>
      </c>
      <c r="P1738" t="s">
        <v>6277</v>
      </c>
      <c r="Q1738" t="s">
        <v>41</v>
      </c>
      <c r="R1738" t="s">
        <v>6263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1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</row>
    <row r="1739" spans="1:33" x14ac:dyDescent="0.25">
      <c r="A1739" t="s">
        <v>26</v>
      </c>
      <c r="B1739">
        <v>1</v>
      </c>
      <c r="C1739" t="b">
        <v>0</v>
      </c>
      <c r="D1739" t="s">
        <v>5301</v>
      </c>
      <c r="E1739" t="s">
        <v>6259</v>
      </c>
      <c r="F1739" t="s">
        <v>6260</v>
      </c>
      <c r="G1739" t="s">
        <v>6278</v>
      </c>
      <c r="H1739">
        <v>1738</v>
      </c>
      <c r="I1739" t="str">
        <f>IF(ISBLANK(Table1[[#This Row],[oid]]),"FALSE","TRUE")</f>
        <v>TRUE</v>
      </c>
      <c r="J1739" t="str" cm="1">
        <f t="array" ref="J1739">_xlfn.SWITCH(LEFT(Table1[[#This Row],[section]],1), "D", "Demographic", "S", "Social", "E", "Economic", "H", "Housing", "")</f>
        <v>Economic</v>
      </c>
      <c r="K1739" t="s">
        <v>5603</v>
      </c>
      <c r="L1739" t="s">
        <v>5604</v>
      </c>
      <c r="M1739" t="str">
        <f>IF(Table1[[#This Row],[used]], _xlfn.CONCAT("🆔 ", Table1[[#This Row],[variable]], ": ",Table1[[#This Row],[alias]]), "")</f>
        <v>🆔 B19301B_001E: Black or African American alone: Per capita income in the past 12 months in 2018 inflation-adjusted dollars</v>
      </c>
      <c r="O1739" t="s">
        <v>6206</v>
      </c>
      <c r="P1739" t="s">
        <v>6279</v>
      </c>
      <c r="Q1739" t="s">
        <v>41</v>
      </c>
      <c r="R1739" t="s">
        <v>6263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1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</row>
    <row r="1740" spans="1:33" x14ac:dyDescent="0.25">
      <c r="A1740" t="s">
        <v>27</v>
      </c>
      <c r="B1740">
        <v>1</v>
      </c>
      <c r="C1740" t="b">
        <v>0</v>
      </c>
      <c r="D1740" t="s">
        <v>5301</v>
      </c>
      <c r="E1740" t="s">
        <v>6259</v>
      </c>
      <c r="F1740" t="s">
        <v>6260</v>
      </c>
      <c r="G1740" t="s">
        <v>6280</v>
      </c>
      <c r="H1740">
        <v>1739</v>
      </c>
      <c r="I1740" t="str">
        <f>IF(ISBLANK(Table1[[#This Row],[oid]]),"FALSE","TRUE")</f>
        <v>TRUE</v>
      </c>
      <c r="J1740" t="str" cm="1">
        <f t="array" ref="J1740">_xlfn.SWITCH(LEFT(Table1[[#This Row],[section]],1), "D", "Demographic", "S", "Social", "E", "Economic", "H", "Housing", "")</f>
        <v>Economic</v>
      </c>
      <c r="K1740" t="s">
        <v>5603</v>
      </c>
      <c r="L1740" t="s">
        <v>5604</v>
      </c>
      <c r="M1740" t="str">
        <f>IF(Table1[[#This Row],[used]], _xlfn.CONCAT("🆔 ", Table1[[#This Row],[variable]], ": ",Table1[[#This Row],[alias]]), "")</f>
        <v>🆔 B19301B_001E: Black or African American alone: Per capita income in the past 12 months in 2019 inflation-adjusted dollars</v>
      </c>
      <c r="O1740" t="s">
        <v>6209</v>
      </c>
      <c r="P1740" t="s">
        <v>6281</v>
      </c>
      <c r="Q1740" t="s">
        <v>41</v>
      </c>
      <c r="R1740" t="s">
        <v>6263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1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</row>
    <row r="1741" spans="1:33" x14ac:dyDescent="0.25">
      <c r="A1741" t="s">
        <v>28</v>
      </c>
      <c r="B1741">
        <v>1</v>
      </c>
      <c r="C1741" t="b">
        <v>0</v>
      </c>
      <c r="D1741" t="s">
        <v>5301</v>
      </c>
      <c r="E1741" t="s">
        <v>6259</v>
      </c>
      <c r="F1741" t="s">
        <v>6260</v>
      </c>
      <c r="G1741" t="s">
        <v>6282</v>
      </c>
      <c r="H1741">
        <v>1740</v>
      </c>
      <c r="I1741" t="str">
        <f>IF(ISBLANK(Table1[[#This Row],[oid]]),"FALSE","TRUE")</f>
        <v>TRUE</v>
      </c>
      <c r="J1741" t="str" cm="1">
        <f t="array" ref="J1741">_xlfn.SWITCH(LEFT(Table1[[#This Row],[section]],1), "D", "Demographic", "S", "Social", "E", "Economic", "H", "Housing", "")</f>
        <v>Economic</v>
      </c>
      <c r="K1741" t="s">
        <v>5603</v>
      </c>
      <c r="L1741" t="s">
        <v>5604</v>
      </c>
      <c r="M1741" t="str">
        <f>IF(Table1[[#This Row],[used]], _xlfn.CONCAT("🆔 ", Table1[[#This Row],[variable]], ": ",Table1[[#This Row],[alias]]), "")</f>
        <v>🆔 B19301B_001E: Black or African American alone: Per capita income in the past 12 months in 2020 inflation-adjusted dollars</v>
      </c>
      <c r="O1741" t="s">
        <v>6212</v>
      </c>
      <c r="P1741" t="s">
        <v>6283</v>
      </c>
      <c r="Q1741" t="s">
        <v>41</v>
      </c>
      <c r="R1741" t="s">
        <v>6263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1</v>
      </c>
      <c r="AD1741" t="b">
        <v>0</v>
      </c>
      <c r="AE1741" t="b">
        <v>0</v>
      </c>
      <c r="AF1741" t="b">
        <v>0</v>
      </c>
      <c r="AG1741" t="b">
        <v>0</v>
      </c>
    </row>
    <row r="1742" spans="1:33" x14ac:dyDescent="0.25">
      <c r="A1742" t="s">
        <v>29</v>
      </c>
      <c r="B1742">
        <v>1</v>
      </c>
      <c r="C1742" t="b">
        <v>0</v>
      </c>
      <c r="D1742" t="s">
        <v>5301</v>
      </c>
      <c r="E1742" t="s">
        <v>6259</v>
      </c>
      <c r="F1742" t="s">
        <v>6260</v>
      </c>
      <c r="G1742" t="s">
        <v>6284</v>
      </c>
      <c r="H1742">
        <v>1741</v>
      </c>
      <c r="I1742" t="str">
        <f>IF(ISBLANK(Table1[[#This Row],[oid]]),"FALSE","TRUE")</f>
        <v>TRUE</v>
      </c>
      <c r="J1742" t="str" cm="1">
        <f t="array" ref="J1742">_xlfn.SWITCH(LEFT(Table1[[#This Row],[section]],1), "D", "Demographic", "S", "Social", "E", "Economic", "H", "Housing", "")</f>
        <v>Economic</v>
      </c>
      <c r="K1742" t="s">
        <v>5603</v>
      </c>
      <c r="L1742" t="s">
        <v>5604</v>
      </c>
      <c r="M1742" t="str">
        <f>IF(Table1[[#This Row],[used]], _xlfn.CONCAT("🆔 ", Table1[[#This Row],[variable]], ": ",Table1[[#This Row],[alias]]), "")</f>
        <v>🆔 B19301B_001E: Black or African American alone: Per capita income in the past 12 months in 2021 inflation-adjusted dollars</v>
      </c>
      <c r="O1742" t="s">
        <v>6215</v>
      </c>
      <c r="P1742" t="s">
        <v>6285</v>
      </c>
      <c r="Q1742" t="s">
        <v>41</v>
      </c>
      <c r="R1742" t="s">
        <v>6263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1</v>
      </c>
      <c r="AE1742" t="b">
        <v>0</v>
      </c>
      <c r="AF1742" t="b">
        <v>0</v>
      </c>
      <c r="AG1742" t="b">
        <v>0</v>
      </c>
    </row>
    <row r="1743" spans="1:33" x14ac:dyDescent="0.25">
      <c r="A1743" t="s">
        <v>30</v>
      </c>
      <c r="B1743">
        <v>1</v>
      </c>
      <c r="C1743" t="b">
        <v>0</v>
      </c>
      <c r="D1743" t="s">
        <v>5301</v>
      </c>
      <c r="E1743" t="s">
        <v>6259</v>
      </c>
      <c r="F1743" t="s">
        <v>6260</v>
      </c>
      <c r="G1743" t="s">
        <v>6286</v>
      </c>
      <c r="H1743">
        <v>1742</v>
      </c>
      <c r="I1743" t="str">
        <f>IF(ISBLANK(Table1[[#This Row],[oid]]),"FALSE","TRUE")</f>
        <v>TRUE</v>
      </c>
      <c r="J1743" t="str" cm="1">
        <f t="array" ref="J1743">_xlfn.SWITCH(LEFT(Table1[[#This Row],[section]],1), "D", "Demographic", "S", "Social", "E", "Economic", "H", "Housing", "")</f>
        <v>Economic</v>
      </c>
      <c r="K1743" t="s">
        <v>5603</v>
      </c>
      <c r="L1743" t="s">
        <v>5604</v>
      </c>
      <c r="M1743" t="str">
        <f>IF(Table1[[#This Row],[used]], _xlfn.CONCAT("🆔 ", Table1[[#This Row],[variable]], ": ",Table1[[#This Row],[alias]]), "")</f>
        <v>🆔 B19301B_001E: Black or African American alone: Per capita income in the past 12 months in 2022 inflation-adjusted dollars</v>
      </c>
      <c r="O1743" t="s">
        <v>6218</v>
      </c>
      <c r="P1743" t="s">
        <v>6287</v>
      </c>
      <c r="Q1743" t="s">
        <v>41</v>
      </c>
      <c r="R1743" t="s">
        <v>6263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1</v>
      </c>
      <c r="AF1743" t="b">
        <v>0</v>
      </c>
      <c r="AG1743" t="b">
        <v>0</v>
      </c>
    </row>
    <row r="1744" spans="1:33" x14ac:dyDescent="0.25">
      <c r="A1744" t="s">
        <v>31</v>
      </c>
      <c r="B1744">
        <v>1</v>
      </c>
      <c r="C1744" t="b">
        <v>0</v>
      </c>
      <c r="D1744" t="s">
        <v>5301</v>
      </c>
      <c r="E1744" t="s">
        <v>6259</v>
      </c>
      <c r="F1744" t="s">
        <v>6260</v>
      </c>
      <c r="G1744" t="s">
        <v>6288</v>
      </c>
      <c r="H1744">
        <v>1743</v>
      </c>
      <c r="I1744" t="str">
        <f>IF(ISBLANK(Table1[[#This Row],[oid]]),"FALSE","TRUE")</f>
        <v>TRUE</v>
      </c>
      <c r="J1744" t="str" cm="1">
        <f t="array" ref="J1744">_xlfn.SWITCH(LEFT(Table1[[#This Row],[section]],1), "D", "Demographic", "S", "Social", "E", "Economic", "H", "Housing", "")</f>
        <v>Economic</v>
      </c>
      <c r="K1744" t="s">
        <v>5603</v>
      </c>
      <c r="L1744" t="s">
        <v>5604</v>
      </c>
      <c r="M1744" t="str">
        <f>IF(Table1[[#This Row],[used]], _xlfn.CONCAT("🆔 ", Table1[[#This Row],[variable]], ": ",Table1[[#This Row],[alias]]), "")</f>
        <v>🆔 B19301B_001E: Black or African American alone: Per capita income in the past 12 months in 2023 inflation-adjusted dollars</v>
      </c>
      <c r="O1744" t="s">
        <v>6221</v>
      </c>
      <c r="P1744" t="s">
        <v>6289</v>
      </c>
      <c r="Q1744" t="s">
        <v>41</v>
      </c>
      <c r="R1744" t="s">
        <v>6263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1</v>
      </c>
      <c r="AG1744" t="b">
        <v>0</v>
      </c>
    </row>
    <row r="1745" spans="1:33" x14ac:dyDescent="0.25">
      <c r="A1745" t="s">
        <v>32</v>
      </c>
      <c r="B1745">
        <v>1</v>
      </c>
      <c r="C1745" t="b">
        <v>0</v>
      </c>
      <c r="D1745" t="s">
        <v>5301</v>
      </c>
      <c r="E1745" t="s">
        <v>6259</v>
      </c>
      <c r="F1745" t="s">
        <v>6260</v>
      </c>
      <c r="G1745" t="s">
        <v>6290</v>
      </c>
      <c r="H1745">
        <v>1744</v>
      </c>
      <c r="I1745" t="str">
        <f>IF(ISBLANK(Table1[[#This Row],[oid]]),"FALSE","TRUE")</f>
        <v>TRUE</v>
      </c>
      <c r="J1745" t="str" cm="1">
        <f t="array" ref="J1745">_xlfn.SWITCH(LEFT(Table1[[#This Row],[section]],1), "D", "Demographic", "S", "Social", "E", "Economic", "H", "Housing", "")</f>
        <v>Economic</v>
      </c>
      <c r="K1745" t="s">
        <v>5603</v>
      </c>
      <c r="L1745" t="s">
        <v>5604</v>
      </c>
      <c r="M1745" t="str">
        <f>IF(Table1[[#This Row],[used]], _xlfn.CONCAT("🆔 ", Table1[[#This Row],[variable]], ": ",Table1[[#This Row],[alias]]), "")</f>
        <v>🆔 B19301B_001E: Black or African American alone: Per capita income in the past 12 months in 2024 inflation-adjusted dollars</v>
      </c>
      <c r="O1745" t="s">
        <v>6224</v>
      </c>
      <c r="P1745" t="s">
        <v>6291</v>
      </c>
      <c r="Q1745" t="s">
        <v>41</v>
      </c>
      <c r="R1745" t="s">
        <v>6263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1</v>
      </c>
    </row>
    <row r="1746" spans="1:33" x14ac:dyDescent="0.25">
      <c r="A1746" t="s">
        <v>18</v>
      </c>
      <c r="B1746">
        <v>1</v>
      </c>
      <c r="C1746" t="b">
        <v>0</v>
      </c>
      <c r="D1746" t="s">
        <v>5301</v>
      </c>
      <c r="E1746" t="s">
        <v>6292</v>
      </c>
      <c r="F1746" t="s">
        <v>6293</v>
      </c>
      <c r="G1746" t="s">
        <v>6294</v>
      </c>
      <c r="H1746">
        <v>1745</v>
      </c>
      <c r="I1746" t="str">
        <f>IF(ISBLANK(Table1[[#This Row],[oid]]),"FALSE","TRUE")</f>
        <v>TRUE</v>
      </c>
      <c r="J1746" t="str" cm="1">
        <f t="array" ref="J1746">_xlfn.SWITCH(LEFT(Table1[[#This Row],[section]],1), "D", "Demographic", "S", "Social", "E", "Economic", "H", "Housing", "")</f>
        <v>Economic</v>
      </c>
      <c r="K1746" t="s">
        <v>5603</v>
      </c>
      <c r="L1746" t="s">
        <v>5604</v>
      </c>
      <c r="M1746" t="str">
        <f>IF(Table1[[#This Row],[used]], _xlfn.CONCAT("🆔 ", Table1[[#This Row],[variable]], ": ",Table1[[#This Row],[alias]]), "")</f>
        <v>🆔 B19301C_001E: American Indian and Alaska Native alone: Per capita income in the past 12 months in 2010 inflation-adjusted dollars</v>
      </c>
      <c r="O1746" t="s">
        <v>6181</v>
      </c>
      <c r="P1746" t="s">
        <v>6295</v>
      </c>
      <c r="Q1746" t="s">
        <v>41</v>
      </c>
      <c r="R1746" t="s">
        <v>6296</v>
      </c>
      <c r="S1746" t="b">
        <v>1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</row>
    <row r="1747" spans="1:33" x14ac:dyDescent="0.25">
      <c r="A1747" t="s">
        <v>19</v>
      </c>
      <c r="B1747">
        <v>1</v>
      </c>
      <c r="C1747" t="b">
        <v>0</v>
      </c>
      <c r="D1747" t="s">
        <v>5301</v>
      </c>
      <c r="E1747" t="s">
        <v>6292</v>
      </c>
      <c r="F1747" t="s">
        <v>6293</v>
      </c>
      <c r="G1747" t="s">
        <v>6297</v>
      </c>
      <c r="H1747">
        <v>1746</v>
      </c>
      <c r="I1747" t="str">
        <f>IF(ISBLANK(Table1[[#This Row],[oid]]),"FALSE","TRUE")</f>
        <v>TRUE</v>
      </c>
      <c r="J1747" t="str" cm="1">
        <f t="array" ref="J1747">_xlfn.SWITCH(LEFT(Table1[[#This Row],[section]],1), "D", "Demographic", "S", "Social", "E", "Economic", "H", "Housing", "")</f>
        <v>Economic</v>
      </c>
      <c r="K1747" t="s">
        <v>5603</v>
      </c>
      <c r="L1747" t="s">
        <v>5604</v>
      </c>
      <c r="M1747" t="str">
        <f>IF(Table1[[#This Row],[used]], _xlfn.CONCAT("🆔 ", Table1[[#This Row],[variable]], ": ",Table1[[#This Row],[alias]]), "")</f>
        <v>🆔 B19301C_001E: American Indian and Alaska Native alone: Per capita income in the past 12 months in 2011 inflation-adjusted dollars</v>
      </c>
      <c r="O1747" t="s">
        <v>6185</v>
      </c>
      <c r="P1747" t="s">
        <v>6298</v>
      </c>
      <c r="Q1747" t="s">
        <v>41</v>
      </c>
      <c r="R1747" t="s">
        <v>6296</v>
      </c>
      <c r="S1747" t="b">
        <v>0</v>
      </c>
      <c r="T1747" t="b">
        <v>1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</row>
    <row r="1748" spans="1:33" x14ac:dyDescent="0.25">
      <c r="A1748" t="s">
        <v>20</v>
      </c>
      <c r="B1748">
        <v>1</v>
      </c>
      <c r="C1748" t="b">
        <v>0</v>
      </c>
      <c r="D1748" t="s">
        <v>5301</v>
      </c>
      <c r="E1748" t="s">
        <v>6292</v>
      </c>
      <c r="F1748" t="s">
        <v>6293</v>
      </c>
      <c r="G1748" t="s">
        <v>6299</v>
      </c>
      <c r="H1748">
        <v>1747</v>
      </c>
      <c r="I1748" t="str">
        <f>IF(ISBLANK(Table1[[#This Row],[oid]]),"FALSE","TRUE")</f>
        <v>TRUE</v>
      </c>
      <c r="J1748" t="str" cm="1">
        <f t="array" ref="J1748">_xlfn.SWITCH(LEFT(Table1[[#This Row],[section]],1), "D", "Demographic", "S", "Social", "E", "Economic", "H", "Housing", "")</f>
        <v>Economic</v>
      </c>
      <c r="K1748" t="s">
        <v>5603</v>
      </c>
      <c r="L1748" t="s">
        <v>5604</v>
      </c>
      <c r="M1748" t="str">
        <f>IF(Table1[[#This Row],[used]], _xlfn.CONCAT("🆔 ", Table1[[#This Row],[variable]], ": ",Table1[[#This Row],[alias]]), "")</f>
        <v>🆔 B19301C_001E: American Indian and Alaska Native alone: Per capita income in the past 12 months in 2012 inflation-adjusted dollars</v>
      </c>
      <c r="O1748" t="s">
        <v>6188</v>
      </c>
      <c r="P1748" t="s">
        <v>6300</v>
      </c>
      <c r="Q1748" t="s">
        <v>41</v>
      </c>
      <c r="R1748" t="s">
        <v>6296</v>
      </c>
      <c r="S1748" t="b">
        <v>0</v>
      </c>
      <c r="T1748" t="b">
        <v>0</v>
      </c>
      <c r="U1748" t="b">
        <v>1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</row>
    <row r="1749" spans="1:33" x14ac:dyDescent="0.25">
      <c r="A1749" t="s">
        <v>21</v>
      </c>
      <c r="B1749">
        <v>1</v>
      </c>
      <c r="C1749" t="b">
        <v>0</v>
      </c>
      <c r="D1749" t="s">
        <v>5301</v>
      </c>
      <c r="E1749" t="s">
        <v>6292</v>
      </c>
      <c r="F1749" t="s">
        <v>6293</v>
      </c>
      <c r="G1749" t="s">
        <v>6301</v>
      </c>
      <c r="H1749">
        <v>1748</v>
      </c>
      <c r="I1749" t="str">
        <f>IF(ISBLANK(Table1[[#This Row],[oid]]),"FALSE","TRUE")</f>
        <v>TRUE</v>
      </c>
      <c r="J1749" t="str" cm="1">
        <f t="array" ref="J1749">_xlfn.SWITCH(LEFT(Table1[[#This Row],[section]],1), "D", "Demographic", "S", "Social", "E", "Economic", "H", "Housing", "")</f>
        <v>Economic</v>
      </c>
      <c r="K1749" t="s">
        <v>5603</v>
      </c>
      <c r="L1749" t="s">
        <v>5604</v>
      </c>
      <c r="M1749" t="str">
        <f>IF(Table1[[#This Row],[used]], _xlfn.CONCAT("🆔 ", Table1[[#This Row],[variable]], ": ",Table1[[#This Row],[alias]]), "")</f>
        <v>🆔 B19301C_001E: American Indian and Alaska Native alone: Per capita income in the past 12 months in 2013 inflation-adjusted dollars</v>
      </c>
      <c r="O1749" t="s">
        <v>6191</v>
      </c>
      <c r="P1749" t="s">
        <v>6302</v>
      </c>
      <c r="Q1749" t="s">
        <v>41</v>
      </c>
      <c r="R1749" t="s">
        <v>6296</v>
      </c>
      <c r="S1749" t="b">
        <v>0</v>
      </c>
      <c r="T1749" t="b">
        <v>0</v>
      </c>
      <c r="U1749" t="b">
        <v>0</v>
      </c>
      <c r="V1749" t="b">
        <v>1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</row>
    <row r="1750" spans="1:33" x14ac:dyDescent="0.25">
      <c r="A1750" t="s">
        <v>22</v>
      </c>
      <c r="B1750">
        <v>1</v>
      </c>
      <c r="C1750" t="b">
        <v>0</v>
      </c>
      <c r="D1750" t="s">
        <v>5301</v>
      </c>
      <c r="E1750" t="s">
        <v>6292</v>
      </c>
      <c r="F1750" t="s">
        <v>6293</v>
      </c>
      <c r="G1750" t="s">
        <v>6303</v>
      </c>
      <c r="H1750">
        <v>1749</v>
      </c>
      <c r="I1750" t="str">
        <f>IF(ISBLANK(Table1[[#This Row],[oid]]),"FALSE","TRUE")</f>
        <v>TRUE</v>
      </c>
      <c r="J1750" t="str" cm="1">
        <f t="array" ref="J1750">_xlfn.SWITCH(LEFT(Table1[[#This Row],[section]],1), "D", "Demographic", "S", "Social", "E", "Economic", "H", "Housing", "")</f>
        <v>Economic</v>
      </c>
      <c r="K1750" t="s">
        <v>5603</v>
      </c>
      <c r="L1750" t="s">
        <v>5604</v>
      </c>
      <c r="M1750" t="str">
        <f>IF(Table1[[#This Row],[used]], _xlfn.CONCAT("🆔 ", Table1[[#This Row],[variable]], ": ",Table1[[#This Row],[alias]]), "")</f>
        <v>🆔 B19301C_001E: American Indian and Alaska Native alone: Per capita income in the past 12 months in 2014 Inflation-adjusted dollars</v>
      </c>
      <c r="O1750" t="s">
        <v>6194</v>
      </c>
      <c r="P1750" t="s">
        <v>6304</v>
      </c>
      <c r="Q1750" t="s">
        <v>41</v>
      </c>
      <c r="R1750" t="s">
        <v>6296</v>
      </c>
      <c r="S1750" t="b">
        <v>0</v>
      </c>
      <c r="T1750" t="b">
        <v>0</v>
      </c>
      <c r="U1750" t="b">
        <v>0</v>
      </c>
      <c r="V1750" t="b">
        <v>0</v>
      </c>
      <c r="W1750" t="b">
        <v>1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</row>
    <row r="1751" spans="1:33" x14ac:dyDescent="0.25">
      <c r="A1751" t="s">
        <v>23</v>
      </c>
      <c r="B1751">
        <v>1</v>
      </c>
      <c r="C1751" t="b">
        <v>0</v>
      </c>
      <c r="D1751" t="s">
        <v>5301</v>
      </c>
      <c r="E1751" t="s">
        <v>6292</v>
      </c>
      <c r="F1751" t="s">
        <v>6293</v>
      </c>
      <c r="G1751" t="s">
        <v>6305</v>
      </c>
      <c r="H1751">
        <v>1750</v>
      </c>
      <c r="I1751" t="str">
        <f>IF(ISBLANK(Table1[[#This Row],[oid]]),"FALSE","TRUE")</f>
        <v>TRUE</v>
      </c>
      <c r="J1751" t="str" cm="1">
        <f t="array" ref="J1751">_xlfn.SWITCH(LEFT(Table1[[#This Row],[section]],1), "D", "Demographic", "S", "Social", "E", "Economic", "H", "Housing", "")</f>
        <v>Economic</v>
      </c>
      <c r="K1751" t="s">
        <v>5603</v>
      </c>
      <c r="L1751" t="s">
        <v>5604</v>
      </c>
      <c r="M1751" t="str">
        <f>IF(Table1[[#This Row],[used]], _xlfn.CONCAT("🆔 ", Table1[[#This Row],[variable]], ": ",Table1[[#This Row],[alias]]), "")</f>
        <v>🆔 B19301C_001E: American Indian and Alaska Native alone: Per capita income in the past 12 months in 2015 Inflation-adjusted dollars</v>
      </c>
      <c r="O1751" t="s">
        <v>6197</v>
      </c>
      <c r="P1751" t="s">
        <v>6306</v>
      </c>
      <c r="Q1751" t="s">
        <v>41</v>
      </c>
      <c r="R1751" t="s">
        <v>6296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1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</row>
    <row r="1752" spans="1:33" x14ac:dyDescent="0.25">
      <c r="A1752" t="s">
        <v>24</v>
      </c>
      <c r="B1752">
        <v>1</v>
      </c>
      <c r="C1752" t="b">
        <v>0</v>
      </c>
      <c r="D1752" t="s">
        <v>5301</v>
      </c>
      <c r="E1752" t="s">
        <v>6292</v>
      </c>
      <c r="F1752" t="s">
        <v>6293</v>
      </c>
      <c r="G1752" t="s">
        <v>6307</v>
      </c>
      <c r="H1752">
        <v>1751</v>
      </c>
      <c r="I1752" t="str">
        <f>IF(ISBLANK(Table1[[#This Row],[oid]]),"FALSE","TRUE")</f>
        <v>TRUE</v>
      </c>
      <c r="J1752" t="str" cm="1">
        <f t="array" ref="J1752">_xlfn.SWITCH(LEFT(Table1[[#This Row],[section]],1), "D", "Demographic", "S", "Social", "E", "Economic", "H", "Housing", "")</f>
        <v>Economic</v>
      </c>
      <c r="K1752" t="s">
        <v>5603</v>
      </c>
      <c r="L1752" t="s">
        <v>5604</v>
      </c>
      <c r="M1752" t="str">
        <f>IF(Table1[[#This Row],[used]], _xlfn.CONCAT("🆔 ", Table1[[#This Row],[variable]], ": ",Table1[[#This Row],[alias]]), "")</f>
        <v>🆔 B19301C_001E: American Indian and Alaska Native alone: Per capita income in the past 12 months in 2016 inflation-adjusted dollars</v>
      </c>
      <c r="O1752" t="s">
        <v>6200</v>
      </c>
      <c r="P1752" t="s">
        <v>6308</v>
      </c>
      <c r="Q1752" t="s">
        <v>41</v>
      </c>
      <c r="R1752" t="s">
        <v>6296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1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</row>
    <row r="1753" spans="1:33" x14ac:dyDescent="0.25">
      <c r="A1753" t="s">
        <v>25</v>
      </c>
      <c r="B1753">
        <v>1</v>
      </c>
      <c r="C1753" t="b">
        <v>0</v>
      </c>
      <c r="D1753" t="s">
        <v>5301</v>
      </c>
      <c r="E1753" t="s">
        <v>6292</v>
      </c>
      <c r="F1753" t="s">
        <v>6293</v>
      </c>
      <c r="G1753" t="s">
        <v>6309</v>
      </c>
      <c r="H1753">
        <v>1752</v>
      </c>
      <c r="I1753" t="str">
        <f>IF(ISBLANK(Table1[[#This Row],[oid]]),"FALSE","TRUE")</f>
        <v>TRUE</v>
      </c>
      <c r="J1753" t="str" cm="1">
        <f t="array" ref="J1753">_xlfn.SWITCH(LEFT(Table1[[#This Row],[section]],1), "D", "Demographic", "S", "Social", "E", "Economic", "H", "Housing", "")</f>
        <v>Economic</v>
      </c>
      <c r="K1753" t="s">
        <v>5603</v>
      </c>
      <c r="L1753" t="s">
        <v>5604</v>
      </c>
      <c r="M1753" t="str">
        <f>IF(Table1[[#This Row],[used]], _xlfn.CONCAT("🆔 ", Table1[[#This Row],[variable]], ": ",Table1[[#This Row],[alias]]), "")</f>
        <v>🆔 B19301C_001E: American Indian and Alaska Native alone: Per capita income in the past 12 months in 2017 inflation-adjusted dollars</v>
      </c>
      <c r="O1753" t="s">
        <v>6203</v>
      </c>
      <c r="P1753" t="s">
        <v>6310</v>
      </c>
      <c r="Q1753" t="s">
        <v>41</v>
      </c>
      <c r="R1753" t="s">
        <v>6296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1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</row>
    <row r="1754" spans="1:33" x14ac:dyDescent="0.25">
      <c r="A1754" t="s">
        <v>26</v>
      </c>
      <c r="B1754">
        <v>1</v>
      </c>
      <c r="C1754" t="b">
        <v>0</v>
      </c>
      <c r="D1754" t="s">
        <v>5301</v>
      </c>
      <c r="E1754" t="s">
        <v>6292</v>
      </c>
      <c r="F1754" t="s">
        <v>6293</v>
      </c>
      <c r="G1754" t="s">
        <v>6311</v>
      </c>
      <c r="H1754">
        <v>1753</v>
      </c>
      <c r="I1754" t="str">
        <f>IF(ISBLANK(Table1[[#This Row],[oid]]),"FALSE","TRUE")</f>
        <v>TRUE</v>
      </c>
      <c r="J1754" t="str" cm="1">
        <f t="array" ref="J1754">_xlfn.SWITCH(LEFT(Table1[[#This Row],[section]],1), "D", "Demographic", "S", "Social", "E", "Economic", "H", "Housing", "")</f>
        <v>Economic</v>
      </c>
      <c r="K1754" t="s">
        <v>5603</v>
      </c>
      <c r="L1754" t="s">
        <v>5604</v>
      </c>
      <c r="M1754" t="str">
        <f>IF(Table1[[#This Row],[used]], _xlfn.CONCAT("🆔 ", Table1[[#This Row],[variable]], ": ",Table1[[#This Row],[alias]]), "")</f>
        <v>🆔 B19301C_001E: American Indian and Alaska Native alone: Per capita income in the past 12 months in 2018 inflation-adjusted dollars</v>
      </c>
      <c r="O1754" t="s">
        <v>6206</v>
      </c>
      <c r="P1754" t="s">
        <v>6312</v>
      </c>
      <c r="Q1754" t="s">
        <v>41</v>
      </c>
      <c r="R1754" t="s">
        <v>6296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1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</row>
    <row r="1755" spans="1:33" x14ac:dyDescent="0.25">
      <c r="A1755" t="s">
        <v>27</v>
      </c>
      <c r="B1755">
        <v>1</v>
      </c>
      <c r="C1755" t="b">
        <v>0</v>
      </c>
      <c r="D1755" t="s">
        <v>5301</v>
      </c>
      <c r="E1755" t="s">
        <v>6292</v>
      </c>
      <c r="F1755" t="s">
        <v>6293</v>
      </c>
      <c r="G1755" t="s">
        <v>6313</v>
      </c>
      <c r="H1755">
        <v>1754</v>
      </c>
      <c r="I1755" t="str">
        <f>IF(ISBLANK(Table1[[#This Row],[oid]]),"FALSE","TRUE")</f>
        <v>TRUE</v>
      </c>
      <c r="J1755" t="str" cm="1">
        <f t="array" ref="J1755">_xlfn.SWITCH(LEFT(Table1[[#This Row],[section]],1), "D", "Demographic", "S", "Social", "E", "Economic", "H", "Housing", "")</f>
        <v>Economic</v>
      </c>
      <c r="K1755" t="s">
        <v>5603</v>
      </c>
      <c r="L1755" t="s">
        <v>5604</v>
      </c>
      <c r="M1755" t="str">
        <f>IF(Table1[[#This Row],[used]], _xlfn.CONCAT("🆔 ", Table1[[#This Row],[variable]], ": ",Table1[[#This Row],[alias]]), "")</f>
        <v>🆔 B19301C_001E: American Indian and Alaska Native alone: Per capita income in the past 12 months in 2019 inflation-adjusted dollars</v>
      </c>
      <c r="O1755" t="s">
        <v>6209</v>
      </c>
      <c r="P1755" t="s">
        <v>6314</v>
      </c>
      <c r="Q1755" t="s">
        <v>41</v>
      </c>
      <c r="R1755" t="s">
        <v>6296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1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</row>
    <row r="1756" spans="1:33" x14ac:dyDescent="0.25">
      <c r="A1756" t="s">
        <v>28</v>
      </c>
      <c r="B1756">
        <v>1</v>
      </c>
      <c r="C1756" t="b">
        <v>0</v>
      </c>
      <c r="D1756" t="s">
        <v>5301</v>
      </c>
      <c r="E1756" t="s">
        <v>6292</v>
      </c>
      <c r="F1756" t="s">
        <v>6293</v>
      </c>
      <c r="G1756" t="s">
        <v>6315</v>
      </c>
      <c r="H1756">
        <v>1755</v>
      </c>
      <c r="I1756" t="str">
        <f>IF(ISBLANK(Table1[[#This Row],[oid]]),"FALSE","TRUE")</f>
        <v>TRUE</v>
      </c>
      <c r="J1756" t="str" cm="1">
        <f t="array" ref="J1756">_xlfn.SWITCH(LEFT(Table1[[#This Row],[section]],1), "D", "Demographic", "S", "Social", "E", "Economic", "H", "Housing", "")</f>
        <v>Economic</v>
      </c>
      <c r="K1756" t="s">
        <v>5603</v>
      </c>
      <c r="L1756" t="s">
        <v>5604</v>
      </c>
      <c r="M1756" t="str">
        <f>IF(Table1[[#This Row],[used]], _xlfn.CONCAT("🆔 ", Table1[[#This Row],[variable]], ": ",Table1[[#This Row],[alias]]), "")</f>
        <v>🆔 B19301C_001E: American Indian and Alaska Native alone: Per capita income in the past 12 months in 2020 inflation-adjusted dollars</v>
      </c>
      <c r="O1756" t="s">
        <v>6212</v>
      </c>
      <c r="P1756" t="s">
        <v>6316</v>
      </c>
      <c r="Q1756" t="s">
        <v>41</v>
      </c>
      <c r="R1756" t="s">
        <v>6296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1</v>
      </c>
      <c r="AD1756" t="b">
        <v>0</v>
      </c>
      <c r="AE1756" t="b">
        <v>0</v>
      </c>
      <c r="AF1756" t="b">
        <v>0</v>
      </c>
      <c r="AG1756" t="b">
        <v>0</v>
      </c>
    </row>
    <row r="1757" spans="1:33" x14ac:dyDescent="0.25">
      <c r="A1757" t="s">
        <v>29</v>
      </c>
      <c r="B1757">
        <v>1</v>
      </c>
      <c r="C1757" t="b">
        <v>0</v>
      </c>
      <c r="D1757" t="s">
        <v>5301</v>
      </c>
      <c r="E1757" t="s">
        <v>6292</v>
      </c>
      <c r="F1757" t="s">
        <v>6293</v>
      </c>
      <c r="G1757" t="s">
        <v>6317</v>
      </c>
      <c r="H1757">
        <v>1756</v>
      </c>
      <c r="I1757" t="str">
        <f>IF(ISBLANK(Table1[[#This Row],[oid]]),"FALSE","TRUE")</f>
        <v>TRUE</v>
      </c>
      <c r="J1757" t="str" cm="1">
        <f t="array" ref="J1757">_xlfn.SWITCH(LEFT(Table1[[#This Row],[section]],1), "D", "Demographic", "S", "Social", "E", "Economic", "H", "Housing", "")</f>
        <v>Economic</v>
      </c>
      <c r="K1757" t="s">
        <v>5603</v>
      </c>
      <c r="L1757" t="s">
        <v>5604</v>
      </c>
      <c r="M1757" t="str">
        <f>IF(Table1[[#This Row],[used]], _xlfn.CONCAT("🆔 ", Table1[[#This Row],[variable]], ": ",Table1[[#This Row],[alias]]), "")</f>
        <v>🆔 B19301C_001E: American Indian and Alaska Native alone: Per capita income in the past 12 months in 2021 inflation-adjusted dollars</v>
      </c>
      <c r="O1757" t="s">
        <v>6215</v>
      </c>
      <c r="P1757" t="s">
        <v>6318</v>
      </c>
      <c r="Q1757" t="s">
        <v>41</v>
      </c>
      <c r="R1757" t="s">
        <v>6296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1</v>
      </c>
      <c r="AE1757" t="b">
        <v>0</v>
      </c>
      <c r="AF1757" t="b">
        <v>0</v>
      </c>
      <c r="AG1757" t="b">
        <v>0</v>
      </c>
    </row>
    <row r="1758" spans="1:33" x14ac:dyDescent="0.25">
      <c r="A1758" t="s">
        <v>30</v>
      </c>
      <c r="B1758">
        <v>1</v>
      </c>
      <c r="C1758" t="b">
        <v>0</v>
      </c>
      <c r="D1758" t="s">
        <v>5301</v>
      </c>
      <c r="E1758" t="s">
        <v>6292</v>
      </c>
      <c r="F1758" t="s">
        <v>6293</v>
      </c>
      <c r="G1758" t="s">
        <v>6319</v>
      </c>
      <c r="H1758">
        <v>1757</v>
      </c>
      <c r="I1758" t="str">
        <f>IF(ISBLANK(Table1[[#This Row],[oid]]),"FALSE","TRUE")</f>
        <v>TRUE</v>
      </c>
      <c r="J1758" t="str" cm="1">
        <f t="array" ref="J1758">_xlfn.SWITCH(LEFT(Table1[[#This Row],[section]],1), "D", "Demographic", "S", "Social", "E", "Economic", "H", "Housing", "")</f>
        <v>Economic</v>
      </c>
      <c r="K1758" t="s">
        <v>5603</v>
      </c>
      <c r="L1758" t="s">
        <v>5604</v>
      </c>
      <c r="M1758" t="str">
        <f>IF(Table1[[#This Row],[used]], _xlfn.CONCAT("🆔 ", Table1[[#This Row],[variable]], ": ",Table1[[#This Row],[alias]]), "")</f>
        <v>🆔 B19301C_001E: American Indian and Alaska Native alone: Per capita income in the past 12 months in 2022 inflation-adjusted dollars</v>
      </c>
      <c r="O1758" t="s">
        <v>6218</v>
      </c>
      <c r="P1758" t="s">
        <v>6320</v>
      </c>
      <c r="Q1758" t="s">
        <v>41</v>
      </c>
      <c r="R1758" t="s">
        <v>6296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1</v>
      </c>
      <c r="AF1758" t="b">
        <v>0</v>
      </c>
      <c r="AG1758" t="b">
        <v>0</v>
      </c>
    </row>
    <row r="1759" spans="1:33" x14ac:dyDescent="0.25">
      <c r="A1759" t="s">
        <v>31</v>
      </c>
      <c r="B1759">
        <v>1</v>
      </c>
      <c r="C1759" t="b">
        <v>0</v>
      </c>
      <c r="D1759" t="s">
        <v>5301</v>
      </c>
      <c r="E1759" t="s">
        <v>6292</v>
      </c>
      <c r="F1759" t="s">
        <v>6293</v>
      </c>
      <c r="G1759" t="s">
        <v>6321</v>
      </c>
      <c r="H1759">
        <v>1758</v>
      </c>
      <c r="I1759" t="str">
        <f>IF(ISBLANK(Table1[[#This Row],[oid]]),"FALSE","TRUE")</f>
        <v>TRUE</v>
      </c>
      <c r="J1759" t="str" cm="1">
        <f t="array" ref="J1759">_xlfn.SWITCH(LEFT(Table1[[#This Row],[section]],1), "D", "Demographic", "S", "Social", "E", "Economic", "H", "Housing", "")</f>
        <v>Economic</v>
      </c>
      <c r="K1759" t="s">
        <v>5603</v>
      </c>
      <c r="L1759" t="s">
        <v>5604</v>
      </c>
      <c r="M1759" t="str">
        <f>IF(Table1[[#This Row],[used]], _xlfn.CONCAT("🆔 ", Table1[[#This Row],[variable]], ": ",Table1[[#This Row],[alias]]), "")</f>
        <v>🆔 B19301C_001E: American Indian and Alaska Native alone: Per capita income in the past 12 months in 2023 inflation-adjusted dollars</v>
      </c>
      <c r="O1759" t="s">
        <v>6221</v>
      </c>
      <c r="P1759" t="s">
        <v>6322</v>
      </c>
      <c r="Q1759" t="s">
        <v>41</v>
      </c>
      <c r="R1759" t="s">
        <v>6296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1</v>
      </c>
      <c r="AG1759" t="b">
        <v>0</v>
      </c>
    </row>
    <row r="1760" spans="1:33" x14ac:dyDescent="0.25">
      <c r="A1760" t="s">
        <v>32</v>
      </c>
      <c r="B1760">
        <v>1</v>
      </c>
      <c r="C1760" t="b">
        <v>0</v>
      </c>
      <c r="D1760" t="s">
        <v>5301</v>
      </c>
      <c r="E1760" t="s">
        <v>6292</v>
      </c>
      <c r="F1760" t="s">
        <v>6293</v>
      </c>
      <c r="G1760" t="s">
        <v>6323</v>
      </c>
      <c r="H1760">
        <v>1759</v>
      </c>
      <c r="I1760" t="str">
        <f>IF(ISBLANK(Table1[[#This Row],[oid]]),"FALSE","TRUE")</f>
        <v>TRUE</v>
      </c>
      <c r="J1760" t="str" cm="1">
        <f t="array" ref="J1760">_xlfn.SWITCH(LEFT(Table1[[#This Row],[section]],1), "D", "Demographic", "S", "Social", "E", "Economic", "H", "Housing", "")</f>
        <v>Economic</v>
      </c>
      <c r="K1760" t="s">
        <v>5603</v>
      </c>
      <c r="L1760" t="s">
        <v>5604</v>
      </c>
      <c r="M1760" t="str">
        <f>IF(Table1[[#This Row],[used]], _xlfn.CONCAT("🆔 ", Table1[[#This Row],[variable]], ": ",Table1[[#This Row],[alias]]), "")</f>
        <v>🆔 B19301C_001E: American Indian and Alaska Native alone: Per capita income in the past 12 months in 2024 inflation-adjusted dollars</v>
      </c>
      <c r="O1760" t="s">
        <v>6224</v>
      </c>
      <c r="P1760" t="s">
        <v>6324</v>
      </c>
      <c r="Q1760" t="s">
        <v>41</v>
      </c>
      <c r="R1760" t="s">
        <v>6296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1</v>
      </c>
    </row>
    <row r="1761" spans="1:33" x14ac:dyDescent="0.25">
      <c r="A1761" t="s">
        <v>18</v>
      </c>
      <c r="B1761">
        <v>1</v>
      </c>
      <c r="C1761" t="b">
        <v>0</v>
      </c>
      <c r="D1761" t="s">
        <v>5301</v>
      </c>
      <c r="E1761" t="s">
        <v>6325</v>
      </c>
      <c r="F1761" t="s">
        <v>6326</v>
      </c>
      <c r="G1761" t="s">
        <v>6327</v>
      </c>
      <c r="H1761">
        <v>1760</v>
      </c>
      <c r="I1761" t="str">
        <f>IF(ISBLANK(Table1[[#This Row],[oid]]),"FALSE","TRUE")</f>
        <v>TRUE</v>
      </c>
      <c r="J1761" t="str" cm="1">
        <f t="array" ref="J1761">_xlfn.SWITCH(LEFT(Table1[[#This Row],[section]],1), "D", "Demographic", "S", "Social", "E", "Economic", "H", "Housing", "")</f>
        <v>Economic</v>
      </c>
      <c r="K1761" t="s">
        <v>5603</v>
      </c>
      <c r="L1761" t="s">
        <v>5604</v>
      </c>
      <c r="M1761" t="str">
        <f>IF(Table1[[#This Row],[used]], _xlfn.CONCAT("🆔 ", Table1[[#This Row],[variable]], ": ",Table1[[#This Row],[alias]]), "")</f>
        <v>🆔 B19301D_001E: Asian alone: Per capita income in the past 12 months in 2010 inflation-adjusted dollars</v>
      </c>
      <c r="O1761" t="s">
        <v>6181</v>
      </c>
      <c r="P1761" t="s">
        <v>6328</v>
      </c>
      <c r="Q1761" t="s">
        <v>41</v>
      </c>
      <c r="R1761" t="s">
        <v>6329</v>
      </c>
      <c r="S1761" t="b">
        <v>1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</row>
    <row r="1762" spans="1:33" x14ac:dyDescent="0.25">
      <c r="A1762" t="s">
        <v>19</v>
      </c>
      <c r="B1762">
        <v>1</v>
      </c>
      <c r="C1762" t="b">
        <v>0</v>
      </c>
      <c r="D1762" t="s">
        <v>5301</v>
      </c>
      <c r="E1762" t="s">
        <v>6325</v>
      </c>
      <c r="F1762" t="s">
        <v>6326</v>
      </c>
      <c r="G1762" t="s">
        <v>6330</v>
      </c>
      <c r="H1762">
        <v>1761</v>
      </c>
      <c r="I1762" t="str">
        <f>IF(ISBLANK(Table1[[#This Row],[oid]]),"FALSE","TRUE")</f>
        <v>TRUE</v>
      </c>
      <c r="J1762" t="str" cm="1">
        <f t="array" ref="J1762">_xlfn.SWITCH(LEFT(Table1[[#This Row],[section]],1), "D", "Demographic", "S", "Social", "E", "Economic", "H", "Housing", "")</f>
        <v>Economic</v>
      </c>
      <c r="K1762" t="s">
        <v>5603</v>
      </c>
      <c r="L1762" t="s">
        <v>5604</v>
      </c>
      <c r="M1762" t="str">
        <f>IF(Table1[[#This Row],[used]], _xlfn.CONCAT("🆔 ", Table1[[#This Row],[variable]], ": ",Table1[[#This Row],[alias]]), "")</f>
        <v>🆔 B19301D_001E: Asian alone: Per capita income in the past 12 months in 2011 inflation-adjusted dollars</v>
      </c>
      <c r="O1762" t="s">
        <v>6185</v>
      </c>
      <c r="P1762" t="s">
        <v>6331</v>
      </c>
      <c r="Q1762" t="s">
        <v>41</v>
      </c>
      <c r="R1762" t="s">
        <v>6329</v>
      </c>
      <c r="S1762" t="b">
        <v>0</v>
      </c>
      <c r="T1762" t="b">
        <v>1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</row>
    <row r="1763" spans="1:33" x14ac:dyDescent="0.25">
      <c r="A1763" t="s">
        <v>20</v>
      </c>
      <c r="B1763">
        <v>1</v>
      </c>
      <c r="C1763" t="b">
        <v>0</v>
      </c>
      <c r="D1763" t="s">
        <v>5301</v>
      </c>
      <c r="E1763" t="s">
        <v>6325</v>
      </c>
      <c r="F1763" t="s">
        <v>6326</v>
      </c>
      <c r="G1763" t="s">
        <v>6332</v>
      </c>
      <c r="H1763">
        <v>1762</v>
      </c>
      <c r="I1763" t="str">
        <f>IF(ISBLANK(Table1[[#This Row],[oid]]),"FALSE","TRUE")</f>
        <v>TRUE</v>
      </c>
      <c r="J1763" t="str" cm="1">
        <f t="array" ref="J1763">_xlfn.SWITCH(LEFT(Table1[[#This Row],[section]],1), "D", "Demographic", "S", "Social", "E", "Economic", "H", "Housing", "")</f>
        <v>Economic</v>
      </c>
      <c r="K1763" t="s">
        <v>5603</v>
      </c>
      <c r="L1763" t="s">
        <v>5604</v>
      </c>
      <c r="M1763" t="str">
        <f>IF(Table1[[#This Row],[used]], _xlfn.CONCAT("🆔 ", Table1[[#This Row],[variable]], ": ",Table1[[#This Row],[alias]]), "")</f>
        <v>🆔 B19301D_001E: Asian alone: Per capita income in the past 12 months in 2012 inflation-adjusted dollars</v>
      </c>
      <c r="O1763" t="s">
        <v>6188</v>
      </c>
      <c r="P1763" t="s">
        <v>6333</v>
      </c>
      <c r="Q1763" t="s">
        <v>41</v>
      </c>
      <c r="R1763" t="s">
        <v>6329</v>
      </c>
      <c r="S1763" t="b">
        <v>0</v>
      </c>
      <c r="T1763" t="b">
        <v>0</v>
      </c>
      <c r="U1763" t="b">
        <v>1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</row>
    <row r="1764" spans="1:33" x14ac:dyDescent="0.25">
      <c r="A1764" t="s">
        <v>21</v>
      </c>
      <c r="B1764">
        <v>1</v>
      </c>
      <c r="C1764" t="b">
        <v>0</v>
      </c>
      <c r="D1764" t="s">
        <v>5301</v>
      </c>
      <c r="E1764" t="s">
        <v>6325</v>
      </c>
      <c r="F1764" t="s">
        <v>6326</v>
      </c>
      <c r="G1764" t="s">
        <v>6334</v>
      </c>
      <c r="H1764">
        <v>1763</v>
      </c>
      <c r="I1764" t="str">
        <f>IF(ISBLANK(Table1[[#This Row],[oid]]),"FALSE","TRUE")</f>
        <v>TRUE</v>
      </c>
      <c r="J1764" t="str" cm="1">
        <f t="array" ref="J1764">_xlfn.SWITCH(LEFT(Table1[[#This Row],[section]],1), "D", "Demographic", "S", "Social", "E", "Economic", "H", "Housing", "")</f>
        <v>Economic</v>
      </c>
      <c r="K1764" t="s">
        <v>5603</v>
      </c>
      <c r="L1764" t="s">
        <v>5604</v>
      </c>
      <c r="M1764" t="str">
        <f>IF(Table1[[#This Row],[used]], _xlfn.CONCAT("🆔 ", Table1[[#This Row],[variable]], ": ",Table1[[#This Row],[alias]]), "")</f>
        <v>🆔 B19301D_001E: Asian alone: Per capita income in the past 12 months in 2013 inflation-adjusted dollars</v>
      </c>
      <c r="O1764" t="s">
        <v>6191</v>
      </c>
      <c r="P1764" t="s">
        <v>6335</v>
      </c>
      <c r="Q1764" t="s">
        <v>41</v>
      </c>
      <c r="R1764" t="s">
        <v>6329</v>
      </c>
      <c r="S1764" t="b">
        <v>0</v>
      </c>
      <c r="T1764" t="b">
        <v>0</v>
      </c>
      <c r="U1764" t="b">
        <v>0</v>
      </c>
      <c r="V1764" t="b">
        <v>1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</row>
    <row r="1765" spans="1:33" x14ac:dyDescent="0.25">
      <c r="A1765" t="s">
        <v>22</v>
      </c>
      <c r="B1765">
        <v>1</v>
      </c>
      <c r="C1765" t="b">
        <v>0</v>
      </c>
      <c r="D1765" t="s">
        <v>5301</v>
      </c>
      <c r="E1765" t="s">
        <v>6325</v>
      </c>
      <c r="F1765" t="s">
        <v>6326</v>
      </c>
      <c r="G1765" t="s">
        <v>6336</v>
      </c>
      <c r="H1765">
        <v>1764</v>
      </c>
      <c r="I1765" t="str">
        <f>IF(ISBLANK(Table1[[#This Row],[oid]]),"FALSE","TRUE")</f>
        <v>TRUE</v>
      </c>
      <c r="J1765" t="str" cm="1">
        <f t="array" ref="J1765">_xlfn.SWITCH(LEFT(Table1[[#This Row],[section]],1), "D", "Demographic", "S", "Social", "E", "Economic", "H", "Housing", "")</f>
        <v>Economic</v>
      </c>
      <c r="K1765" t="s">
        <v>5603</v>
      </c>
      <c r="L1765" t="s">
        <v>5604</v>
      </c>
      <c r="M1765" t="str">
        <f>IF(Table1[[#This Row],[used]], _xlfn.CONCAT("🆔 ", Table1[[#This Row],[variable]], ": ",Table1[[#This Row],[alias]]), "")</f>
        <v>🆔 B19301D_001E: Asian alone: Per capita income in the past 12 months in 2014 Inflation-adjusted dollars</v>
      </c>
      <c r="O1765" t="s">
        <v>6194</v>
      </c>
      <c r="P1765" t="s">
        <v>6337</v>
      </c>
      <c r="Q1765" t="s">
        <v>41</v>
      </c>
      <c r="R1765" t="s">
        <v>6329</v>
      </c>
      <c r="S1765" t="b">
        <v>0</v>
      </c>
      <c r="T1765" t="b">
        <v>0</v>
      </c>
      <c r="U1765" t="b">
        <v>0</v>
      </c>
      <c r="V1765" t="b">
        <v>0</v>
      </c>
      <c r="W1765" t="b">
        <v>1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</row>
    <row r="1766" spans="1:33" x14ac:dyDescent="0.25">
      <c r="A1766" t="s">
        <v>23</v>
      </c>
      <c r="B1766">
        <v>1</v>
      </c>
      <c r="C1766" t="b">
        <v>0</v>
      </c>
      <c r="D1766" t="s">
        <v>5301</v>
      </c>
      <c r="E1766" t="s">
        <v>6325</v>
      </c>
      <c r="F1766" t="s">
        <v>6326</v>
      </c>
      <c r="G1766" t="s">
        <v>6338</v>
      </c>
      <c r="H1766">
        <v>1765</v>
      </c>
      <c r="I1766" t="str">
        <f>IF(ISBLANK(Table1[[#This Row],[oid]]),"FALSE","TRUE")</f>
        <v>TRUE</v>
      </c>
      <c r="J1766" t="str" cm="1">
        <f t="array" ref="J1766">_xlfn.SWITCH(LEFT(Table1[[#This Row],[section]],1), "D", "Demographic", "S", "Social", "E", "Economic", "H", "Housing", "")</f>
        <v>Economic</v>
      </c>
      <c r="K1766" t="s">
        <v>5603</v>
      </c>
      <c r="L1766" t="s">
        <v>5604</v>
      </c>
      <c r="M1766" t="str">
        <f>IF(Table1[[#This Row],[used]], _xlfn.CONCAT("🆔 ", Table1[[#This Row],[variable]], ": ",Table1[[#This Row],[alias]]), "")</f>
        <v>🆔 B19301D_001E: Asian alone: Per capita income in the past 12 months in 2015 Inflation-adjusted dollars</v>
      </c>
      <c r="O1766" t="s">
        <v>6197</v>
      </c>
      <c r="P1766" t="s">
        <v>6339</v>
      </c>
      <c r="Q1766" t="s">
        <v>41</v>
      </c>
      <c r="R1766" t="s">
        <v>6329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1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</row>
    <row r="1767" spans="1:33" x14ac:dyDescent="0.25">
      <c r="A1767" t="s">
        <v>24</v>
      </c>
      <c r="B1767">
        <v>1</v>
      </c>
      <c r="C1767" t="b">
        <v>0</v>
      </c>
      <c r="D1767" t="s">
        <v>5301</v>
      </c>
      <c r="E1767" t="s">
        <v>6325</v>
      </c>
      <c r="F1767" t="s">
        <v>6326</v>
      </c>
      <c r="G1767" t="s">
        <v>6340</v>
      </c>
      <c r="H1767">
        <v>1766</v>
      </c>
      <c r="I1767" t="str">
        <f>IF(ISBLANK(Table1[[#This Row],[oid]]),"FALSE","TRUE")</f>
        <v>TRUE</v>
      </c>
      <c r="J1767" t="str" cm="1">
        <f t="array" ref="J1767">_xlfn.SWITCH(LEFT(Table1[[#This Row],[section]],1), "D", "Demographic", "S", "Social", "E", "Economic", "H", "Housing", "")</f>
        <v>Economic</v>
      </c>
      <c r="K1767" t="s">
        <v>5603</v>
      </c>
      <c r="L1767" t="s">
        <v>5604</v>
      </c>
      <c r="M1767" t="str">
        <f>IF(Table1[[#This Row],[used]], _xlfn.CONCAT("🆔 ", Table1[[#This Row],[variable]], ": ",Table1[[#This Row],[alias]]), "")</f>
        <v>🆔 B19301D_001E: Asian alone: Per capita income in the past 12 months in 2016 inflation-adjusted dollars</v>
      </c>
      <c r="O1767" t="s">
        <v>6200</v>
      </c>
      <c r="P1767" t="s">
        <v>6341</v>
      </c>
      <c r="Q1767" t="s">
        <v>41</v>
      </c>
      <c r="R1767" t="s">
        <v>6329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1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</row>
    <row r="1768" spans="1:33" x14ac:dyDescent="0.25">
      <c r="A1768" t="s">
        <v>25</v>
      </c>
      <c r="B1768">
        <v>1</v>
      </c>
      <c r="C1768" t="b">
        <v>0</v>
      </c>
      <c r="D1768" t="s">
        <v>5301</v>
      </c>
      <c r="E1768" t="s">
        <v>6325</v>
      </c>
      <c r="F1768" t="s">
        <v>6326</v>
      </c>
      <c r="G1768" t="s">
        <v>6342</v>
      </c>
      <c r="H1768">
        <v>1767</v>
      </c>
      <c r="I1768" t="str">
        <f>IF(ISBLANK(Table1[[#This Row],[oid]]),"FALSE","TRUE")</f>
        <v>TRUE</v>
      </c>
      <c r="J1768" t="str" cm="1">
        <f t="array" ref="J1768">_xlfn.SWITCH(LEFT(Table1[[#This Row],[section]],1), "D", "Demographic", "S", "Social", "E", "Economic", "H", "Housing", "")</f>
        <v>Economic</v>
      </c>
      <c r="K1768" t="s">
        <v>5603</v>
      </c>
      <c r="L1768" t="s">
        <v>5604</v>
      </c>
      <c r="M1768" t="str">
        <f>IF(Table1[[#This Row],[used]], _xlfn.CONCAT("🆔 ", Table1[[#This Row],[variable]], ": ",Table1[[#This Row],[alias]]), "")</f>
        <v>🆔 B19301D_001E: Asian alone: Per capita income in the past 12 months in 2017 inflation-adjusted dollars</v>
      </c>
      <c r="O1768" t="s">
        <v>6203</v>
      </c>
      <c r="P1768" t="s">
        <v>6343</v>
      </c>
      <c r="Q1768" t="s">
        <v>41</v>
      </c>
      <c r="R1768" t="s">
        <v>6329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1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</row>
    <row r="1769" spans="1:33" x14ac:dyDescent="0.25">
      <c r="A1769" t="s">
        <v>26</v>
      </c>
      <c r="B1769">
        <v>1</v>
      </c>
      <c r="C1769" t="b">
        <v>0</v>
      </c>
      <c r="D1769" t="s">
        <v>5301</v>
      </c>
      <c r="E1769" t="s">
        <v>6325</v>
      </c>
      <c r="F1769" t="s">
        <v>6326</v>
      </c>
      <c r="G1769" t="s">
        <v>6344</v>
      </c>
      <c r="H1769">
        <v>1768</v>
      </c>
      <c r="I1769" t="str">
        <f>IF(ISBLANK(Table1[[#This Row],[oid]]),"FALSE","TRUE")</f>
        <v>TRUE</v>
      </c>
      <c r="J1769" t="str" cm="1">
        <f t="array" ref="J1769">_xlfn.SWITCH(LEFT(Table1[[#This Row],[section]],1), "D", "Demographic", "S", "Social", "E", "Economic", "H", "Housing", "")</f>
        <v>Economic</v>
      </c>
      <c r="K1769" t="s">
        <v>5603</v>
      </c>
      <c r="L1769" t="s">
        <v>5604</v>
      </c>
      <c r="M1769" t="str">
        <f>IF(Table1[[#This Row],[used]], _xlfn.CONCAT("🆔 ", Table1[[#This Row],[variable]], ": ",Table1[[#This Row],[alias]]), "")</f>
        <v>🆔 B19301D_001E: Asian alone: Per capita income in the past 12 months in 2018 inflation-adjusted dollars</v>
      </c>
      <c r="O1769" t="s">
        <v>6206</v>
      </c>
      <c r="P1769" t="s">
        <v>6345</v>
      </c>
      <c r="Q1769" t="s">
        <v>41</v>
      </c>
      <c r="R1769" t="s">
        <v>6329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1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</row>
    <row r="1770" spans="1:33" x14ac:dyDescent="0.25">
      <c r="A1770" t="s">
        <v>27</v>
      </c>
      <c r="B1770">
        <v>1</v>
      </c>
      <c r="C1770" t="b">
        <v>0</v>
      </c>
      <c r="D1770" t="s">
        <v>5301</v>
      </c>
      <c r="E1770" t="s">
        <v>6325</v>
      </c>
      <c r="F1770" t="s">
        <v>6326</v>
      </c>
      <c r="G1770" t="s">
        <v>6346</v>
      </c>
      <c r="H1770">
        <v>1769</v>
      </c>
      <c r="I1770" t="str">
        <f>IF(ISBLANK(Table1[[#This Row],[oid]]),"FALSE","TRUE")</f>
        <v>TRUE</v>
      </c>
      <c r="J1770" t="str" cm="1">
        <f t="array" ref="J1770">_xlfn.SWITCH(LEFT(Table1[[#This Row],[section]],1), "D", "Demographic", "S", "Social", "E", "Economic", "H", "Housing", "")</f>
        <v>Economic</v>
      </c>
      <c r="K1770" t="s">
        <v>5603</v>
      </c>
      <c r="L1770" t="s">
        <v>5604</v>
      </c>
      <c r="M1770" t="str">
        <f>IF(Table1[[#This Row],[used]], _xlfn.CONCAT("🆔 ", Table1[[#This Row],[variable]], ": ",Table1[[#This Row],[alias]]), "")</f>
        <v>🆔 B19301D_001E: Asian alone: Per capita income in the past 12 months in 2019 inflation-adjusted dollars</v>
      </c>
      <c r="O1770" t="s">
        <v>6209</v>
      </c>
      <c r="P1770" t="s">
        <v>6347</v>
      </c>
      <c r="Q1770" t="s">
        <v>41</v>
      </c>
      <c r="R1770" t="s">
        <v>6329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1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</row>
    <row r="1771" spans="1:33" x14ac:dyDescent="0.25">
      <c r="A1771" t="s">
        <v>28</v>
      </c>
      <c r="B1771">
        <v>1</v>
      </c>
      <c r="C1771" t="b">
        <v>0</v>
      </c>
      <c r="D1771" t="s">
        <v>5301</v>
      </c>
      <c r="E1771" t="s">
        <v>6325</v>
      </c>
      <c r="F1771" t="s">
        <v>6326</v>
      </c>
      <c r="G1771" t="s">
        <v>6348</v>
      </c>
      <c r="H1771">
        <v>1770</v>
      </c>
      <c r="I1771" t="str">
        <f>IF(ISBLANK(Table1[[#This Row],[oid]]),"FALSE","TRUE")</f>
        <v>TRUE</v>
      </c>
      <c r="J1771" t="str" cm="1">
        <f t="array" ref="J1771">_xlfn.SWITCH(LEFT(Table1[[#This Row],[section]],1), "D", "Demographic", "S", "Social", "E", "Economic", "H", "Housing", "")</f>
        <v>Economic</v>
      </c>
      <c r="K1771" t="s">
        <v>5603</v>
      </c>
      <c r="L1771" t="s">
        <v>5604</v>
      </c>
      <c r="M1771" t="str">
        <f>IF(Table1[[#This Row],[used]], _xlfn.CONCAT("🆔 ", Table1[[#This Row],[variable]], ": ",Table1[[#This Row],[alias]]), "")</f>
        <v>🆔 B19301D_001E: Asian alone: Per capita income in the past 12 months in 2020 inflation-adjusted dollars</v>
      </c>
      <c r="O1771" t="s">
        <v>6212</v>
      </c>
      <c r="P1771" t="s">
        <v>6349</v>
      </c>
      <c r="Q1771" t="s">
        <v>41</v>
      </c>
      <c r="R1771" t="s">
        <v>6329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1</v>
      </c>
      <c r="AD1771" t="b">
        <v>0</v>
      </c>
      <c r="AE1771" t="b">
        <v>0</v>
      </c>
      <c r="AF1771" t="b">
        <v>0</v>
      </c>
      <c r="AG1771" t="b">
        <v>0</v>
      </c>
    </row>
    <row r="1772" spans="1:33" x14ac:dyDescent="0.25">
      <c r="A1772" t="s">
        <v>29</v>
      </c>
      <c r="B1772">
        <v>1</v>
      </c>
      <c r="C1772" t="b">
        <v>0</v>
      </c>
      <c r="D1772" t="s">
        <v>5301</v>
      </c>
      <c r="E1772" t="s">
        <v>6325</v>
      </c>
      <c r="F1772" t="s">
        <v>6326</v>
      </c>
      <c r="G1772" t="s">
        <v>6350</v>
      </c>
      <c r="H1772">
        <v>1771</v>
      </c>
      <c r="I1772" t="str">
        <f>IF(ISBLANK(Table1[[#This Row],[oid]]),"FALSE","TRUE")</f>
        <v>TRUE</v>
      </c>
      <c r="J1772" t="str" cm="1">
        <f t="array" ref="J1772">_xlfn.SWITCH(LEFT(Table1[[#This Row],[section]],1), "D", "Demographic", "S", "Social", "E", "Economic", "H", "Housing", "")</f>
        <v>Economic</v>
      </c>
      <c r="K1772" t="s">
        <v>5603</v>
      </c>
      <c r="L1772" t="s">
        <v>5604</v>
      </c>
      <c r="M1772" t="str">
        <f>IF(Table1[[#This Row],[used]], _xlfn.CONCAT("🆔 ", Table1[[#This Row],[variable]], ": ",Table1[[#This Row],[alias]]), "")</f>
        <v>🆔 B19301D_001E: Asian alone: Per capita income in the past 12 months in 2021 inflation-adjusted dollars</v>
      </c>
      <c r="O1772" t="s">
        <v>6215</v>
      </c>
      <c r="P1772" t="s">
        <v>6351</v>
      </c>
      <c r="Q1772" t="s">
        <v>41</v>
      </c>
      <c r="R1772" t="s">
        <v>6329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1</v>
      </c>
      <c r="AE1772" t="b">
        <v>0</v>
      </c>
      <c r="AF1772" t="b">
        <v>0</v>
      </c>
      <c r="AG1772" t="b">
        <v>0</v>
      </c>
    </row>
    <row r="1773" spans="1:33" x14ac:dyDescent="0.25">
      <c r="A1773" t="s">
        <v>30</v>
      </c>
      <c r="B1773">
        <v>1</v>
      </c>
      <c r="C1773" t="b">
        <v>0</v>
      </c>
      <c r="D1773" t="s">
        <v>5301</v>
      </c>
      <c r="E1773" t="s">
        <v>6325</v>
      </c>
      <c r="F1773" t="s">
        <v>6326</v>
      </c>
      <c r="G1773" t="s">
        <v>6352</v>
      </c>
      <c r="H1773">
        <v>1772</v>
      </c>
      <c r="I1773" t="str">
        <f>IF(ISBLANK(Table1[[#This Row],[oid]]),"FALSE","TRUE")</f>
        <v>TRUE</v>
      </c>
      <c r="J1773" t="str" cm="1">
        <f t="array" ref="J1773">_xlfn.SWITCH(LEFT(Table1[[#This Row],[section]],1), "D", "Demographic", "S", "Social", "E", "Economic", "H", "Housing", "")</f>
        <v>Economic</v>
      </c>
      <c r="K1773" t="s">
        <v>5603</v>
      </c>
      <c r="L1773" t="s">
        <v>5604</v>
      </c>
      <c r="M1773" t="str">
        <f>IF(Table1[[#This Row],[used]], _xlfn.CONCAT("🆔 ", Table1[[#This Row],[variable]], ": ",Table1[[#This Row],[alias]]), "")</f>
        <v>🆔 B19301D_001E: Asian alone: Per capita income in the past 12 months in 2022 inflation-adjusted dollars</v>
      </c>
      <c r="O1773" t="s">
        <v>6218</v>
      </c>
      <c r="P1773" t="s">
        <v>6353</v>
      </c>
      <c r="Q1773" t="s">
        <v>41</v>
      </c>
      <c r="R1773" t="s">
        <v>6329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1</v>
      </c>
      <c r="AF1773" t="b">
        <v>0</v>
      </c>
      <c r="AG1773" t="b">
        <v>0</v>
      </c>
    </row>
    <row r="1774" spans="1:33" x14ac:dyDescent="0.25">
      <c r="A1774" t="s">
        <v>31</v>
      </c>
      <c r="B1774">
        <v>1</v>
      </c>
      <c r="C1774" t="b">
        <v>0</v>
      </c>
      <c r="D1774" t="s">
        <v>5301</v>
      </c>
      <c r="E1774" t="s">
        <v>6325</v>
      </c>
      <c r="F1774" t="s">
        <v>6326</v>
      </c>
      <c r="G1774" t="s">
        <v>6354</v>
      </c>
      <c r="H1774">
        <v>1773</v>
      </c>
      <c r="I1774" t="str">
        <f>IF(ISBLANK(Table1[[#This Row],[oid]]),"FALSE","TRUE")</f>
        <v>TRUE</v>
      </c>
      <c r="J1774" t="str" cm="1">
        <f t="array" ref="J1774">_xlfn.SWITCH(LEFT(Table1[[#This Row],[section]],1), "D", "Demographic", "S", "Social", "E", "Economic", "H", "Housing", "")</f>
        <v>Economic</v>
      </c>
      <c r="K1774" t="s">
        <v>5603</v>
      </c>
      <c r="L1774" t="s">
        <v>5604</v>
      </c>
      <c r="M1774" t="str">
        <f>IF(Table1[[#This Row],[used]], _xlfn.CONCAT("🆔 ", Table1[[#This Row],[variable]], ": ",Table1[[#This Row],[alias]]), "")</f>
        <v>🆔 B19301D_001E: Asian alone: Per capita income in the past 12 months in 2023 inflation-adjusted dollars</v>
      </c>
      <c r="O1774" t="s">
        <v>6221</v>
      </c>
      <c r="P1774" t="s">
        <v>6355</v>
      </c>
      <c r="Q1774" t="s">
        <v>41</v>
      </c>
      <c r="R1774" t="s">
        <v>6329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1</v>
      </c>
      <c r="AG1774" t="b">
        <v>0</v>
      </c>
    </row>
    <row r="1775" spans="1:33" x14ac:dyDescent="0.25">
      <c r="A1775" t="s">
        <v>32</v>
      </c>
      <c r="B1775">
        <v>1</v>
      </c>
      <c r="C1775" t="b">
        <v>0</v>
      </c>
      <c r="D1775" t="s">
        <v>5301</v>
      </c>
      <c r="E1775" t="s">
        <v>6325</v>
      </c>
      <c r="F1775" t="s">
        <v>6326</v>
      </c>
      <c r="G1775" t="s">
        <v>6356</v>
      </c>
      <c r="H1775">
        <v>1774</v>
      </c>
      <c r="I1775" t="str">
        <f>IF(ISBLANK(Table1[[#This Row],[oid]]),"FALSE","TRUE")</f>
        <v>TRUE</v>
      </c>
      <c r="J1775" t="str" cm="1">
        <f t="array" ref="J1775">_xlfn.SWITCH(LEFT(Table1[[#This Row],[section]],1), "D", "Demographic", "S", "Social", "E", "Economic", "H", "Housing", "")</f>
        <v>Economic</v>
      </c>
      <c r="K1775" t="s">
        <v>5603</v>
      </c>
      <c r="L1775" t="s">
        <v>5604</v>
      </c>
      <c r="M1775" t="str">
        <f>IF(Table1[[#This Row],[used]], _xlfn.CONCAT("🆔 ", Table1[[#This Row],[variable]], ": ",Table1[[#This Row],[alias]]), "")</f>
        <v>🆔 B19301D_001E: Asian alone: Per capita income in the past 12 months in 2024 inflation-adjusted dollars</v>
      </c>
      <c r="O1775" t="s">
        <v>6224</v>
      </c>
      <c r="P1775" t="s">
        <v>6357</v>
      </c>
      <c r="Q1775" t="s">
        <v>41</v>
      </c>
      <c r="R1775" t="s">
        <v>6329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1</v>
      </c>
    </row>
    <row r="1776" spans="1:33" x14ac:dyDescent="0.25">
      <c r="A1776" t="s">
        <v>18</v>
      </c>
      <c r="B1776">
        <v>1</v>
      </c>
      <c r="C1776" t="b">
        <v>0</v>
      </c>
      <c r="D1776" t="s">
        <v>5301</v>
      </c>
      <c r="E1776" t="s">
        <v>6358</v>
      </c>
      <c r="F1776" t="s">
        <v>6359</v>
      </c>
      <c r="G1776" t="s">
        <v>6360</v>
      </c>
      <c r="H1776">
        <v>1775</v>
      </c>
      <c r="I1776" t="str">
        <f>IF(ISBLANK(Table1[[#This Row],[oid]]),"FALSE","TRUE")</f>
        <v>TRUE</v>
      </c>
      <c r="J1776" t="str" cm="1">
        <f t="array" ref="J1776">_xlfn.SWITCH(LEFT(Table1[[#This Row],[section]],1), "D", "Demographic", "S", "Social", "E", "Economic", "H", "Housing", "")</f>
        <v>Economic</v>
      </c>
      <c r="K1776" t="s">
        <v>5603</v>
      </c>
      <c r="L1776" t="s">
        <v>5604</v>
      </c>
      <c r="M1776" t="str">
        <f>IF(Table1[[#This Row],[used]], _xlfn.CONCAT("🆔 ", Table1[[#This Row],[variable]], ": ",Table1[[#This Row],[alias]]), "")</f>
        <v>🆔 B19301E_001E: Native Hawaiian and Other Pacific Islander alone: Per capita income in the past 12 months in 2010 inflation-adjusted dollars</v>
      </c>
      <c r="O1776" t="s">
        <v>6181</v>
      </c>
      <c r="P1776" t="s">
        <v>6361</v>
      </c>
      <c r="Q1776" t="s">
        <v>41</v>
      </c>
      <c r="R1776" t="s">
        <v>6362</v>
      </c>
      <c r="S1776" t="b">
        <v>1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</row>
    <row r="1777" spans="1:33" x14ac:dyDescent="0.25">
      <c r="A1777" t="s">
        <v>19</v>
      </c>
      <c r="B1777">
        <v>1</v>
      </c>
      <c r="C1777" t="b">
        <v>0</v>
      </c>
      <c r="D1777" t="s">
        <v>5301</v>
      </c>
      <c r="E1777" t="s">
        <v>6358</v>
      </c>
      <c r="F1777" t="s">
        <v>6359</v>
      </c>
      <c r="G1777" t="s">
        <v>6363</v>
      </c>
      <c r="H1777">
        <v>1776</v>
      </c>
      <c r="I1777" t="str">
        <f>IF(ISBLANK(Table1[[#This Row],[oid]]),"FALSE","TRUE")</f>
        <v>TRUE</v>
      </c>
      <c r="J1777" t="str" cm="1">
        <f t="array" ref="J1777">_xlfn.SWITCH(LEFT(Table1[[#This Row],[section]],1), "D", "Demographic", "S", "Social", "E", "Economic", "H", "Housing", "")</f>
        <v>Economic</v>
      </c>
      <c r="K1777" t="s">
        <v>5603</v>
      </c>
      <c r="L1777" t="s">
        <v>5604</v>
      </c>
      <c r="M1777" t="str">
        <f>IF(Table1[[#This Row],[used]], _xlfn.CONCAT("🆔 ", Table1[[#This Row],[variable]], ": ",Table1[[#This Row],[alias]]), "")</f>
        <v>🆔 B19301E_001E: Native Hawaiian and Other Pacific Islander alone: Per capita income in the past 12 months in 2011 inflation-adjusted dollars</v>
      </c>
      <c r="O1777" t="s">
        <v>6185</v>
      </c>
      <c r="P1777" t="s">
        <v>6364</v>
      </c>
      <c r="Q1777" t="s">
        <v>41</v>
      </c>
      <c r="R1777" t="s">
        <v>6362</v>
      </c>
      <c r="S1777" t="b">
        <v>0</v>
      </c>
      <c r="T1777" t="b">
        <v>1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</row>
    <row r="1778" spans="1:33" x14ac:dyDescent="0.25">
      <c r="A1778" t="s">
        <v>20</v>
      </c>
      <c r="B1778">
        <v>1</v>
      </c>
      <c r="C1778" t="b">
        <v>0</v>
      </c>
      <c r="D1778" t="s">
        <v>5301</v>
      </c>
      <c r="E1778" t="s">
        <v>6358</v>
      </c>
      <c r="F1778" t="s">
        <v>6359</v>
      </c>
      <c r="G1778" t="s">
        <v>6365</v>
      </c>
      <c r="H1778">
        <v>1777</v>
      </c>
      <c r="I1778" t="str">
        <f>IF(ISBLANK(Table1[[#This Row],[oid]]),"FALSE","TRUE")</f>
        <v>TRUE</v>
      </c>
      <c r="J1778" t="str" cm="1">
        <f t="array" ref="J1778">_xlfn.SWITCH(LEFT(Table1[[#This Row],[section]],1), "D", "Demographic", "S", "Social", "E", "Economic", "H", "Housing", "")</f>
        <v>Economic</v>
      </c>
      <c r="K1778" t="s">
        <v>5603</v>
      </c>
      <c r="L1778" t="s">
        <v>5604</v>
      </c>
      <c r="M1778" t="str">
        <f>IF(Table1[[#This Row],[used]], _xlfn.CONCAT("🆔 ", Table1[[#This Row],[variable]], ": ",Table1[[#This Row],[alias]]), "")</f>
        <v>🆔 B19301E_001E: Native Hawaiian and Other Pacific Islander alone: Per capita income in the past 12 months in 2012 inflation-adjusted dollars</v>
      </c>
      <c r="O1778" t="s">
        <v>6188</v>
      </c>
      <c r="P1778" t="s">
        <v>6366</v>
      </c>
      <c r="Q1778" t="s">
        <v>41</v>
      </c>
      <c r="R1778" t="s">
        <v>6362</v>
      </c>
      <c r="S1778" t="b">
        <v>0</v>
      </c>
      <c r="T1778" t="b">
        <v>0</v>
      </c>
      <c r="U1778" t="b">
        <v>1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</row>
    <row r="1779" spans="1:33" x14ac:dyDescent="0.25">
      <c r="A1779" t="s">
        <v>21</v>
      </c>
      <c r="B1779">
        <v>1</v>
      </c>
      <c r="C1779" t="b">
        <v>0</v>
      </c>
      <c r="D1779" t="s">
        <v>5301</v>
      </c>
      <c r="E1779" t="s">
        <v>6358</v>
      </c>
      <c r="F1779" t="s">
        <v>6359</v>
      </c>
      <c r="G1779" t="s">
        <v>6367</v>
      </c>
      <c r="H1779">
        <v>1778</v>
      </c>
      <c r="I1779" t="str">
        <f>IF(ISBLANK(Table1[[#This Row],[oid]]),"FALSE","TRUE")</f>
        <v>TRUE</v>
      </c>
      <c r="J1779" t="str" cm="1">
        <f t="array" ref="J1779">_xlfn.SWITCH(LEFT(Table1[[#This Row],[section]],1), "D", "Demographic", "S", "Social", "E", "Economic", "H", "Housing", "")</f>
        <v>Economic</v>
      </c>
      <c r="K1779" t="s">
        <v>5603</v>
      </c>
      <c r="L1779" t="s">
        <v>5604</v>
      </c>
      <c r="M1779" t="str">
        <f>IF(Table1[[#This Row],[used]], _xlfn.CONCAT("🆔 ", Table1[[#This Row],[variable]], ": ",Table1[[#This Row],[alias]]), "")</f>
        <v>🆔 B19301E_001E: Native Hawaiian and Other Pacific Islander alone: Per capita income in the past 12 months in 2013 inflation-adjusted dollars</v>
      </c>
      <c r="O1779" t="s">
        <v>6191</v>
      </c>
      <c r="P1779" t="s">
        <v>6368</v>
      </c>
      <c r="Q1779" t="s">
        <v>41</v>
      </c>
      <c r="R1779" t="s">
        <v>6362</v>
      </c>
      <c r="S1779" t="b">
        <v>0</v>
      </c>
      <c r="T1779" t="b">
        <v>0</v>
      </c>
      <c r="U1779" t="b">
        <v>0</v>
      </c>
      <c r="V1779" t="b">
        <v>1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</row>
    <row r="1780" spans="1:33" x14ac:dyDescent="0.25">
      <c r="A1780" t="s">
        <v>22</v>
      </c>
      <c r="B1780">
        <v>1</v>
      </c>
      <c r="C1780" t="b">
        <v>0</v>
      </c>
      <c r="D1780" t="s">
        <v>5301</v>
      </c>
      <c r="E1780" t="s">
        <v>6358</v>
      </c>
      <c r="F1780" t="s">
        <v>6359</v>
      </c>
      <c r="G1780" t="s">
        <v>6369</v>
      </c>
      <c r="H1780">
        <v>1779</v>
      </c>
      <c r="I1780" t="str">
        <f>IF(ISBLANK(Table1[[#This Row],[oid]]),"FALSE","TRUE")</f>
        <v>TRUE</v>
      </c>
      <c r="J1780" t="str" cm="1">
        <f t="array" ref="J1780">_xlfn.SWITCH(LEFT(Table1[[#This Row],[section]],1), "D", "Demographic", "S", "Social", "E", "Economic", "H", "Housing", "")</f>
        <v>Economic</v>
      </c>
      <c r="K1780" t="s">
        <v>5603</v>
      </c>
      <c r="L1780" t="s">
        <v>5604</v>
      </c>
      <c r="M1780" t="str">
        <f>IF(Table1[[#This Row],[used]], _xlfn.CONCAT("🆔 ", Table1[[#This Row],[variable]], ": ",Table1[[#This Row],[alias]]), "")</f>
        <v>🆔 B19301E_001E: Native Hawaiian and Other Pacific Islander alone: Per capita income in the past 12 months in 2014 Inflation-adjusted dollars</v>
      </c>
      <c r="O1780" t="s">
        <v>6194</v>
      </c>
      <c r="P1780" t="s">
        <v>6370</v>
      </c>
      <c r="Q1780" t="s">
        <v>41</v>
      </c>
      <c r="R1780" t="s">
        <v>6362</v>
      </c>
      <c r="S1780" t="b">
        <v>0</v>
      </c>
      <c r="T1780" t="b">
        <v>0</v>
      </c>
      <c r="U1780" t="b">
        <v>0</v>
      </c>
      <c r="V1780" t="b">
        <v>0</v>
      </c>
      <c r="W1780" t="b">
        <v>1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</row>
    <row r="1781" spans="1:33" x14ac:dyDescent="0.25">
      <c r="A1781" t="s">
        <v>23</v>
      </c>
      <c r="B1781">
        <v>1</v>
      </c>
      <c r="C1781" t="b">
        <v>0</v>
      </c>
      <c r="D1781" t="s">
        <v>5301</v>
      </c>
      <c r="E1781" t="s">
        <v>6358</v>
      </c>
      <c r="F1781" t="s">
        <v>6359</v>
      </c>
      <c r="G1781" t="s">
        <v>6371</v>
      </c>
      <c r="H1781">
        <v>1780</v>
      </c>
      <c r="I1781" t="str">
        <f>IF(ISBLANK(Table1[[#This Row],[oid]]),"FALSE","TRUE")</f>
        <v>TRUE</v>
      </c>
      <c r="J1781" t="str" cm="1">
        <f t="array" ref="J1781">_xlfn.SWITCH(LEFT(Table1[[#This Row],[section]],1), "D", "Demographic", "S", "Social", "E", "Economic", "H", "Housing", "")</f>
        <v>Economic</v>
      </c>
      <c r="K1781" t="s">
        <v>5603</v>
      </c>
      <c r="L1781" t="s">
        <v>5604</v>
      </c>
      <c r="M1781" t="str">
        <f>IF(Table1[[#This Row],[used]], _xlfn.CONCAT("🆔 ", Table1[[#This Row],[variable]], ": ",Table1[[#This Row],[alias]]), "")</f>
        <v>🆔 B19301E_001E: Native Hawaiian and Other Pacific Islander alone: Per capita income in the past 12 months in 2015 Inflation-adjusted dollars</v>
      </c>
      <c r="O1781" t="s">
        <v>6197</v>
      </c>
      <c r="P1781" t="s">
        <v>6372</v>
      </c>
      <c r="Q1781" t="s">
        <v>41</v>
      </c>
      <c r="R1781" t="s">
        <v>6362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1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</row>
    <row r="1782" spans="1:33" x14ac:dyDescent="0.25">
      <c r="A1782" t="s">
        <v>24</v>
      </c>
      <c r="B1782">
        <v>1</v>
      </c>
      <c r="C1782" t="b">
        <v>0</v>
      </c>
      <c r="D1782" t="s">
        <v>5301</v>
      </c>
      <c r="E1782" t="s">
        <v>6358</v>
      </c>
      <c r="F1782" t="s">
        <v>6359</v>
      </c>
      <c r="G1782" t="s">
        <v>6373</v>
      </c>
      <c r="H1782">
        <v>1781</v>
      </c>
      <c r="I1782" t="str">
        <f>IF(ISBLANK(Table1[[#This Row],[oid]]),"FALSE","TRUE")</f>
        <v>TRUE</v>
      </c>
      <c r="J1782" t="str" cm="1">
        <f t="array" ref="J1782">_xlfn.SWITCH(LEFT(Table1[[#This Row],[section]],1), "D", "Demographic", "S", "Social", "E", "Economic", "H", "Housing", "")</f>
        <v>Economic</v>
      </c>
      <c r="K1782" t="s">
        <v>5603</v>
      </c>
      <c r="L1782" t="s">
        <v>5604</v>
      </c>
      <c r="M1782" t="str">
        <f>IF(Table1[[#This Row],[used]], _xlfn.CONCAT("🆔 ", Table1[[#This Row],[variable]], ": ",Table1[[#This Row],[alias]]), "")</f>
        <v>🆔 B19301E_001E: Native Hawaiian and Other Pacific Islander alone: Per capita income in the past 12 months in 2016 inflation-adjusted dollars</v>
      </c>
      <c r="O1782" t="s">
        <v>6200</v>
      </c>
      <c r="P1782" t="s">
        <v>6374</v>
      </c>
      <c r="Q1782" t="s">
        <v>41</v>
      </c>
      <c r="R1782" t="s">
        <v>6362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1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</row>
    <row r="1783" spans="1:33" x14ac:dyDescent="0.25">
      <c r="A1783" t="s">
        <v>25</v>
      </c>
      <c r="B1783">
        <v>1</v>
      </c>
      <c r="C1783" t="b">
        <v>0</v>
      </c>
      <c r="D1783" t="s">
        <v>5301</v>
      </c>
      <c r="E1783" t="s">
        <v>6358</v>
      </c>
      <c r="F1783" t="s">
        <v>6359</v>
      </c>
      <c r="G1783" t="s">
        <v>6375</v>
      </c>
      <c r="H1783">
        <v>1782</v>
      </c>
      <c r="I1783" t="str">
        <f>IF(ISBLANK(Table1[[#This Row],[oid]]),"FALSE","TRUE")</f>
        <v>TRUE</v>
      </c>
      <c r="J1783" t="str" cm="1">
        <f t="array" ref="J1783">_xlfn.SWITCH(LEFT(Table1[[#This Row],[section]],1), "D", "Demographic", "S", "Social", "E", "Economic", "H", "Housing", "")</f>
        <v>Economic</v>
      </c>
      <c r="K1783" t="s">
        <v>5603</v>
      </c>
      <c r="L1783" t="s">
        <v>5604</v>
      </c>
      <c r="M1783" t="str">
        <f>IF(Table1[[#This Row],[used]], _xlfn.CONCAT("🆔 ", Table1[[#This Row],[variable]], ": ",Table1[[#This Row],[alias]]), "")</f>
        <v>🆔 B19301E_001E: Native Hawaiian and Other Pacific Islander alone: Per capita income in the past 12 months in 2017 inflation-adjusted dollars</v>
      </c>
      <c r="O1783" t="s">
        <v>6203</v>
      </c>
      <c r="P1783" t="s">
        <v>6376</v>
      </c>
      <c r="Q1783" t="s">
        <v>41</v>
      </c>
      <c r="R1783" t="s">
        <v>6362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1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</row>
    <row r="1784" spans="1:33" x14ac:dyDescent="0.25">
      <c r="A1784" t="s">
        <v>26</v>
      </c>
      <c r="B1784">
        <v>1</v>
      </c>
      <c r="C1784" t="b">
        <v>0</v>
      </c>
      <c r="D1784" t="s">
        <v>5301</v>
      </c>
      <c r="E1784" t="s">
        <v>6358</v>
      </c>
      <c r="F1784" t="s">
        <v>6359</v>
      </c>
      <c r="G1784" t="s">
        <v>6377</v>
      </c>
      <c r="H1784">
        <v>1783</v>
      </c>
      <c r="I1784" t="str">
        <f>IF(ISBLANK(Table1[[#This Row],[oid]]),"FALSE","TRUE")</f>
        <v>TRUE</v>
      </c>
      <c r="J1784" t="str" cm="1">
        <f t="array" ref="J1784">_xlfn.SWITCH(LEFT(Table1[[#This Row],[section]],1), "D", "Demographic", "S", "Social", "E", "Economic", "H", "Housing", "")</f>
        <v>Economic</v>
      </c>
      <c r="K1784" t="s">
        <v>5603</v>
      </c>
      <c r="L1784" t="s">
        <v>5604</v>
      </c>
      <c r="M1784" t="str">
        <f>IF(Table1[[#This Row],[used]], _xlfn.CONCAT("🆔 ", Table1[[#This Row],[variable]], ": ",Table1[[#This Row],[alias]]), "")</f>
        <v>🆔 B19301E_001E: Native Hawaiian and Other Pacific Islander alone: Per capita income in the past 12 months in 2018 inflation-adjusted dollars</v>
      </c>
      <c r="O1784" t="s">
        <v>6206</v>
      </c>
      <c r="P1784" t="s">
        <v>6378</v>
      </c>
      <c r="Q1784" t="s">
        <v>41</v>
      </c>
      <c r="R1784" t="s">
        <v>6362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1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</row>
    <row r="1785" spans="1:33" x14ac:dyDescent="0.25">
      <c r="A1785" t="s">
        <v>27</v>
      </c>
      <c r="B1785">
        <v>1</v>
      </c>
      <c r="C1785" t="b">
        <v>0</v>
      </c>
      <c r="D1785" t="s">
        <v>5301</v>
      </c>
      <c r="E1785" t="s">
        <v>6358</v>
      </c>
      <c r="F1785" t="s">
        <v>6359</v>
      </c>
      <c r="G1785" t="s">
        <v>6379</v>
      </c>
      <c r="H1785">
        <v>1784</v>
      </c>
      <c r="I1785" t="str">
        <f>IF(ISBLANK(Table1[[#This Row],[oid]]),"FALSE","TRUE")</f>
        <v>TRUE</v>
      </c>
      <c r="J1785" t="str" cm="1">
        <f t="array" ref="J1785">_xlfn.SWITCH(LEFT(Table1[[#This Row],[section]],1), "D", "Demographic", "S", "Social", "E", "Economic", "H", "Housing", "")</f>
        <v>Economic</v>
      </c>
      <c r="K1785" t="s">
        <v>5603</v>
      </c>
      <c r="L1785" t="s">
        <v>5604</v>
      </c>
      <c r="M1785" t="str">
        <f>IF(Table1[[#This Row],[used]], _xlfn.CONCAT("🆔 ", Table1[[#This Row],[variable]], ": ",Table1[[#This Row],[alias]]), "")</f>
        <v>🆔 B19301E_001E: Native Hawaiian and Other Pacific Islander alone: Per capita income in the past 12 months in 2019 inflation-adjusted dollars</v>
      </c>
      <c r="O1785" t="s">
        <v>6209</v>
      </c>
      <c r="P1785" t="s">
        <v>6380</v>
      </c>
      <c r="Q1785" t="s">
        <v>41</v>
      </c>
      <c r="R1785" t="s">
        <v>6362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1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</row>
    <row r="1786" spans="1:33" x14ac:dyDescent="0.25">
      <c r="A1786" t="s">
        <v>28</v>
      </c>
      <c r="B1786">
        <v>1</v>
      </c>
      <c r="C1786" t="b">
        <v>0</v>
      </c>
      <c r="D1786" t="s">
        <v>5301</v>
      </c>
      <c r="E1786" t="s">
        <v>6358</v>
      </c>
      <c r="F1786" t="s">
        <v>6359</v>
      </c>
      <c r="G1786" t="s">
        <v>6381</v>
      </c>
      <c r="H1786">
        <v>1785</v>
      </c>
      <c r="I1786" t="str">
        <f>IF(ISBLANK(Table1[[#This Row],[oid]]),"FALSE","TRUE")</f>
        <v>TRUE</v>
      </c>
      <c r="J1786" t="str" cm="1">
        <f t="array" ref="J1786">_xlfn.SWITCH(LEFT(Table1[[#This Row],[section]],1), "D", "Demographic", "S", "Social", "E", "Economic", "H", "Housing", "")</f>
        <v>Economic</v>
      </c>
      <c r="K1786" t="s">
        <v>5603</v>
      </c>
      <c r="L1786" t="s">
        <v>5604</v>
      </c>
      <c r="M1786" t="str">
        <f>IF(Table1[[#This Row],[used]], _xlfn.CONCAT("🆔 ", Table1[[#This Row],[variable]], ": ",Table1[[#This Row],[alias]]), "")</f>
        <v>🆔 B19301E_001E: Native Hawaiian and Other Pacific Islander alone: Per capita income in the past 12 months in 2020 inflation-adjusted dollars</v>
      </c>
      <c r="O1786" t="s">
        <v>6212</v>
      </c>
      <c r="P1786" t="s">
        <v>6382</v>
      </c>
      <c r="Q1786" t="s">
        <v>41</v>
      </c>
      <c r="R1786" t="s">
        <v>6362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1</v>
      </c>
      <c r="AD1786" t="b">
        <v>0</v>
      </c>
      <c r="AE1786" t="b">
        <v>0</v>
      </c>
      <c r="AF1786" t="b">
        <v>0</v>
      </c>
      <c r="AG1786" t="b">
        <v>0</v>
      </c>
    </row>
    <row r="1787" spans="1:33" x14ac:dyDescent="0.25">
      <c r="A1787" t="s">
        <v>29</v>
      </c>
      <c r="B1787">
        <v>1</v>
      </c>
      <c r="C1787" t="b">
        <v>0</v>
      </c>
      <c r="D1787" t="s">
        <v>5301</v>
      </c>
      <c r="E1787" t="s">
        <v>6358</v>
      </c>
      <c r="F1787" t="s">
        <v>6359</v>
      </c>
      <c r="G1787" t="s">
        <v>6383</v>
      </c>
      <c r="H1787">
        <v>1786</v>
      </c>
      <c r="I1787" t="str">
        <f>IF(ISBLANK(Table1[[#This Row],[oid]]),"FALSE","TRUE")</f>
        <v>TRUE</v>
      </c>
      <c r="J1787" t="str" cm="1">
        <f t="array" ref="J1787">_xlfn.SWITCH(LEFT(Table1[[#This Row],[section]],1), "D", "Demographic", "S", "Social", "E", "Economic", "H", "Housing", "")</f>
        <v>Economic</v>
      </c>
      <c r="K1787" t="s">
        <v>5603</v>
      </c>
      <c r="L1787" t="s">
        <v>5604</v>
      </c>
      <c r="M1787" t="str">
        <f>IF(Table1[[#This Row],[used]], _xlfn.CONCAT("🆔 ", Table1[[#This Row],[variable]], ": ",Table1[[#This Row],[alias]]), "")</f>
        <v>🆔 B19301E_001E: Native Hawaiian and Other Pacific Islander alone: Per capita income in the past 12 months in 2021 inflation-adjusted dollars</v>
      </c>
      <c r="O1787" t="s">
        <v>6215</v>
      </c>
      <c r="P1787" t="s">
        <v>6384</v>
      </c>
      <c r="Q1787" t="s">
        <v>41</v>
      </c>
      <c r="R1787" t="s">
        <v>6362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1</v>
      </c>
      <c r="AE1787" t="b">
        <v>0</v>
      </c>
      <c r="AF1787" t="b">
        <v>0</v>
      </c>
      <c r="AG1787" t="b">
        <v>0</v>
      </c>
    </row>
    <row r="1788" spans="1:33" x14ac:dyDescent="0.25">
      <c r="A1788" t="s">
        <v>30</v>
      </c>
      <c r="B1788">
        <v>1</v>
      </c>
      <c r="C1788" t="b">
        <v>0</v>
      </c>
      <c r="D1788" t="s">
        <v>5301</v>
      </c>
      <c r="E1788" t="s">
        <v>6358</v>
      </c>
      <c r="F1788" t="s">
        <v>6359</v>
      </c>
      <c r="G1788" t="s">
        <v>6385</v>
      </c>
      <c r="H1788">
        <v>1787</v>
      </c>
      <c r="I1788" t="str">
        <f>IF(ISBLANK(Table1[[#This Row],[oid]]),"FALSE","TRUE")</f>
        <v>TRUE</v>
      </c>
      <c r="J1788" t="str" cm="1">
        <f t="array" ref="J1788">_xlfn.SWITCH(LEFT(Table1[[#This Row],[section]],1), "D", "Demographic", "S", "Social", "E", "Economic", "H", "Housing", "")</f>
        <v>Economic</v>
      </c>
      <c r="K1788" t="s">
        <v>5603</v>
      </c>
      <c r="L1788" t="s">
        <v>5604</v>
      </c>
      <c r="M1788" t="str">
        <f>IF(Table1[[#This Row],[used]], _xlfn.CONCAT("🆔 ", Table1[[#This Row],[variable]], ": ",Table1[[#This Row],[alias]]), "")</f>
        <v>🆔 B19301E_001E: Native Hawaiian and Other Pacific Islander alone: Per capita income in the past 12 months in 2022 inflation-adjusted dollars</v>
      </c>
      <c r="O1788" t="s">
        <v>6218</v>
      </c>
      <c r="P1788" t="s">
        <v>6386</v>
      </c>
      <c r="Q1788" t="s">
        <v>41</v>
      </c>
      <c r="R1788" t="s">
        <v>6362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1</v>
      </c>
      <c r="AF1788" t="b">
        <v>0</v>
      </c>
      <c r="AG1788" t="b">
        <v>0</v>
      </c>
    </row>
    <row r="1789" spans="1:33" x14ac:dyDescent="0.25">
      <c r="A1789" t="s">
        <v>31</v>
      </c>
      <c r="B1789">
        <v>1</v>
      </c>
      <c r="C1789" t="b">
        <v>0</v>
      </c>
      <c r="D1789" t="s">
        <v>5301</v>
      </c>
      <c r="E1789" t="s">
        <v>6358</v>
      </c>
      <c r="F1789" t="s">
        <v>6359</v>
      </c>
      <c r="G1789" t="s">
        <v>6387</v>
      </c>
      <c r="H1789">
        <v>1788</v>
      </c>
      <c r="I1789" t="str">
        <f>IF(ISBLANK(Table1[[#This Row],[oid]]),"FALSE","TRUE")</f>
        <v>TRUE</v>
      </c>
      <c r="J1789" t="str" cm="1">
        <f t="array" ref="J1789">_xlfn.SWITCH(LEFT(Table1[[#This Row],[section]],1), "D", "Demographic", "S", "Social", "E", "Economic", "H", "Housing", "")</f>
        <v>Economic</v>
      </c>
      <c r="K1789" t="s">
        <v>5603</v>
      </c>
      <c r="L1789" t="s">
        <v>5604</v>
      </c>
      <c r="M1789" t="str">
        <f>IF(Table1[[#This Row],[used]], _xlfn.CONCAT("🆔 ", Table1[[#This Row],[variable]], ": ",Table1[[#This Row],[alias]]), "")</f>
        <v>🆔 B19301E_001E: Native Hawaiian and Other Pacific Islander alone: Per capita income in the past 12 months in 2023 inflation-adjusted dollars</v>
      </c>
      <c r="O1789" t="s">
        <v>6221</v>
      </c>
      <c r="P1789" t="s">
        <v>6388</v>
      </c>
      <c r="Q1789" t="s">
        <v>41</v>
      </c>
      <c r="R1789" t="s">
        <v>6362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1</v>
      </c>
      <c r="AG1789" t="b">
        <v>0</v>
      </c>
    </row>
    <row r="1790" spans="1:33" x14ac:dyDescent="0.25">
      <c r="A1790" t="s">
        <v>32</v>
      </c>
      <c r="B1790">
        <v>1</v>
      </c>
      <c r="C1790" t="b">
        <v>0</v>
      </c>
      <c r="D1790" t="s">
        <v>5301</v>
      </c>
      <c r="E1790" t="s">
        <v>6358</v>
      </c>
      <c r="F1790" t="s">
        <v>6359</v>
      </c>
      <c r="G1790" t="s">
        <v>6389</v>
      </c>
      <c r="H1790">
        <v>1789</v>
      </c>
      <c r="I1790" t="str">
        <f>IF(ISBLANK(Table1[[#This Row],[oid]]),"FALSE","TRUE")</f>
        <v>TRUE</v>
      </c>
      <c r="J1790" t="str" cm="1">
        <f t="array" ref="J1790">_xlfn.SWITCH(LEFT(Table1[[#This Row],[section]],1), "D", "Demographic", "S", "Social", "E", "Economic", "H", "Housing", "")</f>
        <v>Economic</v>
      </c>
      <c r="K1790" t="s">
        <v>5603</v>
      </c>
      <c r="L1790" t="s">
        <v>5604</v>
      </c>
      <c r="M1790" t="str">
        <f>IF(Table1[[#This Row],[used]], _xlfn.CONCAT("🆔 ", Table1[[#This Row],[variable]], ": ",Table1[[#This Row],[alias]]), "")</f>
        <v>🆔 B19301E_001E: Native Hawaiian and Other Pacific Islander alone: Per capita income in the past 12 months in 2024 inflation-adjusted dollars</v>
      </c>
      <c r="O1790" t="s">
        <v>6224</v>
      </c>
      <c r="P1790" t="s">
        <v>6390</v>
      </c>
      <c r="Q1790" t="s">
        <v>41</v>
      </c>
      <c r="R1790" t="s">
        <v>6362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1</v>
      </c>
    </row>
    <row r="1791" spans="1:33" x14ac:dyDescent="0.25">
      <c r="A1791" t="s">
        <v>18</v>
      </c>
      <c r="B1791">
        <v>1</v>
      </c>
      <c r="C1791" t="b">
        <v>0</v>
      </c>
      <c r="D1791" t="s">
        <v>5301</v>
      </c>
      <c r="E1791" t="s">
        <v>6391</v>
      </c>
      <c r="F1791" t="s">
        <v>6392</v>
      </c>
      <c r="G1791" t="s">
        <v>6393</v>
      </c>
      <c r="H1791">
        <v>1790</v>
      </c>
      <c r="I1791" t="str">
        <f>IF(ISBLANK(Table1[[#This Row],[oid]]),"FALSE","TRUE")</f>
        <v>TRUE</v>
      </c>
      <c r="J1791" t="str" cm="1">
        <f t="array" ref="J1791">_xlfn.SWITCH(LEFT(Table1[[#This Row],[section]],1), "D", "Demographic", "S", "Social", "E", "Economic", "H", "Housing", "")</f>
        <v>Economic</v>
      </c>
      <c r="K1791" t="s">
        <v>5603</v>
      </c>
      <c r="L1791" t="s">
        <v>5604</v>
      </c>
      <c r="M1791" t="str">
        <f>IF(Table1[[#This Row],[used]], _xlfn.CONCAT("🆔 ", Table1[[#This Row],[variable]], ": ",Table1[[#This Row],[alias]]), "")</f>
        <v>🆔 B19301F_001E: Some Other Race alone: Per capita income in the past 12 months in 2010 inflation-adjusted dollars</v>
      </c>
      <c r="O1791" t="s">
        <v>6181</v>
      </c>
      <c r="P1791" t="s">
        <v>6394</v>
      </c>
      <c r="Q1791" t="s">
        <v>41</v>
      </c>
      <c r="R1791" t="s">
        <v>6395</v>
      </c>
      <c r="S1791" t="b">
        <v>1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</row>
    <row r="1792" spans="1:33" x14ac:dyDescent="0.25">
      <c r="A1792" t="s">
        <v>19</v>
      </c>
      <c r="B1792">
        <v>1</v>
      </c>
      <c r="C1792" t="b">
        <v>0</v>
      </c>
      <c r="D1792" t="s">
        <v>5301</v>
      </c>
      <c r="E1792" t="s">
        <v>6391</v>
      </c>
      <c r="F1792" t="s">
        <v>6392</v>
      </c>
      <c r="G1792" t="s">
        <v>6396</v>
      </c>
      <c r="H1792">
        <v>1791</v>
      </c>
      <c r="I1792" t="str">
        <f>IF(ISBLANK(Table1[[#This Row],[oid]]),"FALSE","TRUE")</f>
        <v>TRUE</v>
      </c>
      <c r="J1792" t="str" cm="1">
        <f t="array" ref="J1792">_xlfn.SWITCH(LEFT(Table1[[#This Row],[section]],1), "D", "Demographic", "S", "Social", "E", "Economic", "H", "Housing", "")</f>
        <v>Economic</v>
      </c>
      <c r="K1792" t="s">
        <v>5603</v>
      </c>
      <c r="L1792" t="s">
        <v>5604</v>
      </c>
      <c r="M1792" t="str">
        <f>IF(Table1[[#This Row],[used]], _xlfn.CONCAT("🆔 ", Table1[[#This Row],[variable]], ": ",Table1[[#This Row],[alias]]), "")</f>
        <v>🆔 B19301F_001E: Some Other Race alone: Per capita income in the past 12 months in 2011 inflation-adjusted dollars</v>
      </c>
      <c r="O1792" t="s">
        <v>6185</v>
      </c>
      <c r="P1792" t="s">
        <v>6397</v>
      </c>
      <c r="Q1792" t="s">
        <v>41</v>
      </c>
      <c r="R1792" t="s">
        <v>6395</v>
      </c>
      <c r="S1792" t="b">
        <v>0</v>
      </c>
      <c r="T1792" t="b">
        <v>1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</row>
    <row r="1793" spans="1:33" x14ac:dyDescent="0.25">
      <c r="A1793" t="s">
        <v>20</v>
      </c>
      <c r="B1793">
        <v>1</v>
      </c>
      <c r="C1793" t="b">
        <v>0</v>
      </c>
      <c r="D1793" t="s">
        <v>5301</v>
      </c>
      <c r="E1793" t="s">
        <v>6391</v>
      </c>
      <c r="F1793" t="s">
        <v>6392</v>
      </c>
      <c r="G1793" t="s">
        <v>6398</v>
      </c>
      <c r="H1793">
        <v>1792</v>
      </c>
      <c r="I1793" t="str">
        <f>IF(ISBLANK(Table1[[#This Row],[oid]]),"FALSE","TRUE")</f>
        <v>TRUE</v>
      </c>
      <c r="J1793" t="str" cm="1">
        <f t="array" ref="J1793">_xlfn.SWITCH(LEFT(Table1[[#This Row],[section]],1), "D", "Demographic", "S", "Social", "E", "Economic", "H", "Housing", "")</f>
        <v>Economic</v>
      </c>
      <c r="K1793" t="s">
        <v>5603</v>
      </c>
      <c r="L1793" t="s">
        <v>5604</v>
      </c>
      <c r="M1793" t="str">
        <f>IF(Table1[[#This Row],[used]], _xlfn.CONCAT("🆔 ", Table1[[#This Row],[variable]], ": ",Table1[[#This Row],[alias]]), "")</f>
        <v>🆔 B19301F_001E: Some Other Race alone: Per capita income in the past 12 months in 2012 inflation-adjusted dollars</v>
      </c>
      <c r="O1793" t="s">
        <v>6188</v>
      </c>
      <c r="P1793" t="s">
        <v>6399</v>
      </c>
      <c r="Q1793" t="s">
        <v>41</v>
      </c>
      <c r="R1793" t="s">
        <v>6395</v>
      </c>
      <c r="S1793" t="b">
        <v>0</v>
      </c>
      <c r="T1793" t="b">
        <v>0</v>
      </c>
      <c r="U1793" t="b">
        <v>1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</row>
    <row r="1794" spans="1:33" x14ac:dyDescent="0.25">
      <c r="A1794" t="s">
        <v>21</v>
      </c>
      <c r="B1794">
        <v>1</v>
      </c>
      <c r="C1794" t="b">
        <v>0</v>
      </c>
      <c r="D1794" t="s">
        <v>5301</v>
      </c>
      <c r="E1794" t="s">
        <v>6391</v>
      </c>
      <c r="F1794" t="s">
        <v>6392</v>
      </c>
      <c r="G1794" t="s">
        <v>6400</v>
      </c>
      <c r="H1794">
        <v>1793</v>
      </c>
      <c r="I1794" t="str">
        <f>IF(ISBLANK(Table1[[#This Row],[oid]]),"FALSE","TRUE")</f>
        <v>TRUE</v>
      </c>
      <c r="J1794" t="str" cm="1">
        <f t="array" ref="J1794">_xlfn.SWITCH(LEFT(Table1[[#This Row],[section]],1), "D", "Demographic", "S", "Social", "E", "Economic", "H", "Housing", "")</f>
        <v>Economic</v>
      </c>
      <c r="K1794" t="s">
        <v>5603</v>
      </c>
      <c r="L1794" t="s">
        <v>5604</v>
      </c>
      <c r="M1794" t="str">
        <f>IF(Table1[[#This Row],[used]], _xlfn.CONCAT("🆔 ", Table1[[#This Row],[variable]], ": ",Table1[[#This Row],[alias]]), "")</f>
        <v>🆔 B19301F_001E: Some Other Race alone: Per capita income in the past 12 months in 2013 inflation-adjusted dollars</v>
      </c>
      <c r="O1794" t="s">
        <v>6191</v>
      </c>
      <c r="P1794" t="s">
        <v>6401</v>
      </c>
      <c r="Q1794" t="s">
        <v>41</v>
      </c>
      <c r="R1794" t="s">
        <v>6395</v>
      </c>
      <c r="S1794" t="b">
        <v>0</v>
      </c>
      <c r="T1794" t="b">
        <v>0</v>
      </c>
      <c r="U1794" t="b">
        <v>0</v>
      </c>
      <c r="V1794" t="b">
        <v>1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</row>
    <row r="1795" spans="1:33" x14ac:dyDescent="0.25">
      <c r="A1795" t="s">
        <v>22</v>
      </c>
      <c r="B1795">
        <v>1</v>
      </c>
      <c r="C1795" t="b">
        <v>0</v>
      </c>
      <c r="D1795" t="s">
        <v>5301</v>
      </c>
      <c r="E1795" t="s">
        <v>6391</v>
      </c>
      <c r="F1795" t="s">
        <v>6392</v>
      </c>
      <c r="G1795" t="s">
        <v>6402</v>
      </c>
      <c r="H1795">
        <v>1794</v>
      </c>
      <c r="I1795" t="str">
        <f>IF(ISBLANK(Table1[[#This Row],[oid]]),"FALSE","TRUE")</f>
        <v>TRUE</v>
      </c>
      <c r="J1795" t="str" cm="1">
        <f t="array" ref="J1795">_xlfn.SWITCH(LEFT(Table1[[#This Row],[section]],1), "D", "Demographic", "S", "Social", "E", "Economic", "H", "Housing", "")</f>
        <v>Economic</v>
      </c>
      <c r="K1795" t="s">
        <v>5603</v>
      </c>
      <c r="L1795" t="s">
        <v>5604</v>
      </c>
      <c r="M1795" t="str">
        <f>IF(Table1[[#This Row],[used]], _xlfn.CONCAT("🆔 ", Table1[[#This Row],[variable]], ": ",Table1[[#This Row],[alias]]), "")</f>
        <v>🆔 B19301F_001E: Some Other Race alone: Per capita income in the past 12 months in 2014 Inflation-adjusted dollars</v>
      </c>
      <c r="O1795" t="s">
        <v>6194</v>
      </c>
      <c r="P1795" t="s">
        <v>6403</v>
      </c>
      <c r="Q1795" t="s">
        <v>41</v>
      </c>
      <c r="R1795" t="s">
        <v>6395</v>
      </c>
      <c r="S1795" t="b">
        <v>0</v>
      </c>
      <c r="T1795" t="b">
        <v>0</v>
      </c>
      <c r="U1795" t="b">
        <v>0</v>
      </c>
      <c r="V1795" t="b">
        <v>0</v>
      </c>
      <c r="W1795" t="b">
        <v>1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</row>
    <row r="1796" spans="1:33" x14ac:dyDescent="0.25">
      <c r="A1796" t="s">
        <v>23</v>
      </c>
      <c r="B1796">
        <v>1</v>
      </c>
      <c r="C1796" t="b">
        <v>0</v>
      </c>
      <c r="D1796" t="s">
        <v>5301</v>
      </c>
      <c r="E1796" t="s">
        <v>6391</v>
      </c>
      <c r="F1796" t="s">
        <v>6392</v>
      </c>
      <c r="G1796" t="s">
        <v>6404</v>
      </c>
      <c r="H1796">
        <v>1795</v>
      </c>
      <c r="I1796" t="str">
        <f>IF(ISBLANK(Table1[[#This Row],[oid]]),"FALSE","TRUE")</f>
        <v>TRUE</v>
      </c>
      <c r="J1796" t="str" cm="1">
        <f t="array" ref="J1796">_xlfn.SWITCH(LEFT(Table1[[#This Row],[section]],1), "D", "Demographic", "S", "Social", "E", "Economic", "H", "Housing", "")</f>
        <v>Economic</v>
      </c>
      <c r="K1796" t="s">
        <v>5603</v>
      </c>
      <c r="L1796" t="s">
        <v>5604</v>
      </c>
      <c r="M1796" t="str">
        <f>IF(Table1[[#This Row],[used]], _xlfn.CONCAT("🆔 ", Table1[[#This Row],[variable]], ": ",Table1[[#This Row],[alias]]), "")</f>
        <v>🆔 B19301F_001E: Some Other Race alone: Per capita income in the past 12 months in 2015 Inflation-adjusted dollars</v>
      </c>
      <c r="O1796" t="s">
        <v>6197</v>
      </c>
      <c r="P1796" t="s">
        <v>6405</v>
      </c>
      <c r="Q1796" t="s">
        <v>41</v>
      </c>
      <c r="R1796" t="s">
        <v>6395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1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</row>
    <row r="1797" spans="1:33" x14ac:dyDescent="0.25">
      <c r="A1797" t="s">
        <v>24</v>
      </c>
      <c r="B1797">
        <v>1</v>
      </c>
      <c r="C1797" t="b">
        <v>0</v>
      </c>
      <c r="D1797" t="s">
        <v>5301</v>
      </c>
      <c r="E1797" t="s">
        <v>6391</v>
      </c>
      <c r="F1797" t="s">
        <v>6392</v>
      </c>
      <c r="G1797" t="s">
        <v>6406</v>
      </c>
      <c r="H1797">
        <v>1796</v>
      </c>
      <c r="I1797" t="str">
        <f>IF(ISBLANK(Table1[[#This Row],[oid]]),"FALSE","TRUE")</f>
        <v>TRUE</v>
      </c>
      <c r="J1797" t="str" cm="1">
        <f t="array" ref="J1797">_xlfn.SWITCH(LEFT(Table1[[#This Row],[section]],1), "D", "Demographic", "S", "Social", "E", "Economic", "H", "Housing", "")</f>
        <v>Economic</v>
      </c>
      <c r="K1797" t="s">
        <v>5603</v>
      </c>
      <c r="L1797" t="s">
        <v>5604</v>
      </c>
      <c r="M1797" t="str">
        <f>IF(Table1[[#This Row],[used]], _xlfn.CONCAT("🆔 ", Table1[[#This Row],[variable]], ": ",Table1[[#This Row],[alias]]), "")</f>
        <v>🆔 B19301F_001E: Some Other Race alone: Per capita income in the past 12 months in 2016 inflation-adjusted dollars</v>
      </c>
      <c r="O1797" t="s">
        <v>6200</v>
      </c>
      <c r="P1797" t="s">
        <v>6407</v>
      </c>
      <c r="Q1797" t="s">
        <v>41</v>
      </c>
      <c r="R1797" t="s">
        <v>6395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1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</row>
    <row r="1798" spans="1:33" x14ac:dyDescent="0.25">
      <c r="A1798" t="s">
        <v>25</v>
      </c>
      <c r="B1798">
        <v>1</v>
      </c>
      <c r="C1798" t="b">
        <v>0</v>
      </c>
      <c r="D1798" t="s">
        <v>5301</v>
      </c>
      <c r="E1798" t="s">
        <v>6391</v>
      </c>
      <c r="F1798" t="s">
        <v>6392</v>
      </c>
      <c r="G1798" t="s">
        <v>6408</v>
      </c>
      <c r="H1798">
        <v>1797</v>
      </c>
      <c r="I1798" t="str">
        <f>IF(ISBLANK(Table1[[#This Row],[oid]]),"FALSE","TRUE")</f>
        <v>TRUE</v>
      </c>
      <c r="J1798" t="str" cm="1">
        <f t="array" ref="J1798">_xlfn.SWITCH(LEFT(Table1[[#This Row],[section]],1), "D", "Demographic", "S", "Social", "E", "Economic", "H", "Housing", "")</f>
        <v>Economic</v>
      </c>
      <c r="K1798" t="s">
        <v>5603</v>
      </c>
      <c r="L1798" t="s">
        <v>5604</v>
      </c>
      <c r="M1798" t="str">
        <f>IF(Table1[[#This Row],[used]], _xlfn.CONCAT("🆔 ", Table1[[#This Row],[variable]], ": ",Table1[[#This Row],[alias]]), "")</f>
        <v>🆔 B19301F_001E: Some Other Race alone: Per capita income in the past 12 months in 2017 inflation-adjusted dollars</v>
      </c>
      <c r="O1798" t="s">
        <v>6203</v>
      </c>
      <c r="P1798" t="s">
        <v>6409</v>
      </c>
      <c r="Q1798" t="s">
        <v>41</v>
      </c>
      <c r="R1798" t="s">
        <v>6395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1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</row>
    <row r="1799" spans="1:33" x14ac:dyDescent="0.25">
      <c r="A1799" t="s">
        <v>26</v>
      </c>
      <c r="B1799">
        <v>1</v>
      </c>
      <c r="C1799" t="b">
        <v>0</v>
      </c>
      <c r="D1799" t="s">
        <v>5301</v>
      </c>
      <c r="E1799" t="s">
        <v>6391</v>
      </c>
      <c r="F1799" t="s">
        <v>6392</v>
      </c>
      <c r="G1799" t="s">
        <v>6410</v>
      </c>
      <c r="H1799">
        <v>1798</v>
      </c>
      <c r="I1799" t="str">
        <f>IF(ISBLANK(Table1[[#This Row],[oid]]),"FALSE","TRUE")</f>
        <v>TRUE</v>
      </c>
      <c r="J1799" t="str" cm="1">
        <f t="array" ref="J1799">_xlfn.SWITCH(LEFT(Table1[[#This Row],[section]],1), "D", "Demographic", "S", "Social", "E", "Economic", "H", "Housing", "")</f>
        <v>Economic</v>
      </c>
      <c r="K1799" t="s">
        <v>5603</v>
      </c>
      <c r="L1799" t="s">
        <v>5604</v>
      </c>
      <c r="M1799" t="str">
        <f>IF(Table1[[#This Row],[used]], _xlfn.CONCAT("🆔 ", Table1[[#This Row],[variable]], ": ",Table1[[#This Row],[alias]]), "")</f>
        <v>🆔 B19301F_001E: Some Other Race alone: Per capita income in the past 12 months in 2018 inflation-adjusted dollars</v>
      </c>
      <c r="O1799" t="s">
        <v>6206</v>
      </c>
      <c r="P1799" t="s">
        <v>6411</v>
      </c>
      <c r="Q1799" t="s">
        <v>41</v>
      </c>
      <c r="R1799" t="s">
        <v>6395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1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</row>
    <row r="1800" spans="1:33" x14ac:dyDescent="0.25">
      <c r="A1800" t="s">
        <v>27</v>
      </c>
      <c r="B1800">
        <v>1</v>
      </c>
      <c r="C1800" t="b">
        <v>0</v>
      </c>
      <c r="D1800" t="s">
        <v>5301</v>
      </c>
      <c r="E1800" t="s">
        <v>6391</v>
      </c>
      <c r="F1800" t="s">
        <v>6392</v>
      </c>
      <c r="G1800" t="s">
        <v>6412</v>
      </c>
      <c r="H1800">
        <v>1799</v>
      </c>
      <c r="I1800" t="str">
        <f>IF(ISBLANK(Table1[[#This Row],[oid]]),"FALSE","TRUE")</f>
        <v>TRUE</v>
      </c>
      <c r="J1800" t="str" cm="1">
        <f t="array" ref="J1800">_xlfn.SWITCH(LEFT(Table1[[#This Row],[section]],1), "D", "Demographic", "S", "Social", "E", "Economic", "H", "Housing", "")</f>
        <v>Economic</v>
      </c>
      <c r="K1800" t="s">
        <v>5603</v>
      </c>
      <c r="L1800" t="s">
        <v>5604</v>
      </c>
      <c r="M1800" t="str">
        <f>IF(Table1[[#This Row],[used]], _xlfn.CONCAT("🆔 ", Table1[[#This Row],[variable]], ": ",Table1[[#This Row],[alias]]), "")</f>
        <v>🆔 B19301F_001E: Some Other Race alone: Per capita income in the past 12 months in 2019 inflation-adjusted dollars</v>
      </c>
      <c r="O1800" t="s">
        <v>6209</v>
      </c>
      <c r="P1800" t="s">
        <v>6413</v>
      </c>
      <c r="Q1800" t="s">
        <v>41</v>
      </c>
      <c r="R1800" t="s">
        <v>6395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1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</row>
    <row r="1801" spans="1:33" x14ac:dyDescent="0.25">
      <c r="A1801" t="s">
        <v>28</v>
      </c>
      <c r="B1801">
        <v>1</v>
      </c>
      <c r="C1801" t="b">
        <v>0</v>
      </c>
      <c r="D1801" t="s">
        <v>5301</v>
      </c>
      <c r="E1801" t="s">
        <v>6391</v>
      </c>
      <c r="F1801" t="s">
        <v>6392</v>
      </c>
      <c r="G1801" t="s">
        <v>6414</v>
      </c>
      <c r="H1801">
        <v>1800</v>
      </c>
      <c r="I1801" t="str">
        <f>IF(ISBLANK(Table1[[#This Row],[oid]]),"FALSE","TRUE")</f>
        <v>TRUE</v>
      </c>
      <c r="J1801" t="str" cm="1">
        <f t="array" ref="J1801">_xlfn.SWITCH(LEFT(Table1[[#This Row],[section]],1), "D", "Demographic", "S", "Social", "E", "Economic", "H", "Housing", "")</f>
        <v>Economic</v>
      </c>
      <c r="K1801" t="s">
        <v>5603</v>
      </c>
      <c r="L1801" t="s">
        <v>5604</v>
      </c>
      <c r="M1801" t="str">
        <f>IF(Table1[[#This Row],[used]], _xlfn.CONCAT("🆔 ", Table1[[#This Row],[variable]], ": ",Table1[[#This Row],[alias]]), "")</f>
        <v>🆔 B19301F_001E: Some Other Race alone: Per capita income in the past 12 months in 2020 inflation-adjusted dollars</v>
      </c>
      <c r="O1801" t="s">
        <v>6212</v>
      </c>
      <c r="P1801" t="s">
        <v>6415</v>
      </c>
      <c r="Q1801" t="s">
        <v>41</v>
      </c>
      <c r="R1801" t="s">
        <v>6395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1</v>
      </c>
      <c r="AD1801" t="b">
        <v>0</v>
      </c>
      <c r="AE1801" t="b">
        <v>0</v>
      </c>
      <c r="AF1801" t="b">
        <v>0</v>
      </c>
      <c r="AG1801" t="b">
        <v>0</v>
      </c>
    </row>
    <row r="1802" spans="1:33" x14ac:dyDescent="0.25">
      <c r="A1802" t="s">
        <v>29</v>
      </c>
      <c r="B1802">
        <v>1</v>
      </c>
      <c r="C1802" t="b">
        <v>0</v>
      </c>
      <c r="D1802" t="s">
        <v>5301</v>
      </c>
      <c r="E1802" t="s">
        <v>6391</v>
      </c>
      <c r="F1802" t="s">
        <v>6392</v>
      </c>
      <c r="G1802" t="s">
        <v>6416</v>
      </c>
      <c r="H1802">
        <v>1801</v>
      </c>
      <c r="I1802" t="str">
        <f>IF(ISBLANK(Table1[[#This Row],[oid]]),"FALSE","TRUE")</f>
        <v>TRUE</v>
      </c>
      <c r="J1802" t="str" cm="1">
        <f t="array" ref="J1802">_xlfn.SWITCH(LEFT(Table1[[#This Row],[section]],1), "D", "Demographic", "S", "Social", "E", "Economic", "H", "Housing", "")</f>
        <v>Economic</v>
      </c>
      <c r="K1802" t="s">
        <v>5603</v>
      </c>
      <c r="L1802" t="s">
        <v>5604</v>
      </c>
      <c r="M1802" t="str">
        <f>IF(Table1[[#This Row],[used]], _xlfn.CONCAT("🆔 ", Table1[[#This Row],[variable]], ": ",Table1[[#This Row],[alias]]), "")</f>
        <v>🆔 B19301F_001E: Some Other Race alone: Per capita income in the past 12 months in 2021 inflation-adjusted dollars</v>
      </c>
      <c r="O1802" t="s">
        <v>6215</v>
      </c>
      <c r="P1802" t="s">
        <v>6417</v>
      </c>
      <c r="Q1802" t="s">
        <v>41</v>
      </c>
      <c r="R1802" t="s">
        <v>6395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1</v>
      </c>
      <c r="AE1802" t="b">
        <v>0</v>
      </c>
      <c r="AF1802" t="b">
        <v>0</v>
      </c>
      <c r="AG1802" t="b">
        <v>0</v>
      </c>
    </row>
    <row r="1803" spans="1:33" x14ac:dyDescent="0.25">
      <c r="A1803" t="s">
        <v>30</v>
      </c>
      <c r="B1803">
        <v>1</v>
      </c>
      <c r="C1803" t="b">
        <v>0</v>
      </c>
      <c r="D1803" t="s">
        <v>5301</v>
      </c>
      <c r="E1803" t="s">
        <v>6391</v>
      </c>
      <c r="F1803" t="s">
        <v>6392</v>
      </c>
      <c r="G1803" t="s">
        <v>6418</v>
      </c>
      <c r="H1803">
        <v>1802</v>
      </c>
      <c r="I1803" t="str">
        <f>IF(ISBLANK(Table1[[#This Row],[oid]]),"FALSE","TRUE")</f>
        <v>TRUE</v>
      </c>
      <c r="J1803" t="str" cm="1">
        <f t="array" ref="J1803">_xlfn.SWITCH(LEFT(Table1[[#This Row],[section]],1), "D", "Demographic", "S", "Social", "E", "Economic", "H", "Housing", "")</f>
        <v>Economic</v>
      </c>
      <c r="K1803" t="s">
        <v>5603</v>
      </c>
      <c r="L1803" t="s">
        <v>5604</v>
      </c>
      <c r="M1803" t="str">
        <f>IF(Table1[[#This Row],[used]], _xlfn.CONCAT("🆔 ", Table1[[#This Row],[variable]], ": ",Table1[[#This Row],[alias]]), "")</f>
        <v>🆔 B19301F_001E: Some Other Race alone: Per capita income in the past 12 months in 2022 inflation-adjusted dollars</v>
      </c>
      <c r="O1803" t="s">
        <v>6218</v>
      </c>
      <c r="P1803" t="s">
        <v>6419</v>
      </c>
      <c r="Q1803" t="s">
        <v>41</v>
      </c>
      <c r="R1803" t="s">
        <v>6395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1</v>
      </c>
      <c r="AF1803" t="b">
        <v>0</v>
      </c>
      <c r="AG1803" t="b">
        <v>0</v>
      </c>
    </row>
    <row r="1804" spans="1:33" x14ac:dyDescent="0.25">
      <c r="A1804" t="s">
        <v>31</v>
      </c>
      <c r="B1804">
        <v>1</v>
      </c>
      <c r="C1804" t="b">
        <v>0</v>
      </c>
      <c r="D1804" t="s">
        <v>5301</v>
      </c>
      <c r="E1804" t="s">
        <v>6391</v>
      </c>
      <c r="F1804" t="s">
        <v>6392</v>
      </c>
      <c r="G1804" t="s">
        <v>6420</v>
      </c>
      <c r="H1804">
        <v>1803</v>
      </c>
      <c r="I1804" t="str">
        <f>IF(ISBLANK(Table1[[#This Row],[oid]]),"FALSE","TRUE")</f>
        <v>TRUE</v>
      </c>
      <c r="J1804" t="str" cm="1">
        <f t="array" ref="J1804">_xlfn.SWITCH(LEFT(Table1[[#This Row],[section]],1), "D", "Demographic", "S", "Social", "E", "Economic", "H", "Housing", "")</f>
        <v>Economic</v>
      </c>
      <c r="K1804" t="s">
        <v>5603</v>
      </c>
      <c r="L1804" t="s">
        <v>5604</v>
      </c>
      <c r="M1804" t="str">
        <f>IF(Table1[[#This Row],[used]], _xlfn.CONCAT("🆔 ", Table1[[#This Row],[variable]], ": ",Table1[[#This Row],[alias]]), "")</f>
        <v>🆔 B19301F_001E: Some Other Race alone: Per capita income in the past 12 months in 2023 inflation-adjusted dollars</v>
      </c>
      <c r="O1804" t="s">
        <v>6221</v>
      </c>
      <c r="P1804" t="s">
        <v>6421</v>
      </c>
      <c r="Q1804" t="s">
        <v>41</v>
      </c>
      <c r="R1804" t="s">
        <v>6395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1</v>
      </c>
      <c r="AG1804" t="b">
        <v>0</v>
      </c>
    </row>
    <row r="1805" spans="1:33" x14ac:dyDescent="0.25">
      <c r="A1805" t="s">
        <v>32</v>
      </c>
      <c r="B1805">
        <v>1</v>
      </c>
      <c r="C1805" t="b">
        <v>0</v>
      </c>
      <c r="D1805" t="s">
        <v>5301</v>
      </c>
      <c r="E1805" t="s">
        <v>6391</v>
      </c>
      <c r="F1805" t="s">
        <v>6392</v>
      </c>
      <c r="G1805" t="s">
        <v>6422</v>
      </c>
      <c r="H1805">
        <v>1804</v>
      </c>
      <c r="I1805" t="str">
        <f>IF(ISBLANK(Table1[[#This Row],[oid]]),"FALSE","TRUE")</f>
        <v>TRUE</v>
      </c>
      <c r="J1805" t="str" cm="1">
        <f t="array" ref="J1805">_xlfn.SWITCH(LEFT(Table1[[#This Row],[section]],1), "D", "Demographic", "S", "Social", "E", "Economic", "H", "Housing", "")</f>
        <v>Economic</v>
      </c>
      <c r="K1805" t="s">
        <v>5603</v>
      </c>
      <c r="L1805" t="s">
        <v>5604</v>
      </c>
      <c r="M1805" t="str">
        <f>IF(Table1[[#This Row],[used]], _xlfn.CONCAT("🆔 ", Table1[[#This Row],[variable]], ": ",Table1[[#This Row],[alias]]), "")</f>
        <v>🆔 B19301F_001E: Some Other Race alone: Per capita income in the past 12 months in 2024 inflation-adjusted dollars</v>
      </c>
      <c r="O1805" t="s">
        <v>6224</v>
      </c>
      <c r="P1805" t="s">
        <v>6423</v>
      </c>
      <c r="Q1805" t="s">
        <v>41</v>
      </c>
      <c r="R1805" t="s">
        <v>6395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1</v>
      </c>
    </row>
    <row r="1806" spans="1:33" x14ac:dyDescent="0.25">
      <c r="A1806" t="s">
        <v>18</v>
      </c>
      <c r="B1806">
        <v>1</v>
      </c>
      <c r="C1806" t="b">
        <v>0</v>
      </c>
      <c r="D1806" t="s">
        <v>5301</v>
      </c>
      <c r="E1806" t="s">
        <v>6424</v>
      </c>
      <c r="F1806" t="s">
        <v>6425</v>
      </c>
      <c r="G1806" t="s">
        <v>6426</v>
      </c>
      <c r="H1806">
        <v>1805</v>
      </c>
      <c r="I1806" t="str">
        <f>IF(ISBLANK(Table1[[#This Row],[oid]]),"FALSE","TRUE")</f>
        <v>TRUE</v>
      </c>
      <c r="J1806" t="str" cm="1">
        <f t="array" ref="J1806">_xlfn.SWITCH(LEFT(Table1[[#This Row],[section]],1), "D", "Demographic", "S", "Social", "E", "Economic", "H", "Housing", "")</f>
        <v>Economic</v>
      </c>
      <c r="K1806" t="s">
        <v>5603</v>
      </c>
      <c r="L1806" t="s">
        <v>5604</v>
      </c>
      <c r="M1806" t="str">
        <f>IF(Table1[[#This Row],[used]], _xlfn.CONCAT("🆔 ", Table1[[#This Row],[variable]], ": ",Table1[[#This Row],[alias]]), "")</f>
        <v>🆔 B19301G_001E: Two or More Races: Per capita income in the past 12 months in 2010 inflation-adjusted dollars</v>
      </c>
      <c r="O1806" t="s">
        <v>6181</v>
      </c>
      <c r="P1806" t="s">
        <v>6427</v>
      </c>
      <c r="Q1806" t="s">
        <v>41</v>
      </c>
      <c r="R1806" t="s">
        <v>6428</v>
      </c>
      <c r="S1806" t="b">
        <v>1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</row>
    <row r="1807" spans="1:33" x14ac:dyDescent="0.25">
      <c r="A1807" t="s">
        <v>19</v>
      </c>
      <c r="B1807">
        <v>1</v>
      </c>
      <c r="C1807" t="b">
        <v>0</v>
      </c>
      <c r="D1807" t="s">
        <v>5301</v>
      </c>
      <c r="E1807" t="s">
        <v>6424</v>
      </c>
      <c r="F1807" t="s">
        <v>6425</v>
      </c>
      <c r="G1807" t="s">
        <v>6429</v>
      </c>
      <c r="H1807">
        <v>1806</v>
      </c>
      <c r="I1807" t="str">
        <f>IF(ISBLANK(Table1[[#This Row],[oid]]),"FALSE","TRUE")</f>
        <v>TRUE</v>
      </c>
      <c r="J1807" t="str" cm="1">
        <f t="array" ref="J1807">_xlfn.SWITCH(LEFT(Table1[[#This Row],[section]],1), "D", "Demographic", "S", "Social", "E", "Economic", "H", "Housing", "")</f>
        <v>Economic</v>
      </c>
      <c r="K1807" t="s">
        <v>5603</v>
      </c>
      <c r="L1807" t="s">
        <v>5604</v>
      </c>
      <c r="M1807" t="str">
        <f>IF(Table1[[#This Row],[used]], _xlfn.CONCAT("🆔 ", Table1[[#This Row],[variable]], ": ",Table1[[#This Row],[alias]]), "")</f>
        <v>🆔 B19301G_001E: Two or More Races: Per capita income in the past 12 months in 2011 inflation-adjusted dollars</v>
      </c>
      <c r="O1807" t="s">
        <v>6185</v>
      </c>
      <c r="P1807" t="s">
        <v>6430</v>
      </c>
      <c r="Q1807" t="s">
        <v>41</v>
      </c>
      <c r="R1807" t="s">
        <v>6428</v>
      </c>
      <c r="S1807" t="b">
        <v>0</v>
      </c>
      <c r="T1807" t="b">
        <v>1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</row>
    <row r="1808" spans="1:33" x14ac:dyDescent="0.25">
      <c r="A1808" t="s">
        <v>20</v>
      </c>
      <c r="B1808">
        <v>1</v>
      </c>
      <c r="C1808" t="b">
        <v>0</v>
      </c>
      <c r="D1808" t="s">
        <v>5301</v>
      </c>
      <c r="E1808" t="s">
        <v>6424</v>
      </c>
      <c r="F1808" t="s">
        <v>6425</v>
      </c>
      <c r="G1808" t="s">
        <v>6431</v>
      </c>
      <c r="H1808">
        <v>1807</v>
      </c>
      <c r="I1808" t="str">
        <f>IF(ISBLANK(Table1[[#This Row],[oid]]),"FALSE","TRUE")</f>
        <v>TRUE</v>
      </c>
      <c r="J1808" t="str" cm="1">
        <f t="array" ref="J1808">_xlfn.SWITCH(LEFT(Table1[[#This Row],[section]],1), "D", "Demographic", "S", "Social", "E", "Economic", "H", "Housing", "")</f>
        <v>Economic</v>
      </c>
      <c r="K1808" t="s">
        <v>5603</v>
      </c>
      <c r="L1808" t="s">
        <v>5604</v>
      </c>
      <c r="M1808" t="str">
        <f>IF(Table1[[#This Row],[used]], _xlfn.CONCAT("🆔 ", Table1[[#This Row],[variable]], ": ",Table1[[#This Row],[alias]]), "")</f>
        <v>🆔 B19301G_001E: Two or More Races: Per capita income in the past 12 months in 2012 inflation-adjusted dollars</v>
      </c>
      <c r="O1808" t="s">
        <v>6188</v>
      </c>
      <c r="P1808" t="s">
        <v>6432</v>
      </c>
      <c r="Q1808" t="s">
        <v>41</v>
      </c>
      <c r="R1808" t="s">
        <v>6428</v>
      </c>
      <c r="S1808" t="b">
        <v>0</v>
      </c>
      <c r="T1808" t="b">
        <v>0</v>
      </c>
      <c r="U1808" t="b">
        <v>1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</row>
    <row r="1809" spans="1:33" x14ac:dyDescent="0.25">
      <c r="A1809" t="s">
        <v>21</v>
      </c>
      <c r="B1809">
        <v>1</v>
      </c>
      <c r="C1809" t="b">
        <v>0</v>
      </c>
      <c r="D1809" t="s">
        <v>5301</v>
      </c>
      <c r="E1809" t="s">
        <v>6424</v>
      </c>
      <c r="F1809" t="s">
        <v>6425</v>
      </c>
      <c r="G1809" t="s">
        <v>6433</v>
      </c>
      <c r="H1809">
        <v>1808</v>
      </c>
      <c r="I1809" t="str">
        <f>IF(ISBLANK(Table1[[#This Row],[oid]]),"FALSE","TRUE")</f>
        <v>TRUE</v>
      </c>
      <c r="J1809" t="str" cm="1">
        <f t="array" ref="J1809">_xlfn.SWITCH(LEFT(Table1[[#This Row],[section]],1), "D", "Demographic", "S", "Social", "E", "Economic", "H", "Housing", "")</f>
        <v>Economic</v>
      </c>
      <c r="K1809" t="s">
        <v>5603</v>
      </c>
      <c r="L1809" t="s">
        <v>5604</v>
      </c>
      <c r="M1809" t="str">
        <f>IF(Table1[[#This Row],[used]], _xlfn.CONCAT("🆔 ", Table1[[#This Row],[variable]], ": ",Table1[[#This Row],[alias]]), "")</f>
        <v>🆔 B19301G_001E: Two or More Races: Per capita income in the past 12 months in 2013 inflation-adjusted dollars</v>
      </c>
      <c r="O1809" t="s">
        <v>6191</v>
      </c>
      <c r="P1809" t="s">
        <v>6434</v>
      </c>
      <c r="Q1809" t="s">
        <v>41</v>
      </c>
      <c r="R1809" t="s">
        <v>6428</v>
      </c>
      <c r="S1809" t="b">
        <v>0</v>
      </c>
      <c r="T1809" t="b">
        <v>0</v>
      </c>
      <c r="U1809" t="b">
        <v>0</v>
      </c>
      <c r="V1809" t="b">
        <v>1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</row>
    <row r="1810" spans="1:33" x14ac:dyDescent="0.25">
      <c r="A1810" t="s">
        <v>22</v>
      </c>
      <c r="B1810">
        <v>1</v>
      </c>
      <c r="C1810" t="b">
        <v>0</v>
      </c>
      <c r="D1810" t="s">
        <v>5301</v>
      </c>
      <c r="E1810" t="s">
        <v>6424</v>
      </c>
      <c r="F1810" t="s">
        <v>6425</v>
      </c>
      <c r="G1810" t="s">
        <v>6435</v>
      </c>
      <c r="H1810">
        <v>1809</v>
      </c>
      <c r="I1810" t="str">
        <f>IF(ISBLANK(Table1[[#This Row],[oid]]),"FALSE","TRUE")</f>
        <v>TRUE</v>
      </c>
      <c r="J1810" t="str" cm="1">
        <f t="array" ref="J1810">_xlfn.SWITCH(LEFT(Table1[[#This Row],[section]],1), "D", "Demographic", "S", "Social", "E", "Economic", "H", "Housing", "")</f>
        <v>Economic</v>
      </c>
      <c r="K1810" t="s">
        <v>5603</v>
      </c>
      <c r="L1810" t="s">
        <v>5604</v>
      </c>
      <c r="M1810" t="str">
        <f>IF(Table1[[#This Row],[used]], _xlfn.CONCAT("🆔 ", Table1[[#This Row],[variable]], ": ",Table1[[#This Row],[alias]]), "")</f>
        <v>🆔 B19301G_001E: Two or More Races: Per capita income in the past 12 months in 2014 Inflation-adjusted dollars</v>
      </c>
      <c r="O1810" t="s">
        <v>6194</v>
      </c>
      <c r="P1810" t="s">
        <v>6436</v>
      </c>
      <c r="Q1810" t="s">
        <v>41</v>
      </c>
      <c r="R1810" t="s">
        <v>6428</v>
      </c>
      <c r="S1810" t="b">
        <v>0</v>
      </c>
      <c r="T1810" t="b">
        <v>0</v>
      </c>
      <c r="U1810" t="b">
        <v>0</v>
      </c>
      <c r="V1810" t="b">
        <v>0</v>
      </c>
      <c r="W1810" t="b">
        <v>1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</row>
    <row r="1811" spans="1:33" x14ac:dyDescent="0.25">
      <c r="A1811" t="s">
        <v>23</v>
      </c>
      <c r="B1811">
        <v>1</v>
      </c>
      <c r="C1811" t="b">
        <v>0</v>
      </c>
      <c r="D1811" t="s">
        <v>5301</v>
      </c>
      <c r="E1811" t="s">
        <v>6424</v>
      </c>
      <c r="F1811" t="s">
        <v>6425</v>
      </c>
      <c r="G1811" t="s">
        <v>6437</v>
      </c>
      <c r="H1811">
        <v>1810</v>
      </c>
      <c r="I1811" t="str">
        <f>IF(ISBLANK(Table1[[#This Row],[oid]]),"FALSE","TRUE")</f>
        <v>TRUE</v>
      </c>
      <c r="J1811" t="str" cm="1">
        <f t="array" ref="J1811">_xlfn.SWITCH(LEFT(Table1[[#This Row],[section]],1), "D", "Demographic", "S", "Social", "E", "Economic", "H", "Housing", "")</f>
        <v>Economic</v>
      </c>
      <c r="K1811" t="s">
        <v>5603</v>
      </c>
      <c r="L1811" t="s">
        <v>5604</v>
      </c>
      <c r="M1811" t="str">
        <f>IF(Table1[[#This Row],[used]], _xlfn.CONCAT("🆔 ", Table1[[#This Row],[variable]], ": ",Table1[[#This Row],[alias]]), "")</f>
        <v>🆔 B19301G_001E: Two or More Races: Per capita income in the past 12 months in 2015 Inflation-adjusted dollars</v>
      </c>
      <c r="O1811" t="s">
        <v>6197</v>
      </c>
      <c r="P1811" t="s">
        <v>6438</v>
      </c>
      <c r="Q1811" t="s">
        <v>41</v>
      </c>
      <c r="R1811" t="s">
        <v>6428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1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</row>
    <row r="1812" spans="1:33" x14ac:dyDescent="0.25">
      <c r="A1812" t="s">
        <v>24</v>
      </c>
      <c r="B1812">
        <v>1</v>
      </c>
      <c r="C1812" t="b">
        <v>0</v>
      </c>
      <c r="D1812" t="s">
        <v>5301</v>
      </c>
      <c r="E1812" t="s">
        <v>6424</v>
      </c>
      <c r="F1812" t="s">
        <v>6425</v>
      </c>
      <c r="G1812" t="s">
        <v>6439</v>
      </c>
      <c r="H1812">
        <v>1811</v>
      </c>
      <c r="I1812" t="str">
        <f>IF(ISBLANK(Table1[[#This Row],[oid]]),"FALSE","TRUE")</f>
        <v>TRUE</v>
      </c>
      <c r="J1812" t="str" cm="1">
        <f t="array" ref="J1812">_xlfn.SWITCH(LEFT(Table1[[#This Row],[section]],1), "D", "Demographic", "S", "Social", "E", "Economic", "H", "Housing", "")</f>
        <v>Economic</v>
      </c>
      <c r="K1812" t="s">
        <v>5603</v>
      </c>
      <c r="L1812" t="s">
        <v>5604</v>
      </c>
      <c r="M1812" t="str">
        <f>IF(Table1[[#This Row],[used]], _xlfn.CONCAT("🆔 ", Table1[[#This Row],[variable]], ": ",Table1[[#This Row],[alias]]), "")</f>
        <v>🆔 B19301G_001E: Two or More Races: Per capita income in the past 12 months in 2016 inflation-adjusted dollars</v>
      </c>
      <c r="O1812" t="s">
        <v>6200</v>
      </c>
      <c r="P1812" t="s">
        <v>6440</v>
      </c>
      <c r="Q1812" t="s">
        <v>41</v>
      </c>
      <c r="R1812" t="s">
        <v>6428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1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</row>
    <row r="1813" spans="1:33" x14ac:dyDescent="0.25">
      <c r="A1813" t="s">
        <v>25</v>
      </c>
      <c r="B1813">
        <v>1</v>
      </c>
      <c r="C1813" t="b">
        <v>0</v>
      </c>
      <c r="D1813" t="s">
        <v>5301</v>
      </c>
      <c r="E1813" t="s">
        <v>6424</v>
      </c>
      <c r="F1813" t="s">
        <v>6425</v>
      </c>
      <c r="G1813" t="s">
        <v>6441</v>
      </c>
      <c r="H1813">
        <v>1812</v>
      </c>
      <c r="I1813" t="str">
        <f>IF(ISBLANK(Table1[[#This Row],[oid]]),"FALSE","TRUE")</f>
        <v>TRUE</v>
      </c>
      <c r="J1813" t="str" cm="1">
        <f t="array" ref="J1813">_xlfn.SWITCH(LEFT(Table1[[#This Row],[section]],1), "D", "Demographic", "S", "Social", "E", "Economic", "H", "Housing", "")</f>
        <v>Economic</v>
      </c>
      <c r="K1813" t="s">
        <v>5603</v>
      </c>
      <c r="L1813" t="s">
        <v>5604</v>
      </c>
      <c r="M1813" t="str">
        <f>IF(Table1[[#This Row],[used]], _xlfn.CONCAT("🆔 ", Table1[[#This Row],[variable]], ": ",Table1[[#This Row],[alias]]), "")</f>
        <v>🆔 B19301G_001E: Two or More Races: Per capita income in the past 12 months in 2017 inflation-adjusted dollars</v>
      </c>
      <c r="O1813" t="s">
        <v>6203</v>
      </c>
      <c r="P1813" t="s">
        <v>6442</v>
      </c>
      <c r="Q1813" t="s">
        <v>41</v>
      </c>
      <c r="R1813" t="s">
        <v>6428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1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</row>
    <row r="1814" spans="1:33" x14ac:dyDescent="0.25">
      <c r="A1814" t="s">
        <v>26</v>
      </c>
      <c r="B1814">
        <v>1</v>
      </c>
      <c r="C1814" t="b">
        <v>0</v>
      </c>
      <c r="D1814" t="s">
        <v>5301</v>
      </c>
      <c r="E1814" t="s">
        <v>6424</v>
      </c>
      <c r="F1814" t="s">
        <v>6425</v>
      </c>
      <c r="G1814" t="s">
        <v>6443</v>
      </c>
      <c r="H1814">
        <v>1813</v>
      </c>
      <c r="I1814" t="str">
        <f>IF(ISBLANK(Table1[[#This Row],[oid]]),"FALSE","TRUE")</f>
        <v>TRUE</v>
      </c>
      <c r="J1814" t="str" cm="1">
        <f t="array" ref="J1814">_xlfn.SWITCH(LEFT(Table1[[#This Row],[section]],1), "D", "Demographic", "S", "Social", "E", "Economic", "H", "Housing", "")</f>
        <v>Economic</v>
      </c>
      <c r="K1814" t="s">
        <v>5603</v>
      </c>
      <c r="L1814" t="s">
        <v>5604</v>
      </c>
      <c r="M1814" t="str">
        <f>IF(Table1[[#This Row],[used]], _xlfn.CONCAT("🆔 ", Table1[[#This Row],[variable]], ": ",Table1[[#This Row],[alias]]), "")</f>
        <v>🆔 B19301G_001E: Two or More Races: Per capita income in the past 12 months in 2018 inflation-adjusted dollars</v>
      </c>
      <c r="O1814" t="s">
        <v>6206</v>
      </c>
      <c r="P1814" t="s">
        <v>6444</v>
      </c>
      <c r="Q1814" t="s">
        <v>41</v>
      </c>
      <c r="R1814" t="s">
        <v>6428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1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</row>
    <row r="1815" spans="1:33" x14ac:dyDescent="0.25">
      <c r="A1815" t="s">
        <v>27</v>
      </c>
      <c r="B1815">
        <v>1</v>
      </c>
      <c r="C1815" t="b">
        <v>0</v>
      </c>
      <c r="D1815" t="s">
        <v>5301</v>
      </c>
      <c r="E1815" t="s">
        <v>6424</v>
      </c>
      <c r="F1815" t="s">
        <v>6425</v>
      </c>
      <c r="G1815" t="s">
        <v>6445</v>
      </c>
      <c r="H1815">
        <v>1814</v>
      </c>
      <c r="I1815" t="str">
        <f>IF(ISBLANK(Table1[[#This Row],[oid]]),"FALSE","TRUE")</f>
        <v>TRUE</v>
      </c>
      <c r="J1815" t="str" cm="1">
        <f t="array" ref="J1815">_xlfn.SWITCH(LEFT(Table1[[#This Row],[section]],1), "D", "Demographic", "S", "Social", "E", "Economic", "H", "Housing", "")</f>
        <v>Economic</v>
      </c>
      <c r="K1815" t="s">
        <v>5603</v>
      </c>
      <c r="L1815" t="s">
        <v>5604</v>
      </c>
      <c r="M1815" t="str">
        <f>IF(Table1[[#This Row],[used]], _xlfn.CONCAT("🆔 ", Table1[[#This Row],[variable]], ": ",Table1[[#This Row],[alias]]), "")</f>
        <v>🆔 B19301G_001E: Two or More Races: Per capita income in the past 12 months in 2019 inflation-adjusted dollars</v>
      </c>
      <c r="O1815" t="s">
        <v>6209</v>
      </c>
      <c r="P1815" t="s">
        <v>6446</v>
      </c>
      <c r="Q1815" t="s">
        <v>41</v>
      </c>
      <c r="R1815" t="s">
        <v>6428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1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</row>
    <row r="1816" spans="1:33" x14ac:dyDescent="0.25">
      <c r="A1816" t="s">
        <v>28</v>
      </c>
      <c r="B1816">
        <v>1</v>
      </c>
      <c r="C1816" t="b">
        <v>0</v>
      </c>
      <c r="D1816" t="s">
        <v>5301</v>
      </c>
      <c r="E1816" t="s">
        <v>6424</v>
      </c>
      <c r="F1816" t="s">
        <v>6425</v>
      </c>
      <c r="G1816" t="s">
        <v>6447</v>
      </c>
      <c r="H1816">
        <v>1815</v>
      </c>
      <c r="I1816" t="str">
        <f>IF(ISBLANK(Table1[[#This Row],[oid]]),"FALSE","TRUE")</f>
        <v>TRUE</v>
      </c>
      <c r="J1816" t="str" cm="1">
        <f t="array" ref="J1816">_xlfn.SWITCH(LEFT(Table1[[#This Row],[section]],1), "D", "Demographic", "S", "Social", "E", "Economic", "H", "Housing", "")</f>
        <v>Economic</v>
      </c>
      <c r="K1816" t="s">
        <v>5603</v>
      </c>
      <c r="L1816" t="s">
        <v>5604</v>
      </c>
      <c r="M1816" t="str">
        <f>IF(Table1[[#This Row],[used]], _xlfn.CONCAT("🆔 ", Table1[[#This Row],[variable]], ": ",Table1[[#This Row],[alias]]), "")</f>
        <v>🆔 B19301G_001E: Two or More Races: Per capita income in the past 12 months in 2020 inflation-adjusted dollars</v>
      </c>
      <c r="O1816" t="s">
        <v>6212</v>
      </c>
      <c r="P1816" t="s">
        <v>6448</v>
      </c>
      <c r="Q1816" t="s">
        <v>41</v>
      </c>
      <c r="R1816" t="s">
        <v>6428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1</v>
      </c>
      <c r="AD1816" t="b">
        <v>0</v>
      </c>
      <c r="AE1816" t="b">
        <v>0</v>
      </c>
      <c r="AF1816" t="b">
        <v>0</v>
      </c>
      <c r="AG1816" t="b">
        <v>0</v>
      </c>
    </row>
    <row r="1817" spans="1:33" x14ac:dyDescent="0.25">
      <c r="A1817" t="s">
        <v>29</v>
      </c>
      <c r="B1817">
        <v>1</v>
      </c>
      <c r="C1817" t="b">
        <v>0</v>
      </c>
      <c r="D1817" t="s">
        <v>5301</v>
      </c>
      <c r="E1817" t="s">
        <v>6424</v>
      </c>
      <c r="F1817" t="s">
        <v>6425</v>
      </c>
      <c r="G1817" t="s">
        <v>6449</v>
      </c>
      <c r="H1817">
        <v>1816</v>
      </c>
      <c r="I1817" t="str">
        <f>IF(ISBLANK(Table1[[#This Row],[oid]]),"FALSE","TRUE")</f>
        <v>TRUE</v>
      </c>
      <c r="J1817" t="str" cm="1">
        <f t="array" ref="J1817">_xlfn.SWITCH(LEFT(Table1[[#This Row],[section]],1), "D", "Demographic", "S", "Social", "E", "Economic", "H", "Housing", "")</f>
        <v>Economic</v>
      </c>
      <c r="K1817" t="s">
        <v>5603</v>
      </c>
      <c r="L1817" t="s">
        <v>5604</v>
      </c>
      <c r="M1817" t="str">
        <f>IF(Table1[[#This Row],[used]], _xlfn.CONCAT("🆔 ", Table1[[#This Row],[variable]], ": ",Table1[[#This Row],[alias]]), "")</f>
        <v>🆔 B19301G_001E: Two or More Races: Per capita income in the past 12 months in 2021 inflation-adjusted dollars</v>
      </c>
      <c r="O1817" t="s">
        <v>6215</v>
      </c>
      <c r="P1817" t="s">
        <v>6450</v>
      </c>
      <c r="Q1817" t="s">
        <v>41</v>
      </c>
      <c r="R1817" t="s">
        <v>6428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1</v>
      </c>
      <c r="AE1817" t="b">
        <v>0</v>
      </c>
      <c r="AF1817" t="b">
        <v>0</v>
      </c>
      <c r="AG1817" t="b">
        <v>0</v>
      </c>
    </row>
    <row r="1818" spans="1:33" x14ac:dyDescent="0.25">
      <c r="A1818" t="s">
        <v>30</v>
      </c>
      <c r="B1818">
        <v>1</v>
      </c>
      <c r="C1818" t="b">
        <v>0</v>
      </c>
      <c r="D1818" t="s">
        <v>5301</v>
      </c>
      <c r="E1818" t="s">
        <v>6424</v>
      </c>
      <c r="F1818" t="s">
        <v>6425</v>
      </c>
      <c r="G1818" t="s">
        <v>6451</v>
      </c>
      <c r="H1818">
        <v>1817</v>
      </c>
      <c r="I1818" t="str">
        <f>IF(ISBLANK(Table1[[#This Row],[oid]]),"FALSE","TRUE")</f>
        <v>TRUE</v>
      </c>
      <c r="J1818" t="str" cm="1">
        <f t="array" ref="J1818">_xlfn.SWITCH(LEFT(Table1[[#This Row],[section]],1), "D", "Demographic", "S", "Social", "E", "Economic", "H", "Housing", "")</f>
        <v>Economic</v>
      </c>
      <c r="K1818" t="s">
        <v>5603</v>
      </c>
      <c r="L1818" t="s">
        <v>5604</v>
      </c>
      <c r="M1818" t="str">
        <f>IF(Table1[[#This Row],[used]], _xlfn.CONCAT("🆔 ", Table1[[#This Row],[variable]], ": ",Table1[[#This Row],[alias]]), "")</f>
        <v>🆔 B19301G_001E: Two or More Races: Per capita income in the past 12 months in 2022 inflation-adjusted dollars</v>
      </c>
      <c r="O1818" t="s">
        <v>6218</v>
      </c>
      <c r="P1818" t="s">
        <v>6452</v>
      </c>
      <c r="Q1818" t="s">
        <v>41</v>
      </c>
      <c r="R1818" t="s">
        <v>6428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1</v>
      </c>
      <c r="AF1818" t="b">
        <v>0</v>
      </c>
      <c r="AG1818" t="b">
        <v>0</v>
      </c>
    </row>
    <row r="1819" spans="1:33" x14ac:dyDescent="0.25">
      <c r="A1819" t="s">
        <v>31</v>
      </c>
      <c r="B1819">
        <v>1</v>
      </c>
      <c r="C1819" t="b">
        <v>0</v>
      </c>
      <c r="D1819" t="s">
        <v>5301</v>
      </c>
      <c r="E1819" t="s">
        <v>6424</v>
      </c>
      <c r="F1819" t="s">
        <v>6425</v>
      </c>
      <c r="G1819" t="s">
        <v>6453</v>
      </c>
      <c r="H1819">
        <v>1818</v>
      </c>
      <c r="I1819" t="str">
        <f>IF(ISBLANK(Table1[[#This Row],[oid]]),"FALSE","TRUE")</f>
        <v>TRUE</v>
      </c>
      <c r="J1819" t="str" cm="1">
        <f t="array" ref="J1819">_xlfn.SWITCH(LEFT(Table1[[#This Row],[section]],1), "D", "Demographic", "S", "Social", "E", "Economic", "H", "Housing", "")</f>
        <v>Economic</v>
      </c>
      <c r="K1819" t="s">
        <v>5603</v>
      </c>
      <c r="L1819" t="s">
        <v>5604</v>
      </c>
      <c r="M1819" t="str">
        <f>IF(Table1[[#This Row],[used]], _xlfn.CONCAT("🆔 ", Table1[[#This Row],[variable]], ": ",Table1[[#This Row],[alias]]), "")</f>
        <v>🆔 B19301G_001E: Two or More Races: Per capita income in the past 12 months in 2023 inflation-adjusted dollars</v>
      </c>
      <c r="O1819" t="s">
        <v>6221</v>
      </c>
      <c r="P1819" t="s">
        <v>6454</v>
      </c>
      <c r="Q1819" t="s">
        <v>41</v>
      </c>
      <c r="R1819" t="s">
        <v>6428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1</v>
      </c>
      <c r="AG1819" t="b">
        <v>0</v>
      </c>
    </row>
    <row r="1820" spans="1:33" x14ac:dyDescent="0.25">
      <c r="A1820" t="s">
        <v>32</v>
      </c>
      <c r="B1820">
        <v>1</v>
      </c>
      <c r="C1820" t="b">
        <v>0</v>
      </c>
      <c r="D1820" t="s">
        <v>5301</v>
      </c>
      <c r="E1820" t="s">
        <v>6424</v>
      </c>
      <c r="F1820" t="s">
        <v>6425</v>
      </c>
      <c r="G1820" t="s">
        <v>6455</v>
      </c>
      <c r="H1820">
        <v>1819</v>
      </c>
      <c r="I1820" t="str">
        <f>IF(ISBLANK(Table1[[#This Row],[oid]]),"FALSE","TRUE")</f>
        <v>TRUE</v>
      </c>
      <c r="J1820" t="str" cm="1">
        <f t="array" ref="J1820">_xlfn.SWITCH(LEFT(Table1[[#This Row],[section]],1), "D", "Demographic", "S", "Social", "E", "Economic", "H", "Housing", "")</f>
        <v>Economic</v>
      </c>
      <c r="K1820" t="s">
        <v>5603</v>
      </c>
      <c r="L1820" t="s">
        <v>5604</v>
      </c>
      <c r="M1820" t="str">
        <f>IF(Table1[[#This Row],[used]], _xlfn.CONCAT("🆔 ", Table1[[#This Row],[variable]], ": ",Table1[[#This Row],[alias]]), "")</f>
        <v>🆔 B19301G_001E: Two or More Races: Per capita income in the past 12 months in 2024 inflation-adjusted dollars</v>
      </c>
      <c r="O1820" t="s">
        <v>6224</v>
      </c>
      <c r="P1820" t="s">
        <v>6456</v>
      </c>
      <c r="Q1820" t="s">
        <v>41</v>
      </c>
      <c r="R1820" t="s">
        <v>6428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1</v>
      </c>
    </row>
    <row r="1821" spans="1:33" x14ac:dyDescent="0.25">
      <c r="A1821" t="s">
        <v>18</v>
      </c>
      <c r="B1821">
        <v>1</v>
      </c>
      <c r="C1821" t="b">
        <v>0</v>
      </c>
      <c r="D1821" t="s">
        <v>5301</v>
      </c>
      <c r="E1821" t="s">
        <v>6457</v>
      </c>
      <c r="F1821" t="s">
        <v>6458</v>
      </c>
      <c r="G1821" t="s">
        <v>6459</v>
      </c>
      <c r="H1821">
        <v>1820</v>
      </c>
      <c r="I1821" t="str">
        <f>IF(ISBLANK(Table1[[#This Row],[oid]]),"FALSE","TRUE")</f>
        <v>TRUE</v>
      </c>
      <c r="J1821" t="str" cm="1">
        <f t="array" ref="J1821">_xlfn.SWITCH(LEFT(Table1[[#This Row],[section]],1), "D", "Demographic", "S", "Social", "E", "Economic", "H", "Housing", "")</f>
        <v>Economic</v>
      </c>
      <c r="K1821" t="s">
        <v>5603</v>
      </c>
      <c r="L1821" t="s">
        <v>5604</v>
      </c>
      <c r="M1821" t="str">
        <f>IF(Table1[[#This Row],[used]], _xlfn.CONCAT("🆔 ", Table1[[#This Row],[variable]], ": ",Table1[[#This Row],[alias]]), "")</f>
        <v>🆔 B19301H_001E: White alone, not Hispanic or Latino: Per capita income in the past 12 months in 2010 inflation-adjusted dollars</v>
      </c>
      <c r="O1821" t="s">
        <v>6181</v>
      </c>
      <c r="P1821" t="s">
        <v>6460</v>
      </c>
      <c r="Q1821" t="s">
        <v>41</v>
      </c>
      <c r="R1821" t="s">
        <v>6461</v>
      </c>
      <c r="S1821" t="b">
        <v>1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</row>
    <row r="1822" spans="1:33" x14ac:dyDescent="0.25">
      <c r="A1822" t="s">
        <v>19</v>
      </c>
      <c r="B1822">
        <v>1</v>
      </c>
      <c r="C1822" t="b">
        <v>0</v>
      </c>
      <c r="D1822" t="s">
        <v>5301</v>
      </c>
      <c r="E1822" t="s">
        <v>6457</v>
      </c>
      <c r="F1822" t="s">
        <v>6458</v>
      </c>
      <c r="G1822" t="s">
        <v>6462</v>
      </c>
      <c r="H1822">
        <v>1821</v>
      </c>
      <c r="I1822" t="str">
        <f>IF(ISBLANK(Table1[[#This Row],[oid]]),"FALSE","TRUE")</f>
        <v>TRUE</v>
      </c>
      <c r="J1822" t="str" cm="1">
        <f t="array" ref="J1822">_xlfn.SWITCH(LEFT(Table1[[#This Row],[section]],1), "D", "Demographic", "S", "Social", "E", "Economic", "H", "Housing", "")</f>
        <v>Economic</v>
      </c>
      <c r="K1822" t="s">
        <v>5603</v>
      </c>
      <c r="L1822" t="s">
        <v>5604</v>
      </c>
      <c r="M1822" t="str">
        <f>IF(Table1[[#This Row],[used]], _xlfn.CONCAT("🆔 ", Table1[[#This Row],[variable]], ": ",Table1[[#This Row],[alias]]), "")</f>
        <v>🆔 B19301H_001E: White alone, not Hispanic or Latino: Per capita income in the past 12 months in 2011 inflation-adjusted dollars</v>
      </c>
      <c r="O1822" t="s">
        <v>6185</v>
      </c>
      <c r="P1822" t="s">
        <v>6463</v>
      </c>
      <c r="Q1822" t="s">
        <v>41</v>
      </c>
      <c r="R1822" t="s">
        <v>6461</v>
      </c>
      <c r="S1822" t="b">
        <v>0</v>
      </c>
      <c r="T1822" t="b">
        <v>1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</row>
    <row r="1823" spans="1:33" x14ac:dyDescent="0.25">
      <c r="A1823" t="s">
        <v>20</v>
      </c>
      <c r="B1823">
        <v>1</v>
      </c>
      <c r="C1823" t="b">
        <v>0</v>
      </c>
      <c r="D1823" t="s">
        <v>5301</v>
      </c>
      <c r="E1823" t="s">
        <v>6457</v>
      </c>
      <c r="F1823" t="s">
        <v>6458</v>
      </c>
      <c r="G1823" t="s">
        <v>6464</v>
      </c>
      <c r="H1823">
        <v>1822</v>
      </c>
      <c r="I1823" t="str">
        <f>IF(ISBLANK(Table1[[#This Row],[oid]]),"FALSE","TRUE")</f>
        <v>TRUE</v>
      </c>
      <c r="J1823" t="str" cm="1">
        <f t="array" ref="J1823">_xlfn.SWITCH(LEFT(Table1[[#This Row],[section]],1), "D", "Demographic", "S", "Social", "E", "Economic", "H", "Housing", "")</f>
        <v>Economic</v>
      </c>
      <c r="K1823" t="s">
        <v>5603</v>
      </c>
      <c r="L1823" t="s">
        <v>5604</v>
      </c>
      <c r="M1823" t="str">
        <f>IF(Table1[[#This Row],[used]], _xlfn.CONCAT("🆔 ", Table1[[#This Row],[variable]], ": ",Table1[[#This Row],[alias]]), "")</f>
        <v>🆔 B19301H_001E: White alone, not Hispanic or Latino: Per capita income in the past 12 months in 2012 inflation-adjusted dollars</v>
      </c>
      <c r="O1823" t="s">
        <v>6188</v>
      </c>
      <c r="P1823" t="s">
        <v>6465</v>
      </c>
      <c r="Q1823" t="s">
        <v>41</v>
      </c>
      <c r="R1823" t="s">
        <v>6461</v>
      </c>
      <c r="S1823" t="b">
        <v>0</v>
      </c>
      <c r="T1823" t="b">
        <v>0</v>
      </c>
      <c r="U1823" t="b">
        <v>1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</row>
    <row r="1824" spans="1:33" x14ac:dyDescent="0.25">
      <c r="A1824" t="s">
        <v>21</v>
      </c>
      <c r="B1824">
        <v>1</v>
      </c>
      <c r="C1824" t="b">
        <v>0</v>
      </c>
      <c r="D1824" t="s">
        <v>5301</v>
      </c>
      <c r="E1824" t="s">
        <v>6457</v>
      </c>
      <c r="F1824" t="s">
        <v>6458</v>
      </c>
      <c r="G1824" t="s">
        <v>6466</v>
      </c>
      <c r="H1824">
        <v>1823</v>
      </c>
      <c r="I1824" t="str">
        <f>IF(ISBLANK(Table1[[#This Row],[oid]]),"FALSE","TRUE")</f>
        <v>TRUE</v>
      </c>
      <c r="J1824" t="str" cm="1">
        <f t="array" ref="J1824">_xlfn.SWITCH(LEFT(Table1[[#This Row],[section]],1), "D", "Demographic", "S", "Social", "E", "Economic", "H", "Housing", "")</f>
        <v>Economic</v>
      </c>
      <c r="K1824" t="s">
        <v>5603</v>
      </c>
      <c r="L1824" t="s">
        <v>5604</v>
      </c>
      <c r="M1824" t="str">
        <f>IF(Table1[[#This Row],[used]], _xlfn.CONCAT("🆔 ", Table1[[#This Row],[variable]], ": ",Table1[[#This Row],[alias]]), "")</f>
        <v>🆔 B19301H_001E: White alone, not Hispanic or Latino: Per capita income in the past 12 months in 2013 inflation-adjusted dollars</v>
      </c>
      <c r="O1824" t="s">
        <v>6191</v>
      </c>
      <c r="P1824" t="s">
        <v>6467</v>
      </c>
      <c r="Q1824" t="s">
        <v>41</v>
      </c>
      <c r="R1824" t="s">
        <v>6461</v>
      </c>
      <c r="S1824" t="b">
        <v>0</v>
      </c>
      <c r="T1824" t="b">
        <v>0</v>
      </c>
      <c r="U1824" t="b">
        <v>0</v>
      </c>
      <c r="V1824" t="b">
        <v>1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</row>
    <row r="1825" spans="1:33" x14ac:dyDescent="0.25">
      <c r="A1825" t="s">
        <v>22</v>
      </c>
      <c r="B1825">
        <v>1</v>
      </c>
      <c r="C1825" t="b">
        <v>0</v>
      </c>
      <c r="D1825" t="s">
        <v>5301</v>
      </c>
      <c r="E1825" t="s">
        <v>6457</v>
      </c>
      <c r="F1825" t="s">
        <v>6458</v>
      </c>
      <c r="G1825" t="s">
        <v>6468</v>
      </c>
      <c r="H1825">
        <v>1824</v>
      </c>
      <c r="I1825" t="str">
        <f>IF(ISBLANK(Table1[[#This Row],[oid]]),"FALSE","TRUE")</f>
        <v>TRUE</v>
      </c>
      <c r="J1825" t="str" cm="1">
        <f t="array" ref="J1825">_xlfn.SWITCH(LEFT(Table1[[#This Row],[section]],1), "D", "Demographic", "S", "Social", "E", "Economic", "H", "Housing", "")</f>
        <v>Economic</v>
      </c>
      <c r="K1825" t="s">
        <v>5603</v>
      </c>
      <c r="L1825" t="s">
        <v>5604</v>
      </c>
      <c r="M1825" t="str">
        <f>IF(Table1[[#This Row],[used]], _xlfn.CONCAT("🆔 ", Table1[[#This Row],[variable]], ": ",Table1[[#This Row],[alias]]), "")</f>
        <v>🆔 B19301H_001E: White alone, not Hispanic or Latino: Per capita income in the past 12 months in 2014 Inflation-adjusted dollars</v>
      </c>
      <c r="O1825" t="s">
        <v>6194</v>
      </c>
      <c r="P1825" t="s">
        <v>6469</v>
      </c>
      <c r="Q1825" t="s">
        <v>41</v>
      </c>
      <c r="R1825" t="s">
        <v>6461</v>
      </c>
      <c r="S1825" t="b">
        <v>0</v>
      </c>
      <c r="T1825" t="b">
        <v>0</v>
      </c>
      <c r="U1825" t="b">
        <v>0</v>
      </c>
      <c r="V1825" t="b">
        <v>0</v>
      </c>
      <c r="W1825" t="b">
        <v>1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</row>
    <row r="1826" spans="1:33" x14ac:dyDescent="0.25">
      <c r="A1826" t="s">
        <v>23</v>
      </c>
      <c r="B1826">
        <v>1</v>
      </c>
      <c r="C1826" t="b">
        <v>0</v>
      </c>
      <c r="D1826" t="s">
        <v>5301</v>
      </c>
      <c r="E1826" t="s">
        <v>6457</v>
      </c>
      <c r="F1826" t="s">
        <v>6458</v>
      </c>
      <c r="G1826" t="s">
        <v>6470</v>
      </c>
      <c r="H1826">
        <v>1825</v>
      </c>
      <c r="I1826" t="str">
        <f>IF(ISBLANK(Table1[[#This Row],[oid]]),"FALSE","TRUE")</f>
        <v>TRUE</v>
      </c>
      <c r="J1826" t="str" cm="1">
        <f t="array" ref="J1826">_xlfn.SWITCH(LEFT(Table1[[#This Row],[section]],1), "D", "Demographic", "S", "Social", "E", "Economic", "H", "Housing", "")</f>
        <v>Economic</v>
      </c>
      <c r="K1826" t="s">
        <v>5603</v>
      </c>
      <c r="L1826" t="s">
        <v>5604</v>
      </c>
      <c r="M1826" t="str">
        <f>IF(Table1[[#This Row],[used]], _xlfn.CONCAT("🆔 ", Table1[[#This Row],[variable]], ": ",Table1[[#This Row],[alias]]), "")</f>
        <v>🆔 B19301H_001E: White alone, not Hispanic or Latino: Per capita income in the past 12 months in 2015 Inflation-adjusted dollars</v>
      </c>
      <c r="O1826" t="s">
        <v>6197</v>
      </c>
      <c r="P1826" t="s">
        <v>6471</v>
      </c>
      <c r="Q1826" t="s">
        <v>41</v>
      </c>
      <c r="R1826" t="s">
        <v>6461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1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</row>
    <row r="1827" spans="1:33" x14ac:dyDescent="0.25">
      <c r="A1827" t="s">
        <v>24</v>
      </c>
      <c r="B1827">
        <v>1</v>
      </c>
      <c r="C1827" t="b">
        <v>0</v>
      </c>
      <c r="D1827" t="s">
        <v>5301</v>
      </c>
      <c r="E1827" t="s">
        <v>6457</v>
      </c>
      <c r="F1827" t="s">
        <v>6458</v>
      </c>
      <c r="G1827" t="s">
        <v>6472</v>
      </c>
      <c r="H1827">
        <v>1826</v>
      </c>
      <c r="I1827" t="str">
        <f>IF(ISBLANK(Table1[[#This Row],[oid]]),"FALSE","TRUE")</f>
        <v>TRUE</v>
      </c>
      <c r="J1827" t="str" cm="1">
        <f t="array" ref="J1827">_xlfn.SWITCH(LEFT(Table1[[#This Row],[section]],1), "D", "Demographic", "S", "Social", "E", "Economic", "H", "Housing", "")</f>
        <v>Economic</v>
      </c>
      <c r="K1827" t="s">
        <v>5603</v>
      </c>
      <c r="L1827" t="s">
        <v>5604</v>
      </c>
      <c r="M1827" t="str">
        <f>IF(Table1[[#This Row],[used]], _xlfn.CONCAT("🆔 ", Table1[[#This Row],[variable]], ": ",Table1[[#This Row],[alias]]), "")</f>
        <v>🆔 B19301H_001E: White alone, not Hispanic or Latino: Per capita income in the past 12 months in 2016 inflation-adjusted dollars</v>
      </c>
      <c r="O1827" t="s">
        <v>6200</v>
      </c>
      <c r="P1827" t="s">
        <v>6473</v>
      </c>
      <c r="Q1827" t="s">
        <v>41</v>
      </c>
      <c r="R1827" t="s">
        <v>6461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1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</row>
    <row r="1828" spans="1:33" x14ac:dyDescent="0.25">
      <c r="A1828" t="s">
        <v>25</v>
      </c>
      <c r="B1828">
        <v>1</v>
      </c>
      <c r="C1828" t="b">
        <v>0</v>
      </c>
      <c r="D1828" t="s">
        <v>5301</v>
      </c>
      <c r="E1828" t="s">
        <v>6457</v>
      </c>
      <c r="F1828" t="s">
        <v>6458</v>
      </c>
      <c r="G1828" t="s">
        <v>6474</v>
      </c>
      <c r="H1828">
        <v>1827</v>
      </c>
      <c r="I1828" t="str">
        <f>IF(ISBLANK(Table1[[#This Row],[oid]]),"FALSE","TRUE")</f>
        <v>TRUE</v>
      </c>
      <c r="J1828" t="str" cm="1">
        <f t="array" ref="J1828">_xlfn.SWITCH(LEFT(Table1[[#This Row],[section]],1), "D", "Demographic", "S", "Social", "E", "Economic", "H", "Housing", "")</f>
        <v>Economic</v>
      </c>
      <c r="K1828" t="s">
        <v>5603</v>
      </c>
      <c r="L1828" t="s">
        <v>5604</v>
      </c>
      <c r="M1828" t="str">
        <f>IF(Table1[[#This Row],[used]], _xlfn.CONCAT("🆔 ", Table1[[#This Row],[variable]], ": ",Table1[[#This Row],[alias]]), "")</f>
        <v>🆔 B19301H_001E: White alone, not Hispanic or Latino: Per capita income in the past 12 months in 2017 inflation-adjusted dollars</v>
      </c>
      <c r="O1828" t="s">
        <v>6203</v>
      </c>
      <c r="P1828" t="s">
        <v>6475</v>
      </c>
      <c r="Q1828" t="s">
        <v>41</v>
      </c>
      <c r="R1828" t="s">
        <v>6461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1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</row>
    <row r="1829" spans="1:33" x14ac:dyDescent="0.25">
      <c r="A1829" t="s">
        <v>26</v>
      </c>
      <c r="B1829">
        <v>1</v>
      </c>
      <c r="C1829" t="b">
        <v>0</v>
      </c>
      <c r="D1829" t="s">
        <v>5301</v>
      </c>
      <c r="E1829" t="s">
        <v>6457</v>
      </c>
      <c r="F1829" t="s">
        <v>6458</v>
      </c>
      <c r="G1829" t="s">
        <v>6476</v>
      </c>
      <c r="H1829">
        <v>1828</v>
      </c>
      <c r="I1829" t="str">
        <f>IF(ISBLANK(Table1[[#This Row],[oid]]),"FALSE","TRUE")</f>
        <v>TRUE</v>
      </c>
      <c r="J1829" t="str" cm="1">
        <f t="array" ref="J1829">_xlfn.SWITCH(LEFT(Table1[[#This Row],[section]],1), "D", "Demographic", "S", "Social", "E", "Economic", "H", "Housing", "")</f>
        <v>Economic</v>
      </c>
      <c r="K1829" t="s">
        <v>5603</v>
      </c>
      <c r="L1829" t="s">
        <v>5604</v>
      </c>
      <c r="M1829" t="str">
        <f>IF(Table1[[#This Row],[used]], _xlfn.CONCAT("🆔 ", Table1[[#This Row],[variable]], ": ",Table1[[#This Row],[alias]]), "")</f>
        <v>🆔 B19301H_001E: White alone, not Hispanic or Latino: Per capita income in the past 12 months in 2018 inflation-adjusted dollars</v>
      </c>
      <c r="O1829" t="s">
        <v>6206</v>
      </c>
      <c r="P1829" t="s">
        <v>6477</v>
      </c>
      <c r="Q1829" t="s">
        <v>41</v>
      </c>
      <c r="R1829" t="s">
        <v>6461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1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</row>
    <row r="1830" spans="1:33" x14ac:dyDescent="0.25">
      <c r="A1830" t="s">
        <v>27</v>
      </c>
      <c r="B1830">
        <v>1</v>
      </c>
      <c r="C1830" t="b">
        <v>0</v>
      </c>
      <c r="D1830" t="s">
        <v>5301</v>
      </c>
      <c r="E1830" t="s">
        <v>6457</v>
      </c>
      <c r="F1830" t="s">
        <v>6458</v>
      </c>
      <c r="G1830" t="s">
        <v>6478</v>
      </c>
      <c r="H1830">
        <v>1829</v>
      </c>
      <c r="I1830" t="str">
        <f>IF(ISBLANK(Table1[[#This Row],[oid]]),"FALSE","TRUE")</f>
        <v>TRUE</v>
      </c>
      <c r="J1830" t="str" cm="1">
        <f t="array" ref="J1830">_xlfn.SWITCH(LEFT(Table1[[#This Row],[section]],1), "D", "Demographic", "S", "Social", "E", "Economic", "H", "Housing", "")</f>
        <v>Economic</v>
      </c>
      <c r="K1830" t="s">
        <v>5603</v>
      </c>
      <c r="L1830" t="s">
        <v>5604</v>
      </c>
      <c r="M1830" t="str">
        <f>IF(Table1[[#This Row],[used]], _xlfn.CONCAT("🆔 ", Table1[[#This Row],[variable]], ": ",Table1[[#This Row],[alias]]), "")</f>
        <v>🆔 B19301H_001E: White alone, not Hispanic or Latino: Per capita income in the past 12 months in 2019 inflation-adjusted dollars</v>
      </c>
      <c r="O1830" t="s">
        <v>6209</v>
      </c>
      <c r="P1830" t="s">
        <v>6479</v>
      </c>
      <c r="Q1830" t="s">
        <v>41</v>
      </c>
      <c r="R1830" t="s">
        <v>6461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1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</row>
    <row r="1831" spans="1:33" x14ac:dyDescent="0.25">
      <c r="A1831" t="s">
        <v>28</v>
      </c>
      <c r="B1831">
        <v>1</v>
      </c>
      <c r="C1831" t="b">
        <v>0</v>
      </c>
      <c r="D1831" t="s">
        <v>5301</v>
      </c>
      <c r="E1831" t="s">
        <v>6457</v>
      </c>
      <c r="F1831" t="s">
        <v>6458</v>
      </c>
      <c r="G1831" t="s">
        <v>6480</v>
      </c>
      <c r="H1831">
        <v>1830</v>
      </c>
      <c r="I1831" t="str">
        <f>IF(ISBLANK(Table1[[#This Row],[oid]]),"FALSE","TRUE")</f>
        <v>TRUE</v>
      </c>
      <c r="J1831" t="str" cm="1">
        <f t="array" ref="J1831">_xlfn.SWITCH(LEFT(Table1[[#This Row],[section]],1), "D", "Demographic", "S", "Social", "E", "Economic", "H", "Housing", "")</f>
        <v>Economic</v>
      </c>
      <c r="K1831" t="s">
        <v>5603</v>
      </c>
      <c r="L1831" t="s">
        <v>5604</v>
      </c>
      <c r="M1831" t="str">
        <f>IF(Table1[[#This Row],[used]], _xlfn.CONCAT("🆔 ", Table1[[#This Row],[variable]], ": ",Table1[[#This Row],[alias]]), "")</f>
        <v>🆔 B19301H_001E: White alone, not Hispanic or Latino: Per capita income in the past 12 months in 2020 inflation-adjusted dollars</v>
      </c>
      <c r="O1831" t="s">
        <v>6212</v>
      </c>
      <c r="P1831" t="s">
        <v>6481</v>
      </c>
      <c r="Q1831" t="s">
        <v>41</v>
      </c>
      <c r="R1831" t="s">
        <v>6461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1</v>
      </c>
      <c r="AD1831" t="b">
        <v>0</v>
      </c>
      <c r="AE1831" t="b">
        <v>0</v>
      </c>
      <c r="AF1831" t="b">
        <v>0</v>
      </c>
      <c r="AG1831" t="b">
        <v>0</v>
      </c>
    </row>
    <row r="1832" spans="1:33" x14ac:dyDescent="0.25">
      <c r="A1832" t="s">
        <v>29</v>
      </c>
      <c r="B1832">
        <v>1</v>
      </c>
      <c r="C1832" t="b">
        <v>0</v>
      </c>
      <c r="D1832" t="s">
        <v>5301</v>
      </c>
      <c r="E1832" t="s">
        <v>6457</v>
      </c>
      <c r="F1832" t="s">
        <v>6458</v>
      </c>
      <c r="G1832" t="s">
        <v>6482</v>
      </c>
      <c r="H1832">
        <v>1831</v>
      </c>
      <c r="I1832" t="str">
        <f>IF(ISBLANK(Table1[[#This Row],[oid]]),"FALSE","TRUE")</f>
        <v>TRUE</v>
      </c>
      <c r="J1832" t="str" cm="1">
        <f t="array" ref="J1832">_xlfn.SWITCH(LEFT(Table1[[#This Row],[section]],1), "D", "Demographic", "S", "Social", "E", "Economic", "H", "Housing", "")</f>
        <v>Economic</v>
      </c>
      <c r="K1832" t="s">
        <v>5603</v>
      </c>
      <c r="L1832" t="s">
        <v>5604</v>
      </c>
      <c r="M1832" t="str">
        <f>IF(Table1[[#This Row],[used]], _xlfn.CONCAT("🆔 ", Table1[[#This Row],[variable]], ": ",Table1[[#This Row],[alias]]), "")</f>
        <v>🆔 B19301H_001E: White alone, not Hispanic or Latino: Per capita income in the past 12 months in 2021 inflation-adjusted dollars</v>
      </c>
      <c r="O1832" t="s">
        <v>6215</v>
      </c>
      <c r="P1832" t="s">
        <v>6483</v>
      </c>
      <c r="Q1832" t="s">
        <v>41</v>
      </c>
      <c r="R1832" t="s">
        <v>6461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1</v>
      </c>
      <c r="AE1832" t="b">
        <v>0</v>
      </c>
      <c r="AF1832" t="b">
        <v>0</v>
      </c>
      <c r="AG1832" t="b">
        <v>0</v>
      </c>
    </row>
    <row r="1833" spans="1:33" x14ac:dyDescent="0.25">
      <c r="A1833" t="s">
        <v>30</v>
      </c>
      <c r="B1833">
        <v>1</v>
      </c>
      <c r="C1833" t="b">
        <v>0</v>
      </c>
      <c r="D1833" t="s">
        <v>5301</v>
      </c>
      <c r="E1833" t="s">
        <v>6457</v>
      </c>
      <c r="F1833" t="s">
        <v>6458</v>
      </c>
      <c r="G1833" t="s">
        <v>6484</v>
      </c>
      <c r="H1833">
        <v>1832</v>
      </c>
      <c r="I1833" t="str">
        <f>IF(ISBLANK(Table1[[#This Row],[oid]]),"FALSE","TRUE")</f>
        <v>TRUE</v>
      </c>
      <c r="J1833" t="str" cm="1">
        <f t="array" ref="J1833">_xlfn.SWITCH(LEFT(Table1[[#This Row],[section]],1), "D", "Demographic", "S", "Social", "E", "Economic", "H", "Housing", "")</f>
        <v>Economic</v>
      </c>
      <c r="K1833" t="s">
        <v>5603</v>
      </c>
      <c r="L1833" t="s">
        <v>5604</v>
      </c>
      <c r="M1833" t="str">
        <f>IF(Table1[[#This Row],[used]], _xlfn.CONCAT("🆔 ", Table1[[#This Row],[variable]], ": ",Table1[[#This Row],[alias]]), "")</f>
        <v>🆔 B19301H_001E: White alone, not Hispanic or Latino: Per capita income in the past 12 months in 2022 inflation-adjusted dollars</v>
      </c>
      <c r="O1833" t="s">
        <v>6218</v>
      </c>
      <c r="P1833" t="s">
        <v>6485</v>
      </c>
      <c r="Q1833" t="s">
        <v>41</v>
      </c>
      <c r="R1833" t="s">
        <v>6461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1</v>
      </c>
      <c r="AF1833" t="b">
        <v>0</v>
      </c>
      <c r="AG1833" t="b">
        <v>0</v>
      </c>
    </row>
    <row r="1834" spans="1:33" x14ac:dyDescent="0.25">
      <c r="A1834" t="s">
        <v>31</v>
      </c>
      <c r="B1834">
        <v>1</v>
      </c>
      <c r="C1834" t="b">
        <v>0</v>
      </c>
      <c r="D1834" t="s">
        <v>5301</v>
      </c>
      <c r="E1834" t="s">
        <v>6457</v>
      </c>
      <c r="F1834" t="s">
        <v>6458</v>
      </c>
      <c r="G1834" t="s">
        <v>6486</v>
      </c>
      <c r="H1834">
        <v>1833</v>
      </c>
      <c r="I1834" t="str">
        <f>IF(ISBLANK(Table1[[#This Row],[oid]]),"FALSE","TRUE")</f>
        <v>TRUE</v>
      </c>
      <c r="J1834" t="str" cm="1">
        <f t="array" ref="J1834">_xlfn.SWITCH(LEFT(Table1[[#This Row],[section]],1), "D", "Demographic", "S", "Social", "E", "Economic", "H", "Housing", "")</f>
        <v>Economic</v>
      </c>
      <c r="K1834" t="s">
        <v>5603</v>
      </c>
      <c r="L1834" t="s">
        <v>5604</v>
      </c>
      <c r="M1834" t="str">
        <f>IF(Table1[[#This Row],[used]], _xlfn.CONCAT("🆔 ", Table1[[#This Row],[variable]], ": ",Table1[[#This Row],[alias]]), "")</f>
        <v>🆔 B19301H_001E: White alone, not Hispanic or Latino: Per capita income in the past 12 months in 2023 inflation-adjusted dollars</v>
      </c>
      <c r="O1834" t="s">
        <v>6221</v>
      </c>
      <c r="P1834" t="s">
        <v>6487</v>
      </c>
      <c r="Q1834" t="s">
        <v>41</v>
      </c>
      <c r="R1834" t="s">
        <v>6461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1</v>
      </c>
      <c r="AG1834" t="b">
        <v>0</v>
      </c>
    </row>
    <row r="1835" spans="1:33" x14ac:dyDescent="0.25">
      <c r="A1835" t="s">
        <v>32</v>
      </c>
      <c r="B1835">
        <v>1</v>
      </c>
      <c r="C1835" t="b">
        <v>0</v>
      </c>
      <c r="D1835" t="s">
        <v>5301</v>
      </c>
      <c r="E1835" t="s">
        <v>6457</v>
      </c>
      <c r="F1835" t="s">
        <v>6458</v>
      </c>
      <c r="G1835" t="s">
        <v>6488</v>
      </c>
      <c r="H1835">
        <v>1834</v>
      </c>
      <c r="I1835" t="str">
        <f>IF(ISBLANK(Table1[[#This Row],[oid]]),"FALSE","TRUE")</f>
        <v>TRUE</v>
      </c>
      <c r="J1835" t="str" cm="1">
        <f t="array" ref="J1835">_xlfn.SWITCH(LEFT(Table1[[#This Row],[section]],1), "D", "Demographic", "S", "Social", "E", "Economic", "H", "Housing", "")</f>
        <v>Economic</v>
      </c>
      <c r="K1835" t="s">
        <v>5603</v>
      </c>
      <c r="L1835" t="s">
        <v>5604</v>
      </c>
      <c r="M1835" t="str">
        <f>IF(Table1[[#This Row],[used]], _xlfn.CONCAT("🆔 ", Table1[[#This Row],[variable]], ": ",Table1[[#This Row],[alias]]), "")</f>
        <v>🆔 B19301H_001E: White alone, not Hispanic or Latino: Per capita income in the past 12 months in 2024 inflation-adjusted dollars</v>
      </c>
      <c r="O1835" t="s">
        <v>6224</v>
      </c>
      <c r="P1835" t="s">
        <v>6489</v>
      </c>
      <c r="Q1835" t="s">
        <v>41</v>
      </c>
      <c r="R1835" t="s">
        <v>6461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1</v>
      </c>
    </row>
    <row r="1836" spans="1:33" x14ac:dyDescent="0.25">
      <c r="A1836" t="s">
        <v>18</v>
      </c>
      <c r="B1836">
        <v>1</v>
      </c>
      <c r="C1836" t="b">
        <v>0</v>
      </c>
      <c r="D1836" t="s">
        <v>5301</v>
      </c>
      <c r="E1836" t="s">
        <v>6490</v>
      </c>
      <c r="F1836" t="s">
        <v>6491</v>
      </c>
      <c r="G1836" t="s">
        <v>6492</v>
      </c>
      <c r="H1836">
        <v>1835</v>
      </c>
      <c r="I1836" t="str">
        <f>IF(ISBLANK(Table1[[#This Row],[oid]]),"FALSE","TRUE")</f>
        <v>TRUE</v>
      </c>
      <c r="J1836" t="str" cm="1">
        <f t="array" ref="J1836">_xlfn.SWITCH(LEFT(Table1[[#This Row],[section]],1), "D", "Demographic", "S", "Social", "E", "Economic", "H", "Housing", "")</f>
        <v>Economic</v>
      </c>
      <c r="K1836" t="s">
        <v>5603</v>
      </c>
      <c r="L1836" t="s">
        <v>5604</v>
      </c>
      <c r="M1836" t="str">
        <f>IF(Table1[[#This Row],[used]], _xlfn.CONCAT("🆔 ", Table1[[#This Row],[variable]], ": ",Table1[[#This Row],[alias]]), "")</f>
        <v>🆔 B19301I_001E: Hispanic or Latino: Per capita income in the past 12 months in 2010 inflation-adjusted dollars</v>
      </c>
      <c r="O1836" t="s">
        <v>6181</v>
      </c>
      <c r="P1836" t="s">
        <v>6493</v>
      </c>
      <c r="Q1836" t="s">
        <v>41</v>
      </c>
      <c r="R1836" t="s">
        <v>6494</v>
      </c>
      <c r="S1836" t="b">
        <v>1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</row>
    <row r="1837" spans="1:33" x14ac:dyDescent="0.25">
      <c r="A1837" t="s">
        <v>19</v>
      </c>
      <c r="B1837">
        <v>1</v>
      </c>
      <c r="C1837" t="b">
        <v>0</v>
      </c>
      <c r="D1837" t="s">
        <v>5301</v>
      </c>
      <c r="E1837" t="s">
        <v>6490</v>
      </c>
      <c r="F1837" t="s">
        <v>6491</v>
      </c>
      <c r="G1837" t="s">
        <v>6495</v>
      </c>
      <c r="H1837">
        <v>1836</v>
      </c>
      <c r="I1837" t="str">
        <f>IF(ISBLANK(Table1[[#This Row],[oid]]),"FALSE","TRUE")</f>
        <v>TRUE</v>
      </c>
      <c r="J1837" t="str" cm="1">
        <f t="array" ref="J1837">_xlfn.SWITCH(LEFT(Table1[[#This Row],[section]],1), "D", "Demographic", "S", "Social", "E", "Economic", "H", "Housing", "")</f>
        <v>Economic</v>
      </c>
      <c r="K1837" t="s">
        <v>5603</v>
      </c>
      <c r="L1837" t="s">
        <v>5604</v>
      </c>
      <c r="M1837" t="str">
        <f>IF(Table1[[#This Row],[used]], _xlfn.CONCAT("🆔 ", Table1[[#This Row],[variable]], ": ",Table1[[#This Row],[alias]]), "")</f>
        <v>🆔 B19301I_001E: Hispanic or Latino: Per capita income in the past 12 months in 2011 inflation-adjusted dollars</v>
      </c>
      <c r="O1837" t="s">
        <v>6185</v>
      </c>
      <c r="P1837" t="s">
        <v>6496</v>
      </c>
      <c r="Q1837" t="s">
        <v>41</v>
      </c>
      <c r="R1837" t="s">
        <v>6494</v>
      </c>
      <c r="S1837" t="b">
        <v>0</v>
      </c>
      <c r="T1837" t="b">
        <v>1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</row>
    <row r="1838" spans="1:33" x14ac:dyDescent="0.25">
      <c r="A1838" t="s">
        <v>20</v>
      </c>
      <c r="B1838">
        <v>1</v>
      </c>
      <c r="C1838" t="b">
        <v>0</v>
      </c>
      <c r="D1838" t="s">
        <v>5301</v>
      </c>
      <c r="E1838" t="s">
        <v>6490</v>
      </c>
      <c r="F1838" t="s">
        <v>6491</v>
      </c>
      <c r="G1838" t="s">
        <v>6497</v>
      </c>
      <c r="H1838">
        <v>1837</v>
      </c>
      <c r="I1838" t="str">
        <f>IF(ISBLANK(Table1[[#This Row],[oid]]),"FALSE","TRUE")</f>
        <v>TRUE</v>
      </c>
      <c r="J1838" t="str" cm="1">
        <f t="array" ref="J1838">_xlfn.SWITCH(LEFT(Table1[[#This Row],[section]],1), "D", "Demographic", "S", "Social", "E", "Economic", "H", "Housing", "")</f>
        <v>Economic</v>
      </c>
      <c r="K1838" t="s">
        <v>5603</v>
      </c>
      <c r="L1838" t="s">
        <v>5604</v>
      </c>
      <c r="M1838" t="str">
        <f>IF(Table1[[#This Row],[used]], _xlfn.CONCAT("🆔 ", Table1[[#This Row],[variable]], ": ",Table1[[#This Row],[alias]]), "")</f>
        <v>🆔 B19301I_001E: Hispanic or Latino: Per capita income in the past 12 months in 2012 inflation-adjusted dollars</v>
      </c>
      <c r="O1838" t="s">
        <v>6188</v>
      </c>
      <c r="P1838" t="s">
        <v>6498</v>
      </c>
      <c r="Q1838" t="s">
        <v>41</v>
      </c>
      <c r="R1838" t="s">
        <v>6494</v>
      </c>
      <c r="S1838" t="b">
        <v>0</v>
      </c>
      <c r="T1838" t="b">
        <v>0</v>
      </c>
      <c r="U1838" t="b">
        <v>1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</row>
    <row r="1839" spans="1:33" x14ac:dyDescent="0.25">
      <c r="A1839" t="s">
        <v>21</v>
      </c>
      <c r="B1839">
        <v>1</v>
      </c>
      <c r="C1839" t="b">
        <v>0</v>
      </c>
      <c r="D1839" t="s">
        <v>5301</v>
      </c>
      <c r="E1839" t="s">
        <v>6490</v>
      </c>
      <c r="F1839" t="s">
        <v>6491</v>
      </c>
      <c r="G1839" t="s">
        <v>6499</v>
      </c>
      <c r="H1839">
        <v>1838</v>
      </c>
      <c r="I1839" t="str">
        <f>IF(ISBLANK(Table1[[#This Row],[oid]]),"FALSE","TRUE")</f>
        <v>TRUE</v>
      </c>
      <c r="J1839" t="str" cm="1">
        <f t="array" ref="J1839">_xlfn.SWITCH(LEFT(Table1[[#This Row],[section]],1), "D", "Demographic", "S", "Social", "E", "Economic", "H", "Housing", "")</f>
        <v>Economic</v>
      </c>
      <c r="K1839" t="s">
        <v>5603</v>
      </c>
      <c r="L1839" t="s">
        <v>5604</v>
      </c>
      <c r="M1839" t="str">
        <f>IF(Table1[[#This Row],[used]], _xlfn.CONCAT("🆔 ", Table1[[#This Row],[variable]], ": ",Table1[[#This Row],[alias]]), "")</f>
        <v>🆔 B19301I_001E: Hispanic or Latino: Per capita income in the past 12 months in 2013 inflation-adjusted dollars</v>
      </c>
      <c r="O1839" t="s">
        <v>6191</v>
      </c>
      <c r="P1839" t="s">
        <v>6500</v>
      </c>
      <c r="Q1839" t="s">
        <v>41</v>
      </c>
      <c r="R1839" t="s">
        <v>6494</v>
      </c>
      <c r="S1839" t="b">
        <v>0</v>
      </c>
      <c r="T1839" t="b">
        <v>0</v>
      </c>
      <c r="U1839" t="b">
        <v>0</v>
      </c>
      <c r="V1839" t="b">
        <v>1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</row>
    <row r="1840" spans="1:33" x14ac:dyDescent="0.25">
      <c r="A1840" t="s">
        <v>22</v>
      </c>
      <c r="B1840">
        <v>1</v>
      </c>
      <c r="C1840" t="b">
        <v>0</v>
      </c>
      <c r="D1840" t="s">
        <v>5301</v>
      </c>
      <c r="E1840" t="s">
        <v>6490</v>
      </c>
      <c r="F1840" t="s">
        <v>6491</v>
      </c>
      <c r="G1840" t="s">
        <v>6501</v>
      </c>
      <c r="H1840">
        <v>1839</v>
      </c>
      <c r="I1840" t="str">
        <f>IF(ISBLANK(Table1[[#This Row],[oid]]),"FALSE","TRUE")</f>
        <v>TRUE</v>
      </c>
      <c r="J1840" t="str" cm="1">
        <f t="array" ref="J1840">_xlfn.SWITCH(LEFT(Table1[[#This Row],[section]],1), "D", "Demographic", "S", "Social", "E", "Economic", "H", "Housing", "")</f>
        <v>Economic</v>
      </c>
      <c r="K1840" t="s">
        <v>5603</v>
      </c>
      <c r="L1840" t="s">
        <v>5604</v>
      </c>
      <c r="M1840" t="str">
        <f>IF(Table1[[#This Row],[used]], _xlfn.CONCAT("🆔 ", Table1[[#This Row],[variable]], ": ",Table1[[#This Row],[alias]]), "")</f>
        <v>🆔 B19301I_001E: Hispanic or Latino: Per capita income in the past 12 months in 2014 Inflation-adjusted dollars</v>
      </c>
      <c r="O1840" t="s">
        <v>6194</v>
      </c>
      <c r="P1840" t="s">
        <v>6502</v>
      </c>
      <c r="Q1840" t="s">
        <v>41</v>
      </c>
      <c r="R1840" t="s">
        <v>6494</v>
      </c>
      <c r="S1840" t="b">
        <v>0</v>
      </c>
      <c r="T1840" t="b">
        <v>0</v>
      </c>
      <c r="U1840" t="b">
        <v>0</v>
      </c>
      <c r="V1840" t="b">
        <v>0</v>
      </c>
      <c r="W1840" t="b">
        <v>1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</row>
    <row r="1841" spans="1:33" x14ac:dyDescent="0.25">
      <c r="A1841" t="s">
        <v>23</v>
      </c>
      <c r="B1841">
        <v>1</v>
      </c>
      <c r="C1841" t="b">
        <v>0</v>
      </c>
      <c r="D1841" t="s">
        <v>5301</v>
      </c>
      <c r="E1841" t="s">
        <v>6490</v>
      </c>
      <c r="F1841" t="s">
        <v>6491</v>
      </c>
      <c r="G1841" t="s">
        <v>6503</v>
      </c>
      <c r="H1841">
        <v>1840</v>
      </c>
      <c r="I1841" t="str">
        <f>IF(ISBLANK(Table1[[#This Row],[oid]]),"FALSE","TRUE")</f>
        <v>TRUE</v>
      </c>
      <c r="J1841" t="str" cm="1">
        <f t="array" ref="J1841">_xlfn.SWITCH(LEFT(Table1[[#This Row],[section]],1), "D", "Demographic", "S", "Social", "E", "Economic", "H", "Housing", "")</f>
        <v>Economic</v>
      </c>
      <c r="K1841" t="s">
        <v>5603</v>
      </c>
      <c r="L1841" t="s">
        <v>5604</v>
      </c>
      <c r="M1841" t="str">
        <f>IF(Table1[[#This Row],[used]], _xlfn.CONCAT("🆔 ", Table1[[#This Row],[variable]], ": ",Table1[[#This Row],[alias]]), "")</f>
        <v>🆔 B19301I_001E: Hispanic or Latino: Per capita income in the past 12 months in 2015 Inflation-adjusted dollars</v>
      </c>
      <c r="O1841" t="s">
        <v>6197</v>
      </c>
      <c r="P1841" t="s">
        <v>6504</v>
      </c>
      <c r="Q1841" t="s">
        <v>41</v>
      </c>
      <c r="R1841" t="s">
        <v>6494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1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</row>
    <row r="1842" spans="1:33" x14ac:dyDescent="0.25">
      <c r="A1842" t="s">
        <v>24</v>
      </c>
      <c r="B1842">
        <v>1</v>
      </c>
      <c r="C1842" t="b">
        <v>0</v>
      </c>
      <c r="D1842" t="s">
        <v>5301</v>
      </c>
      <c r="E1842" t="s">
        <v>6490</v>
      </c>
      <c r="F1842" t="s">
        <v>6491</v>
      </c>
      <c r="G1842" t="s">
        <v>6505</v>
      </c>
      <c r="H1842">
        <v>1841</v>
      </c>
      <c r="I1842" t="str">
        <f>IF(ISBLANK(Table1[[#This Row],[oid]]),"FALSE","TRUE")</f>
        <v>TRUE</v>
      </c>
      <c r="J1842" t="str" cm="1">
        <f t="array" ref="J1842">_xlfn.SWITCH(LEFT(Table1[[#This Row],[section]],1), "D", "Demographic", "S", "Social", "E", "Economic", "H", "Housing", "")</f>
        <v>Economic</v>
      </c>
      <c r="K1842" t="s">
        <v>5603</v>
      </c>
      <c r="L1842" t="s">
        <v>5604</v>
      </c>
      <c r="M1842" t="str">
        <f>IF(Table1[[#This Row],[used]], _xlfn.CONCAT("🆔 ", Table1[[#This Row],[variable]], ": ",Table1[[#This Row],[alias]]), "")</f>
        <v>🆔 B19301I_001E: Hispanic or Latino: Per capita income in the past 12 months in 2016 inflation-adjusted dollars</v>
      </c>
      <c r="O1842" t="s">
        <v>6200</v>
      </c>
      <c r="P1842" t="s">
        <v>6506</v>
      </c>
      <c r="Q1842" t="s">
        <v>41</v>
      </c>
      <c r="R1842" t="s">
        <v>6494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1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</row>
    <row r="1843" spans="1:33" x14ac:dyDescent="0.25">
      <c r="A1843" t="s">
        <v>25</v>
      </c>
      <c r="B1843">
        <v>1</v>
      </c>
      <c r="C1843" t="b">
        <v>0</v>
      </c>
      <c r="D1843" t="s">
        <v>5301</v>
      </c>
      <c r="E1843" t="s">
        <v>6490</v>
      </c>
      <c r="F1843" t="s">
        <v>6491</v>
      </c>
      <c r="G1843" t="s">
        <v>6507</v>
      </c>
      <c r="H1843">
        <v>1842</v>
      </c>
      <c r="I1843" t="str">
        <f>IF(ISBLANK(Table1[[#This Row],[oid]]),"FALSE","TRUE")</f>
        <v>TRUE</v>
      </c>
      <c r="J1843" t="str" cm="1">
        <f t="array" ref="J1843">_xlfn.SWITCH(LEFT(Table1[[#This Row],[section]],1), "D", "Demographic", "S", "Social", "E", "Economic", "H", "Housing", "")</f>
        <v>Economic</v>
      </c>
      <c r="K1843" t="s">
        <v>5603</v>
      </c>
      <c r="L1843" t="s">
        <v>5604</v>
      </c>
      <c r="M1843" t="str">
        <f>IF(Table1[[#This Row],[used]], _xlfn.CONCAT("🆔 ", Table1[[#This Row],[variable]], ": ",Table1[[#This Row],[alias]]), "")</f>
        <v>🆔 B19301I_001E: Hispanic or Latino: Per capita income in the past 12 months in 2017 inflation-adjusted dollars</v>
      </c>
      <c r="O1843" t="s">
        <v>6203</v>
      </c>
      <c r="P1843" t="s">
        <v>6508</v>
      </c>
      <c r="Q1843" t="s">
        <v>41</v>
      </c>
      <c r="R1843" t="s">
        <v>6494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1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</row>
    <row r="1844" spans="1:33" x14ac:dyDescent="0.25">
      <c r="A1844" t="s">
        <v>26</v>
      </c>
      <c r="B1844">
        <v>1</v>
      </c>
      <c r="C1844" t="b">
        <v>0</v>
      </c>
      <c r="D1844" t="s">
        <v>5301</v>
      </c>
      <c r="E1844" t="s">
        <v>6490</v>
      </c>
      <c r="F1844" t="s">
        <v>6491</v>
      </c>
      <c r="G1844" t="s">
        <v>6509</v>
      </c>
      <c r="H1844">
        <v>1843</v>
      </c>
      <c r="I1844" t="str">
        <f>IF(ISBLANK(Table1[[#This Row],[oid]]),"FALSE","TRUE")</f>
        <v>TRUE</v>
      </c>
      <c r="J1844" t="str" cm="1">
        <f t="array" ref="J1844">_xlfn.SWITCH(LEFT(Table1[[#This Row],[section]],1), "D", "Demographic", "S", "Social", "E", "Economic", "H", "Housing", "")</f>
        <v>Economic</v>
      </c>
      <c r="K1844" t="s">
        <v>5603</v>
      </c>
      <c r="L1844" t="s">
        <v>5604</v>
      </c>
      <c r="M1844" t="str">
        <f>IF(Table1[[#This Row],[used]], _xlfn.CONCAT("🆔 ", Table1[[#This Row],[variable]], ": ",Table1[[#This Row],[alias]]), "")</f>
        <v>🆔 B19301I_001E: Hispanic or Latino: Per capita income in the past 12 months in 2018 inflation-adjusted dollars</v>
      </c>
      <c r="O1844" t="s">
        <v>6206</v>
      </c>
      <c r="P1844" t="s">
        <v>6510</v>
      </c>
      <c r="Q1844" t="s">
        <v>41</v>
      </c>
      <c r="R1844" t="s">
        <v>6494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1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</row>
    <row r="1845" spans="1:33" x14ac:dyDescent="0.25">
      <c r="A1845" t="s">
        <v>27</v>
      </c>
      <c r="B1845">
        <v>1</v>
      </c>
      <c r="C1845" t="b">
        <v>0</v>
      </c>
      <c r="D1845" t="s">
        <v>5301</v>
      </c>
      <c r="E1845" t="s">
        <v>6490</v>
      </c>
      <c r="F1845" t="s">
        <v>6491</v>
      </c>
      <c r="G1845" t="s">
        <v>6511</v>
      </c>
      <c r="H1845">
        <v>1844</v>
      </c>
      <c r="I1845" t="str">
        <f>IF(ISBLANK(Table1[[#This Row],[oid]]),"FALSE","TRUE")</f>
        <v>TRUE</v>
      </c>
      <c r="J1845" t="str" cm="1">
        <f t="array" ref="J1845">_xlfn.SWITCH(LEFT(Table1[[#This Row],[section]],1), "D", "Demographic", "S", "Social", "E", "Economic", "H", "Housing", "")</f>
        <v>Economic</v>
      </c>
      <c r="K1845" t="s">
        <v>5603</v>
      </c>
      <c r="L1845" t="s">
        <v>5604</v>
      </c>
      <c r="M1845" t="str">
        <f>IF(Table1[[#This Row],[used]], _xlfn.CONCAT("🆔 ", Table1[[#This Row],[variable]], ": ",Table1[[#This Row],[alias]]), "")</f>
        <v>🆔 B19301I_001E: Hispanic or Latino: Per capita income in the past 12 months in 2019 inflation-adjusted dollars</v>
      </c>
      <c r="O1845" t="s">
        <v>6209</v>
      </c>
      <c r="P1845" t="s">
        <v>6512</v>
      </c>
      <c r="Q1845" t="s">
        <v>41</v>
      </c>
      <c r="R1845" t="s">
        <v>6494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1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</row>
    <row r="1846" spans="1:33" x14ac:dyDescent="0.25">
      <c r="A1846" t="s">
        <v>28</v>
      </c>
      <c r="B1846">
        <v>1</v>
      </c>
      <c r="C1846" t="b">
        <v>0</v>
      </c>
      <c r="D1846" t="s">
        <v>5301</v>
      </c>
      <c r="E1846" t="s">
        <v>6490</v>
      </c>
      <c r="F1846" t="s">
        <v>6491</v>
      </c>
      <c r="G1846" t="s">
        <v>6513</v>
      </c>
      <c r="H1846">
        <v>1845</v>
      </c>
      <c r="I1846" t="str">
        <f>IF(ISBLANK(Table1[[#This Row],[oid]]),"FALSE","TRUE")</f>
        <v>TRUE</v>
      </c>
      <c r="J1846" t="str" cm="1">
        <f t="array" ref="J1846">_xlfn.SWITCH(LEFT(Table1[[#This Row],[section]],1), "D", "Demographic", "S", "Social", "E", "Economic", "H", "Housing", "")</f>
        <v>Economic</v>
      </c>
      <c r="K1846" t="s">
        <v>5603</v>
      </c>
      <c r="L1846" t="s">
        <v>5604</v>
      </c>
      <c r="M1846" t="str">
        <f>IF(Table1[[#This Row],[used]], _xlfn.CONCAT("🆔 ", Table1[[#This Row],[variable]], ": ",Table1[[#This Row],[alias]]), "")</f>
        <v>🆔 B19301I_001E: Hispanic or Latino: Per capita income in the past 12 months in 2020 inflation-adjusted dollars</v>
      </c>
      <c r="O1846" t="s">
        <v>6212</v>
      </c>
      <c r="P1846" t="s">
        <v>6514</v>
      </c>
      <c r="Q1846" t="s">
        <v>41</v>
      </c>
      <c r="R1846" t="s">
        <v>6494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1</v>
      </c>
      <c r="AD1846" t="b">
        <v>0</v>
      </c>
      <c r="AE1846" t="b">
        <v>0</v>
      </c>
      <c r="AF1846" t="b">
        <v>0</v>
      </c>
      <c r="AG1846" t="b">
        <v>0</v>
      </c>
    </row>
    <row r="1847" spans="1:33" x14ac:dyDescent="0.25">
      <c r="A1847" t="s">
        <v>29</v>
      </c>
      <c r="B1847">
        <v>1</v>
      </c>
      <c r="C1847" t="b">
        <v>0</v>
      </c>
      <c r="D1847" t="s">
        <v>5301</v>
      </c>
      <c r="E1847" t="s">
        <v>6490</v>
      </c>
      <c r="F1847" t="s">
        <v>6491</v>
      </c>
      <c r="G1847" t="s">
        <v>6515</v>
      </c>
      <c r="H1847">
        <v>1846</v>
      </c>
      <c r="I1847" t="str">
        <f>IF(ISBLANK(Table1[[#This Row],[oid]]),"FALSE","TRUE")</f>
        <v>TRUE</v>
      </c>
      <c r="J1847" t="str" cm="1">
        <f t="array" ref="J1847">_xlfn.SWITCH(LEFT(Table1[[#This Row],[section]],1), "D", "Demographic", "S", "Social", "E", "Economic", "H", "Housing", "")</f>
        <v>Economic</v>
      </c>
      <c r="K1847" t="s">
        <v>5603</v>
      </c>
      <c r="L1847" t="s">
        <v>5604</v>
      </c>
      <c r="M1847" t="str">
        <f>IF(Table1[[#This Row],[used]], _xlfn.CONCAT("🆔 ", Table1[[#This Row],[variable]], ": ",Table1[[#This Row],[alias]]), "")</f>
        <v>🆔 B19301I_001E: Hispanic or Latino: Per capita income in the past 12 months in 2021 inflation-adjusted dollars</v>
      </c>
      <c r="O1847" t="s">
        <v>6215</v>
      </c>
      <c r="P1847" t="s">
        <v>6516</v>
      </c>
      <c r="Q1847" t="s">
        <v>41</v>
      </c>
      <c r="R1847" t="s">
        <v>6494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1</v>
      </c>
      <c r="AE1847" t="b">
        <v>0</v>
      </c>
      <c r="AF1847" t="b">
        <v>0</v>
      </c>
      <c r="AG1847" t="b">
        <v>0</v>
      </c>
    </row>
    <row r="1848" spans="1:33" x14ac:dyDescent="0.25">
      <c r="A1848" t="s">
        <v>30</v>
      </c>
      <c r="B1848">
        <v>1</v>
      </c>
      <c r="C1848" t="b">
        <v>0</v>
      </c>
      <c r="D1848" t="s">
        <v>5301</v>
      </c>
      <c r="E1848" t="s">
        <v>6490</v>
      </c>
      <c r="F1848" t="s">
        <v>6491</v>
      </c>
      <c r="G1848" t="s">
        <v>6517</v>
      </c>
      <c r="H1848">
        <v>1847</v>
      </c>
      <c r="I1848" t="str">
        <f>IF(ISBLANK(Table1[[#This Row],[oid]]),"FALSE","TRUE")</f>
        <v>TRUE</v>
      </c>
      <c r="J1848" t="str" cm="1">
        <f t="array" ref="J1848">_xlfn.SWITCH(LEFT(Table1[[#This Row],[section]],1), "D", "Demographic", "S", "Social", "E", "Economic", "H", "Housing", "")</f>
        <v>Economic</v>
      </c>
      <c r="K1848" t="s">
        <v>5603</v>
      </c>
      <c r="L1848" t="s">
        <v>5604</v>
      </c>
      <c r="M1848" t="str">
        <f>IF(Table1[[#This Row],[used]], _xlfn.CONCAT("🆔 ", Table1[[#This Row],[variable]], ": ",Table1[[#This Row],[alias]]), "")</f>
        <v>🆔 B19301I_001E: Hispanic or Latino: Per capita income in the past 12 months in 2022 inflation-adjusted dollars</v>
      </c>
      <c r="O1848" t="s">
        <v>6218</v>
      </c>
      <c r="P1848" t="s">
        <v>6518</v>
      </c>
      <c r="Q1848" t="s">
        <v>41</v>
      </c>
      <c r="R1848" t="s">
        <v>6494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1</v>
      </c>
      <c r="AF1848" t="b">
        <v>0</v>
      </c>
      <c r="AG1848" t="b">
        <v>0</v>
      </c>
    </row>
    <row r="1849" spans="1:33" x14ac:dyDescent="0.25">
      <c r="A1849" t="s">
        <v>31</v>
      </c>
      <c r="B1849">
        <v>1</v>
      </c>
      <c r="C1849" t="b">
        <v>0</v>
      </c>
      <c r="D1849" t="s">
        <v>5301</v>
      </c>
      <c r="E1849" t="s">
        <v>6490</v>
      </c>
      <c r="F1849" t="s">
        <v>6491</v>
      </c>
      <c r="G1849" t="s">
        <v>6519</v>
      </c>
      <c r="H1849">
        <v>1848</v>
      </c>
      <c r="I1849" t="str">
        <f>IF(ISBLANK(Table1[[#This Row],[oid]]),"FALSE","TRUE")</f>
        <v>TRUE</v>
      </c>
      <c r="J1849" t="str" cm="1">
        <f t="array" ref="J1849">_xlfn.SWITCH(LEFT(Table1[[#This Row],[section]],1), "D", "Demographic", "S", "Social", "E", "Economic", "H", "Housing", "")</f>
        <v>Economic</v>
      </c>
      <c r="K1849" t="s">
        <v>5603</v>
      </c>
      <c r="L1849" t="s">
        <v>5604</v>
      </c>
      <c r="M1849" t="str">
        <f>IF(Table1[[#This Row],[used]], _xlfn.CONCAT("🆔 ", Table1[[#This Row],[variable]], ": ",Table1[[#This Row],[alias]]), "")</f>
        <v>🆔 B19301I_001E: Hispanic or Latino: Per capita income in the past 12 months in 2023 inflation-adjusted dollars</v>
      </c>
      <c r="O1849" t="s">
        <v>6221</v>
      </c>
      <c r="P1849" t="s">
        <v>6520</v>
      </c>
      <c r="Q1849" t="s">
        <v>41</v>
      </c>
      <c r="R1849" t="s">
        <v>6494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1</v>
      </c>
      <c r="AG1849" t="b">
        <v>0</v>
      </c>
    </row>
    <row r="1850" spans="1:33" x14ac:dyDescent="0.25">
      <c r="A1850" t="s">
        <v>32</v>
      </c>
      <c r="B1850">
        <v>1</v>
      </c>
      <c r="C1850" t="b">
        <v>0</v>
      </c>
      <c r="D1850" t="s">
        <v>5301</v>
      </c>
      <c r="E1850" t="s">
        <v>6490</v>
      </c>
      <c r="F1850" t="s">
        <v>6491</v>
      </c>
      <c r="G1850" t="s">
        <v>6521</v>
      </c>
      <c r="H1850">
        <v>1849</v>
      </c>
      <c r="I1850" t="str">
        <f>IF(ISBLANK(Table1[[#This Row],[oid]]),"FALSE","TRUE")</f>
        <v>TRUE</v>
      </c>
      <c r="J1850" t="str" cm="1">
        <f t="array" ref="J1850">_xlfn.SWITCH(LEFT(Table1[[#This Row],[section]],1), "D", "Demographic", "S", "Social", "E", "Economic", "H", "Housing", "")</f>
        <v>Economic</v>
      </c>
      <c r="K1850" t="s">
        <v>5603</v>
      </c>
      <c r="L1850" t="s">
        <v>5604</v>
      </c>
      <c r="M1850" t="str">
        <f>IF(Table1[[#This Row],[used]], _xlfn.CONCAT("🆔 ", Table1[[#This Row],[variable]], ": ",Table1[[#This Row],[alias]]), "")</f>
        <v>🆔 B19301I_001E: Hispanic or Latino: Per capita income in the past 12 months in 2024 inflation-adjusted dollars</v>
      </c>
      <c r="O1850" t="s">
        <v>6224</v>
      </c>
      <c r="P1850" t="s">
        <v>6522</v>
      </c>
      <c r="Q1850" t="s">
        <v>41</v>
      </c>
      <c r="R1850" t="s">
        <v>6494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1</v>
      </c>
    </row>
    <row r="1851" spans="1:33" x14ac:dyDescent="0.25">
      <c r="A1851" t="s">
        <v>18</v>
      </c>
      <c r="B1851">
        <v>1</v>
      </c>
      <c r="C1851" t="b">
        <v>0</v>
      </c>
      <c r="D1851" t="s">
        <v>5301</v>
      </c>
      <c r="E1851" t="s">
        <v>6523</v>
      </c>
      <c r="F1851" t="s">
        <v>6524</v>
      </c>
      <c r="G1851" t="s">
        <v>6525</v>
      </c>
      <c r="H1851">
        <v>1850</v>
      </c>
      <c r="I1851" t="str">
        <f>IF(ISBLANK(Table1[[#This Row],[oid]]),"FALSE","TRUE")</f>
        <v>TRUE</v>
      </c>
      <c r="J1851" t="str" cm="1">
        <f t="array" ref="J1851">_xlfn.SWITCH(LEFT(Table1[[#This Row],[section]],1), "D", "Demographic", "S", "Social", "E", "Economic", "H", "Housing", "")</f>
        <v>Economic</v>
      </c>
      <c r="K1851" t="s">
        <v>5603</v>
      </c>
      <c r="L1851" t="s">
        <v>5604</v>
      </c>
      <c r="M1851" t="str">
        <f>IF(Table1[[#This Row],[used]], _xlfn.CONCAT("🆔 ", Table1[[#This Row],[variable]], ": ",Table1[[#This Row],[alias]]), "")</f>
        <v>🆔 B19313_001E: Aggregate income in the past 12 months in 2010 inflation-adjusted dollars</v>
      </c>
      <c r="O1851" t="s">
        <v>6526</v>
      </c>
      <c r="P1851" t="s">
        <v>6527</v>
      </c>
      <c r="Q1851" t="s">
        <v>41</v>
      </c>
      <c r="R1851" t="s">
        <v>6528</v>
      </c>
      <c r="S1851" t="b">
        <v>1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</row>
    <row r="1852" spans="1:33" x14ac:dyDescent="0.25">
      <c r="A1852" t="s">
        <v>19</v>
      </c>
      <c r="B1852">
        <v>1</v>
      </c>
      <c r="C1852" t="b">
        <v>0</v>
      </c>
      <c r="D1852" t="s">
        <v>5301</v>
      </c>
      <c r="E1852" t="s">
        <v>6523</v>
      </c>
      <c r="F1852" t="s">
        <v>6524</v>
      </c>
      <c r="G1852" t="s">
        <v>6529</v>
      </c>
      <c r="H1852">
        <v>1851</v>
      </c>
      <c r="I1852" t="str">
        <f>IF(ISBLANK(Table1[[#This Row],[oid]]),"FALSE","TRUE")</f>
        <v>TRUE</v>
      </c>
      <c r="J1852" t="str" cm="1">
        <f t="array" ref="J1852">_xlfn.SWITCH(LEFT(Table1[[#This Row],[section]],1), "D", "Demographic", "S", "Social", "E", "Economic", "H", "Housing", "")</f>
        <v>Economic</v>
      </c>
      <c r="K1852" t="s">
        <v>5603</v>
      </c>
      <c r="L1852" t="s">
        <v>5604</v>
      </c>
      <c r="M1852" t="str">
        <f>IF(Table1[[#This Row],[used]], _xlfn.CONCAT("🆔 ", Table1[[#This Row],[variable]], ": ",Table1[[#This Row],[alias]]), "")</f>
        <v>🆔 B19313_001E: Aggregate income in the past 12 months in 2011 inflation-adjusted dollars</v>
      </c>
      <c r="O1852" t="s">
        <v>6530</v>
      </c>
      <c r="P1852" t="s">
        <v>6531</v>
      </c>
      <c r="Q1852" t="s">
        <v>41</v>
      </c>
      <c r="R1852" t="s">
        <v>6528</v>
      </c>
      <c r="S1852" t="b">
        <v>0</v>
      </c>
      <c r="T1852" t="b">
        <v>1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</row>
    <row r="1853" spans="1:33" x14ac:dyDescent="0.25">
      <c r="A1853" t="s">
        <v>20</v>
      </c>
      <c r="B1853">
        <v>1</v>
      </c>
      <c r="C1853" t="b">
        <v>0</v>
      </c>
      <c r="D1853" t="s">
        <v>5301</v>
      </c>
      <c r="E1853" t="s">
        <v>6523</v>
      </c>
      <c r="F1853" t="s">
        <v>6524</v>
      </c>
      <c r="G1853" t="s">
        <v>6532</v>
      </c>
      <c r="H1853">
        <v>1852</v>
      </c>
      <c r="I1853" t="str">
        <f>IF(ISBLANK(Table1[[#This Row],[oid]]),"FALSE","TRUE")</f>
        <v>TRUE</v>
      </c>
      <c r="J1853" t="str" cm="1">
        <f t="array" ref="J1853">_xlfn.SWITCH(LEFT(Table1[[#This Row],[section]],1), "D", "Demographic", "S", "Social", "E", "Economic", "H", "Housing", "")</f>
        <v>Economic</v>
      </c>
      <c r="K1853" t="s">
        <v>5603</v>
      </c>
      <c r="L1853" t="s">
        <v>5604</v>
      </c>
      <c r="M1853" t="str">
        <f>IF(Table1[[#This Row],[used]], _xlfn.CONCAT("🆔 ", Table1[[#This Row],[variable]], ": ",Table1[[#This Row],[alias]]), "")</f>
        <v>🆔 B19313_001E: Aggregate income in the past 12 months in 2012 inflation-adjusted dollars</v>
      </c>
      <c r="O1853" t="s">
        <v>6533</v>
      </c>
      <c r="P1853" t="s">
        <v>6534</v>
      </c>
      <c r="Q1853" t="s">
        <v>41</v>
      </c>
      <c r="R1853" t="s">
        <v>6528</v>
      </c>
      <c r="S1853" t="b">
        <v>0</v>
      </c>
      <c r="T1853" t="b">
        <v>0</v>
      </c>
      <c r="U1853" t="b">
        <v>1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</row>
    <row r="1854" spans="1:33" x14ac:dyDescent="0.25">
      <c r="A1854" t="s">
        <v>21</v>
      </c>
      <c r="B1854">
        <v>1</v>
      </c>
      <c r="C1854" t="b">
        <v>0</v>
      </c>
      <c r="D1854" t="s">
        <v>5301</v>
      </c>
      <c r="E1854" t="s">
        <v>6523</v>
      </c>
      <c r="F1854" t="s">
        <v>6524</v>
      </c>
      <c r="G1854" t="s">
        <v>6535</v>
      </c>
      <c r="H1854">
        <v>1853</v>
      </c>
      <c r="I1854" t="str">
        <f>IF(ISBLANK(Table1[[#This Row],[oid]]),"FALSE","TRUE")</f>
        <v>TRUE</v>
      </c>
      <c r="J1854" t="str" cm="1">
        <f t="array" ref="J1854">_xlfn.SWITCH(LEFT(Table1[[#This Row],[section]],1), "D", "Demographic", "S", "Social", "E", "Economic", "H", "Housing", "")</f>
        <v>Economic</v>
      </c>
      <c r="K1854" t="s">
        <v>5603</v>
      </c>
      <c r="L1854" t="s">
        <v>5604</v>
      </c>
      <c r="M1854" t="str">
        <f>IF(Table1[[#This Row],[used]], _xlfn.CONCAT("🆔 ", Table1[[#This Row],[variable]], ": ",Table1[[#This Row],[alias]]), "")</f>
        <v>🆔 B19313_001E: Aggregate income in the past 12 months in 2013 inflation-adjusted dollars</v>
      </c>
      <c r="O1854" t="s">
        <v>6536</v>
      </c>
      <c r="P1854" t="s">
        <v>6537</v>
      </c>
      <c r="Q1854" t="s">
        <v>41</v>
      </c>
      <c r="R1854" t="s">
        <v>6528</v>
      </c>
      <c r="S1854" t="b">
        <v>0</v>
      </c>
      <c r="T1854" t="b">
        <v>0</v>
      </c>
      <c r="U1854" t="b">
        <v>0</v>
      </c>
      <c r="V1854" t="b">
        <v>1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</row>
    <row r="1855" spans="1:33" x14ac:dyDescent="0.25">
      <c r="A1855" t="s">
        <v>22</v>
      </c>
      <c r="B1855">
        <v>1</v>
      </c>
      <c r="C1855" t="b">
        <v>0</v>
      </c>
      <c r="D1855" t="s">
        <v>5301</v>
      </c>
      <c r="E1855" t="s">
        <v>6523</v>
      </c>
      <c r="F1855" t="s">
        <v>6524</v>
      </c>
      <c r="G1855" t="s">
        <v>6538</v>
      </c>
      <c r="H1855">
        <v>1854</v>
      </c>
      <c r="I1855" t="str">
        <f>IF(ISBLANK(Table1[[#This Row],[oid]]),"FALSE","TRUE")</f>
        <v>TRUE</v>
      </c>
      <c r="J1855" t="str" cm="1">
        <f t="array" ref="J1855">_xlfn.SWITCH(LEFT(Table1[[#This Row],[section]],1), "D", "Demographic", "S", "Social", "E", "Economic", "H", "Housing", "")</f>
        <v>Economic</v>
      </c>
      <c r="K1855" t="s">
        <v>5603</v>
      </c>
      <c r="L1855" t="s">
        <v>5604</v>
      </c>
      <c r="M1855" t="str">
        <f>IF(Table1[[#This Row],[used]], _xlfn.CONCAT("🆔 ", Table1[[#This Row],[variable]], ": ",Table1[[#This Row],[alias]]), "")</f>
        <v>🆔 B19313_001E: Aggregate income in the past 12 months in 2014 Inflation-adjusted dollars</v>
      </c>
      <c r="O1855" t="s">
        <v>6539</v>
      </c>
      <c r="P1855" t="s">
        <v>6540</v>
      </c>
      <c r="Q1855" t="s">
        <v>41</v>
      </c>
      <c r="R1855" t="s">
        <v>6528</v>
      </c>
      <c r="S1855" t="b">
        <v>0</v>
      </c>
      <c r="T1855" t="b">
        <v>0</v>
      </c>
      <c r="U1855" t="b">
        <v>0</v>
      </c>
      <c r="V1855" t="b">
        <v>0</v>
      </c>
      <c r="W1855" t="b">
        <v>1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</row>
    <row r="1856" spans="1:33" x14ac:dyDescent="0.25">
      <c r="A1856" t="s">
        <v>23</v>
      </c>
      <c r="B1856">
        <v>1</v>
      </c>
      <c r="C1856" t="b">
        <v>0</v>
      </c>
      <c r="D1856" t="s">
        <v>5301</v>
      </c>
      <c r="E1856" t="s">
        <v>6523</v>
      </c>
      <c r="F1856" t="s">
        <v>6524</v>
      </c>
      <c r="G1856" t="s">
        <v>6541</v>
      </c>
      <c r="H1856">
        <v>1855</v>
      </c>
      <c r="I1856" t="str">
        <f>IF(ISBLANK(Table1[[#This Row],[oid]]),"FALSE","TRUE")</f>
        <v>TRUE</v>
      </c>
      <c r="J1856" t="str" cm="1">
        <f t="array" ref="J1856">_xlfn.SWITCH(LEFT(Table1[[#This Row],[section]],1), "D", "Demographic", "S", "Social", "E", "Economic", "H", "Housing", "")</f>
        <v>Economic</v>
      </c>
      <c r="K1856" t="s">
        <v>5603</v>
      </c>
      <c r="L1856" t="s">
        <v>5604</v>
      </c>
      <c r="M1856" t="str">
        <f>IF(Table1[[#This Row],[used]], _xlfn.CONCAT("🆔 ", Table1[[#This Row],[variable]], ": ",Table1[[#This Row],[alias]]), "")</f>
        <v>🆔 B19313_001E: Aggregate income in the past 12 months in 2015 Inflation-adjusted dollars</v>
      </c>
      <c r="O1856" t="s">
        <v>6542</v>
      </c>
      <c r="P1856" t="s">
        <v>6543</v>
      </c>
      <c r="Q1856" t="s">
        <v>41</v>
      </c>
      <c r="R1856" t="s">
        <v>6528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1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</row>
    <row r="1857" spans="1:33" x14ac:dyDescent="0.25">
      <c r="A1857" t="s">
        <v>24</v>
      </c>
      <c r="B1857">
        <v>1</v>
      </c>
      <c r="C1857" t="b">
        <v>0</v>
      </c>
      <c r="D1857" t="s">
        <v>5301</v>
      </c>
      <c r="E1857" t="s">
        <v>6523</v>
      </c>
      <c r="F1857" t="s">
        <v>6524</v>
      </c>
      <c r="G1857" t="s">
        <v>6544</v>
      </c>
      <c r="H1857">
        <v>1856</v>
      </c>
      <c r="I1857" t="str">
        <f>IF(ISBLANK(Table1[[#This Row],[oid]]),"FALSE","TRUE")</f>
        <v>TRUE</v>
      </c>
      <c r="J1857" t="str" cm="1">
        <f t="array" ref="J1857">_xlfn.SWITCH(LEFT(Table1[[#This Row],[section]],1), "D", "Demographic", "S", "Social", "E", "Economic", "H", "Housing", "")</f>
        <v>Economic</v>
      </c>
      <c r="K1857" t="s">
        <v>5603</v>
      </c>
      <c r="L1857" t="s">
        <v>5604</v>
      </c>
      <c r="M1857" t="str">
        <f>IF(Table1[[#This Row],[used]], _xlfn.CONCAT("🆔 ", Table1[[#This Row],[variable]], ": ",Table1[[#This Row],[alias]]), "")</f>
        <v>🆔 B19313_001E: Aggregate income in the past 12 months in 2016 inflation-adjusted dollars</v>
      </c>
      <c r="O1857" t="s">
        <v>6545</v>
      </c>
      <c r="P1857" t="s">
        <v>6546</v>
      </c>
      <c r="Q1857" t="s">
        <v>41</v>
      </c>
      <c r="R1857" t="s">
        <v>6528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1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</row>
    <row r="1858" spans="1:33" x14ac:dyDescent="0.25">
      <c r="A1858" t="s">
        <v>25</v>
      </c>
      <c r="B1858">
        <v>1</v>
      </c>
      <c r="C1858" t="b">
        <v>0</v>
      </c>
      <c r="D1858" t="s">
        <v>5301</v>
      </c>
      <c r="E1858" t="s">
        <v>6523</v>
      </c>
      <c r="F1858" t="s">
        <v>6524</v>
      </c>
      <c r="G1858" t="s">
        <v>6547</v>
      </c>
      <c r="H1858">
        <v>1857</v>
      </c>
      <c r="I1858" t="str">
        <f>IF(ISBLANK(Table1[[#This Row],[oid]]),"FALSE","TRUE")</f>
        <v>TRUE</v>
      </c>
      <c r="J1858" t="str" cm="1">
        <f t="array" ref="J1858">_xlfn.SWITCH(LEFT(Table1[[#This Row],[section]],1), "D", "Demographic", "S", "Social", "E", "Economic", "H", "Housing", "")</f>
        <v>Economic</v>
      </c>
      <c r="K1858" t="s">
        <v>5603</v>
      </c>
      <c r="L1858" t="s">
        <v>5604</v>
      </c>
      <c r="M1858" t="str">
        <f>IF(Table1[[#This Row],[used]], _xlfn.CONCAT("🆔 ", Table1[[#This Row],[variable]], ": ",Table1[[#This Row],[alias]]), "")</f>
        <v>🆔 B19313_001E: Aggregate income in the past 12 months in 2017 inflation-adjusted dollars</v>
      </c>
      <c r="O1858" t="s">
        <v>6548</v>
      </c>
      <c r="P1858" t="s">
        <v>6549</v>
      </c>
      <c r="Q1858" t="s">
        <v>41</v>
      </c>
      <c r="R1858" t="s">
        <v>6528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1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</row>
    <row r="1859" spans="1:33" x14ac:dyDescent="0.25">
      <c r="A1859" t="s">
        <v>26</v>
      </c>
      <c r="B1859">
        <v>1</v>
      </c>
      <c r="C1859" t="b">
        <v>0</v>
      </c>
      <c r="D1859" t="s">
        <v>5301</v>
      </c>
      <c r="E1859" t="s">
        <v>6523</v>
      </c>
      <c r="F1859" t="s">
        <v>6524</v>
      </c>
      <c r="G1859" t="s">
        <v>6550</v>
      </c>
      <c r="H1859">
        <v>1858</v>
      </c>
      <c r="I1859" t="str">
        <f>IF(ISBLANK(Table1[[#This Row],[oid]]),"FALSE","TRUE")</f>
        <v>TRUE</v>
      </c>
      <c r="J1859" t="str" cm="1">
        <f t="array" ref="J1859">_xlfn.SWITCH(LEFT(Table1[[#This Row],[section]],1), "D", "Demographic", "S", "Social", "E", "Economic", "H", "Housing", "")</f>
        <v>Economic</v>
      </c>
      <c r="K1859" t="s">
        <v>5603</v>
      </c>
      <c r="L1859" t="s">
        <v>5604</v>
      </c>
      <c r="M1859" t="str">
        <f>IF(Table1[[#This Row],[used]], _xlfn.CONCAT("🆔 ", Table1[[#This Row],[variable]], ": ",Table1[[#This Row],[alias]]), "")</f>
        <v>🆔 B19313_001E: Aggregate income in the past 12 months in 2018 inflation-adjusted dollars</v>
      </c>
      <c r="O1859" t="s">
        <v>6551</v>
      </c>
      <c r="P1859" t="s">
        <v>6552</v>
      </c>
      <c r="Q1859" t="s">
        <v>41</v>
      </c>
      <c r="R1859" t="s">
        <v>6528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1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</row>
    <row r="1860" spans="1:33" x14ac:dyDescent="0.25">
      <c r="A1860" t="s">
        <v>27</v>
      </c>
      <c r="B1860">
        <v>1</v>
      </c>
      <c r="C1860" t="b">
        <v>0</v>
      </c>
      <c r="D1860" t="s">
        <v>5301</v>
      </c>
      <c r="E1860" t="s">
        <v>6523</v>
      </c>
      <c r="F1860" t="s">
        <v>6524</v>
      </c>
      <c r="G1860" t="s">
        <v>6553</v>
      </c>
      <c r="H1860">
        <v>1859</v>
      </c>
      <c r="I1860" t="str">
        <f>IF(ISBLANK(Table1[[#This Row],[oid]]),"FALSE","TRUE")</f>
        <v>TRUE</v>
      </c>
      <c r="J1860" t="str" cm="1">
        <f t="array" ref="J1860">_xlfn.SWITCH(LEFT(Table1[[#This Row],[section]],1), "D", "Demographic", "S", "Social", "E", "Economic", "H", "Housing", "")</f>
        <v>Economic</v>
      </c>
      <c r="K1860" t="s">
        <v>5603</v>
      </c>
      <c r="L1860" t="s">
        <v>5604</v>
      </c>
      <c r="M1860" t="str">
        <f>IF(Table1[[#This Row],[used]], _xlfn.CONCAT("🆔 ", Table1[[#This Row],[variable]], ": ",Table1[[#This Row],[alias]]), "")</f>
        <v>🆔 B19313_001E: Aggregate income in the past 12 months in 2019 inflation-adjusted dollars</v>
      </c>
      <c r="O1860" t="s">
        <v>6554</v>
      </c>
      <c r="P1860" t="s">
        <v>6555</v>
      </c>
      <c r="Q1860" t="s">
        <v>41</v>
      </c>
      <c r="R1860" t="s">
        <v>6528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1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</row>
    <row r="1861" spans="1:33" x14ac:dyDescent="0.25">
      <c r="A1861" t="s">
        <v>28</v>
      </c>
      <c r="B1861">
        <v>1</v>
      </c>
      <c r="C1861" t="b">
        <v>0</v>
      </c>
      <c r="D1861" t="s">
        <v>5301</v>
      </c>
      <c r="E1861" t="s">
        <v>6523</v>
      </c>
      <c r="F1861" t="s">
        <v>6524</v>
      </c>
      <c r="G1861" t="s">
        <v>6556</v>
      </c>
      <c r="H1861">
        <v>1860</v>
      </c>
      <c r="I1861" t="str">
        <f>IF(ISBLANK(Table1[[#This Row],[oid]]),"FALSE","TRUE")</f>
        <v>TRUE</v>
      </c>
      <c r="J1861" t="str" cm="1">
        <f t="array" ref="J1861">_xlfn.SWITCH(LEFT(Table1[[#This Row],[section]],1), "D", "Demographic", "S", "Social", "E", "Economic", "H", "Housing", "")</f>
        <v>Economic</v>
      </c>
      <c r="K1861" t="s">
        <v>5603</v>
      </c>
      <c r="L1861" t="s">
        <v>5604</v>
      </c>
      <c r="M1861" t="str">
        <f>IF(Table1[[#This Row],[used]], _xlfn.CONCAT("🆔 ", Table1[[#This Row],[variable]], ": ",Table1[[#This Row],[alias]]), "")</f>
        <v>🆔 B19313_001E: Aggregate income in the past 12 months in 2020 inflation-adjusted dollars</v>
      </c>
      <c r="O1861" t="s">
        <v>6557</v>
      </c>
      <c r="P1861" t="s">
        <v>6558</v>
      </c>
      <c r="Q1861" t="s">
        <v>41</v>
      </c>
      <c r="R1861" t="s">
        <v>6528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1</v>
      </c>
      <c r="AD1861" t="b">
        <v>0</v>
      </c>
      <c r="AE1861" t="b">
        <v>0</v>
      </c>
      <c r="AF1861" t="b">
        <v>0</v>
      </c>
      <c r="AG1861" t="b">
        <v>0</v>
      </c>
    </row>
    <row r="1862" spans="1:33" x14ac:dyDescent="0.25">
      <c r="A1862" t="s">
        <v>29</v>
      </c>
      <c r="B1862">
        <v>1</v>
      </c>
      <c r="C1862" t="b">
        <v>0</v>
      </c>
      <c r="D1862" t="s">
        <v>5301</v>
      </c>
      <c r="E1862" t="s">
        <v>6523</v>
      </c>
      <c r="F1862" t="s">
        <v>6524</v>
      </c>
      <c r="G1862" t="s">
        <v>6559</v>
      </c>
      <c r="H1862">
        <v>1861</v>
      </c>
      <c r="I1862" t="str">
        <f>IF(ISBLANK(Table1[[#This Row],[oid]]),"FALSE","TRUE")</f>
        <v>TRUE</v>
      </c>
      <c r="J1862" t="str" cm="1">
        <f t="array" ref="J1862">_xlfn.SWITCH(LEFT(Table1[[#This Row],[section]],1), "D", "Demographic", "S", "Social", "E", "Economic", "H", "Housing", "")</f>
        <v>Economic</v>
      </c>
      <c r="K1862" t="s">
        <v>5603</v>
      </c>
      <c r="L1862" t="s">
        <v>5604</v>
      </c>
      <c r="M1862" t="str">
        <f>IF(Table1[[#This Row],[used]], _xlfn.CONCAT("🆔 ", Table1[[#This Row],[variable]], ": ",Table1[[#This Row],[alias]]), "")</f>
        <v>🆔 B19313_001E: Aggregate income in the past 12 months in 2021 inflation-adjusted dollars</v>
      </c>
      <c r="O1862" t="s">
        <v>6560</v>
      </c>
      <c r="P1862" t="s">
        <v>6561</v>
      </c>
      <c r="Q1862" t="s">
        <v>41</v>
      </c>
      <c r="R1862" t="s">
        <v>6528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1</v>
      </c>
      <c r="AE1862" t="b">
        <v>0</v>
      </c>
      <c r="AF1862" t="b">
        <v>0</v>
      </c>
      <c r="AG1862" t="b">
        <v>0</v>
      </c>
    </row>
    <row r="1863" spans="1:33" x14ac:dyDescent="0.25">
      <c r="A1863" t="s">
        <v>30</v>
      </c>
      <c r="B1863">
        <v>1</v>
      </c>
      <c r="C1863" t="b">
        <v>0</v>
      </c>
      <c r="D1863" t="s">
        <v>5301</v>
      </c>
      <c r="E1863" t="s">
        <v>6523</v>
      </c>
      <c r="F1863" t="s">
        <v>6524</v>
      </c>
      <c r="G1863" t="s">
        <v>6562</v>
      </c>
      <c r="H1863">
        <v>1862</v>
      </c>
      <c r="I1863" t="str">
        <f>IF(ISBLANK(Table1[[#This Row],[oid]]),"FALSE","TRUE")</f>
        <v>TRUE</v>
      </c>
      <c r="J1863" t="str" cm="1">
        <f t="array" ref="J1863">_xlfn.SWITCH(LEFT(Table1[[#This Row],[section]],1), "D", "Demographic", "S", "Social", "E", "Economic", "H", "Housing", "")</f>
        <v>Economic</v>
      </c>
      <c r="K1863" t="s">
        <v>5603</v>
      </c>
      <c r="L1863" t="s">
        <v>5604</v>
      </c>
      <c r="M1863" t="str">
        <f>IF(Table1[[#This Row],[used]], _xlfn.CONCAT("🆔 ", Table1[[#This Row],[variable]], ": ",Table1[[#This Row],[alias]]), "")</f>
        <v>🆔 B19313_001E: Aggregate income in the past 12 months in 2022 inflation-adjusted dollars</v>
      </c>
      <c r="O1863" t="s">
        <v>6563</v>
      </c>
      <c r="P1863" t="s">
        <v>6564</v>
      </c>
      <c r="Q1863" t="s">
        <v>41</v>
      </c>
      <c r="R1863" t="s">
        <v>6528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1</v>
      </c>
      <c r="AF1863" t="b">
        <v>0</v>
      </c>
      <c r="AG1863" t="b">
        <v>0</v>
      </c>
    </row>
    <row r="1864" spans="1:33" x14ac:dyDescent="0.25">
      <c r="A1864" t="s">
        <v>31</v>
      </c>
      <c r="B1864">
        <v>1</v>
      </c>
      <c r="C1864" t="b">
        <v>0</v>
      </c>
      <c r="D1864" t="s">
        <v>5301</v>
      </c>
      <c r="E1864" t="s">
        <v>6523</v>
      </c>
      <c r="F1864" t="s">
        <v>6524</v>
      </c>
      <c r="G1864" t="s">
        <v>6565</v>
      </c>
      <c r="H1864">
        <v>1863</v>
      </c>
      <c r="I1864" t="str">
        <f>IF(ISBLANK(Table1[[#This Row],[oid]]),"FALSE","TRUE")</f>
        <v>TRUE</v>
      </c>
      <c r="J1864" t="str" cm="1">
        <f t="array" ref="J1864">_xlfn.SWITCH(LEFT(Table1[[#This Row],[section]],1), "D", "Demographic", "S", "Social", "E", "Economic", "H", "Housing", "")</f>
        <v>Economic</v>
      </c>
      <c r="K1864" t="s">
        <v>5603</v>
      </c>
      <c r="L1864" t="s">
        <v>5604</v>
      </c>
      <c r="M1864" t="str">
        <f>IF(Table1[[#This Row],[used]], _xlfn.CONCAT("🆔 ", Table1[[#This Row],[variable]], ": ",Table1[[#This Row],[alias]]), "")</f>
        <v>🆔 B19313_001E: Aggregate income in the past 12 months in 2023 inflation-adjusted dollars</v>
      </c>
      <c r="O1864" t="s">
        <v>6566</v>
      </c>
      <c r="P1864" t="s">
        <v>6567</v>
      </c>
      <c r="Q1864" t="s">
        <v>41</v>
      </c>
      <c r="R1864" t="s">
        <v>6528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1</v>
      </c>
      <c r="AG1864" t="b">
        <v>0</v>
      </c>
    </row>
    <row r="1865" spans="1:33" x14ac:dyDescent="0.25">
      <c r="A1865" t="s">
        <v>32</v>
      </c>
      <c r="B1865">
        <v>1</v>
      </c>
      <c r="C1865" t="b">
        <v>0</v>
      </c>
      <c r="D1865" t="s">
        <v>5301</v>
      </c>
      <c r="E1865" t="s">
        <v>6523</v>
      </c>
      <c r="F1865" t="s">
        <v>6524</v>
      </c>
      <c r="G1865" t="s">
        <v>6568</v>
      </c>
      <c r="H1865">
        <v>1864</v>
      </c>
      <c r="I1865" t="str">
        <f>IF(ISBLANK(Table1[[#This Row],[oid]]),"FALSE","TRUE")</f>
        <v>TRUE</v>
      </c>
      <c r="J1865" t="str" cm="1">
        <f t="array" ref="J1865">_xlfn.SWITCH(LEFT(Table1[[#This Row],[section]],1), "D", "Demographic", "S", "Social", "E", "Economic", "H", "Housing", "")</f>
        <v>Economic</v>
      </c>
      <c r="K1865" t="s">
        <v>5603</v>
      </c>
      <c r="L1865" t="s">
        <v>5604</v>
      </c>
      <c r="M1865" t="str">
        <f>IF(Table1[[#This Row],[used]], _xlfn.CONCAT("🆔 ", Table1[[#This Row],[variable]], ": ",Table1[[#This Row],[alias]]), "")</f>
        <v>🆔 B19313_001E: Aggregate income in the past 12 months in 2024 inflation-adjusted dollars</v>
      </c>
      <c r="O1865" t="s">
        <v>6569</v>
      </c>
      <c r="P1865" t="s">
        <v>6570</v>
      </c>
      <c r="Q1865" t="s">
        <v>41</v>
      </c>
      <c r="R1865" t="s">
        <v>6528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1</v>
      </c>
    </row>
    <row r="1866" spans="1:33" x14ac:dyDescent="0.25">
      <c r="A1866" t="s">
        <v>18</v>
      </c>
      <c r="B1866">
        <v>1</v>
      </c>
      <c r="C1866" t="b">
        <v>0</v>
      </c>
      <c r="D1866" t="s">
        <v>6571</v>
      </c>
      <c r="E1866" t="s">
        <v>6572</v>
      </c>
      <c r="F1866" t="s">
        <v>6573</v>
      </c>
      <c r="G1866" t="s">
        <v>6574</v>
      </c>
      <c r="H1866">
        <v>1865</v>
      </c>
      <c r="I1866" t="str">
        <f>IF(ISBLANK(Table1[[#This Row],[oid]]),"FALSE","TRUE")</f>
        <v>TRUE</v>
      </c>
      <c r="J1866" t="str" cm="1">
        <f t="array" ref="J1866">_xlfn.SWITCH(LEFT(Table1[[#This Row],[section]],1), "D", "Demographic", "S", "Social", "E", "Economic", "H", "Housing", "")</f>
        <v>Economic</v>
      </c>
      <c r="K1866" t="s">
        <v>5603</v>
      </c>
      <c r="L1866" t="s">
        <v>5604</v>
      </c>
      <c r="M1866" t="str">
        <f>IF(Table1[[#This Row],[used]], _xlfn.CONCAT("🆔 ", Table1[[#This Row],[variable]], ": ",Table1[[#This Row],[alias]]), "")</f>
        <v>🆔 B20002_001E: Median earnings in the past 12 months in 2010 inflation-adjusted dollars: Total</v>
      </c>
      <c r="O1866" t="s">
        <v>6575</v>
      </c>
      <c r="P1866" t="s">
        <v>6576</v>
      </c>
      <c r="Q1866" t="s">
        <v>41</v>
      </c>
      <c r="R1866" t="s">
        <v>6577</v>
      </c>
      <c r="S1866" t="b">
        <v>1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</row>
    <row r="1867" spans="1:33" x14ac:dyDescent="0.25">
      <c r="A1867" t="s">
        <v>19</v>
      </c>
      <c r="B1867">
        <v>1</v>
      </c>
      <c r="C1867" t="b">
        <v>0</v>
      </c>
      <c r="D1867" t="s">
        <v>6571</v>
      </c>
      <c r="E1867" t="s">
        <v>6572</v>
      </c>
      <c r="F1867" t="s">
        <v>6573</v>
      </c>
      <c r="G1867" t="s">
        <v>6578</v>
      </c>
      <c r="H1867">
        <v>1866</v>
      </c>
      <c r="I1867" t="str">
        <f>IF(ISBLANK(Table1[[#This Row],[oid]]),"FALSE","TRUE")</f>
        <v>TRUE</v>
      </c>
      <c r="J1867" t="str" cm="1">
        <f t="array" ref="J1867">_xlfn.SWITCH(LEFT(Table1[[#This Row],[section]],1), "D", "Demographic", "S", "Social", "E", "Economic", "H", "Housing", "")</f>
        <v>Economic</v>
      </c>
      <c r="K1867" t="s">
        <v>5603</v>
      </c>
      <c r="L1867" t="s">
        <v>5604</v>
      </c>
      <c r="M1867" t="str">
        <f>IF(Table1[[#This Row],[used]], _xlfn.CONCAT("🆔 ", Table1[[#This Row],[variable]], ": ",Table1[[#This Row],[alias]]), "")</f>
        <v>🆔 B20002_001E: Median earnings in the past 12 months in 2011 inflation-adjusted dollars: Total</v>
      </c>
      <c r="O1867" t="s">
        <v>6579</v>
      </c>
      <c r="P1867" t="s">
        <v>6580</v>
      </c>
      <c r="Q1867" t="s">
        <v>41</v>
      </c>
      <c r="R1867" t="s">
        <v>6577</v>
      </c>
      <c r="S1867" t="b">
        <v>0</v>
      </c>
      <c r="T1867" t="b">
        <v>1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</row>
    <row r="1868" spans="1:33" x14ac:dyDescent="0.25">
      <c r="A1868" t="s">
        <v>20</v>
      </c>
      <c r="B1868">
        <v>1</v>
      </c>
      <c r="C1868" t="b">
        <v>0</v>
      </c>
      <c r="D1868" t="s">
        <v>6571</v>
      </c>
      <c r="E1868" t="s">
        <v>6572</v>
      </c>
      <c r="F1868" t="s">
        <v>6573</v>
      </c>
      <c r="G1868" t="s">
        <v>6581</v>
      </c>
      <c r="H1868">
        <v>1867</v>
      </c>
      <c r="I1868" t="str">
        <f>IF(ISBLANK(Table1[[#This Row],[oid]]),"FALSE","TRUE")</f>
        <v>TRUE</v>
      </c>
      <c r="J1868" t="str" cm="1">
        <f t="array" ref="J1868">_xlfn.SWITCH(LEFT(Table1[[#This Row],[section]],1), "D", "Demographic", "S", "Social", "E", "Economic", "H", "Housing", "")</f>
        <v>Economic</v>
      </c>
      <c r="K1868" t="s">
        <v>5603</v>
      </c>
      <c r="L1868" t="s">
        <v>5604</v>
      </c>
      <c r="M1868" t="str">
        <f>IF(Table1[[#This Row],[used]], _xlfn.CONCAT("🆔 ", Table1[[#This Row],[variable]], ": ",Table1[[#This Row],[alias]]), "")</f>
        <v>🆔 B20002_001E: Median earnings in the past 12 months in 2012 inflation-adjusted dollars: Total</v>
      </c>
      <c r="O1868" t="s">
        <v>6582</v>
      </c>
      <c r="P1868" t="s">
        <v>6583</v>
      </c>
      <c r="Q1868" t="s">
        <v>41</v>
      </c>
      <c r="R1868" t="s">
        <v>6577</v>
      </c>
      <c r="S1868" t="b">
        <v>0</v>
      </c>
      <c r="T1868" t="b">
        <v>0</v>
      </c>
      <c r="U1868" t="b">
        <v>1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</row>
    <row r="1869" spans="1:33" x14ac:dyDescent="0.25">
      <c r="A1869" t="s">
        <v>21</v>
      </c>
      <c r="B1869">
        <v>1</v>
      </c>
      <c r="C1869" t="b">
        <v>0</v>
      </c>
      <c r="D1869" t="s">
        <v>6571</v>
      </c>
      <c r="E1869" t="s">
        <v>6572</v>
      </c>
      <c r="F1869" t="s">
        <v>6573</v>
      </c>
      <c r="G1869" t="s">
        <v>6584</v>
      </c>
      <c r="H1869">
        <v>1868</v>
      </c>
      <c r="I1869" t="str">
        <f>IF(ISBLANK(Table1[[#This Row],[oid]]),"FALSE","TRUE")</f>
        <v>TRUE</v>
      </c>
      <c r="J1869" t="str" cm="1">
        <f t="array" ref="J1869">_xlfn.SWITCH(LEFT(Table1[[#This Row],[section]],1), "D", "Demographic", "S", "Social", "E", "Economic", "H", "Housing", "")</f>
        <v>Economic</v>
      </c>
      <c r="K1869" t="s">
        <v>5603</v>
      </c>
      <c r="L1869" t="s">
        <v>5604</v>
      </c>
      <c r="M1869" t="str">
        <f>IF(Table1[[#This Row],[used]], _xlfn.CONCAT("🆔 ", Table1[[#This Row],[variable]], ": ",Table1[[#This Row],[alias]]), "")</f>
        <v>🆔 B20002_001E: Median earnings in the past 12 months in 2013 inflation-adjusted dollars: Total</v>
      </c>
      <c r="O1869" t="s">
        <v>6585</v>
      </c>
      <c r="P1869" t="s">
        <v>6586</v>
      </c>
      <c r="Q1869" t="s">
        <v>41</v>
      </c>
      <c r="R1869" t="s">
        <v>6577</v>
      </c>
      <c r="S1869" t="b">
        <v>0</v>
      </c>
      <c r="T1869" t="b">
        <v>0</v>
      </c>
      <c r="U1869" t="b">
        <v>0</v>
      </c>
      <c r="V1869" t="b">
        <v>1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</row>
    <row r="1870" spans="1:33" x14ac:dyDescent="0.25">
      <c r="A1870" t="s">
        <v>22</v>
      </c>
      <c r="B1870">
        <v>1</v>
      </c>
      <c r="C1870" t="b">
        <v>0</v>
      </c>
      <c r="D1870" t="s">
        <v>6571</v>
      </c>
      <c r="E1870" t="s">
        <v>6572</v>
      </c>
      <c r="F1870" t="s">
        <v>6573</v>
      </c>
      <c r="G1870" t="s">
        <v>6587</v>
      </c>
      <c r="H1870">
        <v>1869</v>
      </c>
      <c r="I1870" t="str">
        <f>IF(ISBLANK(Table1[[#This Row],[oid]]),"FALSE","TRUE")</f>
        <v>TRUE</v>
      </c>
      <c r="J1870" t="str" cm="1">
        <f t="array" ref="J1870">_xlfn.SWITCH(LEFT(Table1[[#This Row],[section]],1), "D", "Demographic", "S", "Social", "E", "Economic", "H", "Housing", "")</f>
        <v>Economic</v>
      </c>
      <c r="K1870" t="s">
        <v>5603</v>
      </c>
      <c r="L1870" t="s">
        <v>5604</v>
      </c>
      <c r="M1870" t="str">
        <f>IF(Table1[[#This Row],[used]], _xlfn.CONCAT("🆔 ", Table1[[#This Row],[variable]], ": ",Table1[[#This Row],[alias]]), "")</f>
        <v>🆔 B20002_001E: Median earnings in the past 12 months in 2014 Inflation-adjusted dollars: Total</v>
      </c>
      <c r="O1870" t="s">
        <v>6588</v>
      </c>
      <c r="P1870" t="s">
        <v>6589</v>
      </c>
      <c r="Q1870" t="s">
        <v>41</v>
      </c>
      <c r="R1870" t="s">
        <v>6577</v>
      </c>
      <c r="S1870" t="b">
        <v>0</v>
      </c>
      <c r="T1870" t="b">
        <v>0</v>
      </c>
      <c r="U1870" t="b">
        <v>0</v>
      </c>
      <c r="V1870" t="b">
        <v>0</v>
      </c>
      <c r="W1870" t="b">
        <v>1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</row>
    <row r="1871" spans="1:33" x14ac:dyDescent="0.25">
      <c r="A1871" t="s">
        <v>23</v>
      </c>
      <c r="B1871">
        <v>1</v>
      </c>
      <c r="C1871" t="b">
        <v>0</v>
      </c>
      <c r="D1871" t="s">
        <v>6571</v>
      </c>
      <c r="E1871" t="s">
        <v>6572</v>
      </c>
      <c r="F1871" t="s">
        <v>6573</v>
      </c>
      <c r="G1871" t="s">
        <v>6590</v>
      </c>
      <c r="H1871">
        <v>1870</v>
      </c>
      <c r="I1871" t="str">
        <f>IF(ISBLANK(Table1[[#This Row],[oid]]),"FALSE","TRUE")</f>
        <v>TRUE</v>
      </c>
      <c r="J1871" t="str" cm="1">
        <f t="array" ref="J1871">_xlfn.SWITCH(LEFT(Table1[[#This Row],[section]],1), "D", "Demographic", "S", "Social", "E", "Economic", "H", "Housing", "")</f>
        <v>Economic</v>
      </c>
      <c r="K1871" t="s">
        <v>5603</v>
      </c>
      <c r="L1871" t="s">
        <v>5604</v>
      </c>
      <c r="M1871" t="str">
        <f>IF(Table1[[#This Row],[used]], _xlfn.CONCAT("🆔 ", Table1[[#This Row],[variable]], ": ",Table1[[#This Row],[alias]]), "")</f>
        <v>🆔 B20002_001E: Median earnings in the past 12 months in 2015 Inflation-adjusted dollars: Total</v>
      </c>
      <c r="O1871" t="s">
        <v>6591</v>
      </c>
      <c r="P1871" t="s">
        <v>6592</v>
      </c>
      <c r="Q1871" t="s">
        <v>41</v>
      </c>
      <c r="R1871" t="s">
        <v>6577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1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</row>
    <row r="1872" spans="1:33" x14ac:dyDescent="0.25">
      <c r="A1872" t="s">
        <v>24</v>
      </c>
      <c r="B1872">
        <v>1</v>
      </c>
      <c r="C1872" t="b">
        <v>0</v>
      </c>
      <c r="D1872" t="s">
        <v>6571</v>
      </c>
      <c r="E1872" t="s">
        <v>6572</v>
      </c>
      <c r="F1872" t="s">
        <v>6573</v>
      </c>
      <c r="G1872" t="s">
        <v>6593</v>
      </c>
      <c r="H1872">
        <v>1871</v>
      </c>
      <c r="I1872" t="str">
        <f>IF(ISBLANK(Table1[[#This Row],[oid]]),"FALSE","TRUE")</f>
        <v>TRUE</v>
      </c>
      <c r="J1872" t="str" cm="1">
        <f t="array" ref="J1872">_xlfn.SWITCH(LEFT(Table1[[#This Row],[section]],1), "D", "Demographic", "S", "Social", "E", "Economic", "H", "Housing", "")</f>
        <v>Economic</v>
      </c>
      <c r="K1872" t="s">
        <v>5603</v>
      </c>
      <c r="L1872" t="s">
        <v>5604</v>
      </c>
      <c r="M1872" t="str">
        <f>IF(Table1[[#This Row],[used]], _xlfn.CONCAT("🆔 ", Table1[[#This Row],[variable]], ": ",Table1[[#This Row],[alias]]), "")</f>
        <v>🆔 B20002_001E: Median earnings in the past 12 months in 2016 inflation-adjusted dollars: Total</v>
      </c>
      <c r="O1872" t="s">
        <v>6594</v>
      </c>
      <c r="P1872" t="s">
        <v>6595</v>
      </c>
      <c r="Q1872" t="s">
        <v>41</v>
      </c>
      <c r="R1872" t="s">
        <v>6577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1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</row>
    <row r="1873" spans="1:33" x14ac:dyDescent="0.25">
      <c r="A1873" t="s">
        <v>25</v>
      </c>
      <c r="B1873">
        <v>1</v>
      </c>
      <c r="C1873" t="b">
        <v>0</v>
      </c>
      <c r="D1873" t="s">
        <v>6571</v>
      </c>
      <c r="E1873" t="s">
        <v>6572</v>
      </c>
      <c r="F1873" t="s">
        <v>6573</v>
      </c>
      <c r="G1873" t="s">
        <v>6596</v>
      </c>
      <c r="H1873">
        <v>1872</v>
      </c>
      <c r="I1873" t="str">
        <f>IF(ISBLANK(Table1[[#This Row],[oid]]),"FALSE","TRUE")</f>
        <v>TRUE</v>
      </c>
      <c r="J1873" t="str" cm="1">
        <f t="array" ref="J1873">_xlfn.SWITCH(LEFT(Table1[[#This Row],[section]],1), "D", "Demographic", "S", "Social", "E", "Economic", "H", "Housing", "")</f>
        <v>Economic</v>
      </c>
      <c r="K1873" t="s">
        <v>5603</v>
      </c>
      <c r="L1873" t="s">
        <v>5604</v>
      </c>
      <c r="M1873" t="str">
        <f>IF(Table1[[#This Row],[used]], _xlfn.CONCAT("🆔 ", Table1[[#This Row],[variable]], ": ",Table1[[#This Row],[alias]]), "")</f>
        <v>🆔 B20002_001E: Median earnings in the past 12 months in 2017 inflation-adjusted dollars: Total</v>
      </c>
      <c r="O1873" t="s">
        <v>6597</v>
      </c>
      <c r="P1873" t="s">
        <v>6598</v>
      </c>
      <c r="Q1873" t="s">
        <v>41</v>
      </c>
      <c r="R1873" t="s">
        <v>6577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1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</row>
    <row r="1874" spans="1:33" x14ac:dyDescent="0.25">
      <c r="A1874" t="s">
        <v>26</v>
      </c>
      <c r="B1874">
        <v>1</v>
      </c>
      <c r="C1874" t="b">
        <v>0</v>
      </c>
      <c r="D1874" t="s">
        <v>6571</v>
      </c>
      <c r="E1874" t="s">
        <v>6572</v>
      </c>
      <c r="F1874" t="s">
        <v>6573</v>
      </c>
      <c r="G1874" t="s">
        <v>6599</v>
      </c>
      <c r="H1874">
        <v>1873</v>
      </c>
      <c r="I1874" t="str">
        <f>IF(ISBLANK(Table1[[#This Row],[oid]]),"FALSE","TRUE")</f>
        <v>TRUE</v>
      </c>
      <c r="J1874" t="str" cm="1">
        <f t="array" ref="J1874">_xlfn.SWITCH(LEFT(Table1[[#This Row],[section]],1), "D", "Demographic", "S", "Social", "E", "Economic", "H", "Housing", "")</f>
        <v>Economic</v>
      </c>
      <c r="K1874" t="s">
        <v>5603</v>
      </c>
      <c r="L1874" t="s">
        <v>5604</v>
      </c>
      <c r="M1874" t="str">
        <f>IF(Table1[[#This Row],[used]], _xlfn.CONCAT("🆔 ", Table1[[#This Row],[variable]], ": ",Table1[[#This Row],[alias]]), "")</f>
        <v>🆔 B20002_001E: Median earnings in the past 12 months in 2018 inflation-adjusted dollars: Total</v>
      </c>
      <c r="O1874" t="s">
        <v>6600</v>
      </c>
      <c r="P1874" t="s">
        <v>6601</v>
      </c>
      <c r="Q1874" t="s">
        <v>41</v>
      </c>
      <c r="R1874" t="s">
        <v>6577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1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</row>
    <row r="1875" spans="1:33" x14ac:dyDescent="0.25">
      <c r="A1875" t="s">
        <v>27</v>
      </c>
      <c r="B1875">
        <v>1</v>
      </c>
      <c r="C1875" t="b">
        <v>0</v>
      </c>
      <c r="D1875" t="s">
        <v>6571</v>
      </c>
      <c r="E1875" t="s">
        <v>6572</v>
      </c>
      <c r="F1875" t="s">
        <v>6573</v>
      </c>
      <c r="G1875" t="s">
        <v>6602</v>
      </c>
      <c r="H1875">
        <v>1874</v>
      </c>
      <c r="I1875" t="str">
        <f>IF(ISBLANK(Table1[[#This Row],[oid]]),"FALSE","TRUE")</f>
        <v>TRUE</v>
      </c>
      <c r="J1875" t="str" cm="1">
        <f t="array" ref="J1875">_xlfn.SWITCH(LEFT(Table1[[#This Row],[section]],1), "D", "Demographic", "S", "Social", "E", "Economic", "H", "Housing", "")</f>
        <v>Economic</v>
      </c>
      <c r="K1875" t="s">
        <v>5603</v>
      </c>
      <c r="L1875" t="s">
        <v>5604</v>
      </c>
      <c r="M1875" t="str">
        <f>IF(Table1[[#This Row],[used]], _xlfn.CONCAT("🆔 ", Table1[[#This Row],[variable]], ": ",Table1[[#This Row],[alias]]), "")</f>
        <v>🆔 B20002_001E: Median earnings in the past 12 months in 2019 inflation-adjusted dollars: Total</v>
      </c>
      <c r="O1875" t="s">
        <v>6603</v>
      </c>
      <c r="P1875" t="s">
        <v>6604</v>
      </c>
      <c r="Q1875" t="s">
        <v>41</v>
      </c>
      <c r="R1875" t="s">
        <v>6577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1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</row>
    <row r="1876" spans="1:33" x14ac:dyDescent="0.25">
      <c r="A1876" t="s">
        <v>28</v>
      </c>
      <c r="B1876">
        <v>1</v>
      </c>
      <c r="C1876" t="b">
        <v>0</v>
      </c>
      <c r="D1876" t="s">
        <v>6571</v>
      </c>
      <c r="E1876" t="s">
        <v>6572</v>
      </c>
      <c r="F1876" t="s">
        <v>6573</v>
      </c>
      <c r="G1876" t="s">
        <v>6605</v>
      </c>
      <c r="H1876">
        <v>1875</v>
      </c>
      <c r="I1876" t="str">
        <f>IF(ISBLANK(Table1[[#This Row],[oid]]),"FALSE","TRUE")</f>
        <v>TRUE</v>
      </c>
      <c r="J1876" t="str" cm="1">
        <f t="array" ref="J1876">_xlfn.SWITCH(LEFT(Table1[[#This Row],[section]],1), "D", "Demographic", "S", "Social", "E", "Economic", "H", "Housing", "")</f>
        <v>Economic</v>
      </c>
      <c r="K1876" t="s">
        <v>5603</v>
      </c>
      <c r="L1876" t="s">
        <v>5604</v>
      </c>
      <c r="M1876" t="str">
        <f>IF(Table1[[#This Row],[used]], _xlfn.CONCAT("🆔 ", Table1[[#This Row],[variable]], ": ",Table1[[#This Row],[alias]]), "")</f>
        <v>🆔 B20002_001E: Median earnings in the past 12 months in 2020 inflation-adjusted dollars: Total</v>
      </c>
      <c r="O1876" t="s">
        <v>6606</v>
      </c>
      <c r="P1876" t="s">
        <v>6607</v>
      </c>
      <c r="Q1876" t="s">
        <v>41</v>
      </c>
      <c r="R1876" t="s">
        <v>6577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1</v>
      </c>
      <c r="AD1876" t="b">
        <v>0</v>
      </c>
      <c r="AE1876" t="b">
        <v>0</v>
      </c>
      <c r="AF1876" t="b">
        <v>0</v>
      </c>
      <c r="AG1876" t="b">
        <v>0</v>
      </c>
    </row>
    <row r="1877" spans="1:33" x14ac:dyDescent="0.25">
      <c r="A1877" t="s">
        <v>29</v>
      </c>
      <c r="B1877">
        <v>1</v>
      </c>
      <c r="C1877" t="b">
        <v>0</v>
      </c>
      <c r="D1877" t="s">
        <v>6571</v>
      </c>
      <c r="E1877" t="s">
        <v>6572</v>
      </c>
      <c r="F1877" t="s">
        <v>6573</v>
      </c>
      <c r="G1877" t="s">
        <v>6608</v>
      </c>
      <c r="H1877">
        <v>1876</v>
      </c>
      <c r="I1877" t="str">
        <f>IF(ISBLANK(Table1[[#This Row],[oid]]),"FALSE","TRUE")</f>
        <v>TRUE</v>
      </c>
      <c r="J1877" t="str" cm="1">
        <f t="array" ref="J1877">_xlfn.SWITCH(LEFT(Table1[[#This Row],[section]],1), "D", "Demographic", "S", "Social", "E", "Economic", "H", "Housing", "")</f>
        <v>Economic</v>
      </c>
      <c r="K1877" t="s">
        <v>5603</v>
      </c>
      <c r="L1877" t="s">
        <v>5604</v>
      </c>
      <c r="M1877" t="str">
        <f>IF(Table1[[#This Row],[used]], _xlfn.CONCAT("🆔 ", Table1[[#This Row],[variable]], ": ",Table1[[#This Row],[alias]]), "")</f>
        <v>🆔 B20002_001E: Median earnings in the past 12 months in 2021 inflation-adjusted dollars: Total</v>
      </c>
      <c r="O1877" t="s">
        <v>6609</v>
      </c>
      <c r="P1877" t="s">
        <v>6610</v>
      </c>
      <c r="Q1877" t="s">
        <v>41</v>
      </c>
      <c r="R1877" t="s">
        <v>6577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1</v>
      </c>
      <c r="AE1877" t="b">
        <v>0</v>
      </c>
      <c r="AF1877" t="b">
        <v>0</v>
      </c>
      <c r="AG1877" t="b">
        <v>0</v>
      </c>
    </row>
    <row r="1878" spans="1:33" x14ac:dyDescent="0.25">
      <c r="A1878" t="s">
        <v>30</v>
      </c>
      <c r="B1878">
        <v>1</v>
      </c>
      <c r="C1878" t="b">
        <v>0</v>
      </c>
      <c r="D1878" t="s">
        <v>6571</v>
      </c>
      <c r="E1878" t="s">
        <v>6572</v>
      </c>
      <c r="F1878" t="s">
        <v>6573</v>
      </c>
      <c r="G1878" t="s">
        <v>6611</v>
      </c>
      <c r="H1878">
        <v>1877</v>
      </c>
      <c r="I1878" t="str">
        <f>IF(ISBLANK(Table1[[#This Row],[oid]]),"FALSE","TRUE")</f>
        <v>TRUE</v>
      </c>
      <c r="J1878" t="str" cm="1">
        <f t="array" ref="J1878">_xlfn.SWITCH(LEFT(Table1[[#This Row],[section]],1), "D", "Demographic", "S", "Social", "E", "Economic", "H", "Housing", "")</f>
        <v>Economic</v>
      </c>
      <c r="K1878" t="s">
        <v>5603</v>
      </c>
      <c r="L1878" t="s">
        <v>5604</v>
      </c>
      <c r="M1878" t="str">
        <f>IF(Table1[[#This Row],[used]], _xlfn.CONCAT("🆔 ", Table1[[#This Row],[variable]], ": ",Table1[[#This Row],[alias]]), "")</f>
        <v>🆔 B20002_001E: Median earnings in the past 12 months in 2022 inflation-adjusted dollars: Total</v>
      </c>
      <c r="O1878" t="s">
        <v>6612</v>
      </c>
      <c r="P1878" t="s">
        <v>6613</v>
      </c>
      <c r="Q1878" t="s">
        <v>41</v>
      </c>
      <c r="R1878" t="s">
        <v>6577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1</v>
      </c>
      <c r="AF1878" t="b">
        <v>0</v>
      </c>
      <c r="AG1878" t="b">
        <v>0</v>
      </c>
    </row>
    <row r="1879" spans="1:33" x14ac:dyDescent="0.25">
      <c r="A1879" t="s">
        <v>31</v>
      </c>
      <c r="B1879">
        <v>1</v>
      </c>
      <c r="C1879" t="b">
        <v>0</v>
      </c>
      <c r="D1879" t="s">
        <v>6571</v>
      </c>
      <c r="E1879" t="s">
        <v>6572</v>
      </c>
      <c r="F1879" t="s">
        <v>6573</v>
      </c>
      <c r="G1879" t="s">
        <v>6614</v>
      </c>
      <c r="H1879">
        <v>1878</v>
      </c>
      <c r="I1879" t="str">
        <f>IF(ISBLANK(Table1[[#This Row],[oid]]),"FALSE","TRUE")</f>
        <v>TRUE</v>
      </c>
      <c r="J1879" t="str" cm="1">
        <f t="array" ref="J1879">_xlfn.SWITCH(LEFT(Table1[[#This Row],[section]],1), "D", "Demographic", "S", "Social", "E", "Economic", "H", "Housing", "")</f>
        <v>Economic</v>
      </c>
      <c r="K1879" t="s">
        <v>5603</v>
      </c>
      <c r="L1879" t="s">
        <v>5604</v>
      </c>
      <c r="M1879" t="str">
        <f>IF(Table1[[#This Row],[used]], _xlfn.CONCAT("🆔 ", Table1[[#This Row],[variable]], ": ",Table1[[#This Row],[alias]]), "")</f>
        <v>🆔 B20002_001E: Median earnings in the past 12 months in 2023 inflation-adjusted dollars: Total</v>
      </c>
      <c r="O1879" t="s">
        <v>6615</v>
      </c>
      <c r="P1879" t="s">
        <v>6616</v>
      </c>
      <c r="Q1879" t="s">
        <v>41</v>
      </c>
      <c r="R1879" t="s">
        <v>6577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1</v>
      </c>
      <c r="AG1879" t="b">
        <v>0</v>
      </c>
    </row>
    <row r="1880" spans="1:33" x14ac:dyDescent="0.25">
      <c r="A1880" t="s">
        <v>32</v>
      </c>
      <c r="B1880">
        <v>1</v>
      </c>
      <c r="C1880" t="b">
        <v>0</v>
      </c>
      <c r="D1880" t="s">
        <v>6571</v>
      </c>
      <c r="E1880" t="s">
        <v>6572</v>
      </c>
      <c r="F1880" t="s">
        <v>6573</v>
      </c>
      <c r="G1880" t="s">
        <v>6617</v>
      </c>
      <c r="H1880">
        <v>1879</v>
      </c>
      <c r="I1880" t="str">
        <f>IF(ISBLANK(Table1[[#This Row],[oid]]),"FALSE","TRUE")</f>
        <v>TRUE</v>
      </c>
      <c r="J1880" t="str" cm="1">
        <f t="array" ref="J1880">_xlfn.SWITCH(LEFT(Table1[[#This Row],[section]],1), "D", "Demographic", "S", "Social", "E", "Economic", "H", "Housing", "")</f>
        <v>Economic</v>
      </c>
      <c r="K1880" t="s">
        <v>5603</v>
      </c>
      <c r="L1880" t="s">
        <v>5604</v>
      </c>
      <c r="M1880" t="str">
        <f>IF(Table1[[#This Row],[used]], _xlfn.CONCAT("🆔 ", Table1[[#This Row],[variable]], ": ",Table1[[#This Row],[alias]]), "")</f>
        <v>🆔 B20002_001E: Median earnings in the past 12 months in 2024 inflation-adjusted dollars: Total</v>
      </c>
      <c r="O1880" t="s">
        <v>6618</v>
      </c>
      <c r="P1880" t="s">
        <v>6619</v>
      </c>
      <c r="Q1880" t="s">
        <v>41</v>
      </c>
      <c r="R1880" t="s">
        <v>6577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1</v>
      </c>
    </row>
    <row r="1881" spans="1:33" x14ac:dyDescent="0.25">
      <c r="A1881" t="s">
        <v>18</v>
      </c>
      <c r="B1881">
        <v>1</v>
      </c>
      <c r="C1881" t="b">
        <v>0</v>
      </c>
      <c r="D1881" t="s">
        <v>6571</v>
      </c>
      <c r="E1881" t="s">
        <v>6572</v>
      </c>
      <c r="F1881" t="s">
        <v>6620</v>
      </c>
      <c r="G1881" t="s">
        <v>6621</v>
      </c>
      <c r="H1881">
        <v>1880</v>
      </c>
      <c r="I1881" t="str">
        <f>IF(ISBLANK(Table1[[#This Row],[oid]]),"FALSE","TRUE")</f>
        <v>TRUE</v>
      </c>
      <c r="J1881" t="str" cm="1">
        <f t="array" ref="J1881">_xlfn.SWITCH(LEFT(Table1[[#This Row],[section]],1), "D", "Demographic", "S", "Social", "E", "Economic", "H", "Housing", "")</f>
        <v>Economic</v>
      </c>
      <c r="K1881" t="s">
        <v>5603</v>
      </c>
      <c r="L1881" t="s">
        <v>5604</v>
      </c>
      <c r="M1881" t="str">
        <f>IF(Table1[[#This Row],[used]], _xlfn.CONCAT("🆔 ", Table1[[#This Row],[variable]], ": ",Table1[[#This Row],[alias]]), "")</f>
        <v>🆔 B20002_002E: Median earnings in the past 12 months in 2010 inflation-adjusted dollars: Male</v>
      </c>
      <c r="O1881" t="s">
        <v>6622</v>
      </c>
      <c r="P1881" t="s">
        <v>6576</v>
      </c>
      <c r="Q1881" t="s">
        <v>41</v>
      </c>
      <c r="R1881" t="s">
        <v>6623</v>
      </c>
      <c r="S1881" t="b">
        <v>1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</row>
    <row r="1882" spans="1:33" x14ac:dyDescent="0.25">
      <c r="A1882" t="s">
        <v>19</v>
      </c>
      <c r="B1882">
        <v>1</v>
      </c>
      <c r="C1882" t="b">
        <v>0</v>
      </c>
      <c r="D1882" t="s">
        <v>6571</v>
      </c>
      <c r="E1882" t="s">
        <v>6572</v>
      </c>
      <c r="F1882" t="s">
        <v>6620</v>
      </c>
      <c r="G1882" t="s">
        <v>6624</v>
      </c>
      <c r="H1882">
        <v>1881</v>
      </c>
      <c r="I1882" t="str">
        <f>IF(ISBLANK(Table1[[#This Row],[oid]]),"FALSE","TRUE")</f>
        <v>TRUE</v>
      </c>
      <c r="J1882" t="str" cm="1">
        <f t="array" ref="J1882">_xlfn.SWITCH(LEFT(Table1[[#This Row],[section]],1), "D", "Demographic", "S", "Social", "E", "Economic", "H", "Housing", "")</f>
        <v>Economic</v>
      </c>
      <c r="K1882" t="s">
        <v>5603</v>
      </c>
      <c r="L1882" t="s">
        <v>5604</v>
      </c>
      <c r="M1882" t="str">
        <f>IF(Table1[[#This Row],[used]], _xlfn.CONCAT("🆔 ", Table1[[#This Row],[variable]], ": ",Table1[[#This Row],[alias]]), "")</f>
        <v>🆔 B20002_002E: Median earnings in the past 12 months in 2011 inflation-adjusted dollars: Male</v>
      </c>
      <c r="O1882" t="s">
        <v>6625</v>
      </c>
      <c r="P1882" t="s">
        <v>6580</v>
      </c>
      <c r="Q1882" t="s">
        <v>41</v>
      </c>
      <c r="R1882" t="s">
        <v>6623</v>
      </c>
      <c r="S1882" t="b">
        <v>0</v>
      </c>
      <c r="T1882" t="b">
        <v>1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</row>
    <row r="1883" spans="1:33" x14ac:dyDescent="0.25">
      <c r="A1883" t="s">
        <v>20</v>
      </c>
      <c r="B1883">
        <v>1</v>
      </c>
      <c r="C1883" t="b">
        <v>0</v>
      </c>
      <c r="D1883" t="s">
        <v>6571</v>
      </c>
      <c r="E1883" t="s">
        <v>6572</v>
      </c>
      <c r="F1883" t="s">
        <v>6620</v>
      </c>
      <c r="G1883" t="s">
        <v>6626</v>
      </c>
      <c r="H1883">
        <v>1882</v>
      </c>
      <c r="I1883" t="str">
        <f>IF(ISBLANK(Table1[[#This Row],[oid]]),"FALSE","TRUE")</f>
        <v>TRUE</v>
      </c>
      <c r="J1883" t="str" cm="1">
        <f t="array" ref="J1883">_xlfn.SWITCH(LEFT(Table1[[#This Row],[section]],1), "D", "Demographic", "S", "Social", "E", "Economic", "H", "Housing", "")</f>
        <v>Economic</v>
      </c>
      <c r="K1883" t="s">
        <v>5603</v>
      </c>
      <c r="L1883" t="s">
        <v>5604</v>
      </c>
      <c r="M1883" t="str">
        <f>IF(Table1[[#This Row],[used]], _xlfn.CONCAT("🆔 ", Table1[[#This Row],[variable]], ": ",Table1[[#This Row],[alias]]), "")</f>
        <v>🆔 B20002_002E: Median earnings in the past 12 months in 2012 inflation-adjusted dollars: Male</v>
      </c>
      <c r="O1883" t="s">
        <v>6627</v>
      </c>
      <c r="P1883" t="s">
        <v>6583</v>
      </c>
      <c r="Q1883" t="s">
        <v>41</v>
      </c>
      <c r="R1883" t="s">
        <v>6623</v>
      </c>
      <c r="S1883" t="b">
        <v>0</v>
      </c>
      <c r="T1883" t="b">
        <v>0</v>
      </c>
      <c r="U1883" t="b">
        <v>1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</row>
    <row r="1884" spans="1:33" x14ac:dyDescent="0.25">
      <c r="A1884" t="s">
        <v>21</v>
      </c>
      <c r="B1884">
        <v>1</v>
      </c>
      <c r="C1884" t="b">
        <v>0</v>
      </c>
      <c r="D1884" t="s">
        <v>6571</v>
      </c>
      <c r="E1884" t="s">
        <v>6572</v>
      </c>
      <c r="F1884" t="s">
        <v>6620</v>
      </c>
      <c r="G1884" t="s">
        <v>6628</v>
      </c>
      <c r="H1884">
        <v>1883</v>
      </c>
      <c r="I1884" t="str">
        <f>IF(ISBLANK(Table1[[#This Row],[oid]]),"FALSE","TRUE")</f>
        <v>TRUE</v>
      </c>
      <c r="J1884" t="str" cm="1">
        <f t="array" ref="J1884">_xlfn.SWITCH(LEFT(Table1[[#This Row],[section]],1), "D", "Demographic", "S", "Social", "E", "Economic", "H", "Housing", "")</f>
        <v>Economic</v>
      </c>
      <c r="K1884" t="s">
        <v>5603</v>
      </c>
      <c r="L1884" t="s">
        <v>5604</v>
      </c>
      <c r="M1884" t="str">
        <f>IF(Table1[[#This Row],[used]], _xlfn.CONCAT("🆔 ", Table1[[#This Row],[variable]], ": ",Table1[[#This Row],[alias]]), "")</f>
        <v>🆔 B20002_002E: Median earnings in the past 12 months in 2013 inflation-adjusted dollars: Male</v>
      </c>
      <c r="O1884" t="s">
        <v>6629</v>
      </c>
      <c r="P1884" t="s">
        <v>6586</v>
      </c>
      <c r="Q1884" t="s">
        <v>41</v>
      </c>
      <c r="R1884" t="s">
        <v>6623</v>
      </c>
      <c r="S1884" t="b">
        <v>0</v>
      </c>
      <c r="T1884" t="b">
        <v>0</v>
      </c>
      <c r="U1884" t="b">
        <v>0</v>
      </c>
      <c r="V1884" t="b">
        <v>1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</row>
    <row r="1885" spans="1:33" x14ac:dyDescent="0.25">
      <c r="A1885" t="s">
        <v>22</v>
      </c>
      <c r="B1885">
        <v>1</v>
      </c>
      <c r="C1885" t="b">
        <v>0</v>
      </c>
      <c r="D1885" t="s">
        <v>6571</v>
      </c>
      <c r="E1885" t="s">
        <v>6572</v>
      </c>
      <c r="F1885" t="s">
        <v>6620</v>
      </c>
      <c r="G1885" t="s">
        <v>6630</v>
      </c>
      <c r="H1885">
        <v>1884</v>
      </c>
      <c r="I1885" t="str">
        <f>IF(ISBLANK(Table1[[#This Row],[oid]]),"FALSE","TRUE")</f>
        <v>TRUE</v>
      </c>
      <c r="J1885" t="str" cm="1">
        <f t="array" ref="J1885">_xlfn.SWITCH(LEFT(Table1[[#This Row],[section]],1), "D", "Demographic", "S", "Social", "E", "Economic", "H", "Housing", "")</f>
        <v>Economic</v>
      </c>
      <c r="K1885" t="s">
        <v>5603</v>
      </c>
      <c r="L1885" t="s">
        <v>5604</v>
      </c>
      <c r="M1885" t="str">
        <f>IF(Table1[[#This Row],[used]], _xlfn.CONCAT("🆔 ", Table1[[#This Row],[variable]], ": ",Table1[[#This Row],[alias]]), "")</f>
        <v>🆔 B20002_002E: Median earnings in the past 12 months in 2014 Inflation-adjusted dollars: Male</v>
      </c>
      <c r="O1885" t="s">
        <v>6631</v>
      </c>
      <c r="P1885" t="s">
        <v>6589</v>
      </c>
      <c r="Q1885" t="s">
        <v>41</v>
      </c>
      <c r="R1885" t="s">
        <v>6623</v>
      </c>
      <c r="S1885" t="b">
        <v>0</v>
      </c>
      <c r="T1885" t="b">
        <v>0</v>
      </c>
      <c r="U1885" t="b">
        <v>0</v>
      </c>
      <c r="V1885" t="b">
        <v>0</v>
      </c>
      <c r="W1885" t="b">
        <v>1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</row>
    <row r="1886" spans="1:33" x14ac:dyDescent="0.25">
      <c r="A1886" t="s">
        <v>23</v>
      </c>
      <c r="B1886">
        <v>1</v>
      </c>
      <c r="C1886" t="b">
        <v>0</v>
      </c>
      <c r="D1886" t="s">
        <v>6571</v>
      </c>
      <c r="E1886" t="s">
        <v>6572</v>
      </c>
      <c r="F1886" t="s">
        <v>6620</v>
      </c>
      <c r="G1886" t="s">
        <v>6632</v>
      </c>
      <c r="H1886">
        <v>1885</v>
      </c>
      <c r="I1886" t="str">
        <f>IF(ISBLANK(Table1[[#This Row],[oid]]),"FALSE","TRUE")</f>
        <v>TRUE</v>
      </c>
      <c r="J1886" t="str" cm="1">
        <f t="array" ref="J1886">_xlfn.SWITCH(LEFT(Table1[[#This Row],[section]],1), "D", "Demographic", "S", "Social", "E", "Economic", "H", "Housing", "")</f>
        <v>Economic</v>
      </c>
      <c r="K1886" t="s">
        <v>5603</v>
      </c>
      <c r="L1886" t="s">
        <v>5604</v>
      </c>
      <c r="M1886" t="str">
        <f>IF(Table1[[#This Row],[used]], _xlfn.CONCAT("🆔 ", Table1[[#This Row],[variable]], ": ",Table1[[#This Row],[alias]]), "")</f>
        <v>🆔 B20002_002E: Median earnings in the past 12 months in 2015 Inflation-adjusted dollars: Male</v>
      </c>
      <c r="O1886" t="s">
        <v>6633</v>
      </c>
      <c r="P1886" t="s">
        <v>6592</v>
      </c>
      <c r="Q1886" t="s">
        <v>41</v>
      </c>
      <c r="R1886" t="s">
        <v>6623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1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</row>
    <row r="1887" spans="1:33" x14ac:dyDescent="0.25">
      <c r="A1887" t="s">
        <v>24</v>
      </c>
      <c r="B1887">
        <v>1</v>
      </c>
      <c r="C1887" t="b">
        <v>0</v>
      </c>
      <c r="D1887" t="s">
        <v>6571</v>
      </c>
      <c r="E1887" t="s">
        <v>6572</v>
      </c>
      <c r="F1887" t="s">
        <v>6620</v>
      </c>
      <c r="G1887" t="s">
        <v>6634</v>
      </c>
      <c r="H1887">
        <v>1886</v>
      </c>
      <c r="I1887" t="str">
        <f>IF(ISBLANK(Table1[[#This Row],[oid]]),"FALSE","TRUE")</f>
        <v>TRUE</v>
      </c>
      <c r="J1887" t="str" cm="1">
        <f t="array" ref="J1887">_xlfn.SWITCH(LEFT(Table1[[#This Row],[section]],1), "D", "Demographic", "S", "Social", "E", "Economic", "H", "Housing", "")</f>
        <v>Economic</v>
      </c>
      <c r="K1887" t="s">
        <v>5603</v>
      </c>
      <c r="L1887" t="s">
        <v>5604</v>
      </c>
      <c r="M1887" t="str">
        <f>IF(Table1[[#This Row],[used]], _xlfn.CONCAT("🆔 ", Table1[[#This Row],[variable]], ": ",Table1[[#This Row],[alias]]), "")</f>
        <v>🆔 B20002_002E: Median earnings in the past 12 months in 2016 inflation-adjusted dollars: Male</v>
      </c>
      <c r="O1887" t="s">
        <v>6635</v>
      </c>
      <c r="P1887" t="s">
        <v>6595</v>
      </c>
      <c r="Q1887" t="s">
        <v>41</v>
      </c>
      <c r="R1887" t="s">
        <v>6623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1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</row>
    <row r="1888" spans="1:33" x14ac:dyDescent="0.25">
      <c r="A1888" t="s">
        <v>25</v>
      </c>
      <c r="B1888">
        <v>1</v>
      </c>
      <c r="C1888" t="b">
        <v>0</v>
      </c>
      <c r="D1888" t="s">
        <v>6571</v>
      </c>
      <c r="E1888" t="s">
        <v>6572</v>
      </c>
      <c r="F1888" t="s">
        <v>6620</v>
      </c>
      <c r="G1888" t="s">
        <v>6636</v>
      </c>
      <c r="H1888">
        <v>1887</v>
      </c>
      <c r="I1888" t="str">
        <f>IF(ISBLANK(Table1[[#This Row],[oid]]),"FALSE","TRUE")</f>
        <v>TRUE</v>
      </c>
      <c r="J1888" t="str" cm="1">
        <f t="array" ref="J1888">_xlfn.SWITCH(LEFT(Table1[[#This Row],[section]],1), "D", "Demographic", "S", "Social", "E", "Economic", "H", "Housing", "")</f>
        <v>Economic</v>
      </c>
      <c r="K1888" t="s">
        <v>5603</v>
      </c>
      <c r="L1888" t="s">
        <v>5604</v>
      </c>
      <c r="M1888" t="str">
        <f>IF(Table1[[#This Row],[used]], _xlfn.CONCAT("🆔 ", Table1[[#This Row],[variable]], ": ",Table1[[#This Row],[alias]]), "")</f>
        <v>🆔 B20002_002E: Median earnings in the past 12 months in 2017 inflation-adjusted dollars: Male</v>
      </c>
      <c r="O1888" t="s">
        <v>6637</v>
      </c>
      <c r="P1888" t="s">
        <v>6598</v>
      </c>
      <c r="Q1888" t="s">
        <v>41</v>
      </c>
      <c r="R1888" t="s">
        <v>6623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1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</row>
    <row r="1889" spans="1:33" x14ac:dyDescent="0.25">
      <c r="A1889" t="s">
        <v>26</v>
      </c>
      <c r="B1889">
        <v>1</v>
      </c>
      <c r="C1889" t="b">
        <v>0</v>
      </c>
      <c r="D1889" t="s">
        <v>6571</v>
      </c>
      <c r="E1889" t="s">
        <v>6572</v>
      </c>
      <c r="F1889" t="s">
        <v>6620</v>
      </c>
      <c r="G1889" t="s">
        <v>6638</v>
      </c>
      <c r="H1889">
        <v>1888</v>
      </c>
      <c r="I1889" t="str">
        <f>IF(ISBLANK(Table1[[#This Row],[oid]]),"FALSE","TRUE")</f>
        <v>TRUE</v>
      </c>
      <c r="J1889" t="str" cm="1">
        <f t="array" ref="J1889">_xlfn.SWITCH(LEFT(Table1[[#This Row],[section]],1), "D", "Demographic", "S", "Social", "E", "Economic", "H", "Housing", "")</f>
        <v>Economic</v>
      </c>
      <c r="K1889" t="s">
        <v>5603</v>
      </c>
      <c r="L1889" t="s">
        <v>5604</v>
      </c>
      <c r="M1889" t="str">
        <f>IF(Table1[[#This Row],[used]], _xlfn.CONCAT("🆔 ", Table1[[#This Row],[variable]], ": ",Table1[[#This Row],[alias]]), "")</f>
        <v>🆔 B20002_002E: Median earnings in the past 12 months in 2018 inflation-adjusted dollars: Male</v>
      </c>
      <c r="O1889" t="s">
        <v>6639</v>
      </c>
      <c r="P1889" t="s">
        <v>6601</v>
      </c>
      <c r="Q1889" t="s">
        <v>41</v>
      </c>
      <c r="R1889" t="s">
        <v>6623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1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</row>
    <row r="1890" spans="1:33" x14ac:dyDescent="0.25">
      <c r="A1890" t="s">
        <v>27</v>
      </c>
      <c r="B1890">
        <v>1</v>
      </c>
      <c r="C1890" t="b">
        <v>0</v>
      </c>
      <c r="D1890" t="s">
        <v>6571</v>
      </c>
      <c r="E1890" t="s">
        <v>6572</v>
      </c>
      <c r="F1890" t="s">
        <v>6620</v>
      </c>
      <c r="G1890" t="s">
        <v>6640</v>
      </c>
      <c r="H1890">
        <v>1889</v>
      </c>
      <c r="I1890" t="str">
        <f>IF(ISBLANK(Table1[[#This Row],[oid]]),"FALSE","TRUE")</f>
        <v>TRUE</v>
      </c>
      <c r="J1890" t="str" cm="1">
        <f t="array" ref="J1890">_xlfn.SWITCH(LEFT(Table1[[#This Row],[section]],1), "D", "Demographic", "S", "Social", "E", "Economic", "H", "Housing", "")</f>
        <v>Economic</v>
      </c>
      <c r="K1890" t="s">
        <v>5603</v>
      </c>
      <c r="L1890" t="s">
        <v>5604</v>
      </c>
      <c r="M1890" t="str">
        <f>IF(Table1[[#This Row],[used]], _xlfn.CONCAT("🆔 ", Table1[[#This Row],[variable]], ": ",Table1[[#This Row],[alias]]), "")</f>
        <v>🆔 B20002_002E: Median earnings in the past 12 months in 2019 inflation-adjusted dollars: Male</v>
      </c>
      <c r="O1890" t="s">
        <v>6641</v>
      </c>
      <c r="P1890" t="s">
        <v>6604</v>
      </c>
      <c r="Q1890" t="s">
        <v>41</v>
      </c>
      <c r="R1890" t="s">
        <v>6623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1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</row>
    <row r="1891" spans="1:33" x14ac:dyDescent="0.25">
      <c r="A1891" t="s">
        <v>28</v>
      </c>
      <c r="B1891">
        <v>1</v>
      </c>
      <c r="C1891" t="b">
        <v>0</v>
      </c>
      <c r="D1891" t="s">
        <v>6571</v>
      </c>
      <c r="E1891" t="s">
        <v>6572</v>
      </c>
      <c r="F1891" t="s">
        <v>6620</v>
      </c>
      <c r="G1891" t="s">
        <v>6642</v>
      </c>
      <c r="H1891">
        <v>1890</v>
      </c>
      <c r="I1891" t="str">
        <f>IF(ISBLANK(Table1[[#This Row],[oid]]),"FALSE","TRUE")</f>
        <v>TRUE</v>
      </c>
      <c r="J1891" t="str" cm="1">
        <f t="array" ref="J1891">_xlfn.SWITCH(LEFT(Table1[[#This Row],[section]],1), "D", "Demographic", "S", "Social", "E", "Economic", "H", "Housing", "")</f>
        <v>Economic</v>
      </c>
      <c r="K1891" t="s">
        <v>5603</v>
      </c>
      <c r="L1891" t="s">
        <v>5604</v>
      </c>
      <c r="M1891" t="str">
        <f>IF(Table1[[#This Row],[used]], _xlfn.CONCAT("🆔 ", Table1[[#This Row],[variable]], ": ",Table1[[#This Row],[alias]]), "")</f>
        <v>🆔 B20002_002E: Median earnings in the past 12 months in 2020 inflation-adjusted dollars: Male</v>
      </c>
      <c r="O1891" t="s">
        <v>6643</v>
      </c>
      <c r="P1891" t="s">
        <v>6607</v>
      </c>
      <c r="Q1891" t="s">
        <v>41</v>
      </c>
      <c r="R1891" t="s">
        <v>6623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1</v>
      </c>
      <c r="AD1891" t="b">
        <v>0</v>
      </c>
      <c r="AE1891" t="b">
        <v>0</v>
      </c>
      <c r="AF1891" t="b">
        <v>0</v>
      </c>
      <c r="AG1891" t="b">
        <v>0</v>
      </c>
    </row>
    <row r="1892" spans="1:33" x14ac:dyDescent="0.25">
      <c r="A1892" t="s">
        <v>29</v>
      </c>
      <c r="B1892">
        <v>1</v>
      </c>
      <c r="C1892" t="b">
        <v>0</v>
      </c>
      <c r="D1892" t="s">
        <v>6571</v>
      </c>
      <c r="E1892" t="s">
        <v>6572</v>
      </c>
      <c r="F1892" t="s">
        <v>6620</v>
      </c>
      <c r="G1892" t="s">
        <v>6644</v>
      </c>
      <c r="H1892">
        <v>1891</v>
      </c>
      <c r="I1892" t="str">
        <f>IF(ISBLANK(Table1[[#This Row],[oid]]),"FALSE","TRUE")</f>
        <v>TRUE</v>
      </c>
      <c r="J1892" t="str" cm="1">
        <f t="array" ref="J1892">_xlfn.SWITCH(LEFT(Table1[[#This Row],[section]],1), "D", "Demographic", "S", "Social", "E", "Economic", "H", "Housing", "")</f>
        <v>Economic</v>
      </c>
      <c r="K1892" t="s">
        <v>5603</v>
      </c>
      <c r="L1892" t="s">
        <v>5604</v>
      </c>
      <c r="M1892" t="str">
        <f>IF(Table1[[#This Row],[used]], _xlfn.CONCAT("🆔 ", Table1[[#This Row],[variable]], ": ",Table1[[#This Row],[alias]]), "")</f>
        <v>🆔 B20002_002E: Median earnings in the past 12 months in 2021 inflation-adjusted dollars: Male</v>
      </c>
      <c r="O1892" t="s">
        <v>6645</v>
      </c>
      <c r="P1892" t="s">
        <v>6610</v>
      </c>
      <c r="Q1892" t="s">
        <v>41</v>
      </c>
      <c r="R1892" t="s">
        <v>6623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1</v>
      </c>
      <c r="AE1892" t="b">
        <v>0</v>
      </c>
      <c r="AF1892" t="b">
        <v>0</v>
      </c>
      <c r="AG1892" t="b">
        <v>0</v>
      </c>
    </row>
    <row r="1893" spans="1:33" x14ac:dyDescent="0.25">
      <c r="A1893" t="s">
        <v>30</v>
      </c>
      <c r="B1893">
        <v>1</v>
      </c>
      <c r="C1893" t="b">
        <v>0</v>
      </c>
      <c r="D1893" t="s">
        <v>6571</v>
      </c>
      <c r="E1893" t="s">
        <v>6572</v>
      </c>
      <c r="F1893" t="s">
        <v>6620</v>
      </c>
      <c r="G1893" t="s">
        <v>6646</v>
      </c>
      <c r="H1893">
        <v>1892</v>
      </c>
      <c r="I1893" t="str">
        <f>IF(ISBLANK(Table1[[#This Row],[oid]]),"FALSE","TRUE")</f>
        <v>TRUE</v>
      </c>
      <c r="J1893" t="str" cm="1">
        <f t="array" ref="J1893">_xlfn.SWITCH(LEFT(Table1[[#This Row],[section]],1), "D", "Demographic", "S", "Social", "E", "Economic", "H", "Housing", "")</f>
        <v>Economic</v>
      </c>
      <c r="K1893" t="s">
        <v>5603</v>
      </c>
      <c r="L1893" t="s">
        <v>5604</v>
      </c>
      <c r="M1893" t="str">
        <f>IF(Table1[[#This Row],[used]], _xlfn.CONCAT("🆔 ", Table1[[#This Row],[variable]], ": ",Table1[[#This Row],[alias]]), "")</f>
        <v>🆔 B20002_002E: Median earnings in the past 12 months in 2022 inflation-adjusted dollars: Male</v>
      </c>
      <c r="O1893" t="s">
        <v>6647</v>
      </c>
      <c r="P1893" t="s">
        <v>6613</v>
      </c>
      <c r="Q1893" t="s">
        <v>41</v>
      </c>
      <c r="R1893" t="s">
        <v>6623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1</v>
      </c>
      <c r="AF1893" t="b">
        <v>0</v>
      </c>
      <c r="AG1893" t="b">
        <v>0</v>
      </c>
    </row>
    <row r="1894" spans="1:33" x14ac:dyDescent="0.25">
      <c r="A1894" t="s">
        <v>31</v>
      </c>
      <c r="B1894">
        <v>1</v>
      </c>
      <c r="C1894" t="b">
        <v>0</v>
      </c>
      <c r="D1894" t="s">
        <v>6571</v>
      </c>
      <c r="E1894" t="s">
        <v>6572</v>
      </c>
      <c r="F1894" t="s">
        <v>6620</v>
      </c>
      <c r="G1894" t="s">
        <v>6648</v>
      </c>
      <c r="H1894">
        <v>1893</v>
      </c>
      <c r="I1894" t="str">
        <f>IF(ISBLANK(Table1[[#This Row],[oid]]),"FALSE","TRUE")</f>
        <v>TRUE</v>
      </c>
      <c r="J1894" t="str" cm="1">
        <f t="array" ref="J1894">_xlfn.SWITCH(LEFT(Table1[[#This Row],[section]],1), "D", "Demographic", "S", "Social", "E", "Economic", "H", "Housing", "")</f>
        <v>Economic</v>
      </c>
      <c r="K1894" t="s">
        <v>5603</v>
      </c>
      <c r="L1894" t="s">
        <v>5604</v>
      </c>
      <c r="M1894" t="str">
        <f>IF(Table1[[#This Row],[used]], _xlfn.CONCAT("🆔 ", Table1[[#This Row],[variable]], ": ",Table1[[#This Row],[alias]]), "")</f>
        <v>🆔 B20002_002E: Median earnings in the past 12 months in 2023 inflation-adjusted dollars: Male</v>
      </c>
      <c r="O1894" t="s">
        <v>6649</v>
      </c>
      <c r="P1894" t="s">
        <v>6616</v>
      </c>
      <c r="Q1894" t="s">
        <v>41</v>
      </c>
      <c r="R1894" t="s">
        <v>6623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1</v>
      </c>
      <c r="AG1894" t="b">
        <v>0</v>
      </c>
    </row>
    <row r="1895" spans="1:33" x14ac:dyDescent="0.25">
      <c r="A1895" t="s">
        <v>32</v>
      </c>
      <c r="B1895">
        <v>1</v>
      </c>
      <c r="C1895" t="b">
        <v>0</v>
      </c>
      <c r="D1895" t="s">
        <v>6571</v>
      </c>
      <c r="E1895" t="s">
        <v>6572</v>
      </c>
      <c r="F1895" t="s">
        <v>6620</v>
      </c>
      <c r="G1895" t="s">
        <v>6650</v>
      </c>
      <c r="H1895">
        <v>1894</v>
      </c>
      <c r="I1895" t="str">
        <f>IF(ISBLANK(Table1[[#This Row],[oid]]),"FALSE","TRUE")</f>
        <v>TRUE</v>
      </c>
      <c r="J1895" t="str" cm="1">
        <f t="array" ref="J1895">_xlfn.SWITCH(LEFT(Table1[[#This Row],[section]],1), "D", "Demographic", "S", "Social", "E", "Economic", "H", "Housing", "")</f>
        <v>Economic</v>
      </c>
      <c r="K1895" t="s">
        <v>5603</v>
      </c>
      <c r="L1895" t="s">
        <v>5604</v>
      </c>
      <c r="M1895" t="str">
        <f>IF(Table1[[#This Row],[used]], _xlfn.CONCAT("🆔 ", Table1[[#This Row],[variable]], ": ",Table1[[#This Row],[alias]]), "")</f>
        <v>🆔 B20002_002E: Median earnings in the past 12 months in 2024 inflation-adjusted dollars: Male</v>
      </c>
      <c r="O1895" t="s">
        <v>6651</v>
      </c>
      <c r="P1895" t="s">
        <v>6619</v>
      </c>
      <c r="Q1895" t="s">
        <v>41</v>
      </c>
      <c r="R1895" t="s">
        <v>6623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1</v>
      </c>
    </row>
    <row r="1896" spans="1:33" x14ac:dyDescent="0.25">
      <c r="A1896" t="s">
        <v>18</v>
      </c>
      <c r="B1896">
        <v>1</v>
      </c>
      <c r="C1896" t="b">
        <v>0</v>
      </c>
      <c r="D1896" t="s">
        <v>6571</v>
      </c>
      <c r="E1896" t="s">
        <v>6572</v>
      </c>
      <c r="F1896" t="s">
        <v>6652</v>
      </c>
      <c r="G1896" t="s">
        <v>6653</v>
      </c>
      <c r="H1896">
        <v>1895</v>
      </c>
      <c r="I1896" t="str">
        <f>IF(ISBLANK(Table1[[#This Row],[oid]]),"FALSE","TRUE")</f>
        <v>TRUE</v>
      </c>
      <c r="J1896" t="str" cm="1">
        <f t="array" ref="J1896">_xlfn.SWITCH(LEFT(Table1[[#This Row],[section]],1), "D", "Demographic", "S", "Social", "E", "Economic", "H", "Housing", "")</f>
        <v>Economic</v>
      </c>
      <c r="K1896" t="s">
        <v>5603</v>
      </c>
      <c r="L1896" t="s">
        <v>5604</v>
      </c>
      <c r="M1896" t="str">
        <f>IF(Table1[[#This Row],[used]], _xlfn.CONCAT("🆔 ", Table1[[#This Row],[variable]], ": ",Table1[[#This Row],[alias]]), "")</f>
        <v>🆔 B20002_003E: Median earnings in the past 12 months in 2010 inflation-adjusted dollars: Female</v>
      </c>
      <c r="O1896" t="s">
        <v>6654</v>
      </c>
      <c r="P1896" t="s">
        <v>6576</v>
      </c>
      <c r="Q1896" t="s">
        <v>41</v>
      </c>
      <c r="R1896" t="s">
        <v>6655</v>
      </c>
      <c r="S1896" t="b">
        <v>1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</row>
    <row r="1897" spans="1:33" x14ac:dyDescent="0.25">
      <c r="A1897" t="s">
        <v>19</v>
      </c>
      <c r="B1897">
        <v>1</v>
      </c>
      <c r="C1897" t="b">
        <v>0</v>
      </c>
      <c r="D1897" t="s">
        <v>6571</v>
      </c>
      <c r="E1897" t="s">
        <v>6572</v>
      </c>
      <c r="F1897" t="s">
        <v>6652</v>
      </c>
      <c r="G1897" t="s">
        <v>6656</v>
      </c>
      <c r="H1897">
        <v>1896</v>
      </c>
      <c r="I1897" t="str">
        <f>IF(ISBLANK(Table1[[#This Row],[oid]]),"FALSE","TRUE")</f>
        <v>TRUE</v>
      </c>
      <c r="J1897" t="str" cm="1">
        <f t="array" ref="J1897">_xlfn.SWITCH(LEFT(Table1[[#This Row],[section]],1), "D", "Demographic", "S", "Social", "E", "Economic", "H", "Housing", "")</f>
        <v>Economic</v>
      </c>
      <c r="K1897" t="s">
        <v>5603</v>
      </c>
      <c r="L1897" t="s">
        <v>5604</v>
      </c>
      <c r="M1897" t="str">
        <f>IF(Table1[[#This Row],[used]], _xlfn.CONCAT("🆔 ", Table1[[#This Row],[variable]], ": ",Table1[[#This Row],[alias]]), "")</f>
        <v>🆔 B20002_003E: Median earnings in the past 12 months in 2011 inflation-adjusted dollars: Female</v>
      </c>
      <c r="O1897" t="s">
        <v>6657</v>
      </c>
      <c r="P1897" t="s">
        <v>6580</v>
      </c>
      <c r="Q1897" t="s">
        <v>41</v>
      </c>
      <c r="R1897" t="s">
        <v>6655</v>
      </c>
      <c r="S1897" t="b">
        <v>0</v>
      </c>
      <c r="T1897" t="b">
        <v>1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</row>
    <row r="1898" spans="1:33" x14ac:dyDescent="0.25">
      <c r="A1898" t="s">
        <v>20</v>
      </c>
      <c r="B1898">
        <v>1</v>
      </c>
      <c r="C1898" t="b">
        <v>0</v>
      </c>
      <c r="D1898" t="s">
        <v>6571</v>
      </c>
      <c r="E1898" t="s">
        <v>6572</v>
      </c>
      <c r="F1898" t="s">
        <v>6652</v>
      </c>
      <c r="G1898" t="s">
        <v>6658</v>
      </c>
      <c r="H1898">
        <v>1897</v>
      </c>
      <c r="I1898" t="str">
        <f>IF(ISBLANK(Table1[[#This Row],[oid]]),"FALSE","TRUE")</f>
        <v>TRUE</v>
      </c>
      <c r="J1898" t="str" cm="1">
        <f t="array" ref="J1898">_xlfn.SWITCH(LEFT(Table1[[#This Row],[section]],1), "D", "Demographic", "S", "Social", "E", "Economic", "H", "Housing", "")</f>
        <v>Economic</v>
      </c>
      <c r="K1898" t="s">
        <v>5603</v>
      </c>
      <c r="L1898" t="s">
        <v>5604</v>
      </c>
      <c r="M1898" t="str">
        <f>IF(Table1[[#This Row],[used]], _xlfn.CONCAT("🆔 ", Table1[[#This Row],[variable]], ": ",Table1[[#This Row],[alias]]), "")</f>
        <v>🆔 B20002_003E: Median earnings in the past 12 months in 2012 inflation-adjusted dollars: Female</v>
      </c>
      <c r="O1898" t="s">
        <v>6659</v>
      </c>
      <c r="P1898" t="s">
        <v>6583</v>
      </c>
      <c r="Q1898" t="s">
        <v>41</v>
      </c>
      <c r="R1898" t="s">
        <v>6655</v>
      </c>
      <c r="S1898" t="b">
        <v>0</v>
      </c>
      <c r="T1898" t="b">
        <v>0</v>
      </c>
      <c r="U1898" t="b">
        <v>1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</row>
    <row r="1899" spans="1:33" x14ac:dyDescent="0.25">
      <c r="A1899" t="s">
        <v>21</v>
      </c>
      <c r="B1899">
        <v>1</v>
      </c>
      <c r="C1899" t="b">
        <v>0</v>
      </c>
      <c r="D1899" t="s">
        <v>6571</v>
      </c>
      <c r="E1899" t="s">
        <v>6572</v>
      </c>
      <c r="F1899" t="s">
        <v>6652</v>
      </c>
      <c r="G1899" t="s">
        <v>6660</v>
      </c>
      <c r="H1899">
        <v>1898</v>
      </c>
      <c r="I1899" t="str">
        <f>IF(ISBLANK(Table1[[#This Row],[oid]]),"FALSE","TRUE")</f>
        <v>TRUE</v>
      </c>
      <c r="J1899" t="str" cm="1">
        <f t="array" ref="J1899">_xlfn.SWITCH(LEFT(Table1[[#This Row],[section]],1), "D", "Demographic", "S", "Social", "E", "Economic", "H", "Housing", "")</f>
        <v>Economic</v>
      </c>
      <c r="K1899" t="s">
        <v>5603</v>
      </c>
      <c r="L1899" t="s">
        <v>5604</v>
      </c>
      <c r="M1899" t="str">
        <f>IF(Table1[[#This Row],[used]], _xlfn.CONCAT("🆔 ", Table1[[#This Row],[variable]], ": ",Table1[[#This Row],[alias]]), "")</f>
        <v>🆔 B20002_003E: Median earnings in the past 12 months in 2013 inflation-adjusted dollars: Female</v>
      </c>
      <c r="O1899" t="s">
        <v>6661</v>
      </c>
      <c r="P1899" t="s">
        <v>6586</v>
      </c>
      <c r="Q1899" t="s">
        <v>41</v>
      </c>
      <c r="R1899" t="s">
        <v>6655</v>
      </c>
      <c r="S1899" t="b">
        <v>0</v>
      </c>
      <c r="T1899" t="b">
        <v>0</v>
      </c>
      <c r="U1899" t="b">
        <v>0</v>
      </c>
      <c r="V1899" t="b">
        <v>1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</row>
    <row r="1900" spans="1:33" x14ac:dyDescent="0.25">
      <c r="A1900" t="s">
        <v>22</v>
      </c>
      <c r="B1900">
        <v>1</v>
      </c>
      <c r="C1900" t="b">
        <v>0</v>
      </c>
      <c r="D1900" t="s">
        <v>6571</v>
      </c>
      <c r="E1900" t="s">
        <v>6572</v>
      </c>
      <c r="F1900" t="s">
        <v>6652</v>
      </c>
      <c r="G1900" t="s">
        <v>6662</v>
      </c>
      <c r="H1900">
        <v>1899</v>
      </c>
      <c r="I1900" t="str">
        <f>IF(ISBLANK(Table1[[#This Row],[oid]]),"FALSE","TRUE")</f>
        <v>TRUE</v>
      </c>
      <c r="J1900" t="str" cm="1">
        <f t="array" ref="J1900">_xlfn.SWITCH(LEFT(Table1[[#This Row],[section]],1), "D", "Demographic", "S", "Social", "E", "Economic", "H", "Housing", "")</f>
        <v>Economic</v>
      </c>
      <c r="K1900" t="s">
        <v>5603</v>
      </c>
      <c r="L1900" t="s">
        <v>5604</v>
      </c>
      <c r="M1900" t="str">
        <f>IF(Table1[[#This Row],[used]], _xlfn.CONCAT("🆔 ", Table1[[#This Row],[variable]], ": ",Table1[[#This Row],[alias]]), "")</f>
        <v>🆔 B20002_003E: Median earnings in the past 12 months in 2014 Inflation-adjusted dollars: Female</v>
      </c>
      <c r="O1900" t="s">
        <v>6663</v>
      </c>
      <c r="P1900" t="s">
        <v>6589</v>
      </c>
      <c r="Q1900" t="s">
        <v>41</v>
      </c>
      <c r="R1900" t="s">
        <v>6655</v>
      </c>
      <c r="S1900" t="b">
        <v>0</v>
      </c>
      <c r="T1900" t="b">
        <v>0</v>
      </c>
      <c r="U1900" t="b">
        <v>0</v>
      </c>
      <c r="V1900" t="b">
        <v>0</v>
      </c>
      <c r="W1900" t="b">
        <v>1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</row>
    <row r="1901" spans="1:33" x14ac:dyDescent="0.25">
      <c r="A1901" t="s">
        <v>23</v>
      </c>
      <c r="B1901">
        <v>1</v>
      </c>
      <c r="C1901" t="b">
        <v>0</v>
      </c>
      <c r="D1901" t="s">
        <v>6571</v>
      </c>
      <c r="E1901" t="s">
        <v>6572</v>
      </c>
      <c r="F1901" t="s">
        <v>6652</v>
      </c>
      <c r="G1901" t="s">
        <v>6664</v>
      </c>
      <c r="H1901">
        <v>1900</v>
      </c>
      <c r="I1901" t="str">
        <f>IF(ISBLANK(Table1[[#This Row],[oid]]),"FALSE","TRUE")</f>
        <v>TRUE</v>
      </c>
      <c r="J1901" t="str" cm="1">
        <f t="array" ref="J1901">_xlfn.SWITCH(LEFT(Table1[[#This Row],[section]],1), "D", "Demographic", "S", "Social", "E", "Economic", "H", "Housing", "")</f>
        <v>Economic</v>
      </c>
      <c r="K1901" t="s">
        <v>5603</v>
      </c>
      <c r="L1901" t="s">
        <v>5604</v>
      </c>
      <c r="M1901" t="str">
        <f>IF(Table1[[#This Row],[used]], _xlfn.CONCAT("🆔 ", Table1[[#This Row],[variable]], ": ",Table1[[#This Row],[alias]]), "")</f>
        <v>🆔 B20002_003E: Median earnings in the past 12 months in 2015 Inflation-adjusted dollars: Female</v>
      </c>
      <c r="O1901" t="s">
        <v>6665</v>
      </c>
      <c r="P1901" t="s">
        <v>6592</v>
      </c>
      <c r="Q1901" t="s">
        <v>41</v>
      </c>
      <c r="R1901" t="s">
        <v>6655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1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</row>
    <row r="1902" spans="1:33" x14ac:dyDescent="0.25">
      <c r="A1902" t="s">
        <v>24</v>
      </c>
      <c r="B1902">
        <v>1</v>
      </c>
      <c r="C1902" t="b">
        <v>0</v>
      </c>
      <c r="D1902" t="s">
        <v>6571</v>
      </c>
      <c r="E1902" t="s">
        <v>6572</v>
      </c>
      <c r="F1902" t="s">
        <v>6652</v>
      </c>
      <c r="G1902" t="s">
        <v>6666</v>
      </c>
      <c r="H1902">
        <v>1901</v>
      </c>
      <c r="I1902" t="str">
        <f>IF(ISBLANK(Table1[[#This Row],[oid]]),"FALSE","TRUE")</f>
        <v>TRUE</v>
      </c>
      <c r="J1902" t="str" cm="1">
        <f t="array" ref="J1902">_xlfn.SWITCH(LEFT(Table1[[#This Row],[section]],1), "D", "Demographic", "S", "Social", "E", "Economic", "H", "Housing", "")</f>
        <v>Economic</v>
      </c>
      <c r="K1902" t="s">
        <v>5603</v>
      </c>
      <c r="L1902" t="s">
        <v>5604</v>
      </c>
      <c r="M1902" t="str">
        <f>IF(Table1[[#This Row],[used]], _xlfn.CONCAT("🆔 ", Table1[[#This Row],[variable]], ": ",Table1[[#This Row],[alias]]), "")</f>
        <v>🆔 B20002_003E: Median earnings in the past 12 months in 2016 inflation-adjusted dollars: Female</v>
      </c>
      <c r="O1902" t="s">
        <v>6667</v>
      </c>
      <c r="P1902" t="s">
        <v>6595</v>
      </c>
      <c r="Q1902" t="s">
        <v>41</v>
      </c>
      <c r="R1902" t="s">
        <v>6655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1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</row>
    <row r="1903" spans="1:33" x14ac:dyDescent="0.25">
      <c r="A1903" t="s">
        <v>25</v>
      </c>
      <c r="B1903">
        <v>1</v>
      </c>
      <c r="C1903" t="b">
        <v>0</v>
      </c>
      <c r="D1903" t="s">
        <v>6571</v>
      </c>
      <c r="E1903" t="s">
        <v>6572</v>
      </c>
      <c r="F1903" t="s">
        <v>6652</v>
      </c>
      <c r="G1903" t="s">
        <v>6668</v>
      </c>
      <c r="H1903">
        <v>1902</v>
      </c>
      <c r="I1903" t="str">
        <f>IF(ISBLANK(Table1[[#This Row],[oid]]),"FALSE","TRUE")</f>
        <v>TRUE</v>
      </c>
      <c r="J1903" t="str" cm="1">
        <f t="array" ref="J1903">_xlfn.SWITCH(LEFT(Table1[[#This Row],[section]],1), "D", "Demographic", "S", "Social", "E", "Economic", "H", "Housing", "")</f>
        <v>Economic</v>
      </c>
      <c r="K1903" t="s">
        <v>5603</v>
      </c>
      <c r="L1903" t="s">
        <v>5604</v>
      </c>
      <c r="M1903" t="str">
        <f>IF(Table1[[#This Row],[used]], _xlfn.CONCAT("🆔 ", Table1[[#This Row],[variable]], ": ",Table1[[#This Row],[alias]]), "")</f>
        <v>🆔 B20002_003E: Median earnings in the past 12 months in 2017 inflation-adjusted dollars: Female</v>
      </c>
      <c r="O1903" t="s">
        <v>6669</v>
      </c>
      <c r="P1903" t="s">
        <v>6598</v>
      </c>
      <c r="Q1903" t="s">
        <v>41</v>
      </c>
      <c r="R1903" t="s">
        <v>6655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1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</row>
    <row r="1904" spans="1:33" x14ac:dyDescent="0.25">
      <c r="A1904" t="s">
        <v>26</v>
      </c>
      <c r="B1904">
        <v>1</v>
      </c>
      <c r="C1904" t="b">
        <v>0</v>
      </c>
      <c r="D1904" t="s">
        <v>6571</v>
      </c>
      <c r="E1904" t="s">
        <v>6572</v>
      </c>
      <c r="F1904" t="s">
        <v>6652</v>
      </c>
      <c r="G1904" t="s">
        <v>6670</v>
      </c>
      <c r="H1904">
        <v>1903</v>
      </c>
      <c r="I1904" t="str">
        <f>IF(ISBLANK(Table1[[#This Row],[oid]]),"FALSE","TRUE")</f>
        <v>TRUE</v>
      </c>
      <c r="J1904" t="str" cm="1">
        <f t="array" ref="J1904">_xlfn.SWITCH(LEFT(Table1[[#This Row],[section]],1), "D", "Demographic", "S", "Social", "E", "Economic", "H", "Housing", "")</f>
        <v>Economic</v>
      </c>
      <c r="K1904" t="s">
        <v>5603</v>
      </c>
      <c r="L1904" t="s">
        <v>5604</v>
      </c>
      <c r="M1904" t="str">
        <f>IF(Table1[[#This Row],[used]], _xlfn.CONCAT("🆔 ", Table1[[#This Row],[variable]], ": ",Table1[[#This Row],[alias]]), "")</f>
        <v>🆔 B20002_003E: Median earnings in the past 12 months in 2018 inflation-adjusted dollars: Female</v>
      </c>
      <c r="O1904" t="s">
        <v>6671</v>
      </c>
      <c r="P1904" t="s">
        <v>6601</v>
      </c>
      <c r="Q1904" t="s">
        <v>41</v>
      </c>
      <c r="R1904" t="s">
        <v>6655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1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</row>
    <row r="1905" spans="1:33" x14ac:dyDescent="0.25">
      <c r="A1905" t="s">
        <v>27</v>
      </c>
      <c r="B1905">
        <v>1</v>
      </c>
      <c r="C1905" t="b">
        <v>0</v>
      </c>
      <c r="D1905" t="s">
        <v>6571</v>
      </c>
      <c r="E1905" t="s">
        <v>6572</v>
      </c>
      <c r="F1905" t="s">
        <v>6652</v>
      </c>
      <c r="G1905" t="s">
        <v>6672</v>
      </c>
      <c r="H1905">
        <v>1904</v>
      </c>
      <c r="I1905" t="str">
        <f>IF(ISBLANK(Table1[[#This Row],[oid]]),"FALSE","TRUE")</f>
        <v>TRUE</v>
      </c>
      <c r="J1905" t="str" cm="1">
        <f t="array" ref="J1905">_xlfn.SWITCH(LEFT(Table1[[#This Row],[section]],1), "D", "Demographic", "S", "Social", "E", "Economic", "H", "Housing", "")</f>
        <v>Economic</v>
      </c>
      <c r="K1905" t="s">
        <v>5603</v>
      </c>
      <c r="L1905" t="s">
        <v>5604</v>
      </c>
      <c r="M1905" t="str">
        <f>IF(Table1[[#This Row],[used]], _xlfn.CONCAT("🆔 ", Table1[[#This Row],[variable]], ": ",Table1[[#This Row],[alias]]), "")</f>
        <v>🆔 B20002_003E: Median earnings in the past 12 months in 2019 inflation-adjusted dollars: Female</v>
      </c>
      <c r="O1905" t="s">
        <v>6673</v>
      </c>
      <c r="P1905" t="s">
        <v>6604</v>
      </c>
      <c r="Q1905" t="s">
        <v>41</v>
      </c>
      <c r="R1905" t="s">
        <v>6655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1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</row>
    <row r="1906" spans="1:33" x14ac:dyDescent="0.25">
      <c r="A1906" t="s">
        <v>28</v>
      </c>
      <c r="B1906">
        <v>1</v>
      </c>
      <c r="C1906" t="b">
        <v>0</v>
      </c>
      <c r="D1906" t="s">
        <v>6571</v>
      </c>
      <c r="E1906" t="s">
        <v>6572</v>
      </c>
      <c r="F1906" t="s">
        <v>6652</v>
      </c>
      <c r="G1906" t="s">
        <v>6674</v>
      </c>
      <c r="H1906">
        <v>1905</v>
      </c>
      <c r="I1906" t="str">
        <f>IF(ISBLANK(Table1[[#This Row],[oid]]),"FALSE","TRUE")</f>
        <v>TRUE</v>
      </c>
      <c r="J1906" t="str" cm="1">
        <f t="array" ref="J1906">_xlfn.SWITCH(LEFT(Table1[[#This Row],[section]],1), "D", "Demographic", "S", "Social", "E", "Economic", "H", "Housing", "")</f>
        <v>Economic</v>
      </c>
      <c r="K1906" t="s">
        <v>5603</v>
      </c>
      <c r="L1906" t="s">
        <v>5604</v>
      </c>
      <c r="M1906" t="str">
        <f>IF(Table1[[#This Row],[used]], _xlfn.CONCAT("🆔 ", Table1[[#This Row],[variable]], ": ",Table1[[#This Row],[alias]]), "")</f>
        <v>🆔 B20002_003E: Median earnings in the past 12 months in 2020 inflation-adjusted dollars: Female</v>
      </c>
      <c r="O1906" t="s">
        <v>6675</v>
      </c>
      <c r="P1906" t="s">
        <v>6607</v>
      </c>
      <c r="Q1906" t="s">
        <v>41</v>
      </c>
      <c r="R1906" t="s">
        <v>6655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1</v>
      </c>
      <c r="AD1906" t="b">
        <v>0</v>
      </c>
      <c r="AE1906" t="b">
        <v>0</v>
      </c>
      <c r="AF1906" t="b">
        <v>0</v>
      </c>
      <c r="AG1906" t="b">
        <v>0</v>
      </c>
    </row>
    <row r="1907" spans="1:33" x14ac:dyDescent="0.25">
      <c r="A1907" t="s">
        <v>29</v>
      </c>
      <c r="B1907">
        <v>1</v>
      </c>
      <c r="C1907" t="b">
        <v>0</v>
      </c>
      <c r="D1907" t="s">
        <v>6571</v>
      </c>
      <c r="E1907" t="s">
        <v>6572</v>
      </c>
      <c r="F1907" t="s">
        <v>6652</v>
      </c>
      <c r="G1907" t="s">
        <v>6676</v>
      </c>
      <c r="H1907">
        <v>1906</v>
      </c>
      <c r="I1907" t="str">
        <f>IF(ISBLANK(Table1[[#This Row],[oid]]),"FALSE","TRUE")</f>
        <v>TRUE</v>
      </c>
      <c r="J1907" t="str" cm="1">
        <f t="array" ref="J1907">_xlfn.SWITCH(LEFT(Table1[[#This Row],[section]],1), "D", "Demographic", "S", "Social", "E", "Economic", "H", "Housing", "")</f>
        <v>Economic</v>
      </c>
      <c r="K1907" t="s">
        <v>5603</v>
      </c>
      <c r="L1907" t="s">
        <v>5604</v>
      </c>
      <c r="M1907" t="str">
        <f>IF(Table1[[#This Row],[used]], _xlfn.CONCAT("🆔 ", Table1[[#This Row],[variable]], ": ",Table1[[#This Row],[alias]]), "")</f>
        <v>🆔 B20002_003E: Median earnings in the past 12 months in 2021 inflation-adjusted dollars: Female</v>
      </c>
      <c r="O1907" t="s">
        <v>6677</v>
      </c>
      <c r="P1907" t="s">
        <v>6610</v>
      </c>
      <c r="Q1907" t="s">
        <v>41</v>
      </c>
      <c r="R1907" t="s">
        <v>6655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1</v>
      </c>
      <c r="AE1907" t="b">
        <v>0</v>
      </c>
      <c r="AF1907" t="b">
        <v>0</v>
      </c>
      <c r="AG1907" t="b">
        <v>0</v>
      </c>
    </row>
    <row r="1908" spans="1:33" x14ac:dyDescent="0.25">
      <c r="A1908" t="s">
        <v>30</v>
      </c>
      <c r="B1908">
        <v>1</v>
      </c>
      <c r="C1908" t="b">
        <v>0</v>
      </c>
      <c r="D1908" t="s">
        <v>6571</v>
      </c>
      <c r="E1908" t="s">
        <v>6572</v>
      </c>
      <c r="F1908" t="s">
        <v>6652</v>
      </c>
      <c r="G1908" t="s">
        <v>6678</v>
      </c>
      <c r="H1908">
        <v>1907</v>
      </c>
      <c r="I1908" t="str">
        <f>IF(ISBLANK(Table1[[#This Row],[oid]]),"FALSE","TRUE")</f>
        <v>TRUE</v>
      </c>
      <c r="J1908" t="str" cm="1">
        <f t="array" ref="J1908">_xlfn.SWITCH(LEFT(Table1[[#This Row],[section]],1), "D", "Demographic", "S", "Social", "E", "Economic", "H", "Housing", "")</f>
        <v>Economic</v>
      </c>
      <c r="K1908" t="s">
        <v>5603</v>
      </c>
      <c r="L1908" t="s">
        <v>5604</v>
      </c>
      <c r="M1908" t="str">
        <f>IF(Table1[[#This Row],[used]], _xlfn.CONCAT("🆔 ", Table1[[#This Row],[variable]], ": ",Table1[[#This Row],[alias]]), "")</f>
        <v>🆔 B20002_003E: Median earnings in the past 12 months in 2022 inflation-adjusted dollars: Female</v>
      </c>
      <c r="O1908" t="s">
        <v>6679</v>
      </c>
      <c r="P1908" t="s">
        <v>6613</v>
      </c>
      <c r="Q1908" t="s">
        <v>41</v>
      </c>
      <c r="R1908" t="s">
        <v>6655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1</v>
      </c>
      <c r="AF1908" t="b">
        <v>0</v>
      </c>
      <c r="AG1908" t="b">
        <v>0</v>
      </c>
    </row>
    <row r="1909" spans="1:33" x14ac:dyDescent="0.25">
      <c r="A1909" t="s">
        <v>31</v>
      </c>
      <c r="B1909">
        <v>1</v>
      </c>
      <c r="C1909" t="b">
        <v>0</v>
      </c>
      <c r="D1909" t="s">
        <v>6571</v>
      </c>
      <c r="E1909" t="s">
        <v>6572</v>
      </c>
      <c r="F1909" t="s">
        <v>6652</v>
      </c>
      <c r="G1909" t="s">
        <v>6680</v>
      </c>
      <c r="H1909">
        <v>1908</v>
      </c>
      <c r="I1909" t="str">
        <f>IF(ISBLANK(Table1[[#This Row],[oid]]),"FALSE","TRUE")</f>
        <v>TRUE</v>
      </c>
      <c r="J1909" t="str" cm="1">
        <f t="array" ref="J1909">_xlfn.SWITCH(LEFT(Table1[[#This Row],[section]],1), "D", "Demographic", "S", "Social", "E", "Economic", "H", "Housing", "")</f>
        <v>Economic</v>
      </c>
      <c r="K1909" t="s">
        <v>5603</v>
      </c>
      <c r="L1909" t="s">
        <v>5604</v>
      </c>
      <c r="M1909" t="str">
        <f>IF(Table1[[#This Row],[used]], _xlfn.CONCAT("🆔 ", Table1[[#This Row],[variable]], ": ",Table1[[#This Row],[alias]]), "")</f>
        <v>🆔 B20002_003E: Median earnings in the past 12 months in 2023 inflation-adjusted dollars: Female</v>
      </c>
      <c r="O1909" t="s">
        <v>6681</v>
      </c>
      <c r="P1909" t="s">
        <v>6616</v>
      </c>
      <c r="Q1909" t="s">
        <v>41</v>
      </c>
      <c r="R1909" t="s">
        <v>6655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1</v>
      </c>
      <c r="AG1909" t="b">
        <v>0</v>
      </c>
    </row>
    <row r="1910" spans="1:33" x14ac:dyDescent="0.25">
      <c r="A1910" t="s">
        <v>32</v>
      </c>
      <c r="B1910">
        <v>1</v>
      </c>
      <c r="C1910" t="b">
        <v>0</v>
      </c>
      <c r="D1910" t="s">
        <v>6571</v>
      </c>
      <c r="E1910" t="s">
        <v>6572</v>
      </c>
      <c r="F1910" t="s">
        <v>6652</v>
      </c>
      <c r="G1910" t="s">
        <v>6682</v>
      </c>
      <c r="H1910">
        <v>1909</v>
      </c>
      <c r="I1910" t="str">
        <f>IF(ISBLANK(Table1[[#This Row],[oid]]),"FALSE","TRUE")</f>
        <v>TRUE</v>
      </c>
      <c r="J1910" t="str" cm="1">
        <f t="array" ref="J1910">_xlfn.SWITCH(LEFT(Table1[[#This Row],[section]],1), "D", "Demographic", "S", "Social", "E", "Economic", "H", "Housing", "")</f>
        <v>Economic</v>
      </c>
      <c r="K1910" t="s">
        <v>5603</v>
      </c>
      <c r="L1910" t="s">
        <v>5604</v>
      </c>
      <c r="M1910" t="str">
        <f>IF(Table1[[#This Row],[used]], _xlfn.CONCAT("🆔 ", Table1[[#This Row],[variable]], ": ",Table1[[#This Row],[alias]]), "")</f>
        <v>🆔 B20002_003E: Median earnings in the past 12 months in 2024 inflation-adjusted dollars: Female</v>
      </c>
      <c r="O1910" t="s">
        <v>6683</v>
      </c>
      <c r="P1910" t="s">
        <v>6619</v>
      </c>
      <c r="Q1910" t="s">
        <v>41</v>
      </c>
      <c r="R1910" t="s">
        <v>6655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1</v>
      </c>
    </row>
    <row r="1911" spans="1:33" x14ac:dyDescent="0.25">
      <c r="A1911" t="s">
        <v>18</v>
      </c>
      <c r="B1911">
        <v>1</v>
      </c>
      <c r="C1911" t="b">
        <v>0</v>
      </c>
      <c r="D1911" t="s">
        <v>6571</v>
      </c>
      <c r="E1911" t="s">
        <v>6684</v>
      </c>
      <c r="F1911" t="s">
        <v>6685</v>
      </c>
      <c r="G1911" t="s">
        <v>5602</v>
      </c>
      <c r="H1911">
        <v>1910</v>
      </c>
      <c r="I1911" t="str">
        <f>IF(ISBLANK(Table1[[#This Row],[oid]]),"FALSE","TRUE")</f>
        <v>TRUE</v>
      </c>
      <c r="J1911" t="str" cm="1">
        <f t="array" ref="J1911">_xlfn.SWITCH(LEFT(Table1[[#This Row],[section]],1), "D", "Demographic", "S", "Social", "E", "Economic", "H", "Housing", "")</f>
        <v>Economic</v>
      </c>
      <c r="K1911" t="s">
        <v>5603</v>
      </c>
      <c r="L1911" t="s">
        <v>5604</v>
      </c>
      <c r="M1911" t="str">
        <f>IF(Table1[[#This Row],[used]], _xlfn.CONCAT("🆔 ", Table1[[#This Row],[variable]], ": ",Table1[[#This Row],[alias]]), "")</f>
        <v>🆔 B20003_001E: Aggregate earnings in the past 12 months in 2010 inflation-adjusted dollars</v>
      </c>
      <c r="O1911" t="s">
        <v>5605</v>
      </c>
      <c r="P1911" t="s">
        <v>6686</v>
      </c>
      <c r="Q1911" t="s">
        <v>41</v>
      </c>
      <c r="R1911" t="s">
        <v>6687</v>
      </c>
      <c r="S1911" t="b">
        <v>1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</row>
    <row r="1912" spans="1:33" x14ac:dyDescent="0.25">
      <c r="A1912" t="s">
        <v>19</v>
      </c>
      <c r="B1912">
        <v>1</v>
      </c>
      <c r="C1912" t="b">
        <v>0</v>
      </c>
      <c r="D1912" t="s">
        <v>6571</v>
      </c>
      <c r="E1912" t="s">
        <v>6684</v>
      </c>
      <c r="F1912" t="s">
        <v>6685</v>
      </c>
      <c r="G1912" t="s">
        <v>5608</v>
      </c>
      <c r="H1912">
        <v>1911</v>
      </c>
      <c r="I1912" t="str">
        <f>IF(ISBLANK(Table1[[#This Row],[oid]]),"FALSE","TRUE")</f>
        <v>TRUE</v>
      </c>
      <c r="J1912" t="str" cm="1">
        <f t="array" ref="J1912">_xlfn.SWITCH(LEFT(Table1[[#This Row],[section]],1), "D", "Demographic", "S", "Social", "E", "Economic", "H", "Housing", "")</f>
        <v>Economic</v>
      </c>
      <c r="K1912" t="s">
        <v>5603</v>
      </c>
      <c r="L1912" t="s">
        <v>5604</v>
      </c>
      <c r="M1912" t="str">
        <f>IF(Table1[[#This Row],[used]], _xlfn.CONCAT("🆔 ", Table1[[#This Row],[variable]], ": ",Table1[[#This Row],[alias]]), "")</f>
        <v>🆔 B20003_001E: Aggregate earnings in the past 12 months in 2011 inflation-adjusted dollars</v>
      </c>
      <c r="O1912" t="s">
        <v>5609</v>
      </c>
      <c r="P1912" t="s">
        <v>6688</v>
      </c>
      <c r="Q1912" t="s">
        <v>41</v>
      </c>
      <c r="R1912" t="s">
        <v>6687</v>
      </c>
      <c r="S1912" t="b">
        <v>0</v>
      </c>
      <c r="T1912" t="b">
        <v>1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</row>
    <row r="1913" spans="1:33" x14ac:dyDescent="0.25">
      <c r="A1913" t="s">
        <v>20</v>
      </c>
      <c r="B1913">
        <v>1</v>
      </c>
      <c r="C1913" t="b">
        <v>0</v>
      </c>
      <c r="D1913" t="s">
        <v>6571</v>
      </c>
      <c r="E1913" t="s">
        <v>6684</v>
      </c>
      <c r="F1913" t="s">
        <v>6685</v>
      </c>
      <c r="G1913" t="s">
        <v>5611</v>
      </c>
      <c r="H1913">
        <v>1912</v>
      </c>
      <c r="I1913" t="str">
        <f>IF(ISBLANK(Table1[[#This Row],[oid]]),"FALSE","TRUE")</f>
        <v>TRUE</v>
      </c>
      <c r="J1913" t="str" cm="1">
        <f t="array" ref="J1913">_xlfn.SWITCH(LEFT(Table1[[#This Row],[section]],1), "D", "Demographic", "S", "Social", "E", "Economic", "H", "Housing", "")</f>
        <v>Economic</v>
      </c>
      <c r="K1913" t="s">
        <v>5603</v>
      </c>
      <c r="L1913" t="s">
        <v>5604</v>
      </c>
      <c r="M1913" t="str">
        <f>IF(Table1[[#This Row],[used]], _xlfn.CONCAT("🆔 ", Table1[[#This Row],[variable]], ": ",Table1[[#This Row],[alias]]), "")</f>
        <v>🆔 B20003_001E: Aggregate earnings in the past 12 months in 2012 inflation-adjusted dollars</v>
      </c>
      <c r="O1913" t="s">
        <v>5612</v>
      </c>
      <c r="P1913" t="s">
        <v>6689</v>
      </c>
      <c r="Q1913" t="s">
        <v>41</v>
      </c>
      <c r="R1913" t="s">
        <v>6687</v>
      </c>
      <c r="S1913" t="b">
        <v>0</v>
      </c>
      <c r="T1913" t="b">
        <v>0</v>
      </c>
      <c r="U1913" t="b">
        <v>1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</row>
    <row r="1914" spans="1:33" x14ac:dyDescent="0.25">
      <c r="A1914" t="s">
        <v>21</v>
      </c>
      <c r="B1914">
        <v>1</v>
      </c>
      <c r="C1914" t="b">
        <v>0</v>
      </c>
      <c r="D1914" t="s">
        <v>6571</v>
      </c>
      <c r="E1914" t="s">
        <v>6684</v>
      </c>
      <c r="F1914" t="s">
        <v>6685</v>
      </c>
      <c r="G1914" t="s">
        <v>5614</v>
      </c>
      <c r="H1914">
        <v>1913</v>
      </c>
      <c r="I1914" t="str">
        <f>IF(ISBLANK(Table1[[#This Row],[oid]]),"FALSE","TRUE")</f>
        <v>TRUE</v>
      </c>
      <c r="J1914" t="str" cm="1">
        <f t="array" ref="J1914">_xlfn.SWITCH(LEFT(Table1[[#This Row],[section]],1), "D", "Demographic", "S", "Social", "E", "Economic", "H", "Housing", "")</f>
        <v>Economic</v>
      </c>
      <c r="K1914" t="s">
        <v>5603</v>
      </c>
      <c r="L1914" t="s">
        <v>5604</v>
      </c>
      <c r="M1914" t="str">
        <f>IF(Table1[[#This Row],[used]], _xlfn.CONCAT("🆔 ", Table1[[#This Row],[variable]], ": ",Table1[[#This Row],[alias]]), "")</f>
        <v>🆔 B20003_001E: Aggregate earnings in the past 12 months in 2013 inflation-adjusted dollars</v>
      </c>
      <c r="O1914" t="s">
        <v>5615</v>
      </c>
      <c r="P1914" t="s">
        <v>6690</v>
      </c>
      <c r="Q1914" t="s">
        <v>41</v>
      </c>
      <c r="R1914" t="s">
        <v>6687</v>
      </c>
      <c r="S1914" t="b">
        <v>0</v>
      </c>
      <c r="T1914" t="b">
        <v>0</v>
      </c>
      <c r="U1914" t="b">
        <v>0</v>
      </c>
      <c r="V1914" t="b">
        <v>1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</row>
    <row r="1915" spans="1:33" x14ac:dyDescent="0.25">
      <c r="A1915" t="s">
        <v>22</v>
      </c>
      <c r="B1915">
        <v>1</v>
      </c>
      <c r="C1915" t="b">
        <v>0</v>
      </c>
      <c r="D1915" t="s">
        <v>6571</v>
      </c>
      <c r="E1915" t="s">
        <v>6684</v>
      </c>
      <c r="F1915" t="s">
        <v>6685</v>
      </c>
      <c r="G1915" t="s">
        <v>5617</v>
      </c>
      <c r="H1915">
        <v>1914</v>
      </c>
      <c r="I1915" t="str">
        <f>IF(ISBLANK(Table1[[#This Row],[oid]]),"FALSE","TRUE")</f>
        <v>TRUE</v>
      </c>
      <c r="J1915" t="str" cm="1">
        <f t="array" ref="J1915">_xlfn.SWITCH(LEFT(Table1[[#This Row],[section]],1), "D", "Demographic", "S", "Social", "E", "Economic", "H", "Housing", "")</f>
        <v>Economic</v>
      </c>
      <c r="K1915" t="s">
        <v>5603</v>
      </c>
      <c r="L1915" t="s">
        <v>5604</v>
      </c>
      <c r="M1915" t="str">
        <f>IF(Table1[[#This Row],[used]], _xlfn.CONCAT("🆔 ", Table1[[#This Row],[variable]], ": ",Table1[[#This Row],[alias]]), "")</f>
        <v>🆔 B20003_001E: Aggregate earnings in the past 12 months in 2014 Inflation-adjusted dollars</v>
      </c>
      <c r="O1915" t="s">
        <v>5618</v>
      </c>
      <c r="P1915" t="s">
        <v>6691</v>
      </c>
      <c r="Q1915" t="s">
        <v>41</v>
      </c>
      <c r="R1915" t="s">
        <v>6687</v>
      </c>
      <c r="S1915" t="b">
        <v>0</v>
      </c>
      <c r="T1915" t="b">
        <v>0</v>
      </c>
      <c r="U1915" t="b">
        <v>0</v>
      </c>
      <c r="V1915" t="b">
        <v>0</v>
      </c>
      <c r="W1915" t="b">
        <v>1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</row>
    <row r="1916" spans="1:33" x14ac:dyDescent="0.25">
      <c r="A1916" t="s">
        <v>23</v>
      </c>
      <c r="B1916">
        <v>1</v>
      </c>
      <c r="C1916" t="b">
        <v>0</v>
      </c>
      <c r="D1916" t="s">
        <v>6571</v>
      </c>
      <c r="E1916" t="s">
        <v>6684</v>
      </c>
      <c r="F1916" t="s">
        <v>6685</v>
      </c>
      <c r="G1916" t="s">
        <v>5620</v>
      </c>
      <c r="H1916">
        <v>1915</v>
      </c>
      <c r="I1916" t="str">
        <f>IF(ISBLANK(Table1[[#This Row],[oid]]),"FALSE","TRUE")</f>
        <v>TRUE</v>
      </c>
      <c r="J1916" t="str" cm="1">
        <f t="array" ref="J1916">_xlfn.SWITCH(LEFT(Table1[[#This Row],[section]],1), "D", "Demographic", "S", "Social", "E", "Economic", "H", "Housing", "")</f>
        <v>Economic</v>
      </c>
      <c r="K1916" t="s">
        <v>5603</v>
      </c>
      <c r="L1916" t="s">
        <v>5604</v>
      </c>
      <c r="M1916" t="str">
        <f>IF(Table1[[#This Row],[used]], _xlfn.CONCAT("🆔 ", Table1[[#This Row],[variable]], ": ",Table1[[#This Row],[alias]]), "")</f>
        <v>🆔 B20003_001E: Aggregate earnings in the past 12 months in 2015 Inflation-adjusted dollars</v>
      </c>
      <c r="O1916" t="s">
        <v>5621</v>
      </c>
      <c r="P1916" t="s">
        <v>6692</v>
      </c>
      <c r="Q1916" t="s">
        <v>41</v>
      </c>
      <c r="R1916" t="s">
        <v>6687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1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</row>
    <row r="1917" spans="1:33" x14ac:dyDescent="0.25">
      <c r="A1917" t="s">
        <v>24</v>
      </c>
      <c r="B1917">
        <v>1</v>
      </c>
      <c r="C1917" t="b">
        <v>0</v>
      </c>
      <c r="D1917" t="s">
        <v>6571</v>
      </c>
      <c r="E1917" t="s">
        <v>6684</v>
      </c>
      <c r="F1917" t="s">
        <v>6685</v>
      </c>
      <c r="G1917" t="s">
        <v>5623</v>
      </c>
      <c r="H1917">
        <v>1916</v>
      </c>
      <c r="I1917" t="str">
        <f>IF(ISBLANK(Table1[[#This Row],[oid]]),"FALSE","TRUE")</f>
        <v>TRUE</v>
      </c>
      <c r="J1917" t="str" cm="1">
        <f t="array" ref="J1917">_xlfn.SWITCH(LEFT(Table1[[#This Row],[section]],1), "D", "Demographic", "S", "Social", "E", "Economic", "H", "Housing", "")</f>
        <v>Economic</v>
      </c>
      <c r="K1917" t="s">
        <v>5603</v>
      </c>
      <c r="L1917" t="s">
        <v>5604</v>
      </c>
      <c r="M1917" t="str">
        <f>IF(Table1[[#This Row],[used]], _xlfn.CONCAT("🆔 ", Table1[[#This Row],[variable]], ": ",Table1[[#This Row],[alias]]), "")</f>
        <v>🆔 B20003_001E: Aggregate earnings in the past 12 months in 2016 inflation-adjusted dollars</v>
      </c>
      <c r="O1917" t="s">
        <v>5624</v>
      </c>
      <c r="P1917" t="s">
        <v>6693</v>
      </c>
      <c r="Q1917" t="s">
        <v>41</v>
      </c>
      <c r="R1917" t="s">
        <v>6687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1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</row>
    <row r="1918" spans="1:33" x14ac:dyDescent="0.25">
      <c r="A1918" t="s">
        <v>25</v>
      </c>
      <c r="B1918">
        <v>1</v>
      </c>
      <c r="C1918" t="b">
        <v>0</v>
      </c>
      <c r="D1918" t="s">
        <v>6571</v>
      </c>
      <c r="E1918" t="s">
        <v>6684</v>
      </c>
      <c r="F1918" t="s">
        <v>6685</v>
      </c>
      <c r="G1918" t="s">
        <v>5626</v>
      </c>
      <c r="H1918">
        <v>1917</v>
      </c>
      <c r="I1918" t="str">
        <f>IF(ISBLANK(Table1[[#This Row],[oid]]),"FALSE","TRUE")</f>
        <v>TRUE</v>
      </c>
      <c r="J1918" t="str" cm="1">
        <f t="array" ref="J1918">_xlfn.SWITCH(LEFT(Table1[[#This Row],[section]],1), "D", "Demographic", "S", "Social", "E", "Economic", "H", "Housing", "")</f>
        <v>Economic</v>
      </c>
      <c r="K1918" t="s">
        <v>5603</v>
      </c>
      <c r="L1918" t="s">
        <v>5604</v>
      </c>
      <c r="M1918" t="str">
        <f>IF(Table1[[#This Row],[used]], _xlfn.CONCAT("🆔 ", Table1[[#This Row],[variable]], ": ",Table1[[#This Row],[alias]]), "")</f>
        <v>🆔 B20003_001E: Aggregate earnings in the past 12 months in 2017 inflation-adjusted dollars</v>
      </c>
      <c r="O1918" t="s">
        <v>5627</v>
      </c>
      <c r="P1918" t="s">
        <v>6694</v>
      </c>
      <c r="Q1918" t="s">
        <v>41</v>
      </c>
      <c r="R1918" t="s">
        <v>6687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1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</row>
    <row r="1919" spans="1:33" x14ac:dyDescent="0.25">
      <c r="A1919" t="s">
        <v>26</v>
      </c>
      <c r="B1919">
        <v>1</v>
      </c>
      <c r="C1919" t="b">
        <v>0</v>
      </c>
      <c r="D1919" t="s">
        <v>6571</v>
      </c>
      <c r="E1919" t="s">
        <v>6684</v>
      </c>
      <c r="F1919" t="s">
        <v>6685</v>
      </c>
      <c r="G1919" t="s">
        <v>5629</v>
      </c>
      <c r="H1919">
        <v>1918</v>
      </c>
      <c r="I1919" t="str">
        <f>IF(ISBLANK(Table1[[#This Row],[oid]]),"FALSE","TRUE")</f>
        <v>TRUE</v>
      </c>
      <c r="J1919" t="str" cm="1">
        <f t="array" ref="J1919">_xlfn.SWITCH(LEFT(Table1[[#This Row],[section]],1), "D", "Demographic", "S", "Social", "E", "Economic", "H", "Housing", "")</f>
        <v>Economic</v>
      </c>
      <c r="K1919" t="s">
        <v>5603</v>
      </c>
      <c r="L1919" t="s">
        <v>5604</v>
      </c>
      <c r="M1919" t="str">
        <f>IF(Table1[[#This Row],[used]], _xlfn.CONCAT("🆔 ", Table1[[#This Row],[variable]], ": ",Table1[[#This Row],[alias]]), "")</f>
        <v>🆔 B20003_001E: Aggregate earnings in the past 12 months in 2018 inflation-adjusted dollars</v>
      </c>
      <c r="O1919" t="s">
        <v>5630</v>
      </c>
      <c r="P1919" t="s">
        <v>6695</v>
      </c>
      <c r="Q1919" t="s">
        <v>41</v>
      </c>
      <c r="R1919" t="s">
        <v>6687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1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</row>
    <row r="1920" spans="1:33" x14ac:dyDescent="0.25">
      <c r="A1920" t="s">
        <v>27</v>
      </c>
      <c r="B1920">
        <v>1</v>
      </c>
      <c r="C1920" t="b">
        <v>0</v>
      </c>
      <c r="D1920" t="s">
        <v>6571</v>
      </c>
      <c r="E1920" t="s">
        <v>6684</v>
      </c>
      <c r="F1920" t="s">
        <v>6685</v>
      </c>
      <c r="G1920" t="s">
        <v>5632</v>
      </c>
      <c r="H1920">
        <v>1919</v>
      </c>
      <c r="I1920" t="str">
        <f>IF(ISBLANK(Table1[[#This Row],[oid]]),"FALSE","TRUE")</f>
        <v>TRUE</v>
      </c>
      <c r="J1920" t="str" cm="1">
        <f t="array" ref="J1920">_xlfn.SWITCH(LEFT(Table1[[#This Row],[section]],1), "D", "Demographic", "S", "Social", "E", "Economic", "H", "Housing", "")</f>
        <v>Economic</v>
      </c>
      <c r="K1920" t="s">
        <v>5603</v>
      </c>
      <c r="L1920" t="s">
        <v>5604</v>
      </c>
      <c r="M1920" t="str">
        <f>IF(Table1[[#This Row],[used]], _xlfn.CONCAT("🆔 ", Table1[[#This Row],[variable]], ": ",Table1[[#This Row],[alias]]), "")</f>
        <v>🆔 B20003_001E: Aggregate earnings in the past 12 months in 2019 inflation-adjusted dollars</v>
      </c>
      <c r="O1920" t="s">
        <v>5633</v>
      </c>
      <c r="P1920" t="s">
        <v>6696</v>
      </c>
      <c r="Q1920" t="s">
        <v>41</v>
      </c>
      <c r="R1920" t="s">
        <v>6687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1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</row>
    <row r="1921" spans="1:33" x14ac:dyDescent="0.25">
      <c r="A1921" t="s">
        <v>28</v>
      </c>
      <c r="B1921">
        <v>1</v>
      </c>
      <c r="C1921" t="b">
        <v>0</v>
      </c>
      <c r="D1921" t="s">
        <v>6571</v>
      </c>
      <c r="E1921" t="s">
        <v>6684</v>
      </c>
      <c r="F1921" t="s">
        <v>6685</v>
      </c>
      <c r="G1921" t="s">
        <v>5635</v>
      </c>
      <c r="H1921">
        <v>1920</v>
      </c>
      <c r="I1921" t="str">
        <f>IF(ISBLANK(Table1[[#This Row],[oid]]),"FALSE","TRUE")</f>
        <v>TRUE</v>
      </c>
      <c r="J1921" t="str" cm="1">
        <f t="array" ref="J1921">_xlfn.SWITCH(LEFT(Table1[[#This Row],[section]],1), "D", "Demographic", "S", "Social", "E", "Economic", "H", "Housing", "")</f>
        <v>Economic</v>
      </c>
      <c r="K1921" t="s">
        <v>5603</v>
      </c>
      <c r="L1921" t="s">
        <v>5604</v>
      </c>
      <c r="M1921" t="str">
        <f>IF(Table1[[#This Row],[used]], _xlfn.CONCAT("🆔 ", Table1[[#This Row],[variable]], ": ",Table1[[#This Row],[alias]]), "")</f>
        <v>🆔 B20003_001E: Aggregate earnings in the past 12 months in 2020 inflation-adjusted dollars</v>
      </c>
      <c r="O1921" t="s">
        <v>5636</v>
      </c>
      <c r="P1921" t="s">
        <v>6697</v>
      </c>
      <c r="Q1921" t="s">
        <v>41</v>
      </c>
      <c r="R1921" t="s">
        <v>6687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1</v>
      </c>
      <c r="AD1921" t="b">
        <v>0</v>
      </c>
      <c r="AE1921" t="b">
        <v>0</v>
      </c>
      <c r="AF1921" t="b">
        <v>0</v>
      </c>
      <c r="AG1921" t="b">
        <v>0</v>
      </c>
    </row>
    <row r="1922" spans="1:33" x14ac:dyDescent="0.25">
      <c r="A1922" t="s">
        <v>29</v>
      </c>
      <c r="B1922">
        <v>1</v>
      </c>
      <c r="C1922" t="b">
        <v>0</v>
      </c>
      <c r="D1922" t="s">
        <v>6571</v>
      </c>
      <c r="E1922" t="s">
        <v>6684</v>
      </c>
      <c r="F1922" t="s">
        <v>6685</v>
      </c>
      <c r="G1922" t="s">
        <v>5638</v>
      </c>
      <c r="H1922">
        <v>1921</v>
      </c>
      <c r="I1922" t="str">
        <f>IF(ISBLANK(Table1[[#This Row],[oid]]),"FALSE","TRUE")</f>
        <v>TRUE</v>
      </c>
      <c r="J1922" t="str" cm="1">
        <f t="array" ref="J1922">_xlfn.SWITCH(LEFT(Table1[[#This Row],[section]],1), "D", "Demographic", "S", "Social", "E", "Economic", "H", "Housing", "")</f>
        <v>Economic</v>
      </c>
      <c r="K1922" t="s">
        <v>5603</v>
      </c>
      <c r="L1922" t="s">
        <v>5604</v>
      </c>
      <c r="M1922" t="str">
        <f>IF(Table1[[#This Row],[used]], _xlfn.CONCAT("🆔 ", Table1[[#This Row],[variable]], ": ",Table1[[#This Row],[alias]]), "")</f>
        <v>🆔 B20003_001E: Aggregate earnings in the past 12 months in 2021 inflation-adjusted dollars</v>
      </c>
      <c r="O1922" t="s">
        <v>5639</v>
      </c>
      <c r="P1922" t="s">
        <v>6698</v>
      </c>
      <c r="Q1922" t="s">
        <v>41</v>
      </c>
      <c r="R1922" t="s">
        <v>6687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1</v>
      </c>
      <c r="AE1922" t="b">
        <v>0</v>
      </c>
      <c r="AF1922" t="b">
        <v>0</v>
      </c>
      <c r="AG1922" t="b">
        <v>0</v>
      </c>
    </row>
    <row r="1923" spans="1:33" x14ac:dyDescent="0.25">
      <c r="A1923" t="s">
        <v>30</v>
      </c>
      <c r="B1923">
        <v>1</v>
      </c>
      <c r="C1923" t="b">
        <v>0</v>
      </c>
      <c r="D1923" t="s">
        <v>6571</v>
      </c>
      <c r="E1923" t="s">
        <v>6684</v>
      </c>
      <c r="F1923" t="s">
        <v>6685</v>
      </c>
      <c r="G1923" t="s">
        <v>5641</v>
      </c>
      <c r="H1923">
        <v>1922</v>
      </c>
      <c r="I1923" t="str">
        <f>IF(ISBLANK(Table1[[#This Row],[oid]]),"FALSE","TRUE")</f>
        <v>TRUE</v>
      </c>
      <c r="J1923" t="str" cm="1">
        <f t="array" ref="J1923">_xlfn.SWITCH(LEFT(Table1[[#This Row],[section]],1), "D", "Demographic", "S", "Social", "E", "Economic", "H", "Housing", "")</f>
        <v>Economic</v>
      </c>
      <c r="K1923" t="s">
        <v>5603</v>
      </c>
      <c r="L1923" t="s">
        <v>5604</v>
      </c>
      <c r="M1923" t="str">
        <f>IF(Table1[[#This Row],[used]], _xlfn.CONCAT("🆔 ", Table1[[#This Row],[variable]], ": ",Table1[[#This Row],[alias]]), "")</f>
        <v>🆔 B20003_001E: Aggregate earnings in the past 12 months in 2022 inflation-adjusted dollars</v>
      </c>
      <c r="O1923" t="s">
        <v>5642</v>
      </c>
      <c r="P1923" t="s">
        <v>6699</v>
      </c>
      <c r="Q1923" t="s">
        <v>41</v>
      </c>
      <c r="R1923" t="s">
        <v>6687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1</v>
      </c>
      <c r="AF1923" t="b">
        <v>0</v>
      </c>
      <c r="AG1923" t="b">
        <v>0</v>
      </c>
    </row>
    <row r="1924" spans="1:33" x14ac:dyDescent="0.25">
      <c r="A1924" t="s">
        <v>31</v>
      </c>
      <c r="B1924">
        <v>1</v>
      </c>
      <c r="C1924" t="b">
        <v>0</v>
      </c>
      <c r="D1924" t="s">
        <v>6571</v>
      </c>
      <c r="E1924" t="s">
        <v>6684</v>
      </c>
      <c r="F1924" t="s">
        <v>6685</v>
      </c>
      <c r="G1924" t="s">
        <v>5644</v>
      </c>
      <c r="H1924">
        <v>1923</v>
      </c>
      <c r="I1924" t="str">
        <f>IF(ISBLANK(Table1[[#This Row],[oid]]),"FALSE","TRUE")</f>
        <v>TRUE</v>
      </c>
      <c r="J1924" t="str" cm="1">
        <f t="array" ref="J1924">_xlfn.SWITCH(LEFT(Table1[[#This Row],[section]],1), "D", "Demographic", "S", "Social", "E", "Economic", "H", "Housing", "")</f>
        <v>Economic</v>
      </c>
      <c r="K1924" t="s">
        <v>5603</v>
      </c>
      <c r="L1924" t="s">
        <v>5604</v>
      </c>
      <c r="M1924" t="str">
        <f>IF(Table1[[#This Row],[used]], _xlfn.CONCAT("🆔 ", Table1[[#This Row],[variable]], ": ",Table1[[#This Row],[alias]]), "")</f>
        <v>🆔 B20003_001E: Aggregate earnings in the past 12 months in 2023 inflation-adjusted dollars</v>
      </c>
      <c r="O1924" t="s">
        <v>5645</v>
      </c>
      <c r="P1924" t="s">
        <v>6700</v>
      </c>
      <c r="Q1924" t="s">
        <v>41</v>
      </c>
      <c r="R1924" t="s">
        <v>6687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1</v>
      </c>
      <c r="AG1924" t="b">
        <v>0</v>
      </c>
    </row>
    <row r="1925" spans="1:33" x14ac:dyDescent="0.25">
      <c r="A1925" t="s">
        <v>32</v>
      </c>
      <c r="B1925">
        <v>1</v>
      </c>
      <c r="C1925" t="b">
        <v>0</v>
      </c>
      <c r="D1925" t="s">
        <v>6571</v>
      </c>
      <c r="E1925" t="s">
        <v>6684</v>
      </c>
      <c r="F1925" t="s">
        <v>6685</v>
      </c>
      <c r="G1925" t="s">
        <v>5647</v>
      </c>
      <c r="H1925">
        <v>1924</v>
      </c>
      <c r="I1925" t="str">
        <f>IF(ISBLANK(Table1[[#This Row],[oid]]),"FALSE","TRUE")</f>
        <v>TRUE</v>
      </c>
      <c r="J1925" t="str" cm="1">
        <f t="array" ref="J1925">_xlfn.SWITCH(LEFT(Table1[[#This Row],[section]],1), "D", "Demographic", "S", "Social", "E", "Economic", "H", "Housing", "")</f>
        <v>Economic</v>
      </c>
      <c r="K1925" t="s">
        <v>5603</v>
      </c>
      <c r="L1925" t="s">
        <v>5604</v>
      </c>
      <c r="M1925" t="str">
        <f>IF(Table1[[#This Row],[used]], _xlfn.CONCAT("🆔 ", Table1[[#This Row],[variable]], ": ",Table1[[#This Row],[alias]]), "")</f>
        <v>🆔 B20003_001E: Aggregate earnings in the past 12 months in 2024 inflation-adjusted dollars</v>
      </c>
      <c r="O1925" t="s">
        <v>5648</v>
      </c>
      <c r="P1925" t="s">
        <v>6701</v>
      </c>
      <c r="Q1925" t="s">
        <v>41</v>
      </c>
      <c r="R1925" t="s">
        <v>6687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1</v>
      </c>
    </row>
    <row r="1926" spans="1:33" x14ac:dyDescent="0.25">
      <c r="A1926" t="s">
        <v>18</v>
      </c>
      <c r="B1926">
        <v>1</v>
      </c>
      <c r="C1926" t="b">
        <v>0</v>
      </c>
      <c r="D1926" t="s">
        <v>6571</v>
      </c>
      <c r="E1926" t="s">
        <v>6684</v>
      </c>
      <c r="F1926" t="s">
        <v>6702</v>
      </c>
      <c r="G1926" t="s">
        <v>6703</v>
      </c>
      <c r="H1926">
        <v>1925</v>
      </c>
      <c r="I1926" t="str">
        <f>IF(ISBLANK(Table1[[#This Row],[oid]]),"FALSE","TRUE")</f>
        <v>TRUE</v>
      </c>
      <c r="J1926" t="str" cm="1">
        <f t="array" ref="J1926">_xlfn.SWITCH(LEFT(Table1[[#This Row],[section]],1), "D", "Demographic", "S", "Social", "E", "Economic", "H", "Housing", "")</f>
        <v>Economic</v>
      </c>
      <c r="K1926" t="s">
        <v>5603</v>
      </c>
      <c r="L1926" t="s">
        <v>5604</v>
      </c>
      <c r="M1926" t="str">
        <f>IF(Table1[[#This Row],[used]], _xlfn.CONCAT("🆔 ", Table1[[#This Row],[variable]], ": ",Table1[[#This Row],[alias]]), "")</f>
        <v>🆔 B20003_002E: Aggregate earnings in the past 12 months in 2010 inflation-adjusted dollars: Male</v>
      </c>
      <c r="O1926" t="s">
        <v>6704</v>
      </c>
      <c r="P1926" t="s">
        <v>6686</v>
      </c>
      <c r="Q1926" t="s">
        <v>41</v>
      </c>
      <c r="R1926" t="s">
        <v>6705</v>
      </c>
      <c r="S1926" t="b">
        <v>1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</row>
    <row r="1927" spans="1:33" x14ac:dyDescent="0.25">
      <c r="A1927" t="s">
        <v>19</v>
      </c>
      <c r="B1927">
        <v>1</v>
      </c>
      <c r="C1927" t="b">
        <v>0</v>
      </c>
      <c r="D1927" t="s">
        <v>6571</v>
      </c>
      <c r="E1927" t="s">
        <v>6684</v>
      </c>
      <c r="F1927" t="s">
        <v>6702</v>
      </c>
      <c r="G1927" t="s">
        <v>6706</v>
      </c>
      <c r="H1927">
        <v>1926</v>
      </c>
      <c r="I1927" t="str">
        <f>IF(ISBLANK(Table1[[#This Row],[oid]]),"FALSE","TRUE")</f>
        <v>TRUE</v>
      </c>
      <c r="J1927" t="str" cm="1">
        <f t="array" ref="J1927">_xlfn.SWITCH(LEFT(Table1[[#This Row],[section]],1), "D", "Demographic", "S", "Social", "E", "Economic", "H", "Housing", "")</f>
        <v>Economic</v>
      </c>
      <c r="K1927" t="s">
        <v>5603</v>
      </c>
      <c r="L1927" t="s">
        <v>5604</v>
      </c>
      <c r="M1927" t="str">
        <f>IF(Table1[[#This Row],[used]], _xlfn.CONCAT("🆔 ", Table1[[#This Row],[variable]], ": ",Table1[[#This Row],[alias]]), "")</f>
        <v>🆔 B20003_002E: Aggregate earnings in the past 12 months in 2011 inflation-adjusted dollars: Male</v>
      </c>
      <c r="O1927" t="s">
        <v>6707</v>
      </c>
      <c r="P1927" t="s">
        <v>6688</v>
      </c>
      <c r="Q1927" t="s">
        <v>41</v>
      </c>
      <c r="R1927" t="s">
        <v>6705</v>
      </c>
      <c r="S1927" t="b">
        <v>0</v>
      </c>
      <c r="T1927" t="b">
        <v>1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</row>
    <row r="1928" spans="1:33" x14ac:dyDescent="0.25">
      <c r="A1928" t="s">
        <v>20</v>
      </c>
      <c r="B1928">
        <v>1</v>
      </c>
      <c r="C1928" t="b">
        <v>0</v>
      </c>
      <c r="D1928" t="s">
        <v>6571</v>
      </c>
      <c r="E1928" t="s">
        <v>6684</v>
      </c>
      <c r="F1928" t="s">
        <v>6702</v>
      </c>
      <c r="G1928" t="s">
        <v>6708</v>
      </c>
      <c r="H1928">
        <v>1927</v>
      </c>
      <c r="I1928" t="str">
        <f>IF(ISBLANK(Table1[[#This Row],[oid]]),"FALSE","TRUE")</f>
        <v>TRUE</v>
      </c>
      <c r="J1928" t="str" cm="1">
        <f t="array" ref="J1928">_xlfn.SWITCH(LEFT(Table1[[#This Row],[section]],1), "D", "Demographic", "S", "Social", "E", "Economic", "H", "Housing", "")</f>
        <v>Economic</v>
      </c>
      <c r="K1928" t="s">
        <v>5603</v>
      </c>
      <c r="L1928" t="s">
        <v>5604</v>
      </c>
      <c r="M1928" t="str">
        <f>IF(Table1[[#This Row],[used]], _xlfn.CONCAT("🆔 ", Table1[[#This Row],[variable]], ": ",Table1[[#This Row],[alias]]), "")</f>
        <v>🆔 B20003_002E: Aggregate earnings in the past 12 months in 2012 inflation-adjusted dollars: Male</v>
      </c>
      <c r="O1928" t="s">
        <v>6709</v>
      </c>
      <c r="P1928" t="s">
        <v>6689</v>
      </c>
      <c r="Q1928" t="s">
        <v>41</v>
      </c>
      <c r="R1928" t="s">
        <v>6705</v>
      </c>
      <c r="S1928" t="b">
        <v>0</v>
      </c>
      <c r="T1928" t="b">
        <v>0</v>
      </c>
      <c r="U1928" t="b">
        <v>1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</row>
    <row r="1929" spans="1:33" x14ac:dyDescent="0.25">
      <c r="A1929" t="s">
        <v>21</v>
      </c>
      <c r="B1929">
        <v>1</v>
      </c>
      <c r="C1929" t="b">
        <v>0</v>
      </c>
      <c r="D1929" t="s">
        <v>6571</v>
      </c>
      <c r="E1929" t="s">
        <v>6684</v>
      </c>
      <c r="F1929" t="s">
        <v>6702</v>
      </c>
      <c r="G1929" t="s">
        <v>6710</v>
      </c>
      <c r="H1929">
        <v>1928</v>
      </c>
      <c r="I1929" t="str">
        <f>IF(ISBLANK(Table1[[#This Row],[oid]]),"FALSE","TRUE")</f>
        <v>TRUE</v>
      </c>
      <c r="J1929" t="str" cm="1">
        <f t="array" ref="J1929">_xlfn.SWITCH(LEFT(Table1[[#This Row],[section]],1), "D", "Demographic", "S", "Social", "E", "Economic", "H", "Housing", "")</f>
        <v>Economic</v>
      </c>
      <c r="K1929" t="s">
        <v>5603</v>
      </c>
      <c r="L1929" t="s">
        <v>5604</v>
      </c>
      <c r="M1929" t="str">
        <f>IF(Table1[[#This Row],[used]], _xlfn.CONCAT("🆔 ", Table1[[#This Row],[variable]], ": ",Table1[[#This Row],[alias]]), "")</f>
        <v>🆔 B20003_002E: Aggregate earnings in the past 12 months in 2013 inflation-adjusted dollars: Male</v>
      </c>
      <c r="O1929" t="s">
        <v>6711</v>
      </c>
      <c r="P1929" t="s">
        <v>6690</v>
      </c>
      <c r="Q1929" t="s">
        <v>41</v>
      </c>
      <c r="R1929" t="s">
        <v>6705</v>
      </c>
      <c r="S1929" t="b">
        <v>0</v>
      </c>
      <c r="T1929" t="b">
        <v>0</v>
      </c>
      <c r="U1929" t="b">
        <v>0</v>
      </c>
      <c r="V1929" t="b">
        <v>1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</row>
    <row r="1930" spans="1:33" x14ac:dyDescent="0.25">
      <c r="A1930" t="s">
        <v>22</v>
      </c>
      <c r="B1930">
        <v>1</v>
      </c>
      <c r="C1930" t="b">
        <v>0</v>
      </c>
      <c r="D1930" t="s">
        <v>6571</v>
      </c>
      <c r="E1930" t="s">
        <v>6684</v>
      </c>
      <c r="F1930" t="s">
        <v>6702</v>
      </c>
      <c r="G1930" t="s">
        <v>6712</v>
      </c>
      <c r="H1930">
        <v>1929</v>
      </c>
      <c r="I1930" t="str">
        <f>IF(ISBLANK(Table1[[#This Row],[oid]]),"FALSE","TRUE")</f>
        <v>TRUE</v>
      </c>
      <c r="J1930" t="str" cm="1">
        <f t="array" ref="J1930">_xlfn.SWITCH(LEFT(Table1[[#This Row],[section]],1), "D", "Demographic", "S", "Social", "E", "Economic", "H", "Housing", "")</f>
        <v>Economic</v>
      </c>
      <c r="K1930" t="s">
        <v>5603</v>
      </c>
      <c r="L1930" t="s">
        <v>5604</v>
      </c>
      <c r="M1930" t="str">
        <f>IF(Table1[[#This Row],[used]], _xlfn.CONCAT("🆔 ", Table1[[#This Row],[variable]], ": ",Table1[[#This Row],[alias]]), "")</f>
        <v>🆔 B20003_002E: Aggregate earnings in the past 12 months in 2014 Inflation-adjusted dollars: Male</v>
      </c>
      <c r="O1930" t="s">
        <v>6713</v>
      </c>
      <c r="P1930" t="s">
        <v>6691</v>
      </c>
      <c r="Q1930" t="s">
        <v>41</v>
      </c>
      <c r="R1930" t="s">
        <v>6705</v>
      </c>
      <c r="S1930" t="b">
        <v>0</v>
      </c>
      <c r="T1930" t="b">
        <v>0</v>
      </c>
      <c r="U1930" t="b">
        <v>0</v>
      </c>
      <c r="V1930" t="b">
        <v>0</v>
      </c>
      <c r="W1930" t="b">
        <v>1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</row>
    <row r="1931" spans="1:33" x14ac:dyDescent="0.25">
      <c r="A1931" t="s">
        <v>23</v>
      </c>
      <c r="B1931">
        <v>1</v>
      </c>
      <c r="C1931" t="b">
        <v>0</v>
      </c>
      <c r="D1931" t="s">
        <v>6571</v>
      </c>
      <c r="E1931" t="s">
        <v>6684</v>
      </c>
      <c r="F1931" t="s">
        <v>6702</v>
      </c>
      <c r="G1931" t="s">
        <v>6714</v>
      </c>
      <c r="H1931">
        <v>1930</v>
      </c>
      <c r="I1931" t="str">
        <f>IF(ISBLANK(Table1[[#This Row],[oid]]),"FALSE","TRUE")</f>
        <v>TRUE</v>
      </c>
      <c r="J1931" t="str" cm="1">
        <f t="array" ref="J1931">_xlfn.SWITCH(LEFT(Table1[[#This Row],[section]],1), "D", "Demographic", "S", "Social", "E", "Economic", "H", "Housing", "")</f>
        <v>Economic</v>
      </c>
      <c r="K1931" t="s">
        <v>5603</v>
      </c>
      <c r="L1931" t="s">
        <v>5604</v>
      </c>
      <c r="M1931" t="str">
        <f>IF(Table1[[#This Row],[used]], _xlfn.CONCAT("🆔 ", Table1[[#This Row],[variable]], ": ",Table1[[#This Row],[alias]]), "")</f>
        <v>🆔 B20003_002E: Aggregate earnings in the past 12 months in 2015 Inflation-adjusted dollars: Male</v>
      </c>
      <c r="O1931" t="s">
        <v>6715</v>
      </c>
      <c r="P1931" t="s">
        <v>6692</v>
      </c>
      <c r="Q1931" t="s">
        <v>41</v>
      </c>
      <c r="R1931" t="s">
        <v>6705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1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</row>
    <row r="1932" spans="1:33" x14ac:dyDescent="0.25">
      <c r="A1932" t="s">
        <v>24</v>
      </c>
      <c r="B1932">
        <v>1</v>
      </c>
      <c r="C1932" t="b">
        <v>0</v>
      </c>
      <c r="D1932" t="s">
        <v>6571</v>
      </c>
      <c r="E1932" t="s">
        <v>6684</v>
      </c>
      <c r="F1932" t="s">
        <v>6702</v>
      </c>
      <c r="G1932" t="s">
        <v>6716</v>
      </c>
      <c r="H1932">
        <v>1931</v>
      </c>
      <c r="I1932" t="str">
        <f>IF(ISBLANK(Table1[[#This Row],[oid]]),"FALSE","TRUE")</f>
        <v>TRUE</v>
      </c>
      <c r="J1932" t="str" cm="1">
        <f t="array" ref="J1932">_xlfn.SWITCH(LEFT(Table1[[#This Row],[section]],1), "D", "Demographic", "S", "Social", "E", "Economic", "H", "Housing", "")</f>
        <v>Economic</v>
      </c>
      <c r="K1932" t="s">
        <v>5603</v>
      </c>
      <c r="L1932" t="s">
        <v>5604</v>
      </c>
      <c r="M1932" t="str">
        <f>IF(Table1[[#This Row],[used]], _xlfn.CONCAT("🆔 ", Table1[[#This Row],[variable]], ": ",Table1[[#This Row],[alias]]), "")</f>
        <v>🆔 B20003_002E: Aggregate earnings in the past 12 months in 2016 inflation-adjusted dollars: Male</v>
      </c>
      <c r="O1932" t="s">
        <v>6717</v>
      </c>
      <c r="P1932" t="s">
        <v>6693</v>
      </c>
      <c r="Q1932" t="s">
        <v>41</v>
      </c>
      <c r="R1932" t="s">
        <v>6705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1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</row>
    <row r="1933" spans="1:33" x14ac:dyDescent="0.25">
      <c r="A1933" t="s">
        <v>25</v>
      </c>
      <c r="B1933">
        <v>1</v>
      </c>
      <c r="C1933" t="b">
        <v>0</v>
      </c>
      <c r="D1933" t="s">
        <v>6571</v>
      </c>
      <c r="E1933" t="s">
        <v>6684</v>
      </c>
      <c r="F1933" t="s">
        <v>6702</v>
      </c>
      <c r="G1933" t="s">
        <v>6718</v>
      </c>
      <c r="H1933">
        <v>1932</v>
      </c>
      <c r="I1933" t="str">
        <f>IF(ISBLANK(Table1[[#This Row],[oid]]),"FALSE","TRUE")</f>
        <v>TRUE</v>
      </c>
      <c r="J1933" t="str" cm="1">
        <f t="array" ref="J1933">_xlfn.SWITCH(LEFT(Table1[[#This Row],[section]],1), "D", "Demographic", "S", "Social", "E", "Economic", "H", "Housing", "")</f>
        <v>Economic</v>
      </c>
      <c r="K1933" t="s">
        <v>5603</v>
      </c>
      <c r="L1933" t="s">
        <v>5604</v>
      </c>
      <c r="M1933" t="str">
        <f>IF(Table1[[#This Row],[used]], _xlfn.CONCAT("🆔 ", Table1[[#This Row],[variable]], ": ",Table1[[#This Row],[alias]]), "")</f>
        <v>🆔 B20003_002E: Aggregate earnings in the past 12 months in 2017 inflation-adjusted dollars: Male</v>
      </c>
      <c r="O1933" t="s">
        <v>6719</v>
      </c>
      <c r="P1933" t="s">
        <v>6694</v>
      </c>
      <c r="Q1933" t="s">
        <v>41</v>
      </c>
      <c r="R1933" t="s">
        <v>6705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1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</row>
    <row r="1934" spans="1:33" x14ac:dyDescent="0.25">
      <c r="A1934" t="s">
        <v>26</v>
      </c>
      <c r="B1934">
        <v>1</v>
      </c>
      <c r="C1934" t="b">
        <v>0</v>
      </c>
      <c r="D1934" t="s">
        <v>6571</v>
      </c>
      <c r="E1934" t="s">
        <v>6684</v>
      </c>
      <c r="F1934" t="s">
        <v>6702</v>
      </c>
      <c r="G1934" t="s">
        <v>6720</v>
      </c>
      <c r="H1934">
        <v>1933</v>
      </c>
      <c r="I1934" t="str">
        <f>IF(ISBLANK(Table1[[#This Row],[oid]]),"FALSE","TRUE")</f>
        <v>TRUE</v>
      </c>
      <c r="J1934" t="str" cm="1">
        <f t="array" ref="J1934">_xlfn.SWITCH(LEFT(Table1[[#This Row],[section]],1), "D", "Demographic", "S", "Social", "E", "Economic", "H", "Housing", "")</f>
        <v>Economic</v>
      </c>
      <c r="K1934" t="s">
        <v>5603</v>
      </c>
      <c r="L1934" t="s">
        <v>5604</v>
      </c>
      <c r="M1934" t="str">
        <f>IF(Table1[[#This Row],[used]], _xlfn.CONCAT("🆔 ", Table1[[#This Row],[variable]], ": ",Table1[[#This Row],[alias]]), "")</f>
        <v>🆔 B20003_002E: Aggregate earnings in the past 12 months in 2018 inflation-adjusted dollars: Male</v>
      </c>
      <c r="O1934" t="s">
        <v>6721</v>
      </c>
      <c r="P1934" t="s">
        <v>6695</v>
      </c>
      <c r="Q1934" t="s">
        <v>41</v>
      </c>
      <c r="R1934" t="s">
        <v>6705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1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</row>
    <row r="1935" spans="1:33" x14ac:dyDescent="0.25">
      <c r="A1935" t="s">
        <v>27</v>
      </c>
      <c r="B1935">
        <v>1</v>
      </c>
      <c r="C1935" t="b">
        <v>0</v>
      </c>
      <c r="D1935" t="s">
        <v>6571</v>
      </c>
      <c r="E1935" t="s">
        <v>6684</v>
      </c>
      <c r="F1935" t="s">
        <v>6702</v>
      </c>
      <c r="G1935" t="s">
        <v>6722</v>
      </c>
      <c r="H1935">
        <v>1934</v>
      </c>
      <c r="I1935" t="str">
        <f>IF(ISBLANK(Table1[[#This Row],[oid]]),"FALSE","TRUE")</f>
        <v>TRUE</v>
      </c>
      <c r="J1935" t="str" cm="1">
        <f t="array" ref="J1935">_xlfn.SWITCH(LEFT(Table1[[#This Row],[section]],1), "D", "Demographic", "S", "Social", "E", "Economic", "H", "Housing", "")</f>
        <v>Economic</v>
      </c>
      <c r="K1935" t="s">
        <v>5603</v>
      </c>
      <c r="L1935" t="s">
        <v>5604</v>
      </c>
      <c r="M1935" t="str">
        <f>IF(Table1[[#This Row],[used]], _xlfn.CONCAT("🆔 ", Table1[[#This Row],[variable]], ": ",Table1[[#This Row],[alias]]), "")</f>
        <v>🆔 B20003_002E: Aggregate earnings in the past 12 months in 2019 inflation-adjusted dollars: Male</v>
      </c>
      <c r="O1935" t="s">
        <v>6723</v>
      </c>
      <c r="P1935" t="s">
        <v>6696</v>
      </c>
      <c r="Q1935" t="s">
        <v>41</v>
      </c>
      <c r="R1935" t="s">
        <v>6705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1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</row>
    <row r="1936" spans="1:33" x14ac:dyDescent="0.25">
      <c r="A1936" t="s">
        <v>28</v>
      </c>
      <c r="B1936">
        <v>1</v>
      </c>
      <c r="C1936" t="b">
        <v>0</v>
      </c>
      <c r="D1936" t="s">
        <v>6571</v>
      </c>
      <c r="E1936" t="s">
        <v>6684</v>
      </c>
      <c r="F1936" t="s">
        <v>6702</v>
      </c>
      <c r="G1936" t="s">
        <v>6724</v>
      </c>
      <c r="H1936">
        <v>1935</v>
      </c>
      <c r="I1936" t="str">
        <f>IF(ISBLANK(Table1[[#This Row],[oid]]),"FALSE","TRUE")</f>
        <v>TRUE</v>
      </c>
      <c r="J1936" t="str" cm="1">
        <f t="array" ref="J1936">_xlfn.SWITCH(LEFT(Table1[[#This Row],[section]],1), "D", "Demographic", "S", "Social", "E", "Economic", "H", "Housing", "")</f>
        <v>Economic</v>
      </c>
      <c r="K1936" t="s">
        <v>5603</v>
      </c>
      <c r="L1936" t="s">
        <v>5604</v>
      </c>
      <c r="M1936" t="str">
        <f>IF(Table1[[#This Row],[used]], _xlfn.CONCAT("🆔 ", Table1[[#This Row],[variable]], ": ",Table1[[#This Row],[alias]]), "")</f>
        <v>🆔 B20003_002E: Aggregate earnings in the past 12 months in 2020 inflation-adjusted dollars: Male</v>
      </c>
      <c r="O1936" t="s">
        <v>6725</v>
      </c>
      <c r="P1936" t="s">
        <v>6697</v>
      </c>
      <c r="Q1936" t="s">
        <v>41</v>
      </c>
      <c r="R1936" t="s">
        <v>6705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1</v>
      </c>
      <c r="AD1936" t="b">
        <v>0</v>
      </c>
      <c r="AE1936" t="b">
        <v>0</v>
      </c>
      <c r="AF1936" t="b">
        <v>0</v>
      </c>
      <c r="AG1936" t="b">
        <v>0</v>
      </c>
    </row>
    <row r="1937" spans="1:33" x14ac:dyDescent="0.25">
      <c r="A1937" t="s">
        <v>29</v>
      </c>
      <c r="B1937">
        <v>1</v>
      </c>
      <c r="C1937" t="b">
        <v>0</v>
      </c>
      <c r="D1937" t="s">
        <v>6571</v>
      </c>
      <c r="E1937" t="s">
        <v>6684</v>
      </c>
      <c r="F1937" t="s">
        <v>6702</v>
      </c>
      <c r="G1937" t="s">
        <v>6726</v>
      </c>
      <c r="H1937">
        <v>1936</v>
      </c>
      <c r="I1937" t="str">
        <f>IF(ISBLANK(Table1[[#This Row],[oid]]),"FALSE","TRUE")</f>
        <v>TRUE</v>
      </c>
      <c r="J1937" t="str" cm="1">
        <f t="array" ref="J1937">_xlfn.SWITCH(LEFT(Table1[[#This Row],[section]],1), "D", "Demographic", "S", "Social", "E", "Economic", "H", "Housing", "")</f>
        <v>Economic</v>
      </c>
      <c r="K1937" t="s">
        <v>5603</v>
      </c>
      <c r="L1937" t="s">
        <v>5604</v>
      </c>
      <c r="M1937" t="str">
        <f>IF(Table1[[#This Row],[used]], _xlfn.CONCAT("🆔 ", Table1[[#This Row],[variable]], ": ",Table1[[#This Row],[alias]]), "")</f>
        <v>🆔 B20003_002E: Aggregate earnings in the past 12 months in 2021 inflation-adjusted dollars: Male</v>
      </c>
      <c r="O1937" t="s">
        <v>6727</v>
      </c>
      <c r="P1937" t="s">
        <v>6698</v>
      </c>
      <c r="Q1937" t="s">
        <v>41</v>
      </c>
      <c r="R1937" t="s">
        <v>6705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1</v>
      </c>
      <c r="AE1937" t="b">
        <v>0</v>
      </c>
      <c r="AF1937" t="b">
        <v>0</v>
      </c>
      <c r="AG1937" t="b">
        <v>0</v>
      </c>
    </row>
    <row r="1938" spans="1:33" x14ac:dyDescent="0.25">
      <c r="A1938" t="s">
        <v>30</v>
      </c>
      <c r="B1938">
        <v>1</v>
      </c>
      <c r="C1938" t="b">
        <v>0</v>
      </c>
      <c r="D1938" t="s">
        <v>6571</v>
      </c>
      <c r="E1938" t="s">
        <v>6684</v>
      </c>
      <c r="F1938" t="s">
        <v>6702</v>
      </c>
      <c r="G1938" t="s">
        <v>6728</v>
      </c>
      <c r="H1938">
        <v>1937</v>
      </c>
      <c r="I1938" t="str">
        <f>IF(ISBLANK(Table1[[#This Row],[oid]]),"FALSE","TRUE")</f>
        <v>TRUE</v>
      </c>
      <c r="J1938" t="str" cm="1">
        <f t="array" ref="J1938">_xlfn.SWITCH(LEFT(Table1[[#This Row],[section]],1), "D", "Demographic", "S", "Social", "E", "Economic", "H", "Housing", "")</f>
        <v>Economic</v>
      </c>
      <c r="K1938" t="s">
        <v>5603</v>
      </c>
      <c r="L1938" t="s">
        <v>5604</v>
      </c>
      <c r="M1938" t="str">
        <f>IF(Table1[[#This Row],[used]], _xlfn.CONCAT("🆔 ", Table1[[#This Row],[variable]], ": ",Table1[[#This Row],[alias]]), "")</f>
        <v>🆔 B20003_002E: Aggregate earnings in the past 12 months in 2022 inflation-adjusted dollars: Male</v>
      </c>
      <c r="O1938" t="s">
        <v>6729</v>
      </c>
      <c r="P1938" t="s">
        <v>6699</v>
      </c>
      <c r="Q1938" t="s">
        <v>41</v>
      </c>
      <c r="R1938" t="s">
        <v>6705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1</v>
      </c>
      <c r="AF1938" t="b">
        <v>0</v>
      </c>
      <c r="AG1938" t="b">
        <v>0</v>
      </c>
    </row>
    <row r="1939" spans="1:33" x14ac:dyDescent="0.25">
      <c r="A1939" t="s">
        <v>31</v>
      </c>
      <c r="B1939">
        <v>1</v>
      </c>
      <c r="C1939" t="b">
        <v>0</v>
      </c>
      <c r="D1939" t="s">
        <v>6571</v>
      </c>
      <c r="E1939" t="s">
        <v>6684</v>
      </c>
      <c r="F1939" t="s">
        <v>6702</v>
      </c>
      <c r="G1939" t="s">
        <v>6730</v>
      </c>
      <c r="H1939">
        <v>1938</v>
      </c>
      <c r="I1939" t="str">
        <f>IF(ISBLANK(Table1[[#This Row],[oid]]),"FALSE","TRUE")</f>
        <v>TRUE</v>
      </c>
      <c r="J1939" t="str" cm="1">
        <f t="array" ref="J1939">_xlfn.SWITCH(LEFT(Table1[[#This Row],[section]],1), "D", "Demographic", "S", "Social", "E", "Economic", "H", "Housing", "")</f>
        <v>Economic</v>
      </c>
      <c r="K1939" t="s">
        <v>5603</v>
      </c>
      <c r="L1939" t="s">
        <v>5604</v>
      </c>
      <c r="M1939" t="str">
        <f>IF(Table1[[#This Row],[used]], _xlfn.CONCAT("🆔 ", Table1[[#This Row],[variable]], ": ",Table1[[#This Row],[alias]]), "")</f>
        <v>🆔 B20003_002E: Aggregate earnings in the past 12 months in 2023 inflation-adjusted dollars: Male</v>
      </c>
      <c r="O1939" t="s">
        <v>6731</v>
      </c>
      <c r="P1939" t="s">
        <v>6700</v>
      </c>
      <c r="Q1939" t="s">
        <v>41</v>
      </c>
      <c r="R1939" t="s">
        <v>6705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1</v>
      </c>
      <c r="AG1939" t="b">
        <v>0</v>
      </c>
    </row>
    <row r="1940" spans="1:33" x14ac:dyDescent="0.25">
      <c r="A1940" t="s">
        <v>32</v>
      </c>
      <c r="B1940">
        <v>1</v>
      </c>
      <c r="C1940" t="b">
        <v>0</v>
      </c>
      <c r="D1940" t="s">
        <v>6571</v>
      </c>
      <c r="E1940" t="s">
        <v>6684</v>
      </c>
      <c r="F1940" t="s">
        <v>6702</v>
      </c>
      <c r="G1940" t="s">
        <v>6732</v>
      </c>
      <c r="H1940">
        <v>1939</v>
      </c>
      <c r="I1940" t="str">
        <f>IF(ISBLANK(Table1[[#This Row],[oid]]),"FALSE","TRUE")</f>
        <v>TRUE</v>
      </c>
      <c r="J1940" t="str" cm="1">
        <f t="array" ref="J1940">_xlfn.SWITCH(LEFT(Table1[[#This Row],[section]],1), "D", "Demographic", "S", "Social", "E", "Economic", "H", "Housing", "")</f>
        <v>Economic</v>
      </c>
      <c r="K1940" t="s">
        <v>5603</v>
      </c>
      <c r="L1940" t="s">
        <v>5604</v>
      </c>
      <c r="M1940" t="str">
        <f>IF(Table1[[#This Row],[used]], _xlfn.CONCAT("🆔 ", Table1[[#This Row],[variable]], ": ",Table1[[#This Row],[alias]]), "")</f>
        <v>🆔 B20003_002E: Aggregate earnings in the past 12 months in 2024 inflation-adjusted dollars: Male</v>
      </c>
      <c r="O1940" t="s">
        <v>6733</v>
      </c>
      <c r="P1940" t="s">
        <v>6701</v>
      </c>
      <c r="Q1940" t="s">
        <v>41</v>
      </c>
      <c r="R1940" t="s">
        <v>6705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1</v>
      </c>
    </row>
    <row r="1941" spans="1:33" x14ac:dyDescent="0.25">
      <c r="A1941" t="s">
        <v>18</v>
      </c>
      <c r="B1941">
        <v>1</v>
      </c>
      <c r="C1941" t="b">
        <v>0</v>
      </c>
      <c r="D1941" t="s">
        <v>6571</v>
      </c>
      <c r="E1941" t="s">
        <v>6684</v>
      </c>
      <c r="F1941" t="s">
        <v>6734</v>
      </c>
      <c r="G1941" t="s">
        <v>6735</v>
      </c>
      <c r="H1941">
        <v>1940</v>
      </c>
      <c r="I1941" t="str">
        <f>IF(ISBLANK(Table1[[#This Row],[oid]]),"FALSE","TRUE")</f>
        <v>TRUE</v>
      </c>
      <c r="J1941" t="str" cm="1">
        <f t="array" ref="J1941">_xlfn.SWITCH(LEFT(Table1[[#This Row],[section]],1), "D", "Demographic", "S", "Social", "E", "Economic", "H", "Housing", "")</f>
        <v>Economic</v>
      </c>
      <c r="K1941" t="s">
        <v>5603</v>
      </c>
      <c r="L1941" t="s">
        <v>5604</v>
      </c>
      <c r="M1941" t="str">
        <f>IF(Table1[[#This Row],[used]], _xlfn.CONCAT("🆔 ", Table1[[#This Row],[variable]], ": ",Table1[[#This Row],[alias]]), "")</f>
        <v>🆔 B20003_003E: Aggregate earnings in the past 12 months in 2010 inflation-adjusted dollars: Male: Worked full-time year-round in the past 12 months</v>
      </c>
      <c r="O1941" t="s">
        <v>6736</v>
      </c>
      <c r="P1941" t="s">
        <v>6686</v>
      </c>
      <c r="Q1941" t="s">
        <v>41</v>
      </c>
      <c r="R1941" t="s">
        <v>6737</v>
      </c>
      <c r="S1941" t="b">
        <v>1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</row>
    <row r="1942" spans="1:33" x14ac:dyDescent="0.25">
      <c r="A1942" t="s">
        <v>19</v>
      </c>
      <c r="B1942">
        <v>1</v>
      </c>
      <c r="C1942" t="b">
        <v>0</v>
      </c>
      <c r="D1942" t="s">
        <v>6571</v>
      </c>
      <c r="E1942" t="s">
        <v>6684</v>
      </c>
      <c r="F1942" t="s">
        <v>6734</v>
      </c>
      <c r="G1942" t="s">
        <v>6738</v>
      </c>
      <c r="H1942">
        <v>1941</v>
      </c>
      <c r="I1942" t="str">
        <f>IF(ISBLANK(Table1[[#This Row],[oid]]),"FALSE","TRUE")</f>
        <v>TRUE</v>
      </c>
      <c r="J1942" t="str" cm="1">
        <f t="array" ref="J1942">_xlfn.SWITCH(LEFT(Table1[[#This Row],[section]],1), "D", "Demographic", "S", "Social", "E", "Economic", "H", "Housing", "")</f>
        <v>Economic</v>
      </c>
      <c r="K1942" t="s">
        <v>5603</v>
      </c>
      <c r="L1942" t="s">
        <v>5604</v>
      </c>
      <c r="M1942" t="str">
        <f>IF(Table1[[#This Row],[used]], _xlfn.CONCAT("🆔 ", Table1[[#This Row],[variable]], ": ",Table1[[#This Row],[alias]]), "")</f>
        <v>🆔 B20003_003E: Aggregate earnings in the past 12 months in 2011 inflation-adjusted dollars: Male: Worked full-time year-round in the past 12 months</v>
      </c>
      <c r="O1942" t="s">
        <v>6739</v>
      </c>
      <c r="P1942" t="s">
        <v>6688</v>
      </c>
      <c r="Q1942" t="s">
        <v>41</v>
      </c>
      <c r="R1942" t="s">
        <v>6737</v>
      </c>
      <c r="S1942" t="b">
        <v>0</v>
      </c>
      <c r="T1942" t="b">
        <v>1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</row>
    <row r="1943" spans="1:33" x14ac:dyDescent="0.25">
      <c r="A1943" t="s">
        <v>20</v>
      </c>
      <c r="B1943">
        <v>1</v>
      </c>
      <c r="C1943" t="b">
        <v>0</v>
      </c>
      <c r="D1943" t="s">
        <v>6571</v>
      </c>
      <c r="E1943" t="s">
        <v>6684</v>
      </c>
      <c r="F1943" t="s">
        <v>6734</v>
      </c>
      <c r="G1943" t="s">
        <v>6740</v>
      </c>
      <c r="H1943">
        <v>1942</v>
      </c>
      <c r="I1943" t="str">
        <f>IF(ISBLANK(Table1[[#This Row],[oid]]),"FALSE","TRUE")</f>
        <v>TRUE</v>
      </c>
      <c r="J1943" t="str" cm="1">
        <f t="array" ref="J1943">_xlfn.SWITCH(LEFT(Table1[[#This Row],[section]],1), "D", "Demographic", "S", "Social", "E", "Economic", "H", "Housing", "")</f>
        <v>Economic</v>
      </c>
      <c r="K1943" t="s">
        <v>5603</v>
      </c>
      <c r="L1943" t="s">
        <v>5604</v>
      </c>
      <c r="M1943" t="str">
        <f>IF(Table1[[#This Row],[used]], _xlfn.CONCAT("🆔 ", Table1[[#This Row],[variable]], ": ",Table1[[#This Row],[alias]]), "")</f>
        <v>🆔 B20003_003E: Aggregate earnings in the past 12 months in 2012 inflation-adjusted dollars: Male: Worked full-time year-round in the past 12 months</v>
      </c>
      <c r="O1943" t="s">
        <v>6741</v>
      </c>
      <c r="P1943" t="s">
        <v>6689</v>
      </c>
      <c r="Q1943" t="s">
        <v>41</v>
      </c>
      <c r="R1943" t="s">
        <v>6737</v>
      </c>
      <c r="S1943" t="b">
        <v>0</v>
      </c>
      <c r="T1943" t="b">
        <v>0</v>
      </c>
      <c r="U1943" t="b">
        <v>1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</row>
    <row r="1944" spans="1:33" x14ac:dyDescent="0.25">
      <c r="A1944" t="s">
        <v>21</v>
      </c>
      <c r="B1944">
        <v>1</v>
      </c>
      <c r="C1944" t="b">
        <v>0</v>
      </c>
      <c r="D1944" t="s">
        <v>6571</v>
      </c>
      <c r="E1944" t="s">
        <v>6684</v>
      </c>
      <c r="F1944" t="s">
        <v>6734</v>
      </c>
      <c r="G1944" t="s">
        <v>6742</v>
      </c>
      <c r="H1944">
        <v>1943</v>
      </c>
      <c r="I1944" t="str">
        <f>IF(ISBLANK(Table1[[#This Row],[oid]]),"FALSE","TRUE")</f>
        <v>TRUE</v>
      </c>
      <c r="J1944" t="str" cm="1">
        <f t="array" ref="J1944">_xlfn.SWITCH(LEFT(Table1[[#This Row],[section]],1), "D", "Demographic", "S", "Social", "E", "Economic", "H", "Housing", "")</f>
        <v>Economic</v>
      </c>
      <c r="K1944" t="s">
        <v>5603</v>
      </c>
      <c r="L1944" t="s">
        <v>5604</v>
      </c>
      <c r="M1944" t="str">
        <f>IF(Table1[[#This Row],[used]], _xlfn.CONCAT("🆔 ", Table1[[#This Row],[variable]], ": ",Table1[[#This Row],[alias]]), "")</f>
        <v>🆔 B20003_003E: Aggregate earnings in the past 12 months in 2013 inflation-adjusted dollars: Male: Worked full-time year-round in the past 12 months</v>
      </c>
      <c r="O1944" t="s">
        <v>6743</v>
      </c>
      <c r="P1944" t="s">
        <v>6690</v>
      </c>
      <c r="Q1944" t="s">
        <v>41</v>
      </c>
      <c r="R1944" t="s">
        <v>6737</v>
      </c>
      <c r="S1944" t="b">
        <v>0</v>
      </c>
      <c r="T1944" t="b">
        <v>0</v>
      </c>
      <c r="U1944" t="b">
        <v>0</v>
      </c>
      <c r="V1944" t="b">
        <v>1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</row>
    <row r="1945" spans="1:33" x14ac:dyDescent="0.25">
      <c r="A1945" t="s">
        <v>22</v>
      </c>
      <c r="B1945">
        <v>1</v>
      </c>
      <c r="C1945" t="b">
        <v>0</v>
      </c>
      <c r="D1945" t="s">
        <v>6571</v>
      </c>
      <c r="E1945" t="s">
        <v>6684</v>
      </c>
      <c r="F1945" t="s">
        <v>6734</v>
      </c>
      <c r="G1945" t="s">
        <v>6744</v>
      </c>
      <c r="H1945">
        <v>1944</v>
      </c>
      <c r="I1945" t="str">
        <f>IF(ISBLANK(Table1[[#This Row],[oid]]),"FALSE","TRUE")</f>
        <v>TRUE</v>
      </c>
      <c r="J1945" t="str" cm="1">
        <f t="array" ref="J1945">_xlfn.SWITCH(LEFT(Table1[[#This Row],[section]],1), "D", "Demographic", "S", "Social", "E", "Economic", "H", "Housing", "")</f>
        <v>Economic</v>
      </c>
      <c r="K1945" t="s">
        <v>5603</v>
      </c>
      <c r="L1945" t="s">
        <v>5604</v>
      </c>
      <c r="M1945" t="str">
        <f>IF(Table1[[#This Row],[used]], _xlfn.CONCAT("🆔 ", Table1[[#This Row],[variable]], ": ",Table1[[#This Row],[alias]]), "")</f>
        <v>🆔 B20003_003E: Aggregate earnings in the past 12 months in 2014 Inflation-adjusted dollars: Male: Worked full-time year-round in the past 12 months</v>
      </c>
      <c r="O1945" t="s">
        <v>6745</v>
      </c>
      <c r="P1945" t="s">
        <v>6691</v>
      </c>
      <c r="Q1945" t="s">
        <v>41</v>
      </c>
      <c r="R1945" t="s">
        <v>6737</v>
      </c>
      <c r="S1945" t="b">
        <v>0</v>
      </c>
      <c r="T1945" t="b">
        <v>0</v>
      </c>
      <c r="U1945" t="b">
        <v>0</v>
      </c>
      <c r="V1945" t="b">
        <v>0</v>
      </c>
      <c r="W1945" t="b">
        <v>1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</row>
    <row r="1946" spans="1:33" x14ac:dyDescent="0.25">
      <c r="A1946" t="s">
        <v>23</v>
      </c>
      <c r="B1946">
        <v>1</v>
      </c>
      <c r="C1946" t="b">
        <v>0</v>
      </c>
      <c r="D1946" t="s">
        <v>6571</v>
      </c>
      <c r="E1946" t="s">
        <v>6684</v>
      </c>
      <c r="F1946" t="s">
        <v>6734</v>
      </c>
      <c r="G1946" t="s">
        <v>6746</v>
      </c>
      <c r="H1946">
        <v>1945</v>
      </c>
      <c r="I1946" t="str">
        <f>IF(ISBLANK(Table1[[#This Row],[oid]]),"FALSE","TRUE")</f>
        <v>TRUE</v>
      </c>
      <c r="J1946" t="str" cm="1">
        <f t="array" ref="J1946">_xlfn.SWITCH(LEFT(Table1[[#This Row],[section]],1), "D", "Demographic", "S", "Social", "E", "Economic", "H", "Housing", "")</f>
        <v>Economic</v>
      </c>
      <c r="K1946" t="s">
        <v>5603</v>
      </c>
      <c r="L1946" t="s">
        <v>5604</v>
      </c>
      <c r="M1946" t="str">
        <f>IF(Table1[[#This Row],[used]], _xlfn.CONCAT("🆔 ", Table1[[#This Row],[variable]], ": ",Table1[[#This Row],[alias]]), "")</f>
        <v>🆔 B20003_003E: Aggregate earnings in the past 12 months in 2015 Inflation-adjusted dollars: Male: Worked full-time year-round in the past 12 months</v>
      </c>
      <c r="O1946" t="s">
        <v>6747</v>
      </c>
      <c r="P1946" t="s">
        <v>6692</v>
      </c>
      <c r="Q1946" t="s">
        <v>41</v>
      </c>
      <c r="R1946" t="s">
        <v>6737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1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</row>
    <row r="1947" spans="1:33" x14ac:dyDescent="0.25">
      <c r="A1947" t="s">
        <v>24</v>
      </c>
      <c r="B1947">
        <v>1</v>
      </c>
      <c r="C1947" t="b">
        <v>0</v>
      </c>
      <c r="D1947" t="s">
        <v>6571</v>
      </c>
      <c r="E1947" t="s">
        <v>6684</v>
      </c>
      <c r="F1947" t="s">
        <v>6734</v>
      </c>
      <c r="G1947" t="s">
        <v>6748</v>
      </c>
      <c r="H1947">
        <v>1946</v>
      </c>
      <c r="I1947" t="str">
        <f>IF(ISBLANK(Table1[[#This Row],[oid]]),"FALSE","TRUE")</f>
        <v>TRUE</v>
      </c>
      <c r="J1947" t="str" cm="1">
        <f t="array" ref="J1947">_xlfn.SWITCH(LEFT(Table1[[#This Row],[section]],1), "D", "Demographic", "S", "Social", "E", "Economic", "H", "Housing", "")</f>
        <v>Economic</v>
      </c>
      <c r="K1947" t="s">
        <v>5603</v>
      </c>
      <c r="L1947" t="s">
        <v>5604</v>
      </c>
      <c r="M1947" t="str">
        <f>IF(Table1[[#This Row],[used]], _xlfn.CONCAT("🆔 ", Table1[[#This Row],[variable]], ": ",Table1[[#This Row],[alias]]), "")</f>
        <v>🆔 B20003_003E: Aggregate earnings in the past 12 months in 2016 inflation-adjusted dollars: Male: Worked full-time year-round in the past 12 months</v>
      </c>
      <c r="O1947" t="s">
        <v>6749</v>
      </c>
      <c r="P1947" t="s">
        <v>6693</v>
      </c>
      <c r="Q1947" t="s">
        <v>41</v>
      </c>
      <c r="R1947" t="s">
        <v>6737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1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</row>
    <row r="1948" spans="1:33" x14ac:dyDescent="0.25">
      <c r="A1948" t="s">
        <v>25</v>
      </c>
      <c r="B1948">
        <v>1</v>
      </c>
      <c r="C1948" t="b">
        <v>0</v>
      </c>
      <c r="D1948" t="s">
        <v>6571</v>
      </c>
      <c r="E1948" t="s">
        <v>6684</v>
      </c>
      <c r="F1948" t="s">
        <v>6734</v>
      </c>
      <c r="G1948" t="s">
        <v>6750</v>
      </c>
      <c r="H1948">
        <v>1947</v>
      </c>
      <c r="I1948" t="str">
        <f>IF(ISBLANK(Table1[[#This Row],[oid]]),"FALSE","TRUE")</f>
        <v>TRUE</v>
      </c>
      <c r="J1948" t="str" cm="1">
        <f t="array" ref="J1948">_xlfn.SWITCH(LEFT(Table1[[#This Row],[section]],1), "D", "Demographic", "S", "Social", "E", "Economic", "H", "Housing", "")</f>
        <v>Economic</v>
      </c>
      <c r="K1948" t="s">
        <v>5603</v>
      </c>
      <c r="L1948" t="s">
        <v>5604</v>
      </c>
      <c r="M1948" t="str">
        <f>IF(Table1[[#This Row],[used]], _xlfn.CONCAT("🆔 ", Table1[[#This Row],[variable]], ": ",Table1[[#This Row],[alias]]), "")</f>
        <v>🆔 B20003_003E: Aggregate earnings in the past 12 months in 2017 inflation-adjusted dollars: Male: Worked full-time year-round in the past 12 months</v>
      </c>
      <c r="O1948" t="s">
        <v>6751</v>
      </c>
      <c r="P1948" t="s">
        <v>6694</v>
      </c>
      <c r="Q1948" t="s">
        <v>41</v>
      </c>
      <c r="R1948" t="s">
        <v>6737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1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</row>
    <row r="1949" spans="1:33" x14ac:dyDescent="0.25">
      <c r="A1949" t="s">
        <v>26</v>
      </c>
      <c r="B1949">
        <v>1</v>
      </c>
      <c r="C1949" t="b">
        <v>0</v>
      </c>
      <c r="D1949" t="s">
        <v>6571</v>
      </c>
      <c r="E1949" t="s">
        <v>6684</v>
      </c>
      <c r="F1949" t="s">
        <v>6734</v>
      </c>
      <c r="G1949" t="s">
        <v>6752</v>
      </c>
      <c r="H1949">
        <v>1948</v>
      </c>
      <c r="I1949" t="str">
        <f>IF(ISBLANK(Table1[[#This Row],[oid]]),"FALSE","TRUE")</f>
        <v>TRUE</v>
      </c>
      <c r="J1949" t="str" cm="1">
        <f t="array" ref="J1949">_xlfn.SWITCH(LEFT(Table1[[#This Row],[section]],1), "D", "Demographic", "S", "Social", "E", "Economic", "H", "Housing", "")</f>
        <v>Economic</v>
      </c>
      <c r="K1949" t="s">
        <v>5603</v>
      </c>
      <c r="L1949" t="s">
        <v>5604</v>
      </c>
      <c r="M1949" t="str">
        <f>IF(Table1[[#This Row],[used]], _xlfn.CONCAT("🆔 ", Table1[[#This Row],[variable]], ": ",Table1[[#This Row],[alias]]), "")</f>
        <v>🆔 B20003_003E: Aggregate earnings in the past 12 months in 2018 inflation-adjusted dollars: Male: Worked full-time year-round in the past 12 months</v>
      </c>
      <c r="O1949" t="s">
        <v>6753</v>
      </c>
      <c r="P1949" t="s">
        <v>6695</v>
      </c>
      <c r="Q1949" t="s">
        <v>41</v>
      </c>
      <c r="R1949" t="s">
        <v>6737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1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</row>
    <row r="1950" spans="1:33" x14ac:dyDescent="0.25">
      <c r="A1950" t="s">
        <v>27</v>
      </c>
      <c r="B1950">
        <v>1</v>
      </c>
      <c r="C1950" t="b">
        <v>0</v>
      </c>
      <c r="D1950" t="s">
        <v>6571</v>
      </c>
      <c r="E1950" t="s">
        <v>6684</v>
      </c>
      <c r="F1950" t="s">
        <v>6734</v>
      </c>
      <c r="G1950" t="s">
        <v>6754</v>
      </c>
      <c r="H1950">
        <v>1949</v>
      </c>
      <c r="I1950" t="str">
        <f>IF(ISBLANK(Table1[[#This Row],[oid]]),"FALSE","TRUE")</f>
        <v>TRUE</v>
      </c>
      <c r="J1950" t="str" cm="1">
        <f t="array" ref="J1950">_xlfn.SWITCH(LEFT(Table1[[#This Row],[section]],1), "D", "Demographic", "S", "Social", "E", "Economic", "H", "Housing", "")</f>
        <v>Economic</v>
      </c>
      <c r="K1950" t="s">
        <v>5603</v>
      </c>
      <c r="L1950" t="s">
        <v>5604</v>
      </c>
      <c r="M1950" t="str">
        <f>IF(Table1[[#This Row],[used]], _xlfn.CONCAT("🆔 ", Table1[[#This Row],[variable]], ": ",Table1[[#This Row],[alias]]), "")</f>
        <v>🆔 B20003_003E: Aggregate earnings in the past 12 months in 2019 inflation-adjusted dollars: Male: Worked full-time year-round in the past 12 months</v>
      </c>
      <c r="O1950" t="s">
        <v>6755</v>
      </c>
      <c r="P1950" t="s">
        <v>6696</v>
      </c>
      <c r="Q1950" t="s">
        <v>41</v>
      </c>
      <c r="R1950" t="s">
        <v>6737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1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</row>
    <row r="1951" spans="1:33" x14ac:dyDescent="0.25">
      <c r="A1951" t="s">
        <v>28</v>
      </c>
      <c r="B1951">
        <v>1</v>
      </c>
      <c r="C1951" t="b">
        <v>0</v>
      </c>
      <c r="D1951" t="s">
        <v>6571</v>
      </c>
      <c r="E1951" t="s">
        <v>6684</v>
      </c>
      <c r="F1951" t="s">
        <v>6734</v>
      </c>
      <c r="G1951" t="s">
        <v>6756</v>
      </c>
      <c r="H1951">
        <v>1950</v>
      </c>
      <c r="I1951" t="str">
        <f>IF(ISBLANK(Table1[[#This Row],[oid]]),"FALSE","TRUE")</f>
        <v>TRUE</v>
      </c>
      <c r="J1951" t="str" cm="1">
        <f t="array" ref="J1951">_xlfn.SWITCH(LEFT(Table1[[#This Row],[section]],1), "D", "Demographic", "S", "Social", "E", "Economic", "H", "Housing", "")</f>
        <v>Economic</v>
      </c>
      <c r="K1951" t="s">
        <v>5603</v>
      </c>
      <c r="L1951" t="s">
        <v>5604</v>
      </c>
      <c r="M1951" t="str">
        <f>IF(Table1[[#This Row],[used]], _xlfn.CONCAT("🆔 ", Table1[[#This Row],[variable]], ": ",Table1[[#This Row],[alias]]), "")</f>
        <v>🆔 B20003_003E: Aggregate earnings in the past 12 months in 2020 inflation-adjusted dollars: Male: Worked full-time year-round in the past 12 months</v>
      </c>
      <c r="O1951" t="s">
        <v>6757</v>
      </c>
      <c r="P1951" t="s">
        <v>6697</v>
      </c>
      <c r="Q1951" t="s">
        <v>41</v>
      </c>
      <c r="R1951" t="s">
        <v>6737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1</v>
      </c>
      <c r="AD1951" t="b">
        <v>0</v>
      </c>
      <c r="AE1951" t="b">
        <v>0</v>
      </c>
      <c r="AF1951" t="b">
        <v>0</v>
      </c>
      <c r="AG1951" t="b">
        <v>0</v>
      </c>
    </row>
    <row r="1952" spans="1:33" x14ac:dyDescent="0.25">
      <c r="A1952" t="s">
        <v>29</v>
      </c>
      <c r="B1952">
        <v>1</v>
      </c>
      <c r="C1952" t="b">
        <v>0</v>
      </c>
      <c r="D1952" t="s">
        <v>6571</v>
      </c>
      <c r="E1952" t="s">
        <v>6684</v>
      </c>
      <c r="F1952" t="s">
        <v>6734</v>
      </c>
      <c r="G1952" t="s">
        <v>6758</v>
      </c>
      <c r="H1952">
        <v>1951</v>
      </c>
      <c r="I1952" t="str">
        <f>IF(ISBLANK(Table1[[#This Row],[oid]]),"FALSE","TRUE")</f>
        <v>TRUE</v>
      </c>
      <c r="J1952" t="str" cm="1">
        <f t="array" ref="J1952">_xlfn.SWITCH(LEFT(Table1[[#This Row],[section]],1), "D", "Demographic", "S", "Social", "E", "Economic", "H", "Housing", "")</f>
        <v>Economic</v>
      </c>
      <c r="K1952" t="s">
        <v>5603</v>
      </c>
      <c r="L1952" t="s">
        <v>5604</v>
      </c>
      <c r="M1952" t="str">
        <f>IF(Table1[[#This Row],[used]], _xlfn.CONCAT("🆔 ", Table1[[#This Row],[variable]], ": ",Table1[[#This Row],[alias]]), "")</f>
        <v>🆔 B20003_003E: Aggregate earnings in the past 12 months in 2021 inflation-adjusted dollars: Male: Worked full-time year-round in the past 12 months</v>
      </c>
      <c r="O1952" t="s">
        <v>6759</v>
      </c>
      <c r="P1952" t="s">
        <v>6698</v>
      </c>
      <c r="Q1952" t="s">
        <v>41</v>
      </c>
      <c r="R1952" t="s">
        <v>6737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1</v>
      </c>
      <c r="AE1952" t="b">
        <v>0</v>
      </c>
      <c r="AF1952" t="b">
        <v>0</v>
      </c>
      <c r="AG1952" t="b">
        <v>0</v>
      </c>
    </row>
    <row r="1953" spans="1:33" x14ac:dyDescent="0.25">
      <c r="A1953" t="s">
        <v>30</v>
      </c>
      <c r="B1953">
        <v>1</v>
      </c>
      <c r="C1953" t="b">
        <v>0</v>
      </c>
      <c r="D1953" t="s">
        <v>6571</v>
      </c>
      <c r="E1953" t="s">
        <v>6684</v>
      </c>
      <c r="F1953" t="s">
        <v>6734</v>
      </c>
      <c r="G1953" t="s">
        <v>6760</v>
      </c>
      <c r="H1953">
        <v>1952</v>
      </c>
      <c r="I1953" t="str">
        <f>IF(ISBLANK(Table1[[#This Row],[oid]]),"FALSE","TRUE")</f>
        <v>TRUE</v>
      </c>
      <c r="J1953" t="str" cm="1">
        <f t="array" ref="J1953">_xlfn.SWITCH(LEFT(Table1[[#This Row],[section]],1), "D", "Demographic", "S", "Social", "E", "Economic", "H", "Housing", "")</f>
        <v>Economic</v>
      </c>
      <c r="K1953" t="s">
        <v>5603</v>
      </c>
      <c r="L1953" t="s">
        <v>5604</v>
      </c>
      <c r="M1953" t="str">
        <f>IF(Table1[[#This Row],[used]], _xlfn.CONCAT("🆔 ", Table1[[#This Row],[variable]], ": ",Table1[[#This Row],[alias]]), "")</f>
        <v>🆔 B20003_003E: Aggregate earnings in the past 12 months in 2022 inflation-adjusted dollars: Male: Worked full-time year-round in the past 12 months</v>
      </c>
      <c r="O1953" t="s">
        <v>6761</v>
      </c>
      <c r="P1953" t="s">
        <v>6699</v>
      </c>
      <c r="Q1953" t="s">
        <v>41</v>
      </c>
      <c r="R1953" t="s">
        <v>6737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1</v>
      </c>
      <c r="AF1953" t="b">
        <v>0</v>
      </c>
      <c r="AG1953" t="b">
        <v>0</v>
      </c>
    </row>
    <row r="1954" spans="1:33" x14ac:dyDescent="0.25">
      <c r="A1954" t="s">
        <v>31</v>
      </c>
      <c r="B1954">
        <v>1</v>
      </c>
      <c r="C1954" t="b">
        <v>0</v>
      </c>
      <c r="D1954" t="s">
        <v>6571</v>
      </c>
      <c r="E1954" t="s">
        <v>6684</v>
      </c>
      <c r="F1954" t="s">
        <v>6734</v>
      </c>
      <c r="G1954" t="s">
        <v>6762</v>
      </c>
      <c r="H1954">
        <v>1953</v>
      </c>
      <c r="I1954" t="str">
        <f>IF(ISBLANK(Table1[[#This Row],[oid]]),"FALSE","TRUE")</f>
        <v>TRUE</v>
      </c>
      <c r="J1954" t="str" cm="1">
        <f t="array" ref="J1954">_xlfn.SWITCH(LEFT(Table1[[#This Row],[section]],1), "D", "Demographic", "S", "Social", "E", "Economic", "H", "Housing", "")</f>
        <v>Economic</v>
      </c>
      <c r="K1954" t="s">
        <v>5603</v>
      </c>
      <c r="L1954" t="s">
        <v>5604</v>
      </c>
      <c r="M1954" t="str">
        <f>IF(Table1[[#This Row],[used]], _xlfn.CONCAT("🆔 ", Table1[[#This Row],[variable]], ": ",Table1[[#This Row],[alias]]), "")</f>
        <v>🆔 B20003_003E: Aggregate earnings in the past 12 months in 2023 inflation-adjusted dollars: Male: Worked full-time year-round in the past 12 months</v>
      </c>
      <c r="O1954" t="s">
        <v>6763</v>
      </c>
      <c r="P1954" t="s">
        <v>6700</v>
      </c>
      <c r="Q1954" t="s">
        <v>41</v>
      </c>
      <c r="R1954" t="s">
        <v>6737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1</v>
      </c>
      <c r="AG1954" t="b">
        <v>0</v>
      </c>
    </row>
    <row r="1955" spans="1:33" x14ac:dyDescent="0.25">
      <c r="A1955" t="s">
        <v>32</v>
      </c>
      <c r="B1955">
        <v>1</v>
      </c>
      <c r="C1955" t="b">
        <v>0</v>
      </c>
      <c r="D1955" t="s">
        <v>6571</v>
      </c>
      <c r="E1955" t="s">
        <v>6684</v>
      </c>
      <c r="F1955" t="s">
        <v>6734</v>
      </c>
      <c r="G1955" t="s">
        <v>6764</v>
      </c>
      <c r="H1955">
        <v>1954</v>
      </c>
      <c r="I1955" t="str">
        <f>IF(ISBLANK(Table1[[#This Row],[oid]]),"FALSE","TRUE")</f>
        <v>TRUE</v>
      </c>
      <c r="J1955" t="str" cm="1">
        <f t="array" ref="J1955">_xlfn.SWITCH(LEFT(Table1[[#This Row],[section]],1), "D", "Demographic", "S", "Social", "E", "Economic", "H", "Housing", "")</f>
        <v>Economic</v>
      </c>
      <c r="K1955" t="s">
        <v>5603</v>
      </c>
      <c r="L1955" t="s">
        <v>5604</v>
      </c>
      <c r="M1955" t="str">
        <f>IF(Table1[[#This Row],[used]], _xlfn.CONCAT("🆔 ", Table1[[#This Row],[variable]], ": ",Table1[[#This Row],[alias]]), "")</f>
        <v>🆔 B20003_003E: Aggregate earnings in the past 12 months in 2024 inflation-adjusted dollars: Male: Worked full-time year-round in the past 12 months</v>
      </c>
      <c r="O1955" t="s">
        <v>6765</v>
      </c>
      <c r="P1955" t="s">
        <v>6701</v>
      </c>
      <c r="Q1955" t="s">
        <v>41</v>
      </c>
      <c r="R1955" t="s">
        <v>6737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1</v>
      </c>
    </row>
    <row r="1956" spans="1:33" x14ac:dyDescent="0.25">
      <c r="A1956" t="s">
        <v>18</v>
      </c>
      <c r="B1956">
        <v>1</v>
      </c>
      <c r="C1956" t="b">
        <v>0</v>
      </c>
      <c r="D1956" t="s">
        <v>6571</v>
      </c>
      <c r="E1956" t="s">
        <v>6684</v>
      </c>
      <c r="F1956" t="s">
        <v>6766</v>
      </c>
      <c r="G1956" t="s">
        <v>6767</v>
      </c>
      <c r="H1956">
        <v>1955</v>
      </c>
      <c r="I1956" t="str">
        <f>IF(ISBLANK(Table1[[#This Row],[oid]]),"FALSE","TRUE")</f>
        <v>TRUE</v>
      </c>
      <c r="J1956" t="str" cm="1">
        <f t="array" ref="J1956">_xlfn.SWITCH(LEFT(Table1[[#This Row],[section]],1), "D", "Demographic", "S", "Social", "E", "Economic", "H", "Housing", "")</f>
        <v>Economic</v>
      </c>
      <c r="K1956" t="s">
        <v>5603</v>
      </c>
      <c r="L1956" t="s">
        <v>5604</v>
      </c>
      <c r="M1956" t="str">
        <f>IF(Table1[[#This Row],[used]], _xlfn.CONCAT("🆔 ", Table1[[#This Row],[variable]], ": ",Table1[[#This Row],[alias]]), "")</f>
        <v>🆔 B20003_005E: Aggregate earnings in the past 12 months in 2010 inflation-adjusted dollars: Female</v>
      </c>
      <c r="O1956" t="s">
        <v>6768</v>
      </c>
      <c r="P1956" t="s">
        <v>6686</v>
      </c>
      <c r="Q1956" t="s">
        <v>41</v>
      </c>
      <c r="R1956" t="s">
        <v>6769</v>
      </c>
      <c r="S1956" t="b">
        <v>1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</row>
    <row r="1957" spans="1:33" x14ac:dyDescent="0.25">
      <c r="A1957" t="s">
        <v>19</v>
      </c>
      <c r="B1957">
        <v>1</v>
      </c>
      <c r="C1957" t="b">
        <v>0</v>
      </c>
      <c r="D1957" t="s">
        <v>6571</v>
      </c>
      <c r="E1957" t="s">
        <v>6684</v>
      </c>
      <c r="F1957" t="s">
        <v>6766</v>
      </c>
      <c r="G1957" t="s">
        <v>6770</v>
      </c>
      <c r="H1957">
        <v>1956</v>
      </c>
      <c r="I1957" t="str">
        <f>IF(ISBLANK(Table1[[#This Row],[oid]]),"FALSE","TRUE")</f>
        <v>TRUE</v>
      </c>
      <c r="J1957" t="str" cm="1">
        <f t="array" ref="J1957">_xlfn.SWITCH(LEFT(Table1[[#This Row],[section]],1), "D", "Demographic", "S", "Social", "E", "Economic", "H", "Housing", "")</f>
        <v>Economic</v>
      </c>
      <c r="K1957" t="s">
        <v>5603</v>
      </c>
      <c r="L1957" t="s">
        <v>5604</v>
      </c>
      <c r="M1957" t="str">
        <f>IF(Table1[[#This Row],[used]], _xlfn.CONCAT("🆔 ", Table1[[#This Row],[variable]], ": ",Table1[[#This Row],[alias]]), "")</f>
        <v>🆔 B20003_005E: Aggregate earnings in the past 12 months in 2011 inflation-adjusted dollars: Female</v>
      </c>
      <c r="O1957" t="s">
        <v>6771</v>
      </c>
      <c r="P1957" t="s">
        <v>6688</v>
      </c>
      <c r="Q1957" t="s">
        <v>41</v>
      </c>
      <c r="R1957" t="s">
        <v>6769</v>
      </c>
      <c r="S1957" t="b">
        <v>0</v>
      </c>
      <c r="T1957" t="b">
        <v>1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</row>
    <row r="1958" spans="1:33" x14ac:dyDescent="0.25">
      <c r="A1958" t="s">
        <v>20</v>
      </c>
      <c r="B1958">
        <v>1</v>
      </c>
      <c r="C1958" t="b">
        <v>0</v>
      </c>
      <c r="D1958" t="s">
        <v>6571</v>
      </c>
      <c r="E1958" t="s">
        <v>6684</v>
      </c>
      <c r="F1958" t="s">
        <v>6766</v>
      </c>
      <c r="G1958" t="s">
        <v>6772</v>
      </c>
      <c r="H1958">
        <v>1957</v>
      </c>
      <c r="I1958" t="str">
        <f>IF(ISBLANK(Table1[[#This Row],[oid]]),"FALSE","TRUE")</f>
        <v>TRUE</v>
      </c>
      <c r="J1958" t="str" cm="1">
        <f t="array" ref="J1958">_xlfn.SWITCH(LEFT(Table1[[#This Row],[section]],1), "D", "Demographic", "S", "Social", "E", "Economic", "H", "Housing", "")</f>
        <v>Economic</v>
      </c>
      <c r="K1958" t="s">
        <v>5603</v>
      </c>
      <c r="L1958" t="s">
        <v>5604</v>
      </c>
      <c r="M1958" t="str">
        <f>IF(Table1[[#This Row],[used]], _xlfn.CONCAT("🆔 ", Table1[[#This Row],[variable]], ": ",Table1[[#This Row],[alias]]), "")</f>
        <v>🆔 B20003_005E: Aggregate earnings in the past 12 months in 2012 inflation-adjusted dollars: Female</v>
      </c>
      <c r="O1958" t="s">
        <v>6773</v>
      </c>
      <c r="P1958" t="s">
        <v>6689</v>
      </c>
      <c r="Q1958" t="s">
        <v>41</v>
      </c>
      <c r="R1958" t="s">
        <v>6769</v>
      </c>
      <c r="S1958" t="b">
        <v>0</v>
      </c>
      <c r="T1958" t="b">
        <v>0</v>
      </c>
      <c r="U1958" t="b">
        <v>1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</row>
    <row r="1959" spans="1:33" x14ac:dyDescent="0.25">
      <c r="A1959" t="s">
        <v>21</v>
      </c>
      <c r="B1959">
        <v>1</v>
      </c>
      <c r="C1959" t="b">
        <v>0</v>
      </c>
      <c r="D1959" t="s">
        <v>6571</v>
      </c>
      <c r="E1959" t="s">
        <v>6684</v>
      </c>
      <c r="F1959" t="s">
        <v>6766</v>
      </c>
      <c r="G1959" t="s">
        <v>6774</v>
      </c>
      <c r="H1959">
        <v>1958</v>
      </c>
      <c r="I1959" t="str">
        <f>IF(ISBLANK(Table1[[#This Row],[oid]]),"FALSE","TRUE")</f>
        <v>TRUE</v>
      </c>
      <c r="J1959" t="str" cm="1">
        <f t="array" ref="J1959">_xlfn.SWITCH(LEFT(Table1[[#This Row],[section]],1), "D", "Demographic", "S", "Social", "E", "Economic", "H", "Housing", "")</f>
        <v>Economic</v>
      </c>
      <c r="K1959" t="s">
        <v>5603</v>
      </c>
      <c r="L1959" t="s">
        <v>5604</v>
      </c>
      <c r="M1959" t="str">
        <f>IF(Table1[[#This Row],[used]], _xlfn.CONCAT("🆔 ", Table1[[#This Row],[variable]], ": ",Table1[[#This Row],[alias]]), "")</f>
        <v>🆔 B20003_005E: Aggregate earnings in the past 12 months in 2013 inflation-adjusted dollars: Female</v>
      </c>
      <c r="O1959" t="s">
        <v>6775</v>
      </c>
      <c r="P1959" t="s">
        <v>6690</v>
      </c>
      <c r="Q1959" t="s">
        <v>41</v>
      </c>
      <c r="R1959" t="s">
        <v>6769</v>
      </c>
      <c r="S1959" t="b">
        <v>0</v>
      </c>
      <c r="T1959" t="b">
        <v>0</v>
      </c>
      <c r="U1959" t="b">
        <v>0</v>
      </c>
      <c r="V1959" t="b">
        <v>1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</row>
    <row r="1960" spans="1:33" x14ac:dyDescent="0.25">
      <c r="A1960" t="s">
        <v>22</v>
      </c>
      <c r="B1960">
        <v>1</v>
      </c>
      <c r="C1960" t="b">
        <v>0</v>
      </c>
      <c r="D1960" t="s">
        <v>6571</v>
      </c>
      <c r="E1960" t="s">
        <v>6684</v>
      </c>
      <c r="F1960" t="s">
        <v>6766</v>
      </c>
      <c r="G1960" t="s">
        <v>6776</v>
      </c>
      <c r="H1960">
        <v>1959</v>
      </c>
      <c r="I1960" t="str">
        <f>IF(ISBLANK(Table1[[#This Row],[oid]]),"FALSE","TRUE")</f>
        <v>TRUE</v>
      </c>
      <c r="J1960" t="str" cm="1">
        <f t="array" ref="J1960">_xlfn.SWITCH(LEFT(Table1[[#This Row],[section]],1), "D", "Demographic", "S", "Social", "E", "Economic", "H", "Housing", "")</f>
        <v>Economic</v>
      </c>
      <c r="K1960" t="s">
        <v>5603</v>
      </c>
      <c r="L1960" t="s">
        <v>5604</v>
      </c>
      <c r="M1960" t="str">
        <f>IF(Table1[[#This Row],[used]], _xlfn.CONCAT("🆔 ", Table1[[#This Row],[variable]], ": ",Table1[[#This Row],[alias]]), "")</f>
        <v>🆔 B20003_005E: Aggregate earnings in the past 12 months in 2014 Inflation-adjusted dollars: Female</v>
      </c>
      <c r="O1960" t="s">
        <v>6777</v>
      </c>
      <c r="P1960" t="s">
        <v>6691</v>
      </c>
      <c r="Q1960" t="s">
        <v>41</v>
      </c>
      <c r="R1960" t="s">
        <v>6769</v>
      </c>
      <c r="S1960" t="b">
        <v>0</v>
      </c>
      <c r="T1960" t="b">
        <v>0</v>
      </c>
      <c r="U1960" t="b">
        <v>0</v>
      </c>
      <c r="V1960" t="b">
        <v>0</v>
      </c>
      <c r="W1960" t="b">
        <v>1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</row>
    <row r="1961" spans="1:33" x14ac:dyDescent="0.25">
      <c r="A1961" t="s">
        <v>23</v>
      </c>
      <c r="B1961">
        <v>1</v>
      </c>
      <c r="C1961" t="b">
        <v>0</v>
      </c>
      <c r="D1961" t="s">
        <v>6571</v>
      </c>
      <c r="E1961" t="s">
        <v>6684</v>
      </c>
      <c r="F1961" t="s">
        <v>6766</v>
      </c>
      <c r="G1961" t="s">
        <v>6778</v>
      </c>
      <c r="H1961">
        <v>1960</v>
      </c>
      <c r="I1961" t="str">
        <f>IF(ISBLANK(Table1[[#This Row],[oid]]),"FALSE","TRUE")</f>
        <v>TRUE</v>
      </c>
      <c r="J1961" t="str" cm="1">
        <f t="array" ref="J1961">_xlfn.SWITCH(LEFT(Table1[[#This Row],[section]],1), "D", "Demographic", "S", "Social", "E", "Economic", "H", "Housing", "")</f>
        <v>Economic</v>
      </c>
      <c r="K1961" t="s">
        <v>5603</v>
      </c>
      <c r="L1961" t="s">
        <v>5604</v>
      </c>
      <c r="M1961" t="str">
        <f>IF(Table1[[#This Row],[used]], _xlfn.CONCAT("🆔 ", Table1[[#This Row],[variable]], ": ",Table1[[#This Row],[alias]]), "")</f>
        <v>🆔 B20003_005E: Aggregate earnings in the past 12 months in 2015 Inflation-adjusted dollars: Female</v>
      </c>
      <c r="O1961" t="s">
        <v>6779</v>
      </c>
      <c r="P1961" t="s">
        <v>6692</v>
      </c>
      <c r="Q1961" t="s">
        <v>41</v>
      </c>
      <c r="R1961" t="s">
        <v>6769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1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</row>
    <row r="1962" spans="1:33" x14ac:dyDescent="0.25">
      <c r="A1962" t="s">
        <v>24</v>
      </c>
      <c r="B1962">
        <v>1</v>
      </c>
      <c r="C1962" t="b">
        <v>0</v>
      </c>
      <c r="D1962" t="s">
        <v>6571</v>
      </c>
      <c r="E1962" t="s">
        <v>6684</v>
      </c>
      <c r="F1962" t="s">
        <v>6766</v>
      </c>
      <c r="G1962" t="s">
        <v>6780</v>
      </c>
      <c r="H1962">
        <v>1961</v>
      </c>
      <c r="I1962" t="str">
        <f>IF(ISBLANK(Table1[[#This Row],[oid]]),"FALSE","TRUE")</f>
        <v>TRUE</v>
      </c>
      <c r="J1962" t="str" cm="1">
        <f t="array" ref="J1962">_xlfn.SWITCH(LEFT(Table1[[#This Row],[section]],1), "D", "Demographic", "S", "Social", "E", "Economic", "H", "Housing", "")</f>
        <v>Economic</v>
      </c>
      <c r="K1962" t="s">
        <v>5603</v>
      </c>
      <c r="L1962" t="s">
        <v>5604</v>
      </c>
      <c r="M1962" t="str">
        <f>IF(Table1[[#This Row],[used]], _xlfn.CONCAT("🆔 ", Table1[[#This Row],[variable]], ": ",Table1[[#This Row],[alias]]), "")</f>
        <v>🆔 B20003_005E: Aggregate earnings in the past 12 months in 2016 inflation-adjusted dollars: Female</v>
      </c>
      <c r="O1962" t="s">
        <v>6781</v>
      </c>
      <c r="P1962" t="s">
        <v>6693</v>
      </c>
      <c r="Q1962" t="s">
        <v>41</v>
      </c>
      <c r="R1962" t="s">
        <v>6769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1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</row>
    <row r="1963" spans="1:33" x14ac:dyDescent="0.25">
      <c r="A1963" t="s">
        <v>25</v>
      </c>
      <c r="B1963">
        <v>1</v>
      </c>
      <c r="C1963" t="b">
        <v>0</v>
      </c>
      <c r="D1963" t="s">
        <v>6571</v>
      </c>
      <c r="E1963" t="s">
        <v>6684</v>
      </c>
      <c r="F1963" t="s">
        <v>6766</v>
      </c>
      <c r="G1963" t="s">
        <v>6782</v>
      </c>
      <c r="H1963">
        <v>1962</v>
      </c>
      <c r="I1963" t="str">
        <f>IF(ISBLANK(Table1[[#This Row],[oid]]),"FALSE","TRUE")</f>
        <v>TRUE</v>
      </c>
      <c r="J1963" t="str" cm="1">
        <f t="array" ref="J1963">_xlfn.SWITCH(LEFT(Table1[[#This Row],[section]],1), "D", "Demographic", "S", "Social", "E", "Economic", "H", "Housing", "")</f>
        <v>Economic</v>
      </c>
      <c r="K1963" t="s">
        <v>5603</v>
      </c>
      <c r="L1963" t="s">
        <v>5604</v>
      </c>
      <c r="M1963" t="str">
        <f>IF(Table1[[#This Row],[used]], _xlfn.CONCAT("🆔 ", Table1[[#This Row],[variable]], ": ",Table1[[#This Row],[alias]]), "")</f>
        <v>🆔 B20003_005E: Aggregate earnings in the past 12 months in 2017 inflation-adjusted dollars: Female</v>
      </c>
      <c r="O1963" t="s">
        <v>6783</v>
      </c>
      <c r="P1963" t="s">
        <v>6694</v>
      </c>
      <c r="Q1963" t="s">
        <v>41</v>
      </c>
      <c r="R1963" t="s">
        <v>6769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1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</row>
    <row r="1964" spans="1:33" x14ac:dyDescent="0.25">
      <c r="A1964" t="s">
        <v>26</v>
      </c>
      <c r="B1964">
        <v>1</v>
      </c>
      <c r="C1964" t="b">
        <v>0</v>
      </c>
      <c r="D1964" t="s">
        <v>6571</v>
      </c>
      <c r="E1964" t="s">
        <v>6684</v>
      </c>
      <c r="F1964" t="s">
        <v>6766</v>
      </c>
      <c r="G1964" t="s">
        <v>6784</v>
      </c>
      <c r="H1964">
        <v>1963</v>
      </c>
      <c r="I1964" t="str">
        <f>IF(ISBLANK(Table1[[#This Row],[oid]]),"FALSE","TRUE")</f>
        <v>TRUE</v>
      </c>
      <c r="J1964" t="str" cm="1">
        <f t="array" ref="J1964">_xlfn.SWITCH(LEFT(Table1[[#This Row],[section]],1), "D", "Demographic", "S", "Social", "E", "Economic", "H", "Housing", "")</f>
        <v>Economic</v>
      </c>
      <c r="K1964" t="s">
        <v>5603</v>
      </c>
      <c r="L1964" t="s">
        <v>5604</v>
      </c>
      <c r="M1964" t="str">
        <f>IF(Table1[[#This Row],[used]], _xlfn.CONCAT("🆔 ", Table1[[#This Row],[variable]], ": ",Table1[[#This Row],[alias]]), "")</f>
        <v>🆔 B20003_005E: Aggregate earnings in the past 12 months in 2018 inflation-adjusted dollars: Female</v>
      </c>
      <c r="O1964" t="s">
        <v>6785</v>
      </c>
      <c r="P1964" t="s">
        <v>6695</v>
      </c>
      <c r="Q1964" t="s">
        <v>41</v>
      </c>
      <c r="R1964" t="s">
        <v>6769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1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</row>
    <row r="1965" spans="1:33" x14ac:dyDescent="0.25">
      <c r="A1965" t="s">
        <v>27</v>
      </c>
      <c r="B1965">
        <v>1</v>
      </c>
      <c r="C1965" t="b">
        <v>0</v>
      </c>
      <c r="D1965" t="s">
        <v>6571</v>
      </c>
      <c r="E1965" t="s">
        <v>6684</v>
      </c>
      <c r="F1965" t="s">
        <v>6766</v>
      </c>
      <c r="G1965" t="s">
        <v>6786</v>
      </c>
      <c r="H1965">
        <v>1964</v>
      </c>
      <c r="I1965" t="str">
        <f>IF(ISBLANK(Table1[[#This Row],[oid]]),"FALSE","TRUE")</f>
        <v>TRUE</v>
      </c>
      <c r="J1965" t="str" cm="1">
        <f t="array" ref="J1965">_xlfn.SWITCH(LEFT(Table1[[#This Row],[section]],1), "D", "Demographic", "S", "Social", "E", "Economic", "H", "Housing", "")</f>
        <v>Economic</v>
      </c>
      <c r="K1965" t="s">
        <v>5603</v>
      </c>
      <c r="L1965" t="s">
        <v>5604</v>
      </c>
      <c r="M1965" t="str">
        <f>IF(Table1[[#This Row],[used]], _xlfn.CONCAT("🆔 ", Table1[[#This Row],[variable]], ": ",Table1[[#This Row],[alias]]), "")</f>
        <v>🆔 B20003_005E: Aggregate earnings in the past 12 months in 2019 inflation-adjusted dollars: Female</v>
      </c>
      <c r="O1965" t="s">
        <v>6787</v>
      </c>
      <c r="P1965" t="s">
        <v>6696</v>
      </c>
      <c r="Q1965" t="s">
        <v>41</v>
      </c>
      <c r="R1965" t="s">
        <v>6769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1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</row>
    <row r="1966" spans="1:33" x14ac:dyDescent="0.25">
      <c r="A1966" t="s">
        <v>28</v>
      </c>
      <c r="B1966">
        <v>1</v>
      </c>
      <c r="C1966" t="b">
        <v>0</v>
      </c>
      <c r="D1966" t="s">
        <v>6571</v>
      </c>
      <c r="E1966" t="s">
        <v>6684</v>
      </c>
      <c r="F1966" t="s">
        <v>6766</v>
      </c>
      <c r="G1966" t="s">
        <v>6788</v>
      </c>
      <c r="H1966">
        <v>1965</v>
      </c>
      <c r="I1966" t="str">
        <f>IF(ISBLANK(Table1[[#This Row],[oid]]),"FALSE","TRUE")</f>
        <v>TRUE</v>
      </c>
      <c r="J1966" t="str" cm="1">
        <f t="array" ref="J1966">_xlfn.SWITCH(LEFT(Table1[[#This Row],[section]],1), "D", "Demographic", "S", "Social", "E", "Economic", "H", "Housing", "")</f>
        <v>Economic</v>
      </c>
      <c r="K1966" t="s">
        <v>5603</v>
      </c>
      <c r="L1966" t="s">
        <v>5604</v>
      </c>
      <c r="M1966" t="str">
        <f>IF(Table1[[#This Row],[used]], _xlfn.CONCAT("🆔 ", Table1[[#This Row],[variable]], ": ",Table1[[#This Row],[alias]]), "")</f>
        <v>🆔 B20003_005E: Aggregate earnings in the past 12 months in 2020 inflation-adjusted dollars: Female</v>
      </c>
      <c r="O1966" t="s">
        <v>6789</v>
      </c>
      <c r="P1966" t="s">
        <v>6697</v>
      </c>
      <c r="Q1966" t="s">
        <v>41</v>
      </c>
      <c r="R1966" t="s">
        <v>6769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1</v>
      </c>
      <c r="AD1966" t="b">
        <v>0</v>
      </c>
      <c r="AE1966" t="b">
        <v>0</v>
      </c>
      <c r="AF1966" t="b">
        <v>0</v>
      </c>
      <c r="AG1966" t="b">
        <v>0</v>
      </c>
    </row>
    <row r="1967" spans="1:33" x14ac:dyDescent="0.25">
      <c r="A1967" t="s">
        <v>29</v>
      </c>
      <c r="B1967">
        <v>1</v>
      </c>
      <c r="C1967" t="b">
        <v>0</v>
      </c>
      <c r="D1967" t="s">
        <v>6571</v>
      </c>
      <c r="E1967" t="s">
        <v>6684</v>
      </c>
      <c r="F1967" t="s">
        <v>6766</v>
      </c>
      <c r="G1967" t="s">
        <v>6790</v>
      </c>
      <c r="H1967">
        <v>1966</v>
      </c>
      <c r="I1967" t="str">
        <f>IF(ISBLANK(Table1[[#This Row],[oid]]),"FALSE","TRUE")</f>
        <v>TRUE</v>
      </c>
      <c r="J1967" t="str" cm="1">
        <f t="array" ref="J1967">_xlfn.SWITCH(LEFT(Table1[[#This Row],[section]],1), "D", "Demographic", "S", "Social", "E", "Economic", "H", "Housing", "")</f>
        <v>Economic</v>
      </c>
      <c r="K1967" t="s">
        <v>5603</v>
      </c>
      <c r="L1967" t="s">
        <v>5604</v>
      </c>
      <c r="M1967" t="str">
        <f>IF(Table1[[#This Row],[used]], _xlfn.CONCAT("🆔 ", Table1[[#This Row],[variable]], ": ",Table1[[#This Row],[alias]]), "")</f>
        <v>🆔 B20003_005E: Aggregate earnings in the past 12 months in 2021 inflation-adjusted dollars: Female</v>
      </c>
      <c r="O1967" t="s">
        <v>6791</v>
      </c>
      <c r="P1967" t="s">
        <v>6698</v>
      </c>
      <c r="Q1967" t="s">
        <v>41</v>
      </c>
      <c r="R1967" t="s">
        <v>6769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1</v>
      </c>
      <c r="AE1967" t="b">
        <v>0</v>
      </c>
      <c r="AF1967" t="b">
        <v>0</v>
      </c>
      <c r="AG1967" t="b">
        <v>0</v>
      </c>
    </row>
    <row r="1968" spans="1:33" x14ac:dyDescent="0.25">
      <c r="A1968" t="s">
        <v>30</v>
      </c>
      <c r="B1968">
        <v>1</v>
      </c>
      <c r="C1968" t="b">
        <v>0</v>
      </c>
      <c r="D1968" t="s">
        <v>6571</v>
      </c>
      <c r="E1968" t="s">
        <v>6684</v>
      </c>
      <c r="F1968" t="s">
        <v>6766</v>
      </c>
      <c r="G1968" t="s">
        <v>6792</v>
      </c>
      <c r="H1968">
        <v>1967</v>
      </c>
      <c r="I1968" t="str">
        <f>IF(ISBLANK(Table1[[#This Row],[oid]]),"FALSE","TRUE")</f>
        <v>TRUE</v>
      </c>
      <c r="J1968" t="str" cm="1">
        <f t="array" ref="J1968">_xlfn.SWITCH(LEFT(Table1[[#This Row],[section]],1), "D", "Demographic", "S", "Social", "E", "Economic", "H", "Housing", "")</f>
        <v>Economic</v>
      </c>
      <c r="K1968" t="s">
        <v>5603</v>
      </c>
      <c r="L1968" t="s">
        <v>5604</v>
      </c>
      <c r="M1968" t="str">
        <f>IF(Table1[[#This Row],[used]], _xlfn.CONCAT("🆔 ", Table1[[#This Row],[variable]], ": ",Table1[[#This Row],[alias]]), "")</f>
        <v>🆔 B20003_005E: Aggregate earnings in the past 12 months in 2022 inflation-adjusted dollars: Female</v>
      </c>
      <c r="O1968" t="s">
        <v>6793</v>
      </c>
      <c r="P1968" t="s">
        <v>6699</v>
      </c>
      <c r="Q1968" t="s">
        <v>41</v>
      </c>
      <c r="R1968" t="s">
        <v>6769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1</v>
      </c>
      <c r="AF1968" t="b">
        <v>0</v>
      </c>
      <c r="AG1968" t="b">
        <v>0</v>
      </c>
    </row>
    <row r="1969" spans="1:33" x14ac:dyDescent="0.25">
      <c r="A1969" t="s">
        <v>31</v>
      </c>
      <c r="B1969">
        <v>1</v>
      </c>
      <c r="C1969" t="b">
        <v>0</v>
      </c>
      <c r="D1969" t="s">
        <v>6571</v>
      </c>
      <c r="E1969" t="s">
        <v>6684</v>
      </c>
      <c r="F1969" t="s">
        <v>6766</v>
      </c>
      <c r="G1969" t="s">
        <v>6794</v>
      </c>
      <c r="H1969">
        <v>1968</v>
      </c>
      <c r="I1969" t="str">
        <f>IF(ISBLANK(Table1[[#This Row],[oid]]),"FALSE","TRUE")</f>
        <v>TRUE</v>
      </c>
      <c r="J1969" t="str" cm="1">
        <f t="array" ref="J1969">_xlfn.SWITCH(LEFT(Table1[[#This Row],[section]],1), "D", "Demographic", "S", "Social", "E", "Economic", "H", "Housing", "")</f>
        <v>Economic</v>
      </c>
      <c r="K1969" t="s">
        <v>5603</v>
      </c>
      <c r="L1969" t="s">
        <v>5604</v>
      </c>
      <c r="M1969" t="str">
        <f>IF(Table1[[#This Row],[used]], _xlfn.CONCAT("🆔 ", Table1[[#This Row],[variable]], ": ",Table1[[#This Row],[alias]]), "")</f>
        <v>🆔 B20003_005E: Aggregate earnings in the past 12 months in 2023 inflation-adjusted dollars: Female</v>
      </c>
      <c r="O1969" t="s">
        <v>6795</v>
      </c>
      <c r="P1969" t="s">
        <v>6700</v>
      </c>
      <c r="Q1969" t="s">
        <v>41</v>
      </c>
      <c r="R1969" t="s">
        <v>6769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1</v>
      </c>
      <c r="AG1969" t="b">
        <v>0</v>
      </c>
    </row>
    <row r="1970" spans="1:33" x14ac:dyDescent="0.25">
      <c r="A1970" t="s">
        <v>32</v>
      </c>
      <c r="B1970">
        <v>1</v>
      </c>
      <c r="C1970" t="b">
        <v>0</v>
      </c>
      <c r="D1970" t="s">
        <v>6571</v>
      </c>
      <c r="E1970" t="s">
        <v>6684</v>
      </c>
      <c r="F1970" t="s">
        <v>6766</v>
      </c>
      <c r="G1970" t="s">
        <v>6796</v>
      </c>
      <c r="H1970">
        <v>1969</v>
      </c>
      <c r="I1970" t="str">
        <f>IF(ISBLANK(Table1[[#This Row],[oid]]),"FALSE","TRUE")</f>
        <v>TRUE</v>
      </c>
      <c r="J1970" t="str" cm="1">
        <f t="array" ref="J1970">_xlfn.SWITCH(LEFT(Table1[[#This Row],[section]],1), "D", "Demographic", "S", "Social", "E", "Economic", "H", "Housing", "")</f>
        <v>Economic</v>
      </c>
      <c r="K1970" t="s">
        <v>5603</v>
      </c>
      <c r="L1970" t="s">
        <v>5604</v>
      </c>
      <c r="M1970" t="str">
        <f>IF(Table1[[#This Row],[used]], _xlfn.CONCAT("🆔 ", Table1[[#This Row],[variable]], ": ",Table1[[#This Row],[alias]]), "")</f>
        <v>🆔 B20003_005E: Aggregate earnings in the past 12 months in 2024 inflation-adjusted dollars: Female</v>
      </c>
      <c r="O1970" t="s">
        <v>6797</v>
      </c>
      <c r="P1970" t="s">
        <v>6701</v>
      </c>
      <c r="Q1970" t="s">
        <v>41</v>
      </c>
      <c r="R1970" t="s">
        <v>6769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1</v>
      </c>
    </row>
    <row r="1971" spans="1:33" x14ac:dyDescent="0.25">
      <c r="A1971" t="s">
        <v>18</v>
      </c>
      <c r="B1971">
        <v>1</v>
      </c>
      <c r="C1971" t="b">
        <v>0</v>
      </c>
      <c r="D1971" t="s">
        <v>6571</v>
      </c>
      <c r="E1971" t="s">
        <v>6684</v>
      </c>
      <c r="F1971" t="s">
        <v>6798</v>
      </c>
      <c r="G1971" t="s">
        <v>6799</v>
      </c>
      <c r="H1971">
        <v>1970</v>
      </c>
      <c r="I1971" t="str">
        <f>IF(ISBLANK(Table1[[#This Row],[oid]]),"FALSE","TRUE")</f>
        <v>TRUE</v>
      </c>
      <c r="J1971" t="str" cm="1">
        <f t="array" ref="J1971">_xlfn.SWITCH(LEFT(Table1[[#This Row],[section]],1), "D", "Demographic", "S", "Social", "E", "Economic", "H", "Housing", "")</f>
        <v>Economic</v>
      </c>
      <c r="K1971" t="s">
        <v>5603</v>
      </c>
      <c r="L1971" t="s">
        <v>5604</v>
      </c>
      <c r="M1971" t="str">
        <f>IF(Table1[[#This Row],[used]], _xlfn.CONCAT("🆔 ", Table1[[#This Row],[variable]], ": ",Table1[[#This Row],[alias]]), "")</f>
        <v>🆔 B20003_006E: Aggregate earnings in the past 12 months in 2010 inflation-adjusted dollars: Female: Worked full-time year-round in the past 12 months</v>
      </c>
      <c r="O1971" t="s">
        <v>6800</v>
      </c>
      <c r="P1971" t="s">
        <v>6686</v>
      </c>
      <c r="Q1971" t="s">
        <v>41</v>
      </c>
      <c r="R1971" t="s">
        <v>6801</v>
      </c>
      <c r="S1971" t="b">
        <v>1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</row>
    <row r="1972" spans="1:33" x14ac:dyDescent="0.25">
      <c r="A1972" t="s">
        <v>19</v>
      </c>
      <c r="B1972">
        <v>1</v>
      </c>
      <c r="C1972" t="b">
        <v>0</v>
      </c>
      <c r="D1972" t="s">
        <v>6571</v>
      </c>
      <c r="E1972" t="s">
        <v>6684</v>
      </c>
      <c r="F1972" t="s">
        <v>6798</v>
      </c>
      <c r="G1972" t="s">
        <v>6802</v>
      </c>
      <c r="H1972">
        <v>1971</v>
      </c>
      <c r="I1972" t="str">
        <f>IF(ISBLANK(Table1[[#This Row],[oid]]),"FALSE","TRUE")</f>
        <v>TRUE</v>
      </c>
      <c r="J1972" t="str" cm="1">
        <f t="array" ref="J1972">_xlfn.SWITCH(LEFT(Table1[[#This Row],[section]],1), "D", "Demographic", "S", "Social", "E", "Economic", "H", "Housing", "")</f>
        <v>Economic</v>
      </c>
      <c r="K1972" t="s">
        <v>5603</v>
      </c>
      <c r="L1972" t="s">
        <v>5604</v>
      </c>
      <c r="M1972" t="str">
        <f>IF(Table1[[#This Row],[used]], _xlfn.CONCAT("🆔 ", Table1[[#This Row],[variable]], ": ",Table1[[#This Row],[alias]]), "")</f>
        <v>🆔 B20003_006E: Aggregate earnings in the past 12 months in 2011 inflation-adjusted dollars: Female: Worked full-time year-round in the past 12 months</v>
      </c>
      <c r="O1972" t="s">
        <v>6803</v>
      </c>
      <c r="P1972" t="s">
        <v>6688</v>
      </c>
      <c r="Q1972" t="s">
        <v>41</v>
      </c>
      <c r="R1972" t="s">
        <v>6801</v>
      </c>
      <c r="S1972" t="b">
        <v>0</v>
      </c>
      <c r="T1972" t="b">
        <v>1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</row>
    <row r="1973" spans="1:33" x14ac:dyDescent="0.25">
      <c r="A1973" t="s">
        <v>20</v>
      </c>
      <c r="B1973">
        <v>1</v>
      </c>
      <c r="C1973" t="b">
        <v>0</v>
      </c>
      <c r="D1973" t="s">
        <v>6571</v>
      </c>
      <c r="E1973" t="s">
        <v>6684</v>
      </c>
      <c r="F1973" t="s">
        <v>6798</v>
      </c>
      <c r="G1973" t="s">
        <v>6804</v>
      </c>
      <c r="H1973">
        <v>1972</v>
      </c>
      <c r="I1973" t="str">
        <f>IF(ISBLANK(Table1[[#This Row],[oid]]),"FALSE","TRUE")</f>
        <v>TRUE</v>
      </c>
      <c r="J1973" t="str" cm="1">
        <f t="array" ref="J1973">_xlfn.SWITCH(LEFT(Table1[[#This Row],[section]],1), "D", "Demographic", "S", "Social", "E", "Economic", "H", "Housing", "")</f>
        <v>Economic</v>
      </c>
      <c r="K1973" t="s">
        <v>5603</v>
      </c>
      <c r="L1973" t="s">
        <v>5604</v>
      </c>
      <c r="M1973" t="str">
        <f>IF(Table1[[#This Row],[used]], _xlfn.CONCAT("🆔 ", Table1[[#This Row],[variable]], ": ",Table1[[#This Row],[alias]]), "")</f>
        <v>🆔 B20003_006E: Aggregate earnings in the past 12 months in 2012 inflation-adjusted dollars: Female: Worked full-time year-round in the past 12 months</v>
      </c>
      <c r="O1973" t="s">
        <v>6805</v>
      </c>
      <c r="P1973" t="s">
        <v>6689</v>
      </c>
      <c r="Q1973" t="s">
        <v>41</v>
      </c>
      <c r="R1973" t="s">
        <v>6801</v>
      </c>
      <c r="S1973" t="b">
        <v>0</v>
      </c>
      <c r="T1973" t="b">
        <v>0</v>
      </c>
      <c r="U1973" t="b">
        <v>1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</row>
    <row r="1974" spans="1:33" x14ac:dyDescent="0.25">
      <c r="A1974" t="s">
        <v>21</v>
      </c>
      <c r="B1974">
        <v>1</v>
      </c>
      <c r="C1974" t="b">
        <v>0</v>
      </c>
      <c r="D1974" t="s">
        <v>6571</v>
      </c>
      <c r="E1974" t="s">
        <v>6684</v>
      </c>
      <c r="F1974" t="s">
        <v>6798</v>
      </c>
      <c r="G1974" t="s">
        <v>6806</v>
      </c>
      <c r="H1974">
        <v>1973</v>
      </c>
      <c r="I1974" t="str">
        <f>IF(ISBLANK(Table1[[#This Row],[oid]]),"FALSE","TRUE")</f>
        <v>TRUE</v>
      </c>
      <c r="J1974" t="str" cm="1">
        <f t="array" ref="J1974">_xlfn.SWITCH(LEFT(Table1[[#This Row],[section]],1), "D", "Demographic", "S", "Social", "E", "Economic", "H", "Housing", "")</f>
        <v>Economic</v>
      </c>
      <c r="K1974" t="s">
        <v>5603</v>
      </c>
      <c r="L1974" t="s">
        <v>5604</v>
      </c>
      <c r="M1974" t="str">
        <f>IF(Table1[[#This Row],[used]], _xlfn.CONCAT("🆔 ", Table1[[#This Row],[variable]], ": ",Table1[[#This Row],[alias]]), "")</f>
        <v>🆔 B20003_006E: Aggregate earnings in the past 12 months in 2013 inflation-adjusted dollars: Female: Worked full-time year-round in the past 12 months</v>
      </c>
      <c r="O1974" t="s">
        <v>6807</v>
      </c>
      <c r="P1974" t="s">
        <v>6690</v>
      </c>
      <c r="Q1974" t="s">
        <v>41</v>
      </c>
      <c r="R1974" t="s">
        <v>6801</v>
      </c>
      <c r="S1974" t="b">
        <v>0</v>
      </c>
      <c r="T1974" t="b">
        <v>0</v>
      </c>
      <c r="U1974" t="b">
        <v>0</v>
      </c>
      <c r="V1974" t="b">
        <v>1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</row>
    <row r="1975" spans="1:33" x14ac:dyDescent="0.25">
      <c r="A1975" t="s">
        <v>22</v>
      </c>
      <c r="B1975">
        <v>1</v>
      </c>
      <c r="C1975" t="b">
        <v>0</v>
      </c>
      <c r="D1975" t="s">
        <v>6571</v>
      </c>
      <c r="E1975" t="s">
        <v>6684</v>
      </c>
      <c r="F1975" t="s">
        <v>6798</v>
      </c>
      <c r="G1975" t="s">
        <v>6808</v>
      </c>
      <c r="H1975">
        <v>1974</v>
      </c>
      <c r="I1975" t="str">
        <f>IF(ISBLANK(Table1[[#This Row],[oid]]),"FALSE","TRUE")</f>
        <v>TRUE</v>
      </c>
      <c r="J1975" t="str" cm="1">
        <f t="array" ref="J1975">_xlfn.SWITCH(LEFT(Table1[[#This Row],[section]],1), "D", "Demographic", "S", "Social", "E", "Economic", "H", "Housing", "")</f>
        <v>Economic</v>
      </c>
      <c r="K1975" t="s">
        <v>5603</v>
      </c>
      <c r="L1975" t="s">
        <v>5604</v>
      </c>
      <c r="M1975" t="str">
        <f>IF(Table1[[#This Row],[used]], _xlfn.CONCAT("🆔 ", Table1[[#This Row],[variable]], ": ",Table1[[#This Row],[alias]]), "")</f>
        <v>🆔 B20003_006E: Aggregate earnings in the past 12 months in 2014 Inflation-adjusted dollars: Female: Worked full-time year-round in the past 12 months</v>
      </c>
      <c r="O1975" t="s">
        <v>6809</v>
      </c>
      <c r="P1975" t="s">
        <v>6691</v>
      </c>
      <c r="Q1975" t="s">
        <v>41</v>
      </c>
      <c r="R1975" t="s">
        <v>6801</v>
      </c>
      <c r="S1975" t="b">
        <v>0</v>
      </c>
      <c r="T1975" t="b">
        <v>0</v>
      </c>
      <c r="U1975" t="b">
        <v>0</v>
      </c>
      <c r="V1975" t="b">
        <v>0</v>
      </c>
      <c r="W1975" t="b">
        <v>1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</row>
    <row r="1976" spans="1:33" x14ac:dyDescent="0.25">
      <c r="A1976" t="s">
        <v>23</v>
      </c>
      <c r="B1976">
        <v>1</v>
      </c>
      <c r="C1976" t="b">
        <v>0</v>
      </c>
      <c r="D1976" t="s">
        <v>6571</v>
      </c>
      <c r="E1976" t="s">
        <v>6684</v>
      </c>
      <c r="F1976" t="s">
        <v>6798</v>
      </c>
      <c r="G1976" t="s">
        <v>6810</v>
      </c>
      <c r="H1976">
        <v>1975</v>
      </c>
      <c r="I1976" t="str">
        <f>IF(ISBLANK(Table1[[#This Row],[oid]]),"FALSE","TRUE")</f>
        <v>TRUE</v>
      </c>
      <c r="J1976" t="str" cm="1">
        <f t="array" ref="J1976">_xlfn.SWITCH(LEFT(Table1[[#This Row],[section]],1), "D", "Demographic", "S", "Social", "E", "Economic", "H", "Housing", "")</f>
        <v>Economic</v>
      </c>
      <c r="K1976" t="s">
        <v>5603</v>
      </c>
      <c r="L1976" t="s">
        <v>5604</v>
      </c>
      <c r="M1976" t="str">
        <f>IF(Table1[[#This Row],[used]], _xlfn.CONCAT("🆔 ", Table1[[#This Row],[variable]], ": ",Table1[[#This Row],[alias]]), "")</f>
        <v>🆔 B20003_006E: Aggregate earnings in the past 12 months in 2015 Inflation-adjusted dollars: Female: Worked full-time year-round in the past 12 months</v>
      </c>
      <c r="O1976" t="s">
        <v>6811</v>
      </c>
      <c r="P1976" t="s">
        <v>6692</v>
      </c>
      <c r="Q1976" t="s">
        <v>41</v>
      </c>
      <c r="R1976" t="s">
        <v>6801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1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0</v>
      </c>
    </row>
    <row r="1977" spans="1:33" x14ac:dyDescent="0.25">
      <c r="A1977" t="s">
        <v>24</v>
      </c>
      <c r="B1977">
        <v>1</v>
      </c>
      <c r="C1977" t="b">
        <v>0</v>
      </c>
      <c r="D1977" t="s">
        <v>6571</v>
      </c>
      <c r="E1977" t="s">
        <v>6684</v>
      </c>
      <c r="F1977" t="s">
        <v>6798</v>
      </c>
      <c r="G1977" t="s">
        <v>6812</v>
      </c>
      <c r="H1977">
        <v>1976</v>
      </c>
      <c r="I1977" t="str">
        <f>IF(ISBLANK(Table1[[#This Row],[oid]]),"FALSE","TRUE")</f>
        <v>TRUE</v>
      </c>
      <c r="J1977" t="str" cm="1">
        <f t="array" ref="J1977">_xlfn.SWITCH(LEFT(Table1[[#This Row],[section]],1), "D", "Demographic", "S", "Social", "E", "Economic", "H", "Housing", "")</f>
        <v>Economic</v>
      </c>
      <c r="K1977" t="s">
        <v>5603</v>
      </c>
      <c r="L1977" t="s">
        <v>5604</v>
      </c>
      <c r="M1977" t="str">
        <f>IF(Table1[[#This Row],[used]], _xlfn.CONCAT("🆔 ", Table1[[#This Row],[variable]], ": ",Table1[[#This Row],[alias]]), "")</f>
        <v>🆔 B20003_006E: Aggregate earnings in the past 12 months in 2016 inflation-adjusted dollars: Female: Worked full-time year-round in the past 12 months</v>
      </c>
      <c r="O1977" t="s">
        <v>6813</v>
      </c>
      <c r="P1977" t="s">
        <v>6693</v>
      </c>
      <c r="Q1977" t="s">
        <v>41</v>
      </c>
      <c r="R1977" t="s">
        <v>6801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1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</row>
    <row r="1978" spans="1:33" x14ac:dyDescent="0.25">
      <c r="A1978" t="s">
        <v>25</v>
      </c>
      <c r="B1978">
        <v>1</v>
      </c>
      <c r="C1978" t="b">
        <v>0</v>
      </c>
      <c r="D1978" t="s">
        <v>6571</v>
      </c>
      <c r="E1978" t="s">
        <v>6684</v>
      </c>
      <c r="F1978" t="s">
        <v>6798</v>
      </c>
      <c r="G1978" t="s">
        <v>6814</v>
      </c>
      <c r="H1978">
        <v>1977</v>
      </c>
      <c r="I1978" t="str">
        <f>IF(ISBLANK(Table1[[#This Row],[oid]]),"FALSE","TRUE")</f>
        <v>TRUE</v>
      </c>
      <c r="J1978" t="str" cm="1">
        <f t="array" ref="J1978">_xlfn.SWITCH(LEFT(Table1[[#This Row],[section]],1), "D", "Demographic", "S", "Social", "E", "Economic", "H", "Housing", "")</f>
        <v>Economic</v>
      </c>
      <c r="K1978" t="s">
        <v>5603</v>
      </c>
      <c r="L1978" t="s">
        <v>5604</v>
      </c>
      <c r="M1978" t="str">
        <f>IF(Table1[[#This Row],[used]], _xlfn.CONCAT("🆔 ", Table1[[#This Row],[variable]], ": ",Table1[[#This Row],[alias]]), "")</f>
        <v>🆔 B20003_006E: Aggregate earnings in the past 12 months in 2017 inflation-adjusted dollars: Female: Worked full-time year-round in the past 12 months</v>
      </c>
      <c r="O1978" t="s">
        <v>6815</v>
      </c>
      <c r="P1978" t="s">
        <v>6694</v>
      </c>
      <c r="Q1978" t="s">
        <v>41</v>
      </c>
      <c r="R1978" t="s">
        <v>6801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1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</row>
    <row r="1979" spans="1:33" x14ac:dyDescent="0.25">
      <c r="A1979" t="s">
        <v>26</v>
      </c>
      <c r="B1979">
        <v>1</v>
      </c>
      <c r="C1979" t="b">
        <v>0</v>
      </c>
      <c r="D1979" t="s">
        <v>6571</v>
      </c>
      <c r="E1979" t="s">
        <v>6684</v>
      </c>
      <c r="F1979" t="s">
        <v>6798</v>
      </c>
      <c r="G1979" t="s">
        <v>6816</v>
      </c>
      <c r="H1979">
        <v>1978</v>
      </c>
      <c r="I1979" t="str">
        <f>IF(ISBLANK(Table1[[#This Row],[oid]]),"FALSE","TRUE")</f>
        <v>TRUE</v>
      </c>
      <c r="J1979" t="str" cm="1">
        <f t="array" ref="J1979">_xlfn.SWITCH(LEFT(Table1[[#This Row],[section]],1), "D", "Demographic", "S", "Social", "E", "Economic", "H", "Housing", "")</f>
        <v>Economic</v>
      </c>
      <c r="K1979" t="s">
        <v>5603</v>
      </c>
      <c r="L1979" t="s">
        <v>5604</v>
      </c>
      <c r="M1979" t="str">
        <f>IF(Table1[[#This Row],[used]], _xlfn.CONCAT("🆔 ", Table1[[#This Row],[variable]], ": ",Table1[[#This Row],[alias]]), "")</f>
        <v>🆔 B20003_006E: Aggregate earnings in the past 12 months in 2018 inflation-adjusted dollars: Female: Worked full-time year-round in the past 12 months</v>
      </c>
      <c r="O1979" t="s">
        <v>6817</v>
      </c>
      <c r="P1979" t="s">
        <v>6695</v>
      </c>
      <c r="Q1979" t="s">
        <v>41</v>
      </c>
      <c r="R1979" t="s">
        <v>6801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1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</row>
    <row r="1980" spans="1:33" x14ac:dyDescent="0.25">
      <c r="A1980" t="s">
        <v>27</v>
      </c>
      <c r="B1980">
        <v>1</v>
      </c>
      <c r="C1980" t="b">
        <v>0</v>
      </c>
      <c r="D1980" t="s">
        <v>6571</v>
      </c>
      <c r="E1980" t="s">
        <v>6684</v>
      </c>
      <c r="F1980" t="s">
        <v>6798</v>
      </c>
      <c r="G1980" t="s">
        <v>6818</v>
      </c>
      <c r="H1980">
        <v>1979</v>
      </c>
      <c r="I1980" t="str">
        <f>IF(ISBLANK(Table1[[#This Row],[oid]]),"FALSE","TRUE")</f>
        <v>TRUE</v>
      </c>
      <c r="J1980" t="str" cm="1">
        <f t="array" ref="J1980">_xlfn.SWITCH(LEFT(Table1[[#This Row],[section]],1), "D", "Demographic", "S", "Social", "E", "Economic", "H", "Housing", "")</f>
        <v>Economic</v>
      </c>
      <c r="K1980" t="s">
        <v>5603</v>
      </c>
      <c r="L1980" t="s">
        <v>5604</v>
      </c>
      <c r="M1980" t="str">
        <f>IF(Table1[[#This Row],[used]], _xlfn.CONCAT("🆔 ", Table1[[#This Row],[variable]], ": ",Table1[[#This Row],[alias]]), "")</f>
        <v>🆔 B20003_006E: Aggregate earnings in the past 12 months in 2019 inflation-adjusted dollars: Female: Worked full-time year-round in the past 12 months</v>
      </c>
      <c r="O1980" t="s">
        <v>6819</v>
      </c>
      <c r="P1980" t="s">
        <v>6696</v>
      </c>
      <c r="Q1980" t="s">
        <v>41</v>
      </c>
      <c r="R1980" t="s">
        <v>6801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1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</row>
    <row r="1981" spans="1:33" x14ac:dyDescent="0.25">
      <c r="A1981" t="s">
        <v>28</v>
      </c>
      <c r="B1981">
        <v>1</v>
      </c>
      <c r="C1981" t="b">
        <v>0</v>
      </c>
      <c r="D1981" t="s">
        <v>6571</v>
      </c>
      <c r="E1981" t="s">
        <v>6684</v>
      </c>
      <c r="F1981" t="s">
        <v>6798</v>
      </c>
      <c r="G1981" t="s">
        <v>6820</v>
      </c>
      <c r="H1981">
        <v>1980</v>
      </c>
      <c r="I1981" t="str">
        <f>IF(ISBLANK(Table1[[#This Row],[oid]]),"FALSE","TRUE")</f>
        <v>TRUE</v>
      </c>
      <c r="J1981" t="str" cm="1">
        <f t="array" ref="J1981">_xlfn.SWITCH(LEFT(Table1[[#This Row],[section]],1), "D", "Demographic", "S", "Social", "E", "Economic", "H", "Housing", "")</f>
        <v>Economic</v>
      </c>
      <c r="K1981" t="s">
        <v>5603</v>
      </c>
      <c r="L1981" t="s">
        <v>5604</v>
      </c>
      <c r="M1981" t="str">
        <f>IF(Table1[[#This Row],[used]], _xlfn.CONCAT("🆔 ", Table1[[#This Row],[variable]], ": ",Table1[[#This Row],[alias]]), "")</f>
        <v>🆔 B20003_006E: Aggregate earnings in the past 12 months in 2020 inflation-adjusted dollars: Female: Worked full-time year-round in the past 12 months</v>
      </c>
      <c r="O1981" t="s">
        <v>6821</v>
      </c>
      <c r="P1981" t="s">
        <v>6697</v>
      </c>
      <c r="Q1981" t="s">
        <v>41</v>
      </c>
      <c r="R1981" t="s">
        <v>6801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1</v>
      </c>
      <c r="AD1981" t="b">
        <v>0</v>
      </c>
      <c r="AE1981" t="b">
        <v>0</v>
      </c>
      <c r="AF1981" t="b">
        <v>0</v>
      </c>
      <c r="AG1981" t="b">
        <v>0</v>
      </c>
    </row>
    <row r="1982" spans="1:33" x14ac:dyDescent="0.25">
      <c r="A1982" t="s">
        <v>29</v>
      </c>
      <c r="B1982">
        <v>1</v>
      </c>
      <c r="C1982" t="b">
        <v>0</v>
      </c>
      <c r="D1982" t="s">
        <v>6571</v>
      </c>
      <c r="E1982" t="s">
        <v>6684</v>
      </c>
      <c r="F1982" t="s">
        <v>6798</v>
      </c>
      <c r="G1982" t="s">
        <v>6822</v>
      </c>
      <c r="H1982">
        <v>1981</v>
      </c>
      <c r="I1982" t="str">
        <f>IF(ISBLANK(Table1[[#This Row],[oid]]),"FALSE","TRUE")</f>
        <v>TRUE</v>
      </c>
      <c r="J1982" t="str" cm="1">
        <f t="array" ref="J1982">_xlfn.SWITCH(LEFT(Table1[[#This Row],[section]],1), "D", "Demographic", "S", "Social", "E", "Economic", "H", "Housing", "")</f>
        <v>Economic</v>
      </c>
      <c r="K1982" t="s">
        <v>5603</v>
      </c>
      <c r="L1982" t="s">
        <v>5604</v>
      </c>
      <c r="M1982" t="str">
        <f>IF(Table1[[#This Row],[used]], _xlfn.CONCAT("🆔 ", Table1[[#This Row],[variable]], ": ",Table1[[#This Row],[alias]]), "")</f>
        <v>🆔 B20003_006E: Aggregate earnings in the past 12 months in 2021 inflation-adjusted dollars: Female: Worked full-time year-round in the past 12 months</v>
      </c>
      <c r="O1982" t="s">
        <v>6823</v>
      </c>
      <c r="P1982" t="s">
        <v>6698</v>
      </c>
      <c r="Q1982" t="s">
        <v>41</v>
      </c>
      <c r="R1982" t="s">
        <v>6801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1</v>
      </c>
      <c r="AE1982" t="b">
        <v>0</v>
      </c>
      <c r="AF1982" t="b">
        <v>0</v>
      </c>
      <c r="AG1982" t="b">
        <v>0</v>
      </c>
    </row>
    <row r="1983" spans="1:33" x14ac:dyDescent="0.25">
      <c r="A1983" t="s">
        <v>30</v>
      </c>
      <c r="B1983">
        <v>1</v>
      </c>
      <c r="C1983" t="b">
        <v>0</v>
      </c>
      <c r="D1983" t="s">
        <v>6571</v>
      </c>
      <c r="E1983" t="s">
        <v>6684</v>
      </c>
      <c r="F1983" t="s">
        <v>6798</v>
      </c>
      <c r="G1983" t="s">
        <v>6824</v>
      </c>
      <c r="H1983">
        <v>1982</v>
      </c>
      <c r="I1983" t="str">
        <f>IF(ISBLANK(Table1[[#This Row],[oid]]),"FALSE","TRUE")</f>
        <v>TRUE</v>
      </c>
      <c r="J1983" t="str" cm="1">
        <f t="array" ref="J1983">_xlfn.SWITCH(LEFT(Table1[[#This Row],[section]],1), "D", "Demographic", "S", "Social", "E", "Economic", "H", "Housing", "")</f>
        <v>Economic</v>
      </c>
      <c r="K1983" t="s">
        <v>5603</v>
      </c>
      <c r="L1983" t="s">
        <v>5604</v>
      </c>
      <c r="M1983" t="str">
        <f>IF(Table1[[#This Row],[used]], _xlfn.CONCAT("🆔 ", Table1[[#This Row],[variable]], ": ",Table1[[#This Row],[alias]]), "")</f>
        <v>🆔 B20003_006E: Aggregate earnings in the past 12 months in 2022 inflation-adjusted dollars: Female: Worked full-time year-round in the past 12 months</v>
      </c>
      <c r="O1983" t="s">
        <v>6825</v>
      </c>
      <c r="P1983" t="s">
        <v>6699</v>
      </c>
      <c r="Q1983" t="s">
        <v>41</v>
      </c>
      <c r="R1983" t="s">
        <v>6801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1</v>
      </c>
      <c r="AF1983" t="b">
        <v>0</v>
      </c>
      <c r="AG1983" t="b">
        <v>0</v>
      </c>
    </row>
    <row r="1984" spans="1:33" x14ac:dyDescent="0.25">
      <c r="A1984" t="s">
        <v>31</v>
      </c>
      <c r="B1984">
        <v>1</v>
      </c>
      <c r="C1984" t="b">
        <v>0</v>
      </c>
      <c r="D1984" t="s">
        <v>6571</v>
      </c>
      <c r="E1984" t="s">
        <v>6684</v>
      </c>
      <c r="F1984" t="s">
        <v>6798</v>
      </c>
      <c r="G1984" t="s">
        <v>6826</v>
      </c>
      <c r="H1984">
        <v>1983</v>
      </c>
      <c r="I1984" t="str">
        <f>IF(ISBLANK(Table1[[#This Row],[oid]]),"FALSE","TRUE")</f>
        <v>TRUE</v>
      </c>
      <c r="J1984" t="str" cm="1">
        <f t="array" ref="J1984">_xlfn.SWITCH(LEFT(Table1[[#This Row],[section]],1), "D", "Demographic", "S", "Social", "E", "Economic", "H", "Housing", "")</f>
        <v>Economic</v>
      </c>
      <c r="K1984" t="s">
        <v>5603</v>
      </c>
      <c r="L1984" t="s">
        <v>5604</v>
      </c>
      <c r="M1984" t="str">
        <f>IF(Table1[[#This Row],[used]], _xlfn.CONCAT("🆔 ", Table1[[#This Row],[variable]], ": ",Table1[[#This Row],[alias]]), "")</f>
        <v>🆔 B20003_006E: Aggregate earnings in the past 12 months in 2023 inflation-adjusted dollars: Female: Worked full-time year-round in the past 12 months</v>
      </c>
      <c r="O1984" t="s">
        <v>6827</v>
      </c>
      <c r="P1984" t="s">
        <v>6700</v>
      </c>
      <c r="Q1984" t="s">
        <v>41</v>
      </c>
      <c r="R1984" t="s">
        <v>6801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1</v>
      </c>
      <c r="AG1984" t="b">
        <v>0</v>
      </c>
    </row>
    <row r="1985" spans="1:33" x14ac:dyDescent="0.25">
      <c r="A1985" t="s">
        <v>32</v>
      </c>
      <c r="B1985">
        <v>1</v>
      </c>
      <c r="C1985" t="b">
        <v>0</v>
      </c>
      <c r="D1985" t="s">
        <v>6571</v>
      </c>
      <c r="E1985" t="s">
        <v>6684</v>
      </c>
      <c r="F1985" t="s">
        <v>6798</v>
      </c>
      <c r="G1985" t="s">
        <v>6828</v>
      </c>
      <c r="H1985">
        <v>1984</v>
      </c>
      <c r="I1985" t="str">
        <f>IF(ISBLANK(Table1[[#This Row],[oid]]),"FALSE","TRUE")</f>
        <v>TRUE</v>
      </c>
      <c r="J1985" t="str" cm="1">
        <f t="array" ref="J1985">_xlfn.SWITCH(LEFT(Table1[[#This Row],[section]],1), "D", "Demographic", "S", "Social", "E", "Economic", "H", "Housing", "")</f>
        <v>Economic</v>
      </c>
      <c r="K1985" t="s">
        <v>5603</v>
      </c>
      <c r="L1985" t="s">
        <v>5604</v>
      </c>
      <c r="M1985" t="str">
        <f>IF(Table1[[#This Row],[used]], _xlfn.CONCAT("🆔 ", Table1[[#This Row],[variable]], ": ",Table1[[#This Row],[alias]]), "")</f>
        <v>🆔 B20003_006E: Aggregate earnings in the past 12 months in 2024 inflation-adjusted dollars: Female: Worked full-time year-round in the past 12 months</v>
      </c>
      <c r="O1985" t="s">
        <v>6829</v>
      </c>
      <c r="P1985" t="s">
        <v>6701</v>
      </c>
      <c r="Q1985" t="s">
        <v>41</v>
      </c>
      <c r="R1985" t="s">
        <v>6801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1</v>
      </c>
    </row>
    <row r="1986" spans="1:33" x14ac:dyDescent="0.25">
      <c r="A1986" t="s">
        <v>33</v>
      </c>
      <c r="B1986">
        <v>15</v>
      </c>
      <c r="C1986" t="b">
        <v>1</v>
      </c>
      <c r="D1986" t="s">
        <v>5301</v>
      </c>
      <c r="E1986" t="s">
        <v>6830</v>
      </c>
      <c r="F1986" t="s">
        <v>6831</v>
      </c>
      <c r="G1986" t="s">
        <v>700</v>
      </c>
      <c r="H1986">
        <v>1985</v>
      </c>
      <c r="I1986" t="str">
        <f>IF(ISBLANK(Table1[[#This Row],[oid]]),"FALSE","TRUE")</f>
        <v>TRUE</v>
      </c>
      <c r="J1986" t="str" cm="1">
        <f t="array" ref="J1986">_xlfn.SWITCH(LEFT(Table1[[#This Row],[section]],1), "D", "Demographic", "S", "Social", "E", "Economic", "H", "Housing", "")</f>
        <v>Economic</v>
      </c>
      <c r="K1986" t="s">
        <v>6832</v>
      </c>
      <c r="L1986" t="s">
        <v>6833</v>
      </c>
      <c r="M1986" t="str">
        <f>IF(Table1[[#This Row],[used]], _xlfn.CONCAT("🆔 ", Table1[[#This Row],[variable]], ": ",Table1[[#This Row],[alias]]), "")</f>
        <v>🆔 B19101_001E: Total Families</v>
      </c>
      <c r="O1986" t="s">
        <v>39</v>
      </c>
      <c r="P1986" t="s">
        <v>6834</v>
      </c>
      <c r="Q1986" t="s">
        <v>41</v>
      </c>
      <c r="R1986" t="s">
        <v>6835</v>
      </c>
      <c r="S1986" t="b">
        <v>1</v>
      </c>
      <c r="T1986" t="b">
        <v>1</v>
      </c>
      <c r="U1986" t="b">
        <v>1</v>
      </c>
      <c r="V1986" t="b">
        <v>1</v>
      </c>
      <c r="W1986" t="b">
        <v>1</v>
      </c>
      <c r="X1986" t="b">
        <v>1</v>
      </c>
      <c r="Y1986" t="b">
        <v>1</v>
      </c>
      <c r="Z1986" t="b">
        <v>1</v>
      </c>
      <c r="AA1986" t="b">
        <v>1</v>
      </c>
      <c r="AB1986" t="b">
        <v>1</v>
      </c>
      <c r="AC1986" t="b">
        <v>1</v>
      </c>
      <c r="AD1986" t="b">
        <v>1</v>
      </c>
      <c r="AE1986" t="b">
        <v>1</v>
      </c>
      <c r="AF1986" t="b">
        <v>1</v>
      </c>
      <c r="AG1986" t="b">
        <v>1</v>
      </c>
    </row>
    <row r="1987" spans="1:33" x14ac:dyDescent="0.25">
      <c r="A1987" t="s">
        <v>33</v>
      </c>
      <c r="B1987">
        <v>15</v>
      </c>
      <c r="C1987" t="b">
        <v>1</v>
      </c>
      <c r="D1987" t="s">
        <v>5301</v>
      </c>
      <c r="E1987" t="s">
        <v>6830</v>
      </c>
      <c r="F1987" t="s">
        <v>6836</v>
      </c>
      <c r="G1987" t="s">
        <v>5309</v>
      </c>
      <c r="H1987">
        <v>1986</v>
      </c>
      <c r="I1987" t="str">
        <f>IF(ISBLANK(Table1[[#This Row],[oid]]),"FALSE","TRUE")</f>
        <v>TRUE</v>
      </c>
      <c r="J1987" t="str" cm="1">
        <f t="array" ref="J1987">_xlfn.SWITCH(LEFT(Table1[[#This Row],[section]],1), "D", "Demographic", "S", "Social", "E", "Economic", "H", "Housing", "")</f>
        <v>Economic</v>
      </c>
      <c r="K1987" t="s">
        <v>6832</v>
      </c>
      <c r="L1987" t="s">
        <v>6833</v>
      </c>
      <c r="M1987" t="str">
        <f>IF(Table1[[#This Row],[used]], _xlfn.CONCAT("🆔 ", Table1[[#This Row],[variable]], ": ",Table1[[#This Row],[alias]]), "")</f>
        <v>🆔 B19101_002E: Less than $10,000</v>
      </c>
      <c r="O1987" t="s">
        <v>5310</v>
      </c>
      <c r="P1987" t="s">
        <v>6834</v>
      </c>
      <c r="Q1987" t="s">
        <v>41</v>
      </c>
      <c r="R1987" t="s">
        <v>6837</v>
      </c>
      <c r="S1987" t="b">
        <v>1</v>
      </c>
      <c r="T1987" t="b">
        <v>1</v>
      </c>
      <c r="U1987" t="b">
        <v>1</v>
      </c>
      <c r="V1987" t="b">
        <v>1</v>
      </c>
      <c r="W1987" t="b">
        <v>1</v>
      </c>
      <c r="X1987" t="b">
        <v>1</v>
      </c>
      <c r="Y1987" t="b">
        <v>1</v>
      </c>
      <c r="Z1987" t="b">
        <v>1</v>
      </c>
      <c r="AA1987" t="b">
        <v>1</v>
      </c>
      <c r="AB1987" t="b">
        <v>1</v>
      </c>
      <c r="AC1987" t="b">
        <v>1</v>
      </c>
      <c r="AD1987" t="b">
        <v>1</v>
      </c>
      <c r="AE1987" t="b">
        <v>1</v>
      </c>
      <c r="AF1987" t="b">
        <v>1</v>
      </c>
      <c r="AG1987" t="b">
        <v>1</v>
      </c>
    </row>
    <row r="1988" spans="1:33" x14ac:dyDescent="0.25">
      <c r="A1988" t="s">
        <v>33</v>
      </c>
      <c r="B1988">
        <v>15</v>
      </c>
      <c r="C1988" t="b">
        <v>1</v>
      </c>
      <c r="D1988" t="s">
        <v>5301</v>
      </c>
      <c r="E1988" t="s">
        <v>6830</v>
      </c>
      <c r="F1988" t="s">
        <v>6838</v>
      </c>
      <c r="G1988" t="s">
        <v>5313</v>
      </c>
      <c r="H1988">
        <v>1987</v>
      </c>
      <c r="I1988" t="str">
        <f>IF(ISBLANK(Table1[[#This Row],[oid]]),"FALSE","TRUE")</f>
        <v>TRUE</v>
      </c>
      <c r="J1988" t="str" cm="1">
        <f t="array" ref="J1988">_xlfn.SWITCH(LEFT(Table1[[#This Row],[section]],1), "D", "Demographic", "S", "Social", "E", "Economic", "H", "Housing", "")</f>
        <v>Economic</v>
      </c>
      <c r="K1988" t="s">
        <v>6832</v>
      </c>
      <c r="L1988" t="s">
        <v>6833</v>
      </c>
      <c r="M1988" t="str">
        <f>IF(Table1[[#This Row],[used]], _xlfn.CONCAT("🆔 ", Table1[[#This Row],[variable]], ": ",Table1[[#This Row],[alias]]), "")</f>
        <v>🆔 B19101_003E: $10,000 to $14,999</v>
      </c>
      <c r="O1988" t="s">
        <v>5314</v>
      </c>
      <c r="P1988" t="s">
        <v>6834</v>
      </c>
      <c r="Q1988" t="s">
        <v>41</v>
      </c>
      <c r="R1988" t="s">
        <v>6839</v>
      </c>
      <c r="S1988" t="b">
        <v>1</v>
      </c>
      <c r="T1988" t="b">
        <v>1</v>
      </c>
      <c r="U1988" t="b">
        <v>1</v>
      </c>
      <c r="V1988" t="b">
        <v>1</v>
      </c>
      <c r="W1988" t="b">
        <v>1</v>
      </c>
      <c r="X1988" t="b">
        <v>1</v>
      </c>
      <c r="Y1988" t="b">
        <v>1</v>
      </c>
      <c r="Z1988" t="b">
        <v>1</v>
      </c>
      <c r="AA1988" t="b">
        <v>1</v>
      </c>
      <c r="AB1988" t="b">
        <v>1</v>
      </c>
      <c r="AC1988" t="b">
        <v>1</v>
      </c>
      <c r="AD1988" t="b">
        <v>1</v>
      </c>
      <c r="AE1988" t="b">
        <v>1</v>
      </c>
      <c r="AF1988" t="b">
        <v>1</v>
      </c>
      <c r="AG1988" t="b">
        <v>1</v>
      </c>
    </row>
    <row r="1989" spans="1:33" x14ac:dyDescent="0.25">
      <c r="A1989" t="s">
        <v>33</v>
      </c>
      <c r="B1989">
        <v>15</v>
      </c>
      <c r="C1989" t="b">
        <v>1</v>
      </c>
      <c r="D1989" t="s">
        <v>5301</v>
      </c>
      <c r="E1989" t="s">
        <v>6830</v>
      </c>
      <c r="F1989" t="s">
        <v>6840</v>
      </c>
      <c r="G1989" t="s">
        <v>5317</v>
      </c>
      <c r="H1989">
        <v>1988</v>
      </c>
      <c r="I1989" t="str">
        <f>IF(ISBLANK(Table1[[#This Row],[oid]]),"FALSE","TRUE")</f>
        <v>TRUE</v>
      </c>
      <c r="J1989" t="str" cm="1">
        <f t="array" ref="J1989">_xlfn.SWITCH(LEFT(Table1[[#This Row],[section]],1), "D", "Demographic", "S", "Social", "E", "Economic", "H", "Housing", "")</f>
        <v>Economic</v>
      </c>
      <c r="K1989" t="s">
        <v>6832</v>
      </c>
      <c r="L1989" t="s">
        <v>6833</v>
      </c>
      <c r="M1989" t="str">
        <f>IF(Table1[[#This Row],[used]], _xlfn.CONCAT("🆔 ", Table1[[#This Row],[variable]], ": ",Table1[[#This Row],[alias]]), "")</f>
        <v>🆔 B19101_004E: $15,000 to $19,999</v>
      </c>
      <c r="O1989" t="s">
        <v>5318</v>
      </c>
      <c r="P1989" t="s">
        <v>6834</v>
      </c>
      <c r="Q1989" t="s">
        <v>41</v>
      </c>
      <c r="R1989" t="s">
        <v>6841</v>
      </c>
      <c r="S1989" t="b">
        <v>1</v>
      </c>
      <c r="T1989" t="b">
        <v>1</v>
      </c>
      <c r="U1989" t="b">
        <v>1</v>
      </c>
      <c r="V1989" t="b">
        <v>1</v>
      </c>
      <c r="W1989" t="b">
        <v>1</v>
      </c>
      <c r="X1989" t="b">
        <v>1</v>
      </c>
      <c r="Y1989" t="b">
        <v>1</v>
      </c>
      <c r="Z1989" t="b">
        <v>1</v>
      </c>
      <c r="AA1989" t="b">
        <v>1</v>
      </c>
      <c r="AB1989" t="b">
        <v>1</v>
      </c>
      <c r="AC1989" t="b">
        <v>1</v>
      </c>
      <c r="AD1989" t="b">
        <v>1</v>
      </c>
      <c r="AE1989" t="b">
        <v>1</v>
      </c>
      <c r="AF1989" t="b">
        <v>1</v>
      </c>
      <c r="AG1989" t="b">
        <v>1</v>
      </c>
    </row>
    <row r="1990" spans="1:33" x14ac:dyDescent="0.25">
      <c r="A1990" t="s">
        <v>33</v>
      </c>
      <c r="B1990">
        <v>15</v>
      </c>
      <c r="C1990" t="b">
        <v>1</v>
      </c>
      <c r="D1990" t="s">
        <v>5301</v>
      </c>
      <c r="E1990" t="s">
        <v>6830</v>
      </c>
      <c r="F1990" t="s">
        <v>6842</v>
      </c>
      <c r="G1990" t="s">
        <v>5321</v>
      </c>
      <c r="H1990">
        <v>1989</v>
      </c>
      <c r="I1990" t="str">
        <f>IF(ISBLANK(Table1[[#This Row],[oid]]),"FALSE","TRUE")</f>
        <v>TRUE</v>
      </c>
      <c r="J1990" t="str" cm="1">
        <f t="array" ref="J1990">_xlfn.SWITCH(LEFT(Table1[[#This Row],[section]],1), "D", "Demographic", "S", "Social", "E", "Economic", "H", "Housing", "")</f>
        <v>Economic</v>
      </c>
      <c r="K1990" t="s">
        <v>6832</v>
      </c>
      <c r="L1990" t="s">
        <v>6833</v>
      </c>
      <c r="M1990" t="str">
        <f>IF(Table1[[#This Row],[used]], _xlfn.CONCAT("🆔 ", Table1[[#This Row],[variable]], ": ",Table1[[#This Row],[alias]]), "")</f>
        <v>🆔 B19101_005E: $20,000 to $24,999</v>
      </c>
      <c r="O1990" t="s">
        <v>5322</v>
      </c>
      <c r="P1990" t="s">
        <v>6834</v>
      </c>
      <c r="Q1990" t="s">
        <v>41</v>
      </c>
      <c r="R1990" t="s">
        <v>6843</v>
      </c>
      <c r="S1990" t="b">
        <v>1</v>
      </c>
      <c r="T1990" t="b">
        <v>1</v>
      </c>
      <c r="U1990" t="b">
        <v>1</v>
      </c>
      <c r="V1990" t="b">
        <v>1</v>
      </c>
      <c r="W1990" t="b">
        <v>1</v>
      </c>
      <c r="X1990" t="b">
        <v>1</v>
      </c>
      <c r="Y1990" t="b">
        <v>1</v>
      </c>
      <c r="Z1990" t="b">
        <v>1</v>
      </c>
      <c r="AA1990" t="b">
        <v>1</v>
      </c>
      <c r="AB1990" t="b">
        <v>1</v>
      </c>
      <c r="AC1990" t="b">
        <v>1</v>
      </c>
      <c r="AD1990" t="b">
        <v>1</v>
      </c>
      <c r="AE1990" t="b">
        <v>1</v>
      </c>
      <c r="AF1990" t="b">
        <v>1</v>
      </c>
      <c r="AG1990" t="b">
        <v>1</v>
      </c>
    </row>
    <row r="1991" spans="1:33" x14ac:dyDescent="0.25">
      <c r="A1991" t="s">
        <v>33</v>
      </c>
      <c r="B1991">
        <v>15</v>
      </c>
      <c r="C1991" t="b">
        <v>1</v>
      </c>
      <c r="D1991" t="s">
        <v>5301</v>
      </c>
      <c r="E1991" t="s">
        <v>6830</v>
      </c>
      <c r="F1991" t="s">
        <v>6844</v>
      </c>
      <c r="G1991" t="s">
        <v>5325</v>
      </c>
      <c r="H1991">
        <v>1990</v>
      </c>
      <c r="I1991" t="str">
        <f>IF(ISBLANK(Table1[[#This Row],[oid]]),"FALSE","TRUE")</f>
        <v>TRUE</v>
      </c>
      <c r="J1991" t="str" cm="1">
        <f t="array" ref="J1991">_xlfn.SWITCH(LEFT(Table1[[#This Row],[section]],1), "D", "Demographic", "S", "Social", "E", "Economic", "H", "Housing", "")</f>
        <v>Economic</v>
      </c>
      <c r="K1991" t="s">
        <v>6832</v>
      </c>
      <c r="L1991" t="s">
        <v>6833</v>
      </c>
      <c r="M1991" t="str">
        <f>IF(Table1[[#This Row],[used]], _xlfn.CONCAT("🆔 ", Table1[[#This Row],[variable]], ": ",Table1[[#This Row],[alias]]), "")</f>
        <v>🆔 B19101_006E: $25,000 to $29,999</v>
      </c>
      <c r="O1991" t="s">
        <v>5326</v>
      </c>
      <c r="P1991" t="s">
        <v>6834</v>
      </c>
      <c r="Q1991" t="s">
        <v>41</v>
      </c>
      <c r="R1991" t="s">
        <v>6845</v>
      </c>
      <c r="S1991" t="b">
        <v>1</v>
      </c>
      <c r="T1991" t="b">
        <v>1</v>
      </c>
      <c r="U1991" t="b">
        <v>1</v>
      </c>
      <c r="V1991" t="b">
        <v>1</v>
      </c>
      <c r="W1991" t="b">
        <v>1</v>
      </c>
      <c r="X1991" t="b">
        <v>1</v>
      </c>
      <c r="Y1991" t="b">
        <v>1</v>
      </c>
      <c r="Z1991" t="b">
        <v>1</v>
      </c>
      <c r="AA1991" t="b">
        <v>1</v>
      </c>
      <c r="AB1991" t="b">
        <v>1</v>
      </c>
      <c r="AC1991" t="b">
        <v>1</v>
      </c>
      <c r="AD1991" t="b">
        <v>1</v>
      </c>
      <c r="AE1991" t="b">
        <v>1</v>
      </c>
      <c r="AF1991" t="b">
        <v>1</v>
      </c>
      <c r="AG1991" t="b">
        <v>1</v>
      </c>
    </row>
    <row r="1992" spans="1:33" x14ac:dyDescent="0.25">
      <c r="A1992" t="s">
        <v>33</v>
      </c>
      <c r="B1992">
        <v>15</v>
      </c>
      <c r="C1992" t="b">
        <v>1</v>
      </c>
      <c r="D1992" t="s">
        <v>5301</v>
      </c>
      <c r="E1992" t="s">
        <v>6830</v>
      </c>
      <c r="F1992" t="s">
        <v>6846</v>
      </c>
      <c r="G1992" t="s">
        <v>5329</v>
      </c>
      <c r="H1992">
        <v>1991</v>
      </c>
      <c r="I1992" t="str">
        <f>IF(ISBLANK(Table1[[#This Row],[oid]]),"FALSE","TRUE")</f>
        <v>TRUE</v>
      </c>
      <c r="J1992" t="str" cm="1">
        <f t="array" ref="J1992">_xlfn.SWITCH(LEFT(Table1[[#This Row],[section]],1), "D", "Demographic", "S", "Social", "E", "Economic", "H", "Housing", "")</f>
        <v>Economic</v>
      </c>
      <c r="K1992" t="s">
        <v>6832</v>
      </c>
      <c r="L1992" t="s">
        <v>6833</v>
      </c>
      <c r="M1992" t="str">
        <f>IF(Table1[[#This Row],[used]], _xlfn.CONCAT("🆔 ", Table1[[#This Row],[variable]], ": ",Table1[[#This Row],[alias]]), "")</f>
        <v>🆔 B19101_007E: $30,000 to $34,999</v>
      </c>
      <c r="O1992" t="s">
        <v>5330</v>
      </c>
      <c r="P1992" t="s">
        <v>6834</v>
      </c>
      <c r="Q1992" t="s">
        <v>41</v>
      </c>
      <c r="R1992" t="s">
        <v>6847</v>
      </c>
      <c r="S1992" t="b">
        <v>1</v>
      </c>
      <c r="T1992" t="b">
        <v>1</v>
      </c>
      <c r="U1992" t="b">
        <v>1</v>
      </c>
      <c r="V1992" t="b">
        <v>1</v>
      </c>
      <c r="W1992" t="b">
        <v>1</v>
      </c>
      <c r="X1992" t="b">
        <v>1</v>
      </c>
      <c r="Y1992" t="b">
        <v>1</v>
      </c>
      <c r="Z1992" t="b">
        <v>1</v>
      </c>
      <c r="AA1992" t="b">
        <v>1</v>
      </c>
      <c r="AB1992" t="b">
        <v>1</v>
      </c>
      <c r="AC1992" t="b">
        <v>1</v>
      </c>
      <c r="AD1992" t="b">
        <v>1</v>
      </c>
      <c r="AE1992" t="b">
        <v>1</v>
      </c>
      <c r="AF1992" t="b">
        <v>1</v>
      </c>
      <c r="AG1992" t="b">
        <v>1</v>
      </c>
    </row>
    <row r="1993" spans="1:33" x14ac:dyDescent="0.25">
      <c r="A1993" t="s">
        <v>33</v>
      </c>
      <c r="B1993">
        <v>15</v>
      </c>
      <c r="C1993" t="b">
        <v>1</v>
      </c>
      <c r="D1993" t="s">
        <v>5301</v>
      </c>
      <c r="E1993" t="s">
        <v>6830</v>
      </c>
      <c r="F1993" t="s">
        <v>6848</v>
      </c>
      <c r="G1993" t="s">
        <v>5333</v>
      </c>
      <c r="H1993">
        <v>1992</v>
      </c>
      <c r="I1993" t="str">
        <f>IF(ISBLANK(Table1[[#This Row],[oid]]),"FALSE","TRUE")</f>
        <v>TRUE</v>
      </c>
      <c r="J1993" t="str" cm="1">
        <f t="array" ref="J1993">_xlfn.SWITCH(LEFT(Table1[[#This Row],[section]],1), "D", "Demographic", "S", "Social", "E", "Economic", "H", "Housing", "")</f>
        <v>Economic</v>
      </c>
      <c r="K1993" t="s">
        <v>6832</v>
      </c>
      <c r="L1993" t="s">
        <v>6833</v>
      </c>
      <c r="M1993" t="str">
        <f>IF(Table1[[#This Row],[used]], _xlfn.CONCAT("🆔 ", Table1[[#This Row],[variable]], ": ",Table1[[#This Row],[alias]]), "")</f>
        <v>🆔 B19101_008E: $35,000 to $39,999</v>
      </c>
      <c r="O1993" t="s">
        <v>5334</v>
      </c>
      <c r="P1993" t="s">
        <v>6834</v>
      </c>
      <c r="Q1993" t="s">
        <v>41</v>
      </c>
      <c r="R1993" t="s">
        <v>6849</v>
      </c>
      <c r="S1993" t="b">
        <v>1</v>
      </c>
      <c r="T1993" t="b">
        <v>1</v>
      </c>
      <c r="U1993" t="b">
        <v>1</v>
      </c>
      <c r="V1993" t="b">
        <v>1</v>
      </c>
      <c r="W1993" t="b">
        <v>1</v>
      </c>
      <c r="X1993" t="b">
        <v>1</v>
      </c>
      <c r="Y1993" t="b">
        <v>1</v>
      </c>
      <c r="Z1993" t="b">
        <v>1</v>
      </c>
      <c r="AA1993" t="b">
        <v>1</v>
      </c>
      <c r="AB1993" t="b">
        <v>1</v>
      </c>
      <c r="AC1993" t="b">
        <v>1</v>
      </c>
      <c r="AD1993" t="b">
        <v>1</v>
      </c>
      <c r="AE1993" t="b">
        <v>1</v>
      </c>
      <c r="AF1993" t="b">
        <v>1</v>
      </c>
      <c r="AG1993" t="b">
        <v>1</v>
      </c>
    </row>
    <row r="1994" spans="1:33" x14ac:dyDescent="0.25">
      <c r="A1994" t="s">
        <v>33</v>
      </c>
      <c r="B1994">
        <v>15</v>
      </c>
      <c r="C1994" t="b">
        <v>1</v>
      </c>
      <c r="D1994" t="s">
        <v>5301</v>
      </c>
      <c r="E1994" t="s">
        <v>6830</v>
      </c>
      <c r="F1994" t="s">
        <v>6850</v>
      </c>
      <c r="G1994" t="s">
        <v>5337</v>
      </c>
      <c r="H1994">
        <v>1993</v>
      </c>
      <c r="I1994" t="str">
        <f>IF(ISBLANK(Table1[[#This Row],[oid]]),"FALSE","TRUE")</f>
        <v>TRUE</v>
      </c>
      <c r="J1994" t="str" cm="1">
        <f t="array" ref="J1994">_xlfn.SWITCH(LEFT(Table1[[#This Row],[section]],1), "D", "Demographic", "S", "Social", "E", "Economic", "H", "Housing", "")</f>
        <v>Economic</v>
      </c>
      <c r="K1994" t="s">
        <v>6832</v>
      </c>
      <c r="L1994" t="s">
        <v>6833</v>
      </c>
      <c r="M1994" t="str">
        <f>IF(Table1[[#This Row],[used]], _xlfn.CONCAT("🆔 ", Table1[[#This Row],[variable]], ": ",Table1[[#This Row],[alias]]), "")</f>
        <v>🆔 B19101_009E: $40,000 to $44,999</v>
      </c>
      <c r="O1994" t="s">
        <v>5338</v>
      </c>
      <c r="P1994" t="s">
        <v>6834</v>
      </c>
      <c r="Q1994" t="s">
        <v>41</v>
      </c>
      <c r="R1994" t="s">
        <v>6851</v>
      </c>
      <c r="S1994" t="b">
        <v>1</v>
      </c>
      <c r="T1994" t="b">
        <v>1</v>
      </c>
      <c r="U1994" t="b">
        <v>1</v>
      </c>
      <c r="V1994" t="b">
        <v>1</v>
      </c>
      <c r="W1994" t="b">
        <v>1</v>
      </c>
      <c r="X1994" t="b">
        <v>1</v>
      </c>
      <c r="Y1994" t="b">
        <v>1</v>
      </c>
      <c r="Z1994" t="b">
        <v>1</v>
      </c>
      <c r="AA1994" t="b">
        <v>1</v>
      </c>
      <c r="AB1994" t="b">
        <v>1</v>
      </c>
      <c r="AC1994" t="b">
        <v>1</v>
      </c>
      <c r="AD1994" t="b">
        <v>1</v>
      </c>
      <c r="AE1994" t="b">
        <v>1</v>
      </c>
      <c r="AF1994" t="b">
        <v>1</v>
      </c>
      <c r="AG1994" t="b">
        <v>1</v>
      </c>
    </row>
    <row r="1995" spans="1:33" x14ac:dyDescent="0.25">
      <c r="A1995" t="s">
        <v>33</v>
      </c>
      <c r="B1995">
        <v>15</v>
      </c>
      <c r="C1995" t="b">
        <v>1</v>
      </c>
      <c r="D1995" t="s">
        <v>5301</v>
      </c>
      <c r="E1995" t="s">
        <v>6830</v>
      </c>
      <c r="F1995" t="s">
        <v>6852</v>
      </c>
      <c r="G1995" t="s">
        <v>5341</v>
      </c>
      <c r="H1995">
        <v>1994</v>
      </c>
      <c r="I1995" t="str">
        <f>IF(ISBLANK(Table1[[#This Row],[oid]]),"FALSE","TRUE")</f>
        <v>TRUE</v>
      </c>
      <c r="J1995" t="str" cm="1">
        <f t="array" ref="J1995">_xlfn.SWITCH(LEFT(Table1[[#This Row],[section]],1), "D", "Demographic", "S", "Social", "E", "Economic", "H", "Housing", "")</f>
        <v>Economic</v>
      </c>
      <c r="K1995" t="s">
        <v>6832</v>
      </c>
      <c r="L1995" t="s">
        <v>6833</v>
      </c>
      <c r="M1995" t="str">
        <f>IF(Table1[[#This Row],[used]], _xlfn.CONCAT("🆔 ", Table1[[#This Row],[variable]], ": ",Table1[[#This Row],[alias]]), "")</f>
        <v>🆔 B19101_010E: $45,000 to $49,999</v>
      </c>
      <c r="O1995" t="s">
        <v>5342</v>
      </c>
      <c r="P1995" t="s">
        <v>6834</v>
      </c>
      <c r="Q1995" t="s">
        <v>41</v>
      </c>
      <c r="R1995" t="s">
        <v>6853</v>
      </c>
      <c r="S1995" t="b">
        <v>1</v>
      </c>
      <c r="T1995" t="b">
        <v>1</v>
      </c>
      <c r="U1995" t="b">
        <v>1</v>
      </c>
      <c r="V1995" t="b">
        <v>1</v>
      </c>
      <c r="W1995" t="b">
        <v>1</v>
      </c>
      <c r="X1995" t="b">
        <v>1</v>
      </c>
      <c r="Y1995" t="b">
        <v>1</v>
      </c>
      <c r="Z1995" t="b">
        <v>1</v>
      </c>
      <c r="AA1995" t="b">
        <v>1</v>
      </c>
      <c r="AB1995" t="b">
        <v>1</v>
      </c>
      <c r="AC1995" t="b">
        <v>1</v>
      </c>
      <c r="AD1995" t="b">
        <v>1</v>
      </c>
      <c r="AE1995" t="b">
        <v>1</v>
      </c>
      <c r="AF1995" t="b">
        <v>1</v>
      </c>
      <c r="AG1995" t="b">
        <v>1</v>
      </c>
    </row>
    <row r="1996" spans="1:33" x14ac:dyDescent="0.25">
      <c r="A1996" t="s">
        <v>33</v>
      </c>
      <c r="B1996">
        <v>15</v>
      </c>
      <c r="C1996" t="b">
        <v>1</v>
      </c>
      <c r="D1996" t="s">
        <v>5301</v>
      </c>
      <c r="E1996" t="s">
        <v>6830</v>
      </c>
      <c r="F1996" t="s">
        <v>6854</v>
      </c>
      <c r="G1996" t="s">
        <v>5345</v>
      </c>
      <c r="H1996">
        <v>1995</v>
      </c>
      <c r="I1996" t="str">
        <f>IF(ISBLANK(Table1[[#This Row],[oid]]),"FALSE","TRUE")</f>
        <v>TRUE</v>
      </c>
      <c r="J1996" t="str" cm="1">
        <f t="array" ref="J1996">_xlfn.SWITCH(LEFT(Table1[[#This Row],[section]],1), "D", "Demographic", "S", "Social", "E", "Economic", "H", "Housing", "")</f>
        <v>Economic</v>
      </c>
      <c r="K1996" t="s">
        <v>6832</v>
      </c>
      <c r="L1996" t="s">
        <v>6833</v>
      </c>
      <c r="M1996" t="str">
        <f>IF(Table1[[#This Row],[used]], _xlfn.CONCAT("🆔 ", Table1[[#This Row],[variable]], ": ",Table1[[#This Row],[alias]]), "")</f>
        <v>🆔 B19101_011E: $50,000 to $59,999</v>
      </c>
      <c r="O1996" t="s">
        <v>5346</v>
      </c>
      <c r="P1996" t="s">
        <v>6834</v>
      </c>
      <c r="Q1996" t="s">
        <v>41</v>
      </c>
      <c r="R1996" t="s">
        <v>6855</v>
      </c>
      <c r="S1996" t="b">
        <v>1</v>
      </c>
      <c r="T1996" t="b">
        <v>1</v>
      </c>
      <c r="U1996" t="b">
        <v>1</v>
      </c>
      <c r="V1996" t="b">
        <v>1</v>
      </c>
      <c r="W1996" t="b">
        <v>1</v>
      </c>
      <c r="X1996" t="b">
        <v>1</v>
      </c>
      <c r="Y1996" t="b">
        <v>1</v>
      </c>
      <c r="Z1996" t="b">
        <v>1</v>
      </c>
      <c r="AA1996" t="b">
        <v>1</v>
      </c>
      <c r="AB1996" t="b">
        <v>1</v>
      </c>
      <c r="AC1996" t="b">
        <v>1</v>
      </c>
      <c r="AD1996" t="b">
        <v>1</v>
      </c>
      <c r="AE1996" t="b">
        <v>1</v>
      </c>
      <c r="AF1996" t="b">
        <v>1</v>
      </c>
      <c r="AG1996" t="b">
        <v>1</v>
      </c>
    </row>
    <row r="1997" spans="1:33" x14ac:dyDescent="0.25">
      <c r="A1997" t="s">
        <v>33</v>
      </c>
      <c r="B1997">
        <v>15</v>
      </c>
      <c r="C1997" t="b">
        <v>1</v>
      </c>
      <c r="D1997" t="s">
        <v>5301</v>
      </c>
      <c r="E1997" t="s">
        <v>6830</v>
      </c>
      <c r="F1997" t="s">
        <v>6856</v>
      </c>
      <c r="G1997" t="s">
        <v>5349</v>
      </c>
      <c r="H1997">
        <v>1996</v>
      </c>
      <c r="I1997" t="str">
        <f>IF(ISBLANK(Table1[[#This Row],[oid]]),"FALSE","TRUE")</f>
        <v>TRUE</v>
      </c>
      <c r="J1997" t="str" cm="1">
        <f t="array" ref="J1997">_xlfn.SWITCH(LEFT(Table1[[#This Row],[section]],1), "D", "Demographic", "S", "Social", "E", "Economic", "H", "Housing", "")</f>
        <v>Economic</v>
      </c>
      <c r="K1997" t="s">
        <v>6832</v>
      </c>
      <c r="L1997" t="s">
        <v>6833</v>
      </c>
      <c r="M1997" t="str">
        <f>IF(Table1[[#This Row],[used]], _xlfn.CONCAT("🆔 ", Table1[[#This Row],[variable]], ": ",Table1[[#This Row],[alias]]), "")</f>
        <v>🆔 B19101_012E: $60,000 to $74,999</v>
      </c>
      <c r="O1997" t="s">
        <v>5350</v>
      </c>
      <c r="P1997" t="s">
        <v>6834</v>
      </c>
      <c r="Q1997" t="s">
        <v>41</v>
      </c>
      <c r="R1997" t="s">
        <v>6857</v>
      </c>
      <c r="S1997" t="b">
        <v>1</v>
      </c>
      <c r="T1997" t="b">
        <v>1</v>
      </c>
      <c r="U1997" t="b">
        <v>1</v>
      </c>
      <c r="V1997" t="b">
        <v>1</v>
      </c>
      <c r="W1997" t="b">
        <v>1</v>
      </c>
      <c r="X1997" t="b">
        <v>1</v>
      </c>
      <c r="Y1997" t="b">
        <v>1</v>
      </c>
      <c r="Z1997" t="b">
        <v>1</v>
      </c>
      <c r="AA1997" t="b">
        <v>1</v>
      </c>
      <c r="AB1997" t="b">
        <v>1</v>
      </c>
      <c r="AC1997" t="b">
        <v>1</v>
      </c>
      <c r="AD1997" t="b">
        <v>1</v>
      </c>
      <c r="AE1997" t="b">
        <v>1</v>
      </c>
      <c r="AF1997" t="b">
        <v>1</v>
      </c>
      <c r="AG1997" t="b">
        <v>1</v>
      </c>
    </row>
    <row r="1998" spans="1:33" x14ac:dyDescent="0.25">
      <c r="A1998" t="s">
        <v>33</v>
      </c>
      <c r="B1998">
        <v>15</v>
      </c>
      <c r="C1998" t="b">
        <v>1</v>
      </c>
      <c r="D1998" t="s">
        <v>5301</v>
      </c>
      <c r="E1998" t="s">
        <v>6830</v>
      </c>
      <c r="F1998" t="s">
        <v>6858</v>
      </c>
      <c r="G1998" t="s">
        <v>5353</v>
      </c>
      <c r="H1998">
        <v>1997</v>
      </c>
      <c r="I1998" t="str">
        <f>IF(ISBLANK(Table1[[#This Row],[oid]]),"FALSE","TRUE")</f>
        <v>TRUE</v>
      </c>
      <c r="J1998" t="str" cm="1">
        <f t="array" ref="J1998">_xlfn.SWITCH(LEFT(Table1[[#This Row],[section]],1), "D", "Demographic", "S", "Social", "E", "Economic", "H", "Housing", "")</f>
        <v>Economic</v>
      </c>
      <c r="K1998" t="s">
        <v>6832</v>
      </c>
      <c r="L1998" t="s">
        <v>6833</v>
      </c>
      <c r="M1998" t="str">
        <f>IF(Table1[[#This Row],[used]], _xlfn.CONCAT("🆔 ", Table1[[#This Row],[variable]], ": ",Table1[[#This Row],[alias]]), "")</f>
        <v>🆔 B19101_013E: $75,000 to $99,999</v>
      </c>
      <c r="O1998" t="s">
        <v>5354</v>
      </c>
      <c r="P1998" t="s">
        <v>6834</v>
      </c>
      <c r="Q1998" t="s">
        <v>41</v>
      </c>
      <c r="R1998" t="s">
        <v>6859</v>
      </c>
      <c r="S1998" t="b">
        <v>1</v>
      </c>
      <c r="T1998" t="b">
        <v>1</v>
      </c>
      <c r="U1998" t="b">
        <v>1</v>
      </c>
      <c r="V1998" t="b">
        <v>1</v>
      </c>
      <c r="W1998" t="b">
        <v>1</v>
      </c>
      <c r="X1998" t="b">
        <v>1</v>
      </c>
      <c r="Y1998" t="b">
        <v>1</v>
      </c>
      <c r="Z1998" t="b">
        <v>1</v>
      </c>
      <c r="AA1998" t="b">
        <v>1</v>
      </c>
      <c r="AB1998" t="b">
        <v>1</v>
      </c>
      <c r="AC1998" t="b">
        <v>1</v>
      </c>
      <c r="AD1998" t="b">
        <v>1</v>
      </c>
      <c r="AE1998" t="b">
        <v>1</v>
      </c>
      <c r="AF1998" t="b">
        <v>1</v>
      </c>
      <c r="AG1998" t="b">
        <v>1</v>
      </c>
    </row>
    <row r="1999" spans="1:33" x14ac:dyDescent="0.25">
      <c r="A1999" t="s">
        <v>33</v>
      </c>
      <c r="B1999">
        <v>15</v>
      </c>
      <c r="C1999" t="b">
        <v>1</v>
      </c>
      <c r="D1999" t="s">
        <v>5301</v>
      </c>
      <c r="E1999" t="s">
        <v>6830</v>
      </c>
      <c r="F1999" t="s">
        <v>6860</v>
      </c>
      <c r="G1999" t="s">
        <v>5357</v>
      </c>
      <c r="H1999">
        <v>1998</v>
      </c>
      <c r="I1999" t="str">
        <f>IF(ISBLANK(Table1[[#This Row],[oid]]),"FALSE","TRUE")</f>
        <v>TRUE</v>
      </c>
      <c r="J1999" t="str" cm="1">
        <f t="array" ref="J1999">_xlfn.SWITCH(LEFT(Table1[[#This Row],[section]],1), "D", "Demographic", "S", "Social", "E", "Economic", "H", "Housing", "")</f>
        <v>Economic</v>
      </c>
      <c r="K1999" t="s">
        <v>6832</v>
      </c>
      <c r="L1999" t="s">
        <v>6833</v>
      </c>
      <c r="M1999" t="str">
        <f>IF(Table1[[#This Row],[used]], _xlfn.CONCAT("🆔 ", Table1[[#This Row],[variable]], ": ",Table1[[#This Row],[alias]]), "")</f>
        <v>🆔 B19101_014E: $100,000 to $124,999</v>
      </c>
      <c r="O1999" t="s">
        <v>5358</v>
      </c>
      <c r="P1999" t="s">
        <v>6834</v>
      </c>
      <c r="Q1999" t="s">
        <v>41</v>
      </c>
      <c r="R1999" t="s">
        <v>6861</v>
      </c>
      <c r="S1999" t="b">
        <v>1</v>
      </c>
      <c r="T1999" t="b">
        <v>1</v>
      </c>
      <c r="U1999" t="b">
        <v>1</v>
      </c>
      <c r="V1999" t="b">
        <v>1</v>
      </c>
      <c r="W1999" t="b">
        <v>1</v>
      </c>
      <c r="X1999" t="b">
        <v>1</v>
      </c>
      <c r="Y1999" t="b">
        <v>1</v>
      </c>
      <c r="Z1999" t="b">
        <v>1</v>
      </c>
      <c r="AA1999" t="b">
        <v>1</v>
      </c>
      <c r="AB1999" t="b">
        <v>1</v>
      </c>
      <c r="AC1999" t="b">
        <v>1</v>
      </c>
      <c r="AD1999" t="b">
        <v>1</v>
      </c>
      <c r="AE1999" t="b">
        <v>1</v>
      </c>
      <c r="AF1999" t="b">
        <v>1</v>
      </c>
      <c r="AG1999" t="b">
        <v>1</v>
      </c>
    </row>
    <row r="2000" spans="1:33" x14ac:dyDescent="0.25">
      <c r="A2000" t="s">
        <v>33</v>
      </c>
      <c r="B2000">
        <v>15</v>
      </c>
      <c r="C2000" t="b">
        <v>1</v>
      </c>
      <c r="D2000" t="s">
        <v>5301</v>
      </c>
      <c r="E2000" t="s">
        <v>6830</v>
      </c>
      <c r="F2000" t="s">
        <v>6862</v>
      </c>
      <c r="G2000" t="s">
        <v>5361</v>
      </c>
      <c r="H2000">
        <v>1999</v>
      </c>
      <c r="I2000" t="str">
        <f>IF(ISBLANK(Table1[[#This Row],[oid]]),"FALSE","TRUE")</f>
        <v>TRUE</v>
      </c>
      <c r="J2000" t="str" cm="1">
        <f t="array" ref="J2000">_xlfn.SWITCH(LEFT(Table1[[#This Row],[section]],1), "D", "Demographic", "S", "Social", "E", "Economic", "H", "Housing", "")</f>
        <v>Economic</v>
      </c>
      <c r="K2000" t="s">
        <v>6832</v>
      </c>
      <c r="L2000" t="s">
        <v>6833</v>
      </c>
      <c r="M2000" t="str">
        <f>IF(Table1[[#This Row],[used]], _xlfn.CONCAT("🆔 ", Table1[[#This Row],[variable]], ": ",Table1[[#This Row],[alias]]), "")</f>
        <v>🆔 B19101_015E: $125,000 to $149,999</v>
      </c>
      <c r="O2000" t="s">
        <v>5362</v>
      </c>
      <c r="P2000" t="s">
        <v>6834</v>
      </c>
      <c r="Q2000" t="s">
        <v>41</v>
      </c>
      <c r="R2000" t="s">
        <v>6863</v>
      </c>
      <c r="S2000" t="b">
        <v>1</v>
      </c>
      <c r="T2000" t="b">
        <v>1</v>
      </c>
      <c r="U2000" t="b">
        <v>1</v>
      </c>
      <c r="V2000" t="b">
        <v>1</v>
      </c>
      <c r="W2000" t="b">
        <v>1</v>
      </c>
      <c r="X2000" t="b">
        <v>1</v>
      </c>
      <c r="Y2000" t="b">
        <v>1</v>
      </c>
      <c r="Z2000" t="b">
        <v>1</v>
      </c>
      <c r="AA2000" t="b">
        <v>1</v>
      </c>
      <c r="AB2000" t="b">
        <v>1</v>
      </c>
      <c r="AC2000" t="b">
        <v>1</v>
      </c>
      <c r="AD2000" t="b">
        <v>1</v>
      </c>
      <c r="AE2000" t="b">
        <v>1</v>
      </c>
      <c r="AF2000" t="b">
        <v>1</v>
      </c>
      <c r="AG2000" t="b">
        <v>1</v>
      </c>
    </row>
    <row r="2001" spans="1:33" x14ac:dyDescent="0.25">
      <c r="A2001" t="s">
        <v>33</v>
      </c>
      <c r="B2001">
        <v>15</v>
      </c>
      <c r="C2001" t="b">
        <v>1</v>
      </c>
      <c r="D2001" t="s">
        <v>5301</v>
      </c>
      <c r="E2001" t="s">
        <v>6830</v>
      </c>
      <c r="F2001" t="s">
        <v>6864</v>
      </c>
      <c r="G2001" t="s">
        <v>5365</v>
      </c>
      <c r="H2001">
        <v>2000</v>
      </c>
      <c r="I2001" t="str">
        <f>IF(ISBLANK(Table1[[#This Row],[oid]]),"FALSE","TRUE")</f>
        <v>TRUE</v>
      </c>
      <c r="J2001" t="str" cm="1">
        <f t="array" ref="J2001">_xlfn.SWITCH(LEFT(Table1[[#This Row],[section]],1), "D", "Demographic", "S", "Social", "E", "Economic", "H", "Housing", "")</f>
        <v>Economic</v>
      </c>
      <c r="K2001" t="s">
        <v>6832</v>
      </c>
      <c r="L2001" t="s">
        <v>6833</v>
      </c>
      <c r="M2001" t="str">
        <f>IF(Table1[[#This Row],[used]], _xlfn.CONCAT("🆔 ", Table1[[#This Row],[variable]], ": ",Table1[[#This Row],[alias]]), "")</f>
        <v>🆔 B19101_016E: $150,000 to $199,999</v>
      </c>
      <c r="O2001" t="s">
        <v>5366</v>
      </c>
      <c r="P2001" t="s">
        <v>6834</v>
      </c>
      <c r="Q2001" t="s">
        <v>41</v>
      </c>
      <c r="R2001" t="s">
        <v>6865</v>
      </c>
      <c r="S2001" t="b">
        <v>1</v>
      </c>
      <c r="T2001" t="b">
        <v>1</v>
      </c>
      <c r="U2001" t="b">
        <v>1</v>
      </c>
      <c r="V2001" t="b">
        <v>1</v>
      </c>
      <c r="W2001" t="b">
        <v>1</v>
      </c>
      <c r="X2001" t="b">
        <v>1</v>
      </c>
      <c r="Y2001" t="b">
        <v>1</v>
      </c>
      <c r="Z2001" t="b">
        <v>1</v>
      </c>
      <c r="AA2001" t="b">
        <v>1</v>
      </c>
      <c r="AB2001" t="b">
        <v>1</v>
      </c>
      <c r="AC2001" t="b">
        <v>1</v>
      </c>
      <c r="AD2001" t="b">
        <v>1</v>
      </c>
      <c r="AE2001" t="b">
        <v>1</v>
      </c>
      <c r="AF2001" t="b">
        <v>1</v>
      </c>
      <c r="AG2001" t="b">
        <v>1</v>
      </c>
    </row>
    <row r="2002" spans="1:33" x14ac:dyDescent="0.25">
      <c r="A2002" t="s">
        <v>33</v>
      </c>
      <c r="B2002">
        <v>15</v>
      </c>
      <c r="C2002" t="b">
        <v>1</v>
      </c>
      <c r="D2002" t="s">
        <v>5301</v>
      </c>
      <c r="E2002" t="s">
        <v>6830</v>
      </c>
      <c r="F2002" t="s">
        <v>6866</v>
      </c>
      <c r="G2002" t="s">
        <v>5369</v>
      </c>
      <c r="H2002">
        <v>2001</v>
      </c>
      <c r="I2002" t="str">
        <f>IF(ISBLANK(Table1[[#This Row],[oid]]),"FALSE","TRUE")</f>
        <v>TRUE</v>
      </c>
      <c r="J2002" t="str" cm="1">
        <f t="array" ref="J2002">_xlfn.SWITCH(LEFT(Table1[[#This Row],[section]],1), "D", "Demographic", "S", "Social", "E", "Economic", "H", "Housing", "")</f>
        <v>Economic</v>
      </c>
      <c r="K2002" t="s">
        <v>6832</v>
      </c>
      <c r="L2002" t="s">
        <v>6833</v>
      </c>
      <c r="M2002" t="str">
        <f>IF(Table1[[#This Row],[used]], _xlfn.CONCAT("🆔 ", Table1[[#This Row],[variable]], ": ",Table1[[#This Row],[alias]]), "")</f>
        <v>🆔 B19101_017E: $200,000 or more</v>
      </c>
      <c r="O2002" t="s">
        <v>5370</v>
      </c>
      <c r="P2002" t="s">
        <v>6834</v>
      </c>
      <c r="Q2002" t="s">
        <v>41</v>
      </c>
      <c r="R2002" t="s">
        <v>6867</v>
      </c>
      <c r="S2002" t="b">
        <v>1</v>
      </c>
      <c r="T2002" t="b">
        <v>1</v>
      </c>
      <c r="U2002" t="b">
        <v>1</v>
      </c>
      <c r="V2002" t="b">
        <v>1</v>
      </c>
      <c r="W2002" t="b">
        <v>1</v>
      </c>
      <c r="X2002" t="b">
        <v>1</v>
      </c>
      <c r="Y2002" t="b">
        <v>1</v>
      </c>
      <c r="Z2002" t="b">
        <v>1</v>
      </c>
      <c r="AA2002" t="b">
        <v>1</v>
      </c>
      <c r="AB2002" t="b">
        <v>1</v>
      </c>
      <c r="AC2002" t="b">
        <v>1</v>
      </c>
      <c r="AD2002" t="b">
        <v>1</v>
      </c>
      <c r="AE2002" t="b">
        <v>1</v>
      </c>
      <c r="AF2002" t="b">
        <v>1</v>
      </c>
      <c r="AG2002" t="b">
        <v>1</v>
      </c>
    </row>
    <row r="2003" spans="1:33" x14ac:dyDescent="0.25">
      <c r="A2003" t="s">
        <v>1642</v>
      </c>
      <c r="B2003">
        <v>12</v>
      </c>
      <c r="C2003" t="b">
        <v>0</v>
      </c>
      <c r="D2003" t="s">
        <v>6868</v>
      </c>
      <c r="E2003" t="s">
        <v>6869</v>
      </c>
      <c r="F2003" t="s">
        <v>6870</v>
      </c>
      <c r="G2003" t="s">
        <v>6871</v>
      </c>
      <c r="H2003">
        <v>2002</v>
      </c>
      <c r="I2003" t="str">
        <f>IF(ISBLANK(Table1[[#This Row],[oid]]),"FALSE","TRUE")</f>
        <v>TRUE</v>
      </c>
      <c r="J2003" t="str" cm="1">
        <f t="array" ref="J2003">_xlfn.SWITCH(LEFT(Table1[[#This Row],[section]],1), "D", "Demographic", "S", "Social", "E", "Economic", "H", "Housing", "")</f>
        <v>Economic</v>
      </c>
      <c r="K2003" t="s">
        <v>6872</v>
      </c>
      <c r="L2003" t="s">
        <v>6873</v>
      </c>
      <c r="M2003" t="str">
        <f>IF(Table1[[#This Row],[used]], _xlfn.CONCAT("🆔 ", Table1[[#This Row],[variable]], ": ",Table1[[#This Row],[alias]]), "")</f>
        <v>🆔 B27010_001E: Civilian non-institutionalized population</v>
      </c>
      <c r="O2003" t="s">
        <v>39</v>
      </c>
      <c r="P2003" t="s">
        <v>6874</v>
      </c>
      <c r="Q2003" t="s">
        <v>41</v>
      </c>
      <c r="R2003" t="s">
        <v>6875</v>
      </c>
      <c r="S2003" t="b">
        <v>0</v>
      </c>
      <c r="T2003" t="b">
        <v>0</v>
      </c>
      <c r="U2003" t="b">
        <v>0</v>
      </c>
      <c r="V2003" t="b">
        <v>1</v>
      </c>
      <c r="W2003" t="b">
        <v>1</v>
      </c>
      <c r="X2003" t="b">
        <v>1</v>
      </c>
      <c r="Y2003" t="b">
        <v>1</v>
      </c>
      <c r="Z2003" t="b">
        <v>1</v>
      </c>
      <c r="AA2003" t="b">
        <v>1</v>
      </c>
      <c r="AB2003" t="b">
        <v>1</v>
      </c>
      <c r="AC2003" t="b">
        <v>1</v>
      </c>
      <c r="AD2003" t="b">
        <v>1</v>
      </c>
      <c r="AE2003" t="b">
        <v>1</v>
      </c>
      <c r="AF2003" t="b">
        <v>1</v>
      </c>
      <c r="AG2003" t="b">
        <v>1</v>
      </c>
    </row>
    <row r="2004" spans="1:33" x14ac:dyDescent="0.25">
      <c r="A2004" t="s">
        <v>6876</v>
      </c>
      <c r="B2004">
        <v>4</v>
      </c>
      <c r="C2004" t="b">
        <v>0</v>
      </c>
      <c r="D2004" t="s">
        <v>6868</v>
      </c>
      <c r="E2004" t="s">
        <v>6869</v>
      </c>
      <c r="F2004" t="s">
        <v>6877</v>
      </c>
      <c r="G2004" t="s">
        <v>6878</v>
      </c>
      <c r="H2004">
        <v>2003</v>
      </c>
      <c r="I2004" t="str">
        <f>IF(ISBLANK(Table1[[#This Row],[oid]]),"FALSE","TRUE")</f>
        <v>TRUE</v>
      </c>
      <c r="J2004" t="str" cm="1">
        <f t="array" ref="J2004">_xlfn.SWITCH(LEFT(Table1[[#This Row],[section]],1), "D", "Demographic", "S", "Social", "E", "Economic", "H", "Housing", "")</f>
        <v>Economic</v>
      </c>
      <c r="K2004" t="s">
        <v>6872</v>
      </c>
      <c r="L2004" t="s">
        <v>6873</v>
      </c>
      <c r="M2004" t="str">
        <f>IF(Table1[[#This Row],[used]], _xlfn.CONCAT("🆔 ", Table1[[#This Row],[variable]], ": ",Table1[[#This Row],[alias]]), "")</f>
        <v>🆔 B27010_002E: Under 18 years</v>
      </c>
      <c r="O2004" t="s">
        <v>6879</v>
      </c>
      <c r="P2004" t="s">
        <v>6874</v>
      </c>
      <c r="Q2004" t="s">
        <v>41</v>
      </c>
      <c r="R2004" t="s">
        <v>6880</v>
      </c>
      <c r="S2004" t="b">
        <v>0</v>
      </c>
      <c r="T2004" t="b">
        <v>0</v>
      </c>
      <c r="U2004" t="b">
        <v>0</v>
      </c>
      <c r="V2004" t="b">
        <v>1</v>
      </c>
      <c r="W2004" t="b">
        <v>1</v>
      </c>
      <c r="X2004" t="b">
        <v>1</v>
      </c>
      <c r="Y2004" t="b">
        <v>1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</row>
    <row r="2005" spans="1:33" x14ac:dyDescent="0.25">
      <c r="A2005" t="s">
        <v>2259</v>
      </c>
      <c r="B2005">
        <v>8</v>
      </c>
      <c r="C2005" t="b">
        <v>0</v>
      </c>
      <c r="D2005" t="s">
        <v>6868</v>
      </c>
      <c r="E2005" t="s">
        <v>6869</v>
      </c>
      <c r="F2005" t="s">
        <v>6877</v>
      </c>
      <c r="G2005" t="s">
        <v>6881</v>
      </c>
      <c r="H2005">
        <v>2004</v>
      </c>
      <c r="I2005" t="str">
        <f>IF(ISBLANK(Table1[[#This Row],[oid]]),"FALSE","TRUE")</f>
        <v>TRUE</v>
      </c>
      <c r="J2005" t="str" cm="1">
        <f t="array" ref="J2005">_xlfn.SWITCH(LEFT(Table1[[#This Row],[section]],1), "D", "Demographic", "S", "Social", "E", "Economic", "H", "Housing", "")</f>
        <v>Economic</v>
      </c>
      <c r="K2005" t="s">
        <v>6872</v>
      </c>
      <c r="L2005" t="s">
        <v>6873</v>
      </c>
      <c r="M2005" t="str">
        <f>IF(Table1[[#This Row],[used]], _xlfn.CONCAT("🆔 ", Table1[[#This Row],[variable]], ": ",Table1[[#This Row],[alias]]), "")</f>
        <v>🆔 B27010_002E: Under 19 years</v>
      </c>
      <c r="O2005" t="s">
        <v>6882</v>
      </c>
      <c r="P2005" t="s">
        <v>6874</v>
      </c>
      <c r="Q2005" t="s">
        <v>41</v>
      </c>
      <c r="R2005" t="s">
        <v>6880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1</v>
      </c>
      <c r="AA2005" t="b">
        <v>1</v>
      </c>
      <c r="AB2005" t="b">
        <v>1</v>
      </c>
      <c r="AC2005" t="b">
        <v>1</v>
      </c>
      <c r="AD2005" t="b">
        <v>1</v>
      </c>
      <c r="AE2005" t="b">
        <v>1</v>
      </c>
      <c r="AF2005" t="b">
        <v>1</v>
      </c>
      <c r="AG2005" t="b">
        <v>1</v>
      </c>
    </row>
    <row r="2006" spans="1:33" x14ac:dyDescent="0.25">
      <c r="A2006" t="s">
        <v>6876</v>
      </c>
      <c r="B2006">
        <v>4</v>
      </c>
      <c r="C2006" t="b">
        <v>0</v>
      </c>
      <c r="D2006" t="s">
        <v>6868</v>
      </c>
      <c r="E2006" t="s">
        <v>6869</v>
      </c>
      <c r="F2006" t="s">
        <v>6883</v>
      </c>
      <c r="G2006" t="s">
        <v>6884</v>
      </c>
      <c r="H2006">
        <v>2005</v>
      </c>
      <c r="I2006" t="str">
        <f>IF(ISBLANK(Table1[[#This Row],[oid]]),"FALSE","TRUE")</f>
        <v>TRUE</v>
      </c>
      <c r="J2006" t="str" cm="1">
        <f t="array" ref="J2006">_xlfn.SWITCH(LEFT(Table1[[#This Row],[section]],1), "D", "Demographic", "S", "Social", "E", "Economic", "H", "Housing", "")</f>
        <v>Economic</v>
      </c>
      <c r="K2006" t="s">
        <v>6872</v>
      </c>
      <c r="L2006" t="s">
        <v>6873</v>
      </c>
      <c r="M2006" t="str">
        <f>IF(Table1[[#This Row],[used]], _xlfn.CONCAT("🆔 ", Table1[[#This Row],[variable]], ": ",Table1[[#This Row],[alias]]), "")</f>
        <v>🆔 B27010_003E: Under 18 years: With one type of health insurance coverage</v>
      </c>
      <c r="O2006" t="s">
        <v>6885</v>
      </c>
      <c r="P2006" t="s">
        <v>6874</v>
      </c>
      <c r="Q2006" t="s">
        <v>41</v>
      </c>
      <c r="R2006" t="s">
        <v>6886</v>
      </c>
      <c r="S2006" t="b">
        <v>0</v>
      </c>
      <c r="T2006" t="b">
        <v>0</v>
      </c>
      <c r="U2006" t="b">
        <v>0</v>
      </c>
      <c r="V2006" t="b">
        <v>1</v>
      </c>
      <c r="W2006" t="b">
        <v>1</v>
      </c>
      <c r="X2006" t="b">
        <v>1</v>
      </c>
      <c r="Y2006" t="b">
        <v>1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</row>
    <row r="2007" spans="1:33" x14ac:dyDescent="0.25">
      <c r="A2007" t="s">
        <v>2259</v>
      </c>
      <c r="B2007">
        <v>8</v>
      </c>
      <c r="C2007" t="b">
        <v>0</v>
      </c>
      <c r="D2007" t="s">
        <v>6868</v>
      </c>
      <c r="E2007" t="s">
        <v>6869</v>
      </c>
      <c r="F2007" t="s">
        <v>6883</v>
      </c>
      <c r="G2007" t="s">
        <v>6887</v>
      </c>
      <c r="H2007">
        <v>2006</v>
      </c>
      <c r="I2007" t="str">
        <f>IF(ISBLANK(Table1[[#This Row],[oid]]),"FALSE","TRUE")</f>
        <v>TRUE</v>
      </c>
      <c r="J2007" t="str" cm="1">
        <f t="array" ref="J2007">_xlfn.SWITCH(LEFT(Table1[[#This Row],[section]],1), "D", "Demographic", "S", "Social", "E", "Economic", "H", "Housing", "")</f>
        <v>Economic</v>
      </c>
      <c r="K2007" t="s">
        <v>6872</v>
      </c>
      <c r="L2007" t="s">
        <v>6873</v>
      </c>
      <c r="M2007" t="str">
        <f>IF(Table1[[#This Row],[used]], _xlfn.CONCAT("🆔 ", Table1[[#This Row],[variable]], ": ",Table1[[#This Row],[alias]]), "")</f>
        <v>🆔 B27010_003E: Under 19 years: With one type of health insurance coverage</v>
      </c>
      <c r="O2007" t="s">
        <v>6888</v>
      </c>
      <c r="P2007" t="s">
        <v>6874</v>
      </c>
      <c r="Q2007" t="s">
        <v>41</v>
      </c>
      <c r="R2007" t="s">
        <v>6886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1</v>
      </c>
      <c r="AA2007" t="b">
        <v>1</v>
      </c>
      <c r="AB2007" t="b">
        <v>1</v>
      </c>
      <c r="AC2007" t="b">
        <v>1</v>
      </c>
      <c r="AD2007" t="b">
        <v>1</v>
      </c>
      <c r="AE2007" t="b">
        <v>1</v>
      </c>
      <c r="AF2007" t="b">
        <v>1</v>
      </c>
      <c r="AG2007" t="b">
        <v>1</v>
      </c>
    </row>
    <row r="2008" spans="1:33" x14ac:dyDescent="0.25">
      <c r="A2008" t="s">
        <v>6876</v>
      </c>
      <c r="B2008">
        <v>4</v>
      </c>
      <c r="C2008" t="b">
        <v>0</v>
      </c>
      <c r="D2008" t="s">
        <v>6868</v>
      </c>
      <c r="E2008" t="s">
        <v>6869</v>
      </c>
      <c r="F2008" t="s">
        <v>6889</v>
      </c>
      <c r="G2008" t="s">
        <v>6890</v>
      </c>
      <c r="H2008">
        <v>2007</v>
      </c>
      <c r="I2008" t="str">
        <f>IF(ISBLANK(Table1[[#This Row],[oid]]),"FALSE","TRUE")</f>
        <v>TRUE</v>
      </c>
      <c r="J2008" t="str" cm="1">
        <f t="array" ref="J2008">_xlfn.SWITCH(LEFT(Table1[[#This Row],[section]],1), "D", "Demographic", "S", "Social", "E", "Economic", "H", "Housing", "")</f>
        <v>Economic</v>
      </c>
      <c r="K2008" t="s">
        <v>6872</v>
      </c>
      <c r="L2008" t="s">
        <v>6873</v>
      </c>
      <c r="M2008" t="str">
        <f>IF(Table1[[#This Row],[used]], _xlfn.CONCAT("🆔 ", Table1[[#This Row],[variable]], ": ",Table1[[#This Row],[alias]]), "")</f>
        <v>🆔 B27010_004E: Under 18 years: With one type of health insurance coverage: With employer-based health insurance only</v>
      </c>
      <c r="O2008" t="s">
        <v>6891</v>
      </c>
      <c r="P2008" t="s">
        <v>6874</v>
      </c>
      <c r="Q2008" t="s">
        <v>41</v>
      </c>
      <c r="R2008" t="s">
        <v>6892</v>
      </c>
      <c r="S2008" t="b">
        <v>0</v>
      </c>
      <c r="T2008" t="b">
        <v>0</v>
      </c>
      <c r="U2008" t="b">
        <v>0</v>
      </c>
      <c r="V2008" t="b">
        <v>1</v>
      </c>
      <c r="W2008" t="b">
        <v>1</v>
      </c>
      <c r="X2008" t="b">
        <v>1</v>
      </c>
      <c r="Y2008" t="b">
        <v>1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</row>
    <row r="2009" spans="1:33" x14ac:dyDescent="0.25">
      <c r="A2009" t="s">
        <v>2259</v>
      </c>
      <c r="B2009">
        <v>8</v>
      </c>
      <c r="C2009" t="b">
        <v>0</v>
      </c>
      <c r="D2009" t="s">
        <v>6868</v>
      </c>
      <c r="E2009" t="s">
        <v>6869</v>
      </c>
      <c r="F2009" t="s">
        <v>6889</v>
      </c>
      <c r="G2009" t="s">
        <v>6893</v>
      </c>
      <c r="H2009">
        <v>2008</v>
      </c>
      <c r="I2009" t="str">
        <f>IF(ISBLANK(Table1[[#This Row],[oid]]),"FALSE","TRUE")</f>
        <v>TRUE</v>
      </c>
      <c r="J2009" t="str" cm="1">
        <f t="array" ref="J2009">_xlfn.SWITCH(LEFT(Table1[[#This Row],[section]],1), "D", "Demographic", "S", "Social", "E", "Economic", "H", "Housing", "")</f>
        <v>Economic</v>
      </c>
      <c r="K2009" t="s">
        <v>6872</v>
      </c>
      <c r="L2009" t="s">
        <v>6873</v>
      </c>
      <c r="M2009" t="str">
        <f>IF(Table1[[#This Row],[used]], _xlfn.CONCAT("🆔 ", Table1[[#This Row],[variable]], ": ",Table1[[#This Row],[alias]]), "")</f>
        <v>🆔 B27010_004E: Under 19 years: With one type of health insurance coverage: With employer-based health insurance only</v>
      </c>
      <c r="O2009" t="s">
        <v>6894</v>
      </c>
      <c r="P2009" t="s">
        <v>6874</v>
      </c>
      <c r="Q2009" t="s">
        <v>41</v>
      </c>
      <c r="R2009" t="s">
        <v>6892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1</v>
      </c>
      <c r="AA2009" t="b">
        <v>1</v>
      </c>
      <c r="AB2009" t="b">
        <v>1</v>
      </c>
      <c r="AC2009" t="b">
        <v>1</v>
      </c>
      <c r="AD2009" t="b">
        <v>1</v>
      </c>
      <c r="AE2009" t="b">
        <v>1</v>
      </c>
      <c r="AF2009" t="b">
        <v>1</v>
      </c>
      <c r="AG2009" t="b">
        <v>1</v>
      </c>
    </row>
    <row r="2010" spans="1:33" x14ac:dyDescent="0.25">
      <c r="A2010" t="s">
        <v>6876</v>
      </c>
      <c r="B2010">
        <v>4</v>
      </c>
      <c r="C2010" t="b">
        <v>0</v>
      </c>
      <c r="D2010" t="s">
        <v>6868</v>
      </c>
      <c r="E2010" t="s">
        <v>6869</v>
      </c>
      <c r="F2010" t="s">
        <v>6895</v>
      </c>
      <c r="G2010" t="s">
        <v>6896</v>
      </c>
      <c r="H2010">
        <v>2009</v>
      </c>
      <c r="I2010" t="str">
        <f>IF(ISBLANK(Table1[[#This Row],[oid]]),"FALSE","TRUE")</f>
        <v>TRUE</v>
      </c>
      <c r="J2010" t="str" cm="1">
        <f t="array" ref="J2010">_xlfn.SWITCH(LEFT(Table1[[#This Row],[section]],1), "D", "Demographic", "S", "Social", "E", "Economic", "H", "Housing", "")</f>
        <v>Economic</v>
      </c>
      <c r="K2010" t="s">
        <v>6872</v>
      </c>
      <c r="L2010" t="s">
        <v>6873</v>
      </c>
      <c r="M2010" t="str">
        <f>IF(Table1[[#This Row],[used]], _xlfn.CONCAT("🆔 ", Table1[[#This Row],[variable]], ": ",Table1[[#This Row],[alias]]), "")</f>
        <v>🆔 B27010_005E: Under 18 years: With one type of health insurance coverage: With direct-purchase health insurance only</v>
      </c>
      <c r="O2010" t="s">
        <v>6897</v>
      </c>
      <c r="P2010" t="s">
        <v>6874</v>
      </c>
      <c r="Q2010" t="s">
        <v>41</v>
      </c>
      <c r="R2010" t="s">
        <v>6898</v>
      </c>
      <c r="S2010" t="b">
        <v>0</v>
      </c>
      <c r="T2010" t="b">
        <v>0</v>
      </c>
      <c r="U2010" t="b">
        <v>0</v>
      </c>
      <c r="V2010" t="b">
        <v>1</v>
      </c>
      <c r="W2010" t="b">
        <v>1</v>
      </c>
      <c r="X2010" t="b">
        <v>1</v>
      </c>
      <c r="Y2010" t="b">
        <v>1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</row>
    <row r="2011" spans="1:33" x14ac:dyDescent="0.25">
      <c r="A2011" t="s">
        <v>2259</v>
      </c>
      <c r="B2011">
        <v>8</v>
      </c>
      <c r="C2011" t="b">
        <v>0</v>
      </c>
      <c r="D2011" t="s">
        <v>6868</v>
      </c>
      <c r="E2011" t="s">
        <v>6869</v>
      </c>
      <c r="F2011" t="s">
        <v>6895</v>
      </c>
      <c r="G2011" t="s">
        <v>6899</v>
      </c>
      <c r="H2011">
        <v>2010</v>
      </c>
      <c r="I2011" t="str">
        <f>IF(ISBLANK(Table1[[#This Row],[oid]]),"FALSE","TRUE")</f>
        <v>TRUE</v>
      </c>
      <c r="J2011" t="str" cm="1">
        <f t="array" ref="J2011">_xlfn.SWITCH(LEFT(Table1[[#This Row],[section]],1), "D", "Demographic", "S", "Social", "E", "Economic", "H", "Housing", "")</f>
        <v>Economic</v>
      </c>
      <c r="K2011" t="s">
        <v>6872</v>
      </c>
      <c r="L2011" t="s">
        <v>6873</v>
      </c>
      <c r="M2011" t="str">
        <f>IF(Table1[[#This Row],[used]], _xlfn.CONCAT("🆔 ", Table1[[#This Row],[variable]], ": ",Table1[[#This Row],[alias]]), "")</f>
        <v>🆔 B27010_005E: Under 19 years: With one type of health insurance coverage: With direct-purchase health insurance only</v>
      </c>
      <c r="O2011" t="s">
        <v>6900</v>
      </c>
      <c r="P2011" t="s">
        <v>6874</v>
      </c>
      <c r="Q2011" t="s">
        <v>41</v>
      </c>
      <c r="R2011" t="s">
        <v>6898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1</v>
      </c>
      <c r="AA2011" t="b">
        <v>1</v>
      </c>
      <c r="AB2011" t="b">
        <v>1</v>
      </c>
      <c r="AC2011" t="b">
        <v>1</v>
      </c>
      <c r="AD2011" t="b">
        <v>1</v>
      </c>
      <c r="AE2011" t="b">
        <v>1</v>
      </c>
      <c r="AF2011" t="b">
        <v>1</v>
      </c>
      <c r="AG2011" t="b">
        <v>1</v>
      </c>
    </row>
    <row r="2012" spans="1:33" x14ac:dyDescent="0.25">
      <c r="A2012" t="s">
        <v>6876</v>
      </c>
      <c r="B2012">
        <v>4</v>
      </c>
      <c r="C2012" t="b">
        <v>0</v>
      </c>
      <c r="D2012" t="s">
        <v>6868</v>
      </c>
      <c r="E2012" t="s">
        <v>6869</v>
      </c>
      <c r="F2012" t="s">
        <v>6901</v>
      </c>
      <c r="G2012" t="s">
        <v>6902</v>
      </c>
      <c r="H2012">
        <v>2011</v>
      </c>
      <c r="I2012" t="str">
        <f>IF(ISBLANK(Table1[[#This Row],[oid]]),"FALSE","TRUE")</f>
        <v>TRUE</v>
      </c>
      <c r="J2012" t="str" cm="1">
        <f t="array" ref="J2012">_xlfn.SWITCH(LEFT(Table1[[#This Row],[section]],1), "D", "Demographic", "S", "Social", "E", "Economic", "H", "Housing", "")</f>
        <v>Economic</v>
      </c>
      <c r="K2012" t="s">
        <v>6872</v>
      </c>
      <c r="L2012" t="s">
        <v>6873</v>
      </c>
      <c r="M2012" t="str">
        <f>IF(Table1[[#This Row],[used]], _xlfn.CONCAT("🆔 ", Table1[[#This Row],[variable]], ": ",Table1[[#This Row],[alias]]), "")</f>
        <v>🆔 B27010_006E: Under 18 years: With one type of health insurance coverage: With Medicare coverage only</v>
      </c>
      <c r="O2012" t="s">
        <v>6903</v>
      </c>
      <c r="P2012" t="s">
        <v>6874</v>
      </c>
      <c r="Q2012" t="s">
        <v>41</v>
      </c>
      <c r="R2012" t="s">
        <v>6904</v>
      </c>
      <c r="S2012" t="b">
        <v>0</v>
      </c>
      <c r="T2012" t="b">
        <v>0</v>
      </c>
      <c r="U2012" t="b">
        <v>0</v>
      </c>
      <c r="V2012" t="b">
        <v>1</v>
      </c>
      <c r="W2012" t="b">
        <v>1</v>
      </c>
      <c r="X2012" t="b">
        <v>1</v>
      </c>
      <c r="Y2012" t="b">
        <v>1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</row>
    <row r="2013" spans="1:33" x14ac:dyDescent="0.25">
      <c r="A2013" t="s">
        <v>2259</v>
      </c>
      <c r="B2013">
        <v>8</v>
      </c>
      <c r="C2013" t="b">
        <v>0</v>
      </c>
      <c r="D2013" t="s">
        <v>6868</v>
      </c>
      <c r="E2013" t="s">
        <v>6869</v>
      </c>
      <c r="F2013" t="s">
        <v>6901</v>
      </c>
      <c r="G2013" t="s">
        <v>6905</v>
      </c>
      <c r="H2013">
        <v>2012</v>
      </c>
      <c r="I2013" t="str">
        <f>IF(ISBLANK(Table1[[#This Row],[oid]]),"FALSE","TRUE")</f>
        <v>TRUE</v>
      </c>
      <c r="J2013" t="str" cm="1">
        <f t="array" ref="J2013">_xlfn.SWITCH(LEFT(Table1[[#This Row],[section]],1), "D", "Demographic", "S", "Social", "E", "Economic", "H", "Housing", "")</f>
        <v>Economic</v>
      </c>
      <c r="K2013" t="s">
        <v>6872</v>
      </c>
      <c r="L2013" t="s">
        <v>6873</v>
      </c>
      <c r="M2013" t="str">
        <f>IF(Table1[[#This Row],[used]], _xlfn.CONCAT("🆔 ", Table1[[#This Row],[variable]], ": ",Table1[[#This Row],[alias]]), "")</f>
        <v>🆔 B27010_006E: Under 19 years: With one type of health insurance coverage: With Medicare coverage only</v>
      </c>
      <c r="O2013" t="s">
        <v>6906</v>
      </c>
      <c r="P2013" t="s">
        <v>6874</v>
      </c>
      <c r="Q2013" t="s">
        <v>41</v>
      </c>
      <c r="R2013" t="s">
        <v>6904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1</v>
      </c>
      <c r="AA2013" t="b">
        <v>1</v>
      </c>
      <c r="AB2013" t="b">
        <v>1</v>
      </c>
      <c r="AC2013" t="b">
        <v>1</v>
      </c>
      <c r="AD2013" t="b">
        <v>1</v>
      </c>
      <c r="AE2013" t="b">
        <v>1</v>
      </c>
      <c r="AF2013" t="b">
        <v>1</v>
      </c>
      <c r="AG2013" t="b">
        <v>1</v>
      </c>
    </row>
    <row r="2014" spans="1:33" x14ac:dyDescent="0.25">
      <c r="A2014" t="s">
        <v>6876</v>
      </c>
      <c r="B2014">
        <v>4</v>
      </c>
      <c r="C2014" t="b">
        <v>0</v>
      </c>
      <c r="D2014" t="s">
        <v>6868</v>
      </c>
      <c r="E2014" t="s">
        <v>6869</v>
      </c>
      <c r="F2014" t="s">
        <v>6907</v>
      </c>
      <c r="G2014" t="s">
        <v>6908</v>
      </c>
      <c r="H2014">
        <v>2013</v>
      </c>
      <c r="I2014" t="str">
        <f>IF(ISBLANK(Table1[[#This Row],[oid]]),"FALSE","TRUE")</f>
        <v>TRUE</v>
      </c>
      <c r="J2014" t="str" cm="1">
        <f t="array" ref="J2014">_xlfn.SWITCH(LEFT(Table1[[#This Row],[section]],1), "D", "Demographic", "S", "Social", "E", "Economic", "H", "Housing", "")</f>
        <v>Economic</v>
      </c>
      <c r="K2014" t="s">
        <v>6872</v>
      </c>
      <c r="L2014" t="s">
        <v>6873</v>
      </c>
      <c r="M2014" t="str">
        <f>IF(Table1[[#This Row],[used]], _xlfn.CONCAT("🆔 ", Table1[[#This Row],[variable]], ": ",Table1[[#This Row],[alias]]), "")</f>
        <v>🆔 B27010_007E: Under 18 years: With one type of health insurance coverage: With Medicaidmeans-tested public coverage only</v>
      </c>
      <c r="O2014" t="s">
        <v>6909</v>
      </c>
      <c r="P2014" t="s">
        <v>6874</v>
      </c>
      <c r="Q2014" t="s">
        <v>41</v>
      </c>
      <c r="R2014" t="s">
        <v>6910</v>
      </c>
      <c r="S2014" t="b">
        <v>0</v>
      </c>
      <c r="T2014" t="b">
        <v>0</v>
      </c>
      <c r="U2014" t="b">
        <v>0</v>
      </c>
      <c r="V2014" t="b">
        <v>1</v>
      </c>
      <c r="W2014" t="b">
        <v>1</v>
      </c>
      <c r="X2014" t="b">
        <v>1</v>
      </c>
      <c r="Y2014" t="b">
        <v>1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</row>
    <row r="2015" spans="1:33" x14ac:dyDescent="0.25">
      <c r="A2015" t="s">
        <v>2259</v>
      </c>
      <c r="B2015">
        <v>8</v>
      </c>
      <c r="C2015" t="b">
        <v>0</v>
      </c>
      <c r="D2015" t="s">
        <v>6868</v>
      </c>
      <c r="E2015" t="s">
        <v>6869</v>
      </c>
      <c r="F2015" t="s">
        <v>6907</v>
      </c>
      <c r="G2015" t="s">
        <v>6911</v>
      </c>
      <c r="H2015">
        <v>2014</v>
      </c>
      <c r="I2015" t="str">
        <f>IF(ISBLANK(Table1[[#This Row],[oid]]),"FALSE","TRUE")</f>
        <v>TRUE</v>
      </c>
      <c r="J2015" t="str" cm="1">
        <f t="array" ref="J2015">_xlfn.SWITCH(LEFT(Table1[[#This Row],[section]],1), "D", "Demographic", "S", "Social", "E", "Economic", "H", "Housing", "")</f>
        <v>Economic</v>
      </c>
      <c r="K2015" t="s">
        <v>6872</v>
      </c>
      <c r="L2015" t="s">
        <v>6873</v>
      </c>
      <c r="M2015" t="str">
        <f>IF(Table1[[#This Row],[used]], _xlfn.CONCAT("🆔 ", Table1[[#This Row],[variable]], ": ",Table1[[#This Row],[alias]]), "")</f>
        <v>🆔 B27010_007E: Under 19 years: With one type of health insurance coverage: With Medicaidmeans-tested public coverage only</v>
      </c>
      <c r="O2015" t="s">
        <v>6912</v>
      </c>
      <c r="P2015" t="s">
        <v>6874</v>
      </c>
      <c r="Q2015" t="s">
        <v>41</v>
      </c>
      <c r="R2015" t="s">
        <v>6910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1</v>
      </c>
      <c r="AA2015" t="b">
        <v>1</v>
      </c>
      <c r="AB2015" t="b">
        <v>1</v>
      </c>
      <c r="AC2015" t="b">
        <v>1</v>
      </c>
      <c r="AD2015" t="b">
        <v>1</v>
      </c>
      <c r="AE2015" t="b">
        <v>1</v>
      </c>
      <c r="AF2015" t="b">
        <v>1</v>
      </c>
      <c r="AG2015" t="b">
        <v>1</v>
      </c>
    </row>
    <row r="2016" spans="1:33" x14ac:dyDescent="0.25">
      <c r="A2016" t="s">
        <v>6876</v>
      </c>
      <c r="B2016">
        <v>4</v>
      </c>
      <c r="C2016" t="b">
        <v>0</v>
      </c>
      <c r="D2016" t="s">
        <v>6868</v>
      </c>
      <c r="E2016" t="s">
        <v>6869</v>
      </c>
      <c r="F2016" t="s">
        <v>6913</v>
      </c>
      <c r="G2016" t="s">
        <v>6914</v>
      </c>
      <c r="H2016">
        <v>2015</v>
      </c>
      <c r="I2016" t="str">
        <f>IF(ISBLANK(Table1[[#This Row],[oid]]),"FALSE","TRUE")</f>
        <v>TRUE</v>
      </c>
      <c r="J2016" t="str" cm="1">
        <f t="array" ref="J2016">_xlfn.SWITCH(LEFT(Table1[[#This Row],[section]],1), "D", "Demographic", "S", "Social", "E", "Economic", "H", "Housing", "")</f>
        <v>Economic</v>
      </c>
      <c r="K2016" t="s">
        <v>6872</v>
      </c>
      <c r="L2016" t="s">
        <v>6873</v>
      </c>
      <c r="M2016" t="str">
        <f>IF(Table1[[#This Row],[used]], _xlfn.CONCAT("🆔 ", Table1[[#This Row],[variable]], ": ",Table1[[#This Row],[alias]]), "")</f>
        <v>🆔 B27010_008E: Under 18 years: With one type of health insurance coverage: With TRICAREmilitary health coverage only</v>
      </c>
      <c r="O2016" t="s">
        <v>6915</v>
      </c>
      <c r="P2016" t="s">
        <v>6874</v>
      </c>
      <c r="Q2016" t="s">
        <v>41</v>
      </c>
      <c r="R2016" t="s">
        <v>6916</v>
      </c>
      <c r="S2016" t="b">
        <v>0</v>
      </c>
      <c r="T2016" t="b">
        <v>0</v>
      </c>
      <c r="U2016" t="b">
        <v>0</v>
      </c>
      <c r="V2016" t="b">
        <v>1</v>
      </c>
      <c r="W2016" t="b">
        <v>1</v>
      </c>
      <c r="X2016" t="b">
        <v>1</v>
      </c>
      <c r="Y2016" t="b">
        <v>1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</row>
    <row r="2017" spans="1:33" x14ac:dyDescent="0.25">
      <c r="A2017" t="s">
        <v>2259</v>
      </c>
      <c r="B2017">
        <v>8</v>
      </c>
      <c r="C2017" t="b">
        <v>0</v>
      </c>
      <c r="D2017" t="s">
        <v>6868</v>
      </c>
      <c r="E2017" t="s">
        <v>6869</v>
      </c>
      <c r="F2017" t="s">
        <v>6913</v>
      </c>
      <c r="G2017" t="s">
        <v>6917</v>
      </c>
      <c r="H2017">
        <v>2016</v>
      </c>
      <c r="I2017" t="str">
        <f>IF(ISBLANK(Table1[[#This Row],[oid]]),"FALSE","TRUE")</f>
        <v>TRUE</v>
      </c>
      <c r="J2017" t="str" cm="1">
        <f t="array" ref="J2017">_xlfn.SWITCH(LEFT(Table1[[#This Row],[section]],1), "D", "Demographic", "S", "Social", "E", "Economic", "H", "Housing", "")</f>
        <v>Economic</v>
      </c>
      <c r="K2017" t="s">
        <v>6872</v>
      </c>
      <c r="L2017" t="s">
        <v>6873</v>
      </c>
      <c r="M2017" t="str">
        <f>IF(Table1[[#This Row],[used]], _xlfn.CONCAT("🆔 ", Table1[[#This Row],[variable]], ": ",Table1[[#This Row],[alias]]), "")</f>
        <v>🆔 B27010_008E: Under 19 years: With one type of health insurance coverage: With TRICAREmilitary health coverage only</v>
      </c>
      <c r="O2017" t="s">
        <v>6918</v>
      </c>
      <c r="P2017" t="s">
        <v>6874</v>
      </c>
      <c r="Q2017" t="s">
        <v>41</v>
      </c>
      <c r="R2017" t="s">
        <v>6916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1</v>
      </c>
      <c r="AA2017" t="b">
        <v>1</v>
      </c>
      <c r="AB2017" t="b">
        <v>1</v>
      </c>
      <c r="AC2017" t="b">
        <v>1</v>
      </c>
      <c r="AD2017" t="b">
        <v>1</v>
      </c>
      <c r="AE2017" t="b">
        <v>1</v>
      </c>
      <c r="AF2017" t="b">
        <v>1</v>
      </c>
      <c r="AG2017" t="b">
        <v>1</v>
      </c>
    </row>
    <row r="2018" spans="1:33" x14ac:dyDescent="0.25">
      <c r="A2018" t="s">
        <v>6876</v>
      </c>
      <c r="B2018">
        <v>4</v>
      </c>
      <c r="C2018" t="b">
        <v>0</v>
      </c>
      <c r="D2018" t="s">
        <v>6868</v>
      </c>
      <c r="E2018" t="s">
        <v>6869</v>
      </c>
      <c r="F2018" t="s">
        <v>6919</v>
      </c>
      <c r="G2018" t="s">
        <v>6920</v>
      </c>
      <c r="H2018">
        <v>2017</v>
      </c>
      <c r="I2018" t="str">
        <f>IF(ISBLANK(Table1[[#This Row],[oid]]),"FALSE","TRUE")</f>
        <v>TRUE</v>
      </c>
      <c r="J2018" t="str" cm="1">
        <f t="array" ref="J2018">_xlfn.SWITCH(LEFT(Table1[[#This Row],[section]],1), "D", "Demographic", "S", "Social", "E", "Economic", "H", "Housing", "")</f>
        <v>Economic</v>
      </c>
      <c r="K2018" t="s">
        <v>6872</v>
      </c>
      <c r="L2018" t="s">
        <v>6873</v>
      </c>
      <c r="M2018" t="str">
        <f>IF(Table1[[#This Row],[used]], _xlfn.CONCAT("🆔 ", Table1[[#This Row],[variable]], ": ",Table1[[#This Row],[alias]]), "")</f>
        <v>🆔 B27010_009E: Under 18 years: With one type of health insurance coverage: With VA Health Care only</v>
      </c>
      <c r="O2018" t="s">
        <v>6921</v>
      </c>
      <c r="P2018" t="s">
        <v>6874</v>
      </c>
      <c r="Q2018" t="s">
        <v>41</v>
      </c>
      <c r="R2018" t="s">
        <v>6922</v>
      </c>
      <c r="S2018" t="b">
        <v>0</v>
      </c>
      <c r="T2018" t="b">
        <v>0</v>
      </c>
      <c r="U2018" t="b">
        <v>0</v>
      </c>
      <c r="V2018" t="b">
        <v>1</v>
      </c>
      <c r="W2018" t="b">
        <v>1</v>
      </c>
      <c r="X2018" t="b">
        <v>1</v>
      </c>
      <c r="Y2018" t="b">
        <v>1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</row>
    <row r="2019" spans="1:33" x14ac:dyDescent="0.25">
      <c r="A2019" t="s">
        <v>2259</v>
      </c>
      <c r="B2019">
        <v>8</v>
      </c>
      <c r="C2019" t="b">
        <v>0</v>
      </c>
      <c r="D2019" t="s">
        <v>6868</v>
      </c>
      <c r="E2019" t="s">
        <v>6869</v>
      </c>
      <c r="F2019" t="s">
        <v>6919</v>
      </c>
      <c r="G2019" t="s">
        <v>6923</v>
      </c>
      <c r="H2019">
        <v>2018</v>
      </c>
      <c r="I2019" t="str">
        <f>IF(ISBLANK(Table1[[#This Row],[oid]]),"FALSE","TRUE")</f>
        <v>TRUE</v>
      </c>
      <c r="J2019" t="str" cm="1">
        <f t="array" ref="J2019">_xlfn.SWITCH(LEFT(Table1[[#This Row],[section]],1), "D", "Demographic", "S", "Social", "E", "Economic", "H", "Housing", "")</f>
        <v>Economic</v>
      </c>
      <c r="K2019" t="s">
        <v>6872</v>
      </c>
      <c r="L2019" t="s">
        <v>6873</v>
      </c>
      <c r="M2019" t="str">
        <f>IF(Table1[[#This Row],[used]], _xlfn.CONCAT("🆔 ", Table1[[#This Row],[variable]], ": ",Table1[[#This Row],[alias]]), "")</f>
        <v>🆔 B27010_009E: Under 19 years: With one type of health insurance coverage: With VA Health Care only</v>
      </c>
      <c r="O2019" t="s">
        <v>6924</v>
      </c>
      <c r="P2019" t="s">
        <v>6874</v>
      </c>
      <c r="Q2019" t="s">
        <v>41</v>
      </c>
      <c r="R2019" t="s">
        <v>6922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1</v>
      </c>
      <c r="AA2019" t="b">
        <v>1</v>
      </c>
      <c r="AB2019" t="b">
        <v>1</v>
      </c>
      <c r="AC2019" t="b">
        <v>1</v>
      </c>
      <c r="AD2019" t="b">
        <v>1</v>
      </c>
      <c r="AE2019" t="b">
        <v>1</v>
      </c>
      <c r="AF2019" t="b">
        <v>1</v>
      </c>
      <c r="AG2019" t="b">
        <v>1</v>
      </c>
    </row>
    <row r="2020" spans="1:33" x14ac:dyDescent="0.25">
      <c r="A2020" t="s">
        <v>6876</v>
      </c>
      <c r="B2020">
        <v>4</v>
      </c>
      <c r="C2020" t="b">
        <v>0</v>
      </c>
      <c r="D2020" t="s">
        <v>6868</v>
      </c>
      <c r="E2020" t="s">
        <v>6869</v>
      </c>
      <c r="F2020" t="s">
        <v>6925</v>
      </c>
      <c r="G2020" t="s">
        <v>6926</v>
      </c>
      <c r="H2020">
        <v>2019</v>
      </c>
      <c r="I2020" t="str">
        <f>IF(ISBLANK(Table1[[#This Row],[oid]]),"FALSE","TRUE")</f>
        <v>TRUE</v>
      </c>
      <c r="J2020" t="str" cm="1">
        <f t="array" ref="J2020">_xlfn.SWITCH(LEFT(Table1[[#This Row],[section]],1), "D", "Demographic", "S", "Social", "E", "Economic", "H", "Housing", "")</f>
        <v>Economic</v>
      </c>
      <c r="K2020" t="s">
        <v>6872</v>
      </c>
      <c r="L2020" t="s">
        <v>6873</v>
      </c>
      <c r="M2020" t="str">
        <f>IF(Table1[[#This Row],[used]], _xlfn.CONCAT("🆔 ", Table1[[#This Row],[variable]], ": ",Table1[[#This Row],[alias]]), "")</f>
        <v>🆔 B27010_010E: Under 18 years: With two or more types of health insurance coverage</v>
      </c>
      <c r="O2020" t="s">
        <v>6927</v>
      </c>
      <c r="P2020" t="s">
        <v>6874</v>
      </c>
      <c r="Q2020" t="s">
        <v>41</v>
      </c>
      <c r="R2020" t="s">
        <v>6928</v>
      </c>
      <c r="S2020" t="b">
        <v>0</v>
      </c>
      <c r="T2020" t="b">
        <v>0</v>
      </c>
      <c r="U2020" t="b">
        <v>0</v>
      </c>
      <c r="V2020" t="b">
        <v>1</v>
      </c>
      <c r="W2020" t="b">
        <v>1</v>
      </c>
      <c r="X2020" t="b">
        <v>1</v>
      </c>
      <c r="Y2020" t="b">
        <v>1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</row>
    <row r="2021" spans="1:33" x14ac:dyDescent="0.25">
      <c r="A2021" t="s">
        <v>2259</v>
      </c>
      <c r="B2021">
        <v>8</v>
      </c>
      <c r="C2021" t="b">
        <v>0</v>
      </c>
      <c r="D2021" t="s">
        <v>6868</v>
      </c>
      <c r="E2021" t="s">
        <v>6869</v>
      </c>
      <c r="F2021" t="s">
        <v>6925</v>
      </c>
      <c r="G2021" t="s">
        <v>6929</v>
      </c>
      <c r="H2021">
        <v>2020</v>
      </c>
      <c r="I2021" t="str">
        <f>IF(ISBLANK(Table1[[#This Row],[oid]]),"FALSE","TRUE")</f>
        <v>TRUE</v>
      </c>
      <c r="J2021" t="str" cm="1">
        <f t="array" ref="J2021">_xlfn.SWITCH(LEFT(Table1[[#This Row],[section]],1), "D", "Demographic", "S", "Social", "E", "Economic", "H", "Housing", "")</f>
        <v>Economic</v>
      </c>
      <c r="K2021" t="s">
        <v>6872</v>
      </c>
      <c r="L2021" t="s">
        <v>6873</v>
      </c>
      <c r="M2021" t="str">
        <f>IF(Table1[[#This Row],[used]], _xlfn.CONCAT("🆔 ", Table1[[#This Row],[variable]], ": ",Table1[[#This Row],[alias]]), "")</f>
        <v>🆔 B27010_010E: Under 19 years: With two or more types of health insurance coverage</v>
      </c>
      <c r="O2021" t="s">
        <v>6930</v>
      </c>
      <c r="P2021" t="s">
        <v>6874</v>
      </c>
      <c r="Q2021" t="s">
        <v>41</v>
      </c>
      <c r="R2021" t="s">
        <v>6928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1</v>
      </c>
      <c r="AA2021" t="b">
        <v>1</v>
      </c>
      <c r="AB2021" t="b">
        <v>1</v>
      </c>
      <c r="AC2021" t="b">
        <v>1</v>
      </c>
      <c r="AD2021" t="b">
        <v>1</v>
      </c>
      <c r="AE2021" t="b">
        <v>1</v>
      </c>
      <c r="AF2021" t="b">
        <v>1</v>
      </c>
      <c r="AG2021" t="b">
        <v>1</v>
      </c>
    </row>
    <row r="2022" spans="1:33" x14ac:dyDescent="0.25">
      <c r="A2022" t="s">
        <v>6876</v>
      </c>
      <c r="B2022">
        <v>4</v>
      </c>
      <c r="C2022" t="b">
        <v>0</v>
      </c>
      <c r="D2022" t="s">
        <v>6868</v>
      </c>
      <c r="E2022" t="s">
        <v>6869</v>
      </c>
      <c r="F2022" t="s">
        <v>6931</v>
      </c>
      <c r="G2022" t="s">
        <v>6932</v>
      </c>
      <c r="H2022">
        <v>2021</v>
      </c>
      <c r="I2022" t="str">
        <f>IF(ISBLANK(Table1[[#This Row],[oid]]),"FALSE","TRUE")</f>
        <v>TRUE</v>
      </c>
      <c r="J2022" t="str" cm="1">
        <f t="array" ref="J2022">_xlfn.SWITCH(LEFT(Table1[[#This Row],[section]],1), "D", "Demographic", "S", "Social", "E", "Economic", "H", "Housing", "")</f>
        <v>Economic</v>
      </c>
      <c r="K2022" t="s">
        <v>6872</v>
      </c>
      <c r="L2022" t="s">
        <v>6873</v>
      </c>
      <c r="M2022" t="str">
        <f>IF(Table1[[#This Row],[used]], _xlfn.CONCAT("🆔 ", Table1[[#This Row],[variable]], ": ",Table1[[#This Row],[alias]]), "")</f>
        <v>🆔 B27010_011E: Under 18 years: With two or more types of health insurance coverage: With employer-based and direct-purchase coverage</v>
      </c>
      <c r="O2022" t="s">
        <v>6933</v>
      </c>
      <c r="P2022" t="s">
        <v>6874</v>
      </c>
      <c r="Q2022" t="s">
        <v>41</v>
      </c>
      <c r="R2022" t="s">
        <v>6934</v>
      </c>
      <c r="S2022" t="b">
        <v>0</v>
      </c>
      <c r="T2022" t="b">
        <v>0</v>
      </c>
      <c r="U2022" t="b">
        <v>0</v>
      </c>
      <c r="V2022" t="b">
        <v>1</v>
      </c>
      <c r="W2022" t="b">
        <v>1</v>
      </c>
      <c r="X2022" t="b">
        <v>1</v>
      </c>
      <c r="Y2022" t="b">
        <v>1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</row>
    <row r="2023" spans="1:33" x14ac:dyDescent="0.25">
      <c r="A2023" t="s">
        <v>2259</v>
      </c>
      <c r="B2023">
        <v>8</v>
      </c>
      <c r="C2023" t="b">
        <v>0</v>
      </c>
      <c r="D2023" t="s">
        <v>6868</v>
      </c>
      <c r="E2023" t="s">
        <v>6869</v>
      </c>
      <c r="F2023" t="s">
        <v>6931</v>
      </c>
      <c r="G2023" t="s">
        <v>6935</v>
      </c>
      <c r="H2023">
        <v>2022</v>
      </c>
      <c r="I2023" t="str">
        <f>IF(ISBLANK(Table1[[#This Row],[oid]]),"FALSE","TRUE")</f>
        <v>TRUE</v>
      </c>
      <c r="J2023" t="str" cm="1">
        <f t="array" ref="J2023">_xlfn.SWITCH(LEFT(Table1[[#This Row],[section]],1), "D", "Demographic", "S", "Social", "E", "Economic", "H", "Housing", "")</f>
        <v>Economic</v>
      </c>
      <c r="K2023" t="s">
        <v>6872</v>
      </c>
      <c r="L2023" t="s">
        <v>6873</v>
      </c>
      <c r="M2023" t="str">
        <f>IF(Table1[[#This Row],[used]], _xlfn.CONCAT("🆔 ", Table1[[#This Row],[variable]], ": ",Table1[[#This Row],[alias]]), "")</f>
        <v>🆔 B27010_011E: Under 19 years: With two or more types of health insurance coverage: With employer-based and direct-purchase coverage</v>
      </c>
      <c r="O2023" t="s">
        <v>6936</v>
      </c>
      <c r="P2023" t="s">
        <v>6874</v>
      </c>
      <c r="Q2023" t="s">
        <v>41</v>
      </c>
      <c r="R2023" t="s">
        <v>6934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1</v>
      </c>
      <c r="AA2023" t="b">
        <v>1</v>
      </c>
      <c r="AB2023" t="b">
        <v>1</v>
      </c>
      <c r="AC2023" t="b">
        <v>1</v>
      </c>
      <c r="AD2023" t="b">
        <v>1</v>
      </c>
      <c r="AE2023" t="b">
        <v>1</v>
      </c>
      <c r="AF2023" t="b">
        <v>1</v>
      </c>
      <c r="AG2023" t="b">
        <v>1</v>
      </c>
    </row>
    <row r="2024" spans="1:33" x14ac:dyDescent="0.25">
      <c r="A2024" t="s">
        <v>6876</v>
      </c>
      <c r="B2024">
        <v>4</v>
      </c>
      <c r="C2024" t="b">
        <v>0</v>
      </c>
      <c r="D2024" t="s">
        <v>6868</v>
      </c>
      <c r="E2024" t="s">
        <v>6869</v>
      </c>
      <c r="F2024" t="s">
        <v>6937</v>
      </c>
      <c r="G2024" t="s">
        <v>6938</v>
      </c>
      <c r="H2024">
        <v>2023</v>
      </c>
      <c r="I2024" t="str">
        <f>IF(ISBLANK(Table1[[#This Row],[oid]]),"FALSE","TRUE")</f>
        <v>TRUE</v>
      </c>
      <c r="J2024" t="str" cm="1">
        <f t="array" ref="J2024">_xlfn.SWITCH(LEFT(Table1[[#This Row],[section]],1), "D", "Demographic", "S", "Social", "E", "Economic", "H", "Housing", "")</f>
        <v>Economic</v>
      </c>
      <c r="K2024" t="s">
        <v>6872</v>
      </c>
      <c r="L2024" t="s">
        <v>6873</v>
      </c>
      <c r="M2024" t="str">
        <f>IF(Table1[[#This Row],[used]], _xlfn.CONCAT("🆔 ", Table1[[#This Row],[variable]], ": ",Table1[[#This Row],[alias]]), "")</f>
        <v>🆔 B27010_012E: Under 18 years: With two or more types of health insurance coverage: With employer-based and Medicare coverage</v>
      </c>
      <c r="O2024" t="s">
        <v>6939</v>
      </c>
      <c r="P2024" t="s">
        <v>6874</v>
      </c>
      <c r="Q2024" t="s">
        <v>41</v>
      </c>
      <c r="R2024" t="s">
        <v>6940</v>
      </c>
      <c r="S2024" t="b">
        <v>0</v>
      </c>
      <c r="T2024" t="b">
        <v>0</v>
      </c>
      <c r="U2024" t="b">
        <v>0</v>
      </c>
      <c r="V2024" t="b">
        <v>1</v>
      </c>
      <c r="W2024" t="b">
        <v>1</v>
      </c>
      <c r="X2024" t="b">
        <v>1</v>
      </c>
      <c r="Y2024" t="b">
        <v>1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</row>
    <row r="2025" spans="1:33" x14ac:dyDescent="0.25">
      <c r="A2025" t="s">
        <v>2259</v>
      </c>
      <c r="B2025">
        <v>8</v>
      </c>
      <c r="C2025" t="b">
        <v>0</v>
      </c>
      <c r="D2025" t="s">
        <v>6868</v>
      </c>
      <c r="E2025" t="s">
        <v>6869</v>
      </c>
      <c r="F2025" t="s">
        <v>6937</v>
      </c>
      <c r="G2025" t="s">
        <v>6941</v>
      </c>
      <c r="H2025">
        <v>2024</v>
      </c>
      <c r="I2025" t="str">
        <f>IF(ISBLANK(Table1[[#This Row],[oid]]),"FALSE","TRUE")</f>
        <v>TRUE</v>
      </c>
      <c r="J2025" t="str" cm="1">
        <f t="array" ref="J2025">_xlfn.SWITCH(LEFT(Table1[[#This Row],[section]],1), "D", "Demographic", "S", "Social", "E", "Economic", "H", "Housing", "")</f>
        <v>Economic</v>
      </c>
      <c r="K2025" t="s">
        <v>6872</v>
      </c>
      <c r="L2025" t="s">
        <v>6873</v>
      </c>
      <c r="M2025" t="str">
        <f>IF(Table1[[#This Row],[used]], _xlfn.CONCAT("🆔 ", Table1[[#This Row],[variable]], ": ",Table1[[#This Row],[alias]]), "")</f>
        <v>🆔 B27010_012E: Under 19 years: With two or more types of health insurance coverage: With employer-based and Medicare coverage</v>
      </c>
      <c r="O2025" t="s">
        <v>6942</v>
      </c>
      <c r="P2025" t="s">
        <v>6874</v>
      </c>
      <c r="Q2025" t="s">
        <v>41</v>
      </c>
      <c r="R2025" t="s">
        <v>6940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1</v>
      </c>
      <c r="AA2025" t="b">
        <v>1</v>
      </c>
      <c r="AB2025" t="b">
        <v>1</v>
      </c>
      <c r="AC2025" t="b">
        <v>1</v>
      </c>
      <c r="AD2025" t="b">
        <v>1</v>
      </c>
      <c r="AE2025" t="b">
        <v>1</v>
      </c>
      <c r="AF2025" t="b">
        <v>1</v>
      </c>
      <c r="AG2025" t="b">
        <v>1</v>
      </c>
    </row>
    <row r="2026" spans="1:33" x14ac:dyDescent="0.25">
      <c r="A2026" t="s">
        <v>6876</v>
      </c>
      <c r="B2026">
        <v>4</v>
      </c>
      <c r="C2026" t="b">
        <v>0</v>
      </c>
      <c r="D2026" t="s">
        <v>6868</v>
      </c>
      <c r="E2026" t="s">
        <v>6869</v>
      </c>
      <c r="F2026" t="s">
        <v>6943</v>
      </c>
      <c r="G2026" t="s">
        <v>6944</v>
      </c>
      <c r="H2026">
        <v>2025</v>
      </c>
      <c r="I2026" t="str">
        <f>IF(ISBLANK(Table1[[#This Row],[oid]]),"FALSE","TRUE")</f>
        <v>TRUE</v>
      </c>
      <c r="J2026" t="str" cm="1">
        <f t="array" ref="J2026">_xlfn.SWITCH(LEFT(Table1[[#This Row],[section]],1), "D", "Demographic", "S", "Social", "E", "Economic", "H", "Housing", "")</f>
        <v>Economic</v>
      </c>
      <c r="K2026" t="s">
        <v>6872</v>
      </c>
      <c r="L2026" t="s">
        <v>6873</v>
      </c>
      <c r="M2026" t="str">
        <f>IF(Table1[[#This Row],[used]], _xlfn.CONCAT("🆔 ", Table1[[#This Row],[variable]], ": ",Table1[[#This Row],[alias]]), "")</f>
        <v>🆔 B27010_013E: Under 18 years: With two or more types of health insurance coverage: With Medicare and Medicaidmeans-tested public coverage</v>
      </c>
      <c r="O2026" t="s">
        <v>6945</v>
      </c>
      <c r="P2026" t="s">
        <v>6874</v>
      </c>
      <c r="Q2026" t="s">
        <v>41</v>
      </c>
      <c r="R2026" t="s">
        <v>6946</v>
      </c>
      <c r="S2026" t="b">
        <v>0</v>
      </c>
      <c r="T2026" t="b">
        <v>0</v>
      </c>
      <c r="U2026" t="b">
        <v>0</v>
      </c>
      <c r="V2026" t="b">
        <v>1</v>
      </c>
      <c r="W2026" t="b">
        <v>1</v>
      </c>
      <c r="X2026" t="b">
        <v>1</v>
      </c>
      <c r="Y2026" t="b">
        <v>1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</row>
    <row r="2027" spans="1:33" x14ac:dyDescent="0.25">
      <c r="A2027" t="s">
        <v>2259</v>
      </c>
      <c r="B2027">
        <v>8</v>
      </c>
      <c r="C2027" t="b">
        <v>0</v>
      </c>
      <c r="D2027" t="s">
        <v>6868</v>
      </c>
      <c r="E2027" t="s">
        <v>6869</v>
      </c>
      <c r="F2027" t="s">
        <v>6943</v>
      </c>
      <c r="G2027" t="s">
        <v>6947</v>
      </c>
      <c r="H2027">
        <v>2026</v>
      </c>
      <c r="I2027" t="str">
        <f>IF(ISBLANK(Table1[[#This Row],[oid]]),"FALSE","TRUE")</f>
        <v>TRUE</v>
      </c>
      <c r="J2027" t="str" cm="1">
        <f t="array" ref="J2027">_xlfn.SWITCH(LEFT(Table1[[#This Row],[section]],1), "D", "Demographic", "S", "Social", "E", "Economic", "H", "Housing", "")</f>
        <v>Economic</v>
      </c>
      <c r="K2027" t="s">
        <v>6872</v>
      </c>
      <c r="L2027" t="s">
        <v>6873</v>
      </c>
      <c r="M2027" t="str">
        <f>IF(Table1[[#This Row],[used]], _xlfn.CONCAT("🆔 ", Table1[[#This Row],[variable]], ": ",Table1[[#This Row],[alias]]), "")</f>
        <v>🆔 B27010_013E: Under 19 years: With two or more types of health insurance coverage: With Medicare and Medicaidmeans-tested public coverage</v>
      </c>
      <c r="O2027" t="s">
        <v>6948</v>
      </c>
      <c r="P2027" t="s">
        <v>6874</v>
      </c>
      <c r="Q2027" t="s">
        <v>41</v>
      </c>
      <c r="R2027" t="s">
        <v>6946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1</v>
      </c>
      <c r="AA2027" t="b">
        <v>1</v>
      </c>
      <c r="AB2027" t="b">
        <v>1</v>
      </c>
      <c r="AC2027" t="b">
        <v>1</v>
      </c>
      <c r="AD2027" t="b">
        <v>1</v>
      </c>
      <c r="AE2027" t="b">
        <v>1</v>
      </c>
      <c r="AF2027" t="b">
        <v>1</v>
      </c>
      <c r="AG2027" t="b">
        <v>1</v>
      </c>
    </row>
    <row r="2028" spans="1:33" x14ac:dyDescent="0.25">
      <c r="A2028" t="s">
        <v>6876</v>
      </c>
      <c r="B2028">
        <v>4</v>
      </c>
      <c r="C2028" t="b">
        <v>0</v>
      </c>
      <c r="D2028" t="s">
        <v>6868</v>
      </c>
      <c r="E2028" t="s">
        <v>6869</v>
      </c>
      <c r="F2028" t="s">
        <v>6949</v>
      </c>
      <c r="G2028" t="s">
        <v>6950</v>
      </c>
      <c r="H2028">
        <v>2027</v>
      </c>
      <c r="I2028" t="str">
        <f>IF(ISBLANK(Table1[[#This Row],[oid]]),"FALSE","TRUE")</f>
        <v>TRUE</v>
      </c>
      <c r="J2028" t="str" cm="1">
        <f t="array" ref="J2028">_xlfn.SWITCH(LEFT(Table1[[#This Row],[section]],1), "D", "Demographic", "S", "Social", "E", "Economic", "H", "Housing", "")</f>
        <v>Economic</v>
      </c>
      <c r="K2028" t="s">
        <v>6872</v>
      </c>
      <c r="L2028" t="s">
        <v>6873</v>
      </c>
      <c r="M2028" t="str">
        <f>IF(Table1[[#This Row],[used]], _xlfn.CONCAT("🆔 ", Table1[[#This Row],[variable]], ": ",Table1[[#This Row],[alias]]), "")</f>
        <v>🆔 B27010_014E: Under 18 years: With two or more types of health insurance coverage: Other private only combinations</v>
      </c>
      <c r="O2028" t="s">
        <v>6951</v>
      </c>
      <c r="P2028" t="s">
        <v>6874</v>
      </c>
      <c r="Q2028" t="s">
        <v>41</v>
      </c>
      <c r="R2028" t="s">
        <v>6952</v>
      </c>
      <c r="S2028" t="b">
        <v>0</v>
      </c>
      <c r="T2028" t="b">
        <v>0</v>
      </c>
      <c r="U2028" t="b">
        <v>0</v>
      </c>
      <c r="V2028" t="b">
        <v>1</v>
      </c>
      <c r="W2028" t="b">
        <v>1</v>
      </c>
      <c r="X2028" t="b">
        <v>1</v>
      </c>
      <c r="Y2028" t="b">
        <v>1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</row>
    <row r="2029" spans="1:33" x14ac:dyDescent="0.25">
      <c r="A2029" t="s">
        <v>2259</v>
      </c>
      <c r="B2029">
        <v>8</v>
      </c>
      <c r="C2029" t="b">
        <v>0</v>
      </c>
      <c r="D2029" t="s">
        <v>6868</v>
      </c>
      <c r="E2029" t="s">
        <v>6869</v>
      </c>
      <c r="F2029" t="s">
        <v>6949</v>
      </c>
      <c r="G2029" t="s">
        <v>6953</v>
      </c>
      <c r="H2029">
        <v>2028</v>
      </c>
      <c r="I2029" t="str">
        <f>IF(ISBLANK(Table1[[#This Row],[oid]]),"FALSE","TRUE")</f>
        <v>TRUE</v>
      </c>
      <c r="J2029" t="str" cm="1">
        <f t="array" ref="J2029">_xlfn.SWITCH(LEFT(Table1[[#This Row],[section]],1), "D", "Demographic", "S", "Social", "E", "Economic", "H", "Housing", "")</f>
        <v>Economic</v>
      </c>
      <c r="K2029" t="s">
        <v>6872</v>
      </c>
      <c r="L2029" t="s">
        <v>6873</v>
      </c>
      <c r="M2029" t="str">
        <f>IF(Table1[[#This Row],[used]], _xlfn.CONCAT("🆔 ", Table1[[#This Row],[variable]], ": ",Table1[[#This Row],[alias]]), "")</f>
        <v>🆔 B27010_014E: Under 19 years: With two or more types of health insurance coverage: Other private only combinations</v>
      </c>
      <c r="O2029" t="s">
        <v>6954</v>
      </c>
      <c r="P2029" t="s">
        <v>6874</v>
      </c>
      <c r="Q2029" t="s">
        <v>41</v>
      </c>
      <c r="R2029" t="s">
        <v>6952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1</v>
      </c>
      <c r="AA2029" t="b">
        <v>1</v>
      </c>
      <c r="AB2029" t="b">
        <v>1</v>
      </c>
      <c r="AC2029" t="b">
        <v>1</v>
      </c>
      <c r="AD2029" t="b">
        <v>1</v>
      </c>
      <c r="AE2029" t="b">
        <v>1</v>
      </c>
      <c r="AF2029" t="b">
        <v>1</v>
      </c>
      <c r="AG2029" t="b">
        <v>1</v>
      </c>
    </row>
    <row r="2030" spans="1:33" x14ac:dyDescent="0.25">
      <c r="A2030" t="s">
        <v>6876</v>
      </c>
      <c r="B2030">
        <v>4</v>
      </c>
      <c r="C2030" t="b">
        <v>0</v>
      </c>
      <c r="D2030" t="s">
        <v>6868</v>
      </c>
      <c r="E2030" t="s">
        <v>6869</v>
      </c>
      <c r="F2030" t="s">
        <v>6955</v>
      </c>
      <c r="G2030" t="s">
        <v>6956</v>
      </c>
      <c r="H2030">
        <v>2029</v>
      </c>
      <c r="I2030" t="str">
        <f>IF(ISBLANK(Table1[[#This Row],[oid]]),"FALSE","TRUE")</f>
        <v>TRUE</v>
      </c>
      <c r="J2030" t="str" cm="1">
        <f t="array" ref="J2030">_xlfn.SWITCH(LEFT(Table1[[#This Row],[section]],1), "D", "Demographic", "S", "Social", "E", "Economic", "H", "Housing", "")</f>
        <v>Economic</v>
      </c>
      <c r="K2030" t="s">
        <v>6872</v>
      </c>
      <c r="L2030" t="s">
        <v>6873</v>
      </c>
      <c r="M2030" t="str">
        <f>IF(Table1[[#This Row],[used]], _xlfn.CONCAT("🆔 ", Table1[[#This Row],[variable]], ": ",Table1[[#This Row],[alias]]), "")</f>
        <v>🆔 B27010_015E: Under 18 years: With two or more types of health insurance coverage: Other public only combinations</v>
      </c>
      <c r="O2030" t="s">
        <v>6957</v>
      </c>
      <c r="P2030" t="s">
        <v>6874</v>
      </c>
      <c r="Q2030" t="s">
        <v>41</v>
      </c>
      <c r="R2030" t="s">
        <v>6958</v>
      </c>
      <c r="S2030" t="b">
        <v>0</v>
      </c>
      <c r="T2030" t="b">
        <v>0</v>
      </c>
      <c r="U2030" t="b">
        <v>0</v>
      </c>
      <c r="V2030" t="b">
        <v>1</v>
      </c>
      <c r="W2030" t="b">
        <v>1</v>
      </c>
      <c r="X2030" t="b">
        <v>1</v>
      </c>
      <c r="Y2030" t="b">
        <v>1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0</v>
      </c>
    </row>
    <row r="2031" spans="1:33" x14ac:dyDescent="0.25">
      <c r="A2031" t="s">
        <v>2259</v>
      </c>
      <c r="B2031">
        <v>8</v>
      </c>
      <c r="C2031" t="b">
        <v>0</v>
      </c>
      <c r="D2031" t="s">
        <v>6868</v>
      </c>
      <c r="E2031" t="s">
        <v>6869</v>
      </c>
      <c r="F2031" t="s">
        <v>6955</v>
      </c>
      <c r="G2031" t="s">
        <v>6959</v>
      </c>
      <c r="H2031">
        <v>2030</v>
      </c>
      <c r="I2031" t="str">
        <f>IF(ISBLANK(Table1[[#This Row],[oid]]),"FALSE","TRUE")</f>
        <v>TRUE</v>
      </c>
      <c r="J2031" t="str" cm="1">
        <f t="array" ref="J2031">_xlfn.SWITCH(LEFT(Table1[[#This Row],[section]],1), "D", "Demographic", "S", "Social", "E", "Economic", "H", "Housing", "")</f>
        <v>Economic</v>
      </c>
      <c r="K2031" t="s">
        <v>6872</v>
      </c>
      <c r="L2031" t="s">
        <v>6873</v>
      </c>
      <c r="M2031" t="str">
        <f>IF(Table1[[#This Row],[used]], _xlfn.CONCAT("🆔 ", Table1[[#This Row],[variable]], ": ",Table1[[#This Row],[alias]]), "")</f>
        <v>🆔 B27010_015E: Under 19 years: With two or more types of health insurance coverage: Other public only combinations</v>
      </c>
      <c r="O2031" t="s">
        <v>6960</v>
      </c>
      <c r="P2031" t="s">
        <v>6874</v>
      </c>
      <c r="Q2031" t="s">
        <v>41</v>
      </c>
      <c r="R2031" t="s">
        <v>6958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1</v>
      </c>
      <c r="AA2031" t="b">
        <v>1</v>
      </c>
      <c r="AB2031" t="b">
        <v>1</v>
      </c>
      <c r="AC2031" t="b">
        <v>1</v>
      </c>
      <c r="AD2031" t="b">
        <v>1</v>
      </c>
      <c r="AE2031" t="b">
        <v>1</v>
      </c>
      <c r="AF2031" t="b">
        <v>1</v>
      </c>
      <c r="AG2031" t="b">
        <v>1</v>
      </c>
    </row>
    <row r="2032" spans="1:33" x14ac:dyDescent="0.25">
      <c r="A2032" t="s">
        <v>6876</v>
      </c>
      <c r="B2032">
        <v>4</v>
      </c>
      <c r="C2032" t="b">
        <v>0</v>
      </c>
      <c r="D2032" t="s">
        <v>6868</v>
      </c>
      <c r="E2032" t="s">
        <v>6869</v>
      </c>
      <c r="F2032" t="s">
        <v>6961</v>
      </c>
      <c r="G2032" t="s">
        <v>6962</v>
      </c>
      <c r="H2032">
        <v>2031</v>
      </c>
      <c r="I2032" t="str">
        <f>IF(ISBLANK(Table1[[#This Row],[oid]]),"FALSE","TRUE")</f>
        <v>TRUE</v>
      </c>
      <c r="J2032" t="str" cm="1">
        <f t="array" ref="J2032">_xlfn.SWITCH(LEFT(Table1[[#This Row],[section]],1), "D", "Demographic", "S", "Social", "E", "Economic", "H", "Housing", "")</f>
        <v>Economic</v>
      </c>
      <c r="K2032" t="s">
        <v>6872</v>
      </c>
      <c r="L2032" t="s">
        <v>6873</v>
      </c>
      <c r="M2032" t="str">
        <f>IF(Table1[[#This Row],[used]], _xlfn.CONCAT("🆔 ", Table1[[#This Row],[variable]], ": ",Table1[[#This Row],[alias]]), "")</f>
        <v>🆔 B27010_016E: Under 18 years: With two or more types of health insurance coverage: Other coverage combinations</v>
      </c>
      <c r="O2032" t="s">
        <v>6963</v>
      </c>
      <c r="P2032" t="s">
        <v>6874</v>
      </c>
      <c r="Q2032" t="s">
        <v>41</v>
      </c>
      <c r="R2032" t="s">
        <v>6964</v>
      </c>
      <c r="S2032" t="b">
        <v>0</v>
      </c>
      <c r="T2032" t="b">
        <v>0</v>
      </c>
      <c r="U2032" t="b">
        <v>0</v>
      </c>
      <c r="V2032" t="b">
        <v>1</v>
      </c>
      <c r="W2032" t="b">
        <v>1</v>
      </c>
      <c r="X2032" t="b">
        <v>1</v>
      </c>
      <c r="Y2032" t="b">
        <v>1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</row>
    <row r="2033" spans="1:33" x14ac:dyDescent="0.25">
      <c r="A2033" t="s">
        <v>2259</v>
      </c>
      <c r="B2033">
        <v>8</v>
      </c>
      <c r="C2033" t="b">
        <v>0</v>
      </c>
      <c r="D2033" t="s">
        <v>6868</v>
      </c>
      <c r="E2033" t="s">
        <v>6869</v>
      </c>
      <c r="F2033" t="s">
        <v>6961</v>
      </c>
      <c r="G2033" t="s">
        <v>6965</v>
      </c>
      <c r="H2033">
        <v>2032</v>
      </c>
      <c r="I2033" t="str">
        <f>IF(ISBLANK(Table1[[#This Row],[oid]]),"FALSE","TRUE")</f>
        <v>TRUE</v>
      </c>
      <c r="J2033" t="str" cm="1">
        <f t="array" ref="J2033">_xlfn.SWITCH(LEFT(Table1[[#This Row],[section]],1), "D", "Demographic", "S", "Social", "E", "Economic", "H", "Housing", "")</f>
        <v>Economic</v>
      </c>
      <c r="K2033" t="s">
        <v>6872</v>
      </c>
      <c r="L2033" t="s">
        <v>6873</v>
      </c>
      <c r="M2033" t="str">
        <f>IF(Table1[[#This Row],[used]], _xlfn.CONCAT("🆔 ", Table1[[#This Row],[variable]], ": ",Table1[[#This Row],[alias]]), "")</f>
        <v>🆔 B27010_016E: Under 19 years: With two or more types of health insurance coverage: Other coverage combinations</v>
      </c>
      <c r="O2033" t="s">
        <v>6966</v>
      </c>
      <c r="P2033" t="s">
        <v>6874</v>
      </c>
      <c r="Q2033" t="s">
        <v>41</v>
      </c>
      <c r="R2033" t="s">
        <v>6964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1</v>
      </c>
      <c r="AA2033" t="b">
        <v>1</v>
      </c>
      <c r="AB2033" t="b">
        <v>1</v>
      </c>
      <c r="AC2033" t="b">
        <v>1</v>
      </c>
      <c r="AD2033" t="b">
        <v>1</v>
      </c>
      <c r="AE2033" t="b">
        <v>1</v>
      </c>
      <c r="AF2033" t="b">
        <v>1</v>
      </c>
      <c r="AG2033" t="b">
        <v>1</v>
      </c>
    </row>
    <row r="2034" spans="1:33" x14ac:dyDescent="0.25">
      <c r="A2034" t="s">
        <v>6876</v>
      </c>
      <c r="B2034">
        <v>4</v>
      </c>
      <c r="C2034" t="b">
        <v>0</v>
      </c>
      <c r="D2034" t="s">
        <v>6868</v>
      </c>
      <c r="E2034" t="s">
        <v>6869</v>
      </c>
      <c r="F2034" t="s">
        <v>6967</v>
      </c>
      <c r="G2034" t="s">
        <v>6968</v>
      </c>
      <c r="H2034">
        <v>2033</v>
      </c>
      <c r="I2034" t="str">
        <f>IF(ISBLANK(Table1[[#This Row],[oid]]),"FALSE","TRUE")</f>
        <v>TRUE</v>
      </c>
      <c r="J2034" t="str" cm="1">
        <f t="array" ref="J2034">_xlfn.SWITCH(LEFT(Table1[[#This Row],[section]],1), "D", "Demographic", "S", "Social", "E", "Economic", "H", "Housing", "")</f>
        <v>Economic</v>
      </c>
      <c r="K2034" t="s">
        <v>6872</v>
      </c>
      <c r="L2034" t="s">
        <v>6873</v>
      </c>
      <c r="M2034" t="str">
        <f>IF(Table1[[#This Row],[used]], _xlfn.CONCAT("🆔 ", Table1[[#This Row],[variable]], ": ",Table1[[#This Row],[alias]]), "")</f>
        <v>🆔 B27010_017E: Under 18 years: No health insurance coverage</v>
      </c>
      <c r="O2034" t="s">
        <v>6969</v>
      </c>
      <c r="P2034" t="s">
        <v>6874</v>
      </c>
      <c r="Q2034" t="s">
        <v>41</v>
      </c>
      <c r="R2034" t="s">
        <v>6970</v>
      </c>
      <c r="S2034" t="b">
        <v>0</v>
      </c>
      <c r="T2034" t="b">
        <v>0</v>
      </c>
      <c r="U2034" t="b">
        <v>0</v>
      </c>
      <c r="V2034" t="b">
        <v>1</v>
      </c>
      <c r="W2034" t="b">
        <v>1</v>
      </c>
      <c r="X2034" t="b">
        <v>1</v>
      </c>
      <c r="Y2034" t="b">
        <v>1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</row>
    <row r="2035" spans="1:33" x14ac:dyDescent="0.25">
      <c r="A2035" t="s">
        <v>2259</v>
      </c>
      <c r="B2035">
        <v>8</v>
      </c>
      <c r="C2035" t="b">
        <v>0</v>
      </c>
      <c r="D2035" t="s">
        <v>6868</v>
      </c>
      <c r="E2035" t="s">
        <v>6869</v>
      </c>
      <c r="F2035" t="s">
        <v>6967</v>
      </c>
      <c r="G2035" t="s">
        <v>6971</v>
      </c>
      <c r="H2035">
        <v>2034</v>
      </c>
      <c r="I2035" t="str">
        <f>IF(ISBLANK(Table1[[#This Row],[oid]]),"FALSE","TRUE")</f>
        <v>TRUE</v>
      </c>
      <c r="J2035" t="str" cm="1">
        <f t="array" ref="J2035">_xlfn.SWITCH(LEFT(Table1[[#This Row],[section]],1), "D", "Demographic", "S", "Social", "E", "Economic", "H", "Housing", "")</f>
        <v>Economic</v>
      </c>
      <c r="K2035" t="s">
        <v>6872</v>
      </c>
      <c r="L2035" t="s">
        <v>6873</v>
      </c>
      <c r="M2035" t="str">
        <f>IF(Table1[[#This Row],[used]], _xlfn.CONCAT("🆔 ", Table1[[#This Row],[variable]], ": ",Table1[[#This Row],[alias]]), "")</f>
        <v>🆔 B27010_017E: Under 19 years: No health insurance coverage</v>
      </c>
      <c r="O2035" t="s">
        <v>6972</v>
      </c>
      <c r="P2035" t="s">
        <v>6874</v>
      </c>
      <c r="Q2035" t="s">
        <v>41</v>
      </c>
      <c r="R2035" t="s">
        <v>6970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1</v>
      </c>
      <c r="AA2035" t="b">
        <v>1</v>
      </c>
      <c r="AB2035" t="b">
        <v>1</v>
      </c>
      <c r="AC2035" t="b">
        <v>1</v>
      </c>
      <c r="AD2035" t="b">
        <v>1</v>
      </c>
      <c r="AE2035" t="b">
        <v>1</v>
      </c>
      <c r="AF2035" t="b">
        <v>1</v>
      </c>
      <c r="AG2035" t="b">
        <v>1</v>
      </c>
    </row>
    <row r="2036" spans="1:33" x14ac:dyDescent="0.25">
      <c r="A2036" t="s">
        <v>6876</v>
      </c>
      <c r="B2036">
        <v>4</v>
      </c>
      <c r="C2036" t="b">
        <v>0</v>
      </c>
      <c r="D2036" t="s">
        <v>6868</v>
      </c>
      <c r="E2036" t="s">
        <v>6869</v>
      </c>
      <c r="F2036" t="s">
        <v>6973</v>
      </c>
      <c r="G2036" t="s">
        <v>6974</v>
      </c>
      <c r="H2036">
        <v>2035</v>
      </c>
      <c r="I2036" t="str">
        <f>IF(ISBLANK(Table1[[#This Row],[oid]]),"FALSE","TRUE")</f>
        <v>TRUE</v>
      </c>
      <c r="J2036" t="str" cm="1">
        <f t="array" ref="J2036">_xlfn.SWITCH(LEFT(Table1[[#This Row],[section]],1), "D", "Demographic", "S", "Social", "E", "Economic", "H", "Housing", "")</f>
        <v>Economic</v>
      </c>
      <c r="K2036" t="s">
        <v>6872</v>
      </c>
      <c r="L2036" t="s">
        <v>6873</v>
      </c>
      <c r="M2036" t="str">
        <f>IF(Table1[[#This Row],[used]], _xlfn.CONCAT("🆔 ", Table1[[#This Row],[variable]], ": ",Table1[[#This Row],[alias]]), "")</f>
        <v>🆔 B27010_018E: 18 to 34 years</v>
      </c>
      <c r="O2036" t="s">
        <v>6975</v>
      </c>
      <c r="P2036" t="s">
        <v>6874</v>
      </c>
      <c r="Q2036" t="s">
        <v>41</v>
      </c>
      <c r="R2036" t="s">
        <v>6976</v>
      </c>
      <c r="S2036" t="b">
        <v>0</v>
      </c>
      <c r="T2036" t="b">
        <v>0</v>
      </c>
      <c r="U2036" t="b">
        <v>0</v>
      </c>
      <c r="V2036" t="b">
        <v>1</v>
      </c>
      <c r="W2036" t="b">
        <v>1</v>
      </c>
      <c r="X2036" t="b">
        <v>1</v>
      </c>
      <c r="Y2036" t="b">
        <v>1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</row>
    <row r="2037" spans="1:33" x14ac:dyDescent="0.25">
      <c r="A2037" t="s">
        <v>2259</v>
      </c>
      <c r="B2037">
        <v>8</v>
      </c>
      <c r="C2037" t="b">
        <v>0</v>
      </c>
      <c r="D2037" t="s">
        <v>6868</v>
      </c>
      <c r="E2037" t="s">
        <v>6869</v>
      </c>
      <c r="F2037" t="s">
        <v>6973</v>
      </c>
      <c r="G2037" t="s">
        <v>6977</v>
      </c>
      <c r="H2037">
        <v>2036</v>
      </c>
      <c r="I2037" t="str">
        <f>IF(ISBLANK(Table1[[#This Row],[oid]]),"FALSE","TRUE")</f>
        <v>TRUE</v>
      </c>
      <c r="J2037" t="str" cm="1">
        <f t="array" ref="J2037">_xlfn.SWITCH(LEFT(Table1[[#This Row],[section]],1), "D", "Demographic", "S", "Social", "E", "Economic", "H", "Housing", "")</f>
        <v>Economic</v>
      </c>
      <c r="K2037" t="s">
        <v>6872</v>
      </c>
      <c r="L2037" t="s">
        <v>6873</v>
      </c>
      <c r="M2037" t="str">
        <f>IF(Table1[[#This Row],[used]], _xlfn.CONCAT("🆔 ", Table1[[#This Row],[variable]], ": ",Table1[[#This Row],[alias]]), "")</f>
        <v>🆔 B27010_018E: 19 to 34 years</v>
      </c>
      <c r="O2037" t="s">
        <v>6978</v>
      </c>
      <c r="P2037" t="s">
        <v>6874</v>
      </c>
      <c r="Q2037" t="s">
        <v>41</v>
      </c>
      <c r="R2037" t="s">
        <v>6976</v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1</v>
      </c>
      <c r="AA2037" t="b">
        <v>1</v>
      </c>
      <c r="AB2037" t="b">
        <v>1</v>
      </c>
      <c r="AC2037" t="b">
        <v>1</v>
      </c>
      <c r="AD2037" t="b">
        <v>1</v>
      </c>
      <c r="AE2037" t="b">
        <v>1</v>
      </c>
      <c r="AF2037" t="b">
        <v>1</v>
      </c>
      <c r="AG2037" t="b">
        <v>1</v>
      </c>
    </row>
    <row r="2038" spans="1:33" x14ac:dyDescent="0.25">
      <c r="A2038" t="s">
        <v>6876</v>
      </c>
      <c r="B2038">
        <v>4</v>
      </c>
      <c r="C2038" t="b">
        <v>0</v>
      </c>
      <c r="D2038" t="s">
        <v>6868</v>
      </c>
      <c r="E2038" t="s">
        <v>6869</v>
      </c>
      <c r="F2038" t="s">
        <v>6979</v>
      </c>
      <c r="G2038" t="s">
        <v>6980</v>
      </c>
      <c r="H2038">
        <v>2037</v>
      </c>
      <c r="I2038" t="str">
        <f>IF(ISBLANK(Table1[[#This Row],[oid]]),"FALSE","TRUE")</f>
        <v>TRUE</v>
      </c>
      <c r="J2038" t="str" cm="1">
        <f t="array" ref="J2038">_xlfn.SWITCH(LEFT(Table1[[#This Row],[section]],1), "D", "Demographic", "S", "Social", "E", "Economic", "H", "Housing", "")</f>
        <v>Economic</v>
      </c>
      <c r="K2038" t="s">
        <v>6872</v>
      </c>
      <c r="L2038" t="s">
        <v>6873</v>
      </c>
      <c r="M2038" t="str">
        <f>IF(Table1[[#This Row],[used]], _xlfn.CONCAT("🆔 ", Table1[[#This Row],[variable]], ": ",Table1[[#This Row],[alias]]), "")</f>
        <v>🆔 B27010_019E: 18 to 34 years: With one type of health insurance coverage</v>
      </c>
      <c r="O2038" t="s">
        <v>6981</v>
      </c>
      <c r="P2038" t="s">
        <v>6874</v>
      </c>
      <c r="Q2038" t="s">
        <v>41</v>
      </c>
      <c r="R2038" t="s">
        <v>6982</v>
      </c>
      <c r="S2038" t="b">
        <v>0</v>
      </c>
      <c r="T2038" t="b">
        <v>0</v>
      </c>
      <c r="U2038" t="b">
        <v>0</v>
      </c>
      <c r="V2038" t="b">
        <v>1</v>
      </c>
      <c r="W2038" t="b">
        <v>1</v>
      </c>
      <c r="X2038" t="b">
        <v>1</v>
      </c>
      <c r="Y2038" t="b">
        <v>1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</row>
    <row r="2039" spans="1:33" x14ac:dyDescent="0.25">
      <c r="A2039" t="s">
        <v>2259</v>
      </c>
      <c r="B2039">
        <v>8</v>
      </c>
      <c r="C2039" t="b">
        <v>0</v>
      </c>
      <c r="D2039" t="s">
        <v>6868</v>
      </c>
      <c r="E2039" t="s">
        <v>6869</v>
      </c>
      <c r="F2039" t="s">
        <v>6979</v>
      </c>
      <c r="G2039" t="s">
        <v>6983</v>
      </c>
      <c r="H2039">
        <v>2038</v>
      </c>
      <c r="I2039" t="str">
        <f>IF(ISBLANK(Table1[[#This Row],[oid]]),"FALSE","TRUE")</f>
        <v>TRUE</v>
      </c>
      <c r="J2039" t="str" cm="1">
        <f t="array" ref="J2039">_xlfn.SWITCH(LEFT(Table1[[#This Row],[section]],1), "D", "Demographic", "S", "Social", "E", "Economic", "H", "Housing", "")</f>
        <v>Economic</v>
      </c>
      <c r="K2039" t="s">
        <v>6872</v>
      </c>
      <c r="L2039" t="s">
        <v>6873</v>
      </c>
      <c r="M2039" t="str">
        <f>IF(Table1[[#This Row],[used]], _xlfn.CONCAT("🆔 ", Table1[[#This Row],[variable]], ": ",Table1[[#This Row],[alias]]), "")</f>
        <v>🆔 B27010_019E: 19 to 34 years: With one type of health insurance coverage</v>
      </c>
      <c r="O2039" t="s">
        <v>6984</v>
      </c>
      <c r="P2039" t="s">
        <v>6874</v>
      </c>
      <c r="Q2039" t="s">
        <v>41</v>
      </c>
      <c r="R2039" t="s">
        <v>6982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1</v>
      </c>
      <c r="AA2039" t="b">
        <v>1</v>
      </c>
      <c r="AB2039" t="b">
        <v>1</v>
      </c>
      <c r="AC2039" t="b">
        <v>1</v>
      </c>
      <c r="AD2039" t="b">
        <v>1</v>
      </c>
      <c r="AE2039" t="b">
        <v>1</v>
      </c>
      <c r="AF2039" t="b">
        <v>1</v>
      </c>
      <c r="AG2039" t="b">
        <v>1</v>
      </c>
    </row>
    <row r="2040" spans="1:33" x14ac:dyDescent="0.25">
      <c r="A2040" t="s">
        <v>6876</v>
      </c>
      <c r="B2040">
        <v>4</v>
      </c>
      <c r="C2040" t="b">
        <v>0</v>
      </c>
      <c r="D2040" t="s">
        <v>6868</v>
      </c>
      <c r="E2040" t="s">
        <v>6869</v>
      </c>
      <c r="F2040" t="s">
        <v>6985</v>
      </c>
      <c r="G2040" t="s">
        <v>6986</v>
      </c>
      <c r="H2040">
        <v>2039</v>
      </c>
      <c r="I2040" t="str">
        <f>IF(ISBLANK(Table1[[#This Row],[oid]]),"FALSE","TRUE")</f>
        <v>TRUE</v>
      </c>
      <c r="J2040" t="str" cm="1">
        <f t="array" ref="J2040">_xlfn.SWITCH(LEFT(Table1[[#This Row],[section]],1), "D", "Demographic", "S", "Social", "E", "Economic", "H", "Housing", "")</f>
        <v>Economic</v>
      </c>
      <c r="K2040" t="s">
        <v>6872</v>
      </c>
      <c r="L2040" t="s">
        <v>6873</v>
      </c>
      <c r="M2040" t="str">
        <f>IF(Table1[[#This Row],[used]], _xlfn.CONCAT("🆔 ", Table1[[#This Row],[variable]], ": ",Table1[[#This Row],[alias]]), "")</f>
        <v>🆔 B27010_020E: 18 to 34 years: With one type of health insurance coverage: With employer-based health insurance only</v>
      </c>
      <c r="O2040" t="s">
        <v>6987</v>
      </c>
      <c r="P2040" t="s">
        <v>6874</v>
      </c>
      <c r="Q2040" t="s">
        <v>41</v>
      </c>
      <c r="R2040" t="s">
        <v>6988</v>
      </c>
      <c r="S2040" t="b">
        <v>0</v>
      </c>
      <c r="T2040" t="b">
        <v>0</v>
      </c>
      <c r="U2040" t="b">
        <v>0</v>
      </c>
      <c r="V2040" t="b">
        <v>1</v>
      </c>
      <c r="W2040" t="b">
        <v>1</v>
      </c>
      <c r="X2040" t="b">
        <v>1</v>
      </c>
      <c r="Y2040" t="b">
        <v>1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</row>
    <row r="2041" spans="1:33" x14ac:dyDescent="0.25">
      <c r="A2041" t="s">
        <v>2259</v>
      </c>
      <c r="B2041">
        <v>8</v>
      </c>
      <c r="C2041" t="b">
        <v>0</v>
      </c>
      <c r="D2041" t="s">
        <v>6868</v>
      </c>
      <c r="E2041" t="s">
        <v>6869</v>
      </c>
      <c r="F2041" t="s">
        <v>6985</v>
      </c>
      <c r="G2041" t="s">
        <v>6989</v>
      </c>
      <c r="H2041">
        <v>2040</v>
      </c>
      <c r="I2041" t="str">
        <f>IF(ISBLANK(Table1[[#This Row],[oid]]),"FALSE","TRUE")</f>
        <v>TRUE</v>
      </c>
      <c r="J2041" t="str" cm="1">
        <f t="array" ref="J2041">_xlfn.SWITCH(LEFT(Table1[[#This Row],[section]],1), "D", "Demographic", "S", "Social", "E", "Economic", "H", "Housing", "")</f>
        <v>Economic</v>
      </c>
      <c r="K2041" t="s">
        <v>6872</v>
      </c>
      <c r="L2041" t="s">
        <v>6873</v>
      </c>
      <c r="M2041" t="str">
        <f>IF(Table1[[#This Row],[used]], _xlfn.CONCAT("🆔 ", Table1[[#This Row],[variable]], ": ",Table1[[#This Row],[alias]]), "")</f>
        <v>🆔 B27010_020E: 19 to 34 years: With one type of health insurance coverage: With employer-based health insurance only</v>
      </c>
      <c r="O2041" t="s">
        <v>6990</v>
      </c>
      <c r="P2041" t="s">
        <v>6874</v>
      </c>
      <c r="Q2041" t="s">
        <v>41</v>
      </c>
      <c r="R2041" t="s">
        <v>6988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1</v>
      </c>
      <c r="AA2041" t="b">
        <v>1</v>
      </c>
      <c r="AB2041" t="b">
        <v>1</v>
      </c>
      <c r="AC2041" t="b">
        <v>1</v>
      </c>
      <c r="AD2041" t="b">
        <v>1</v>
      </c>
      <c r="AE2041" t="b">
        <v>1</v>
      </c>
      <c r="AF2041" t="b">
        <v>1</v>
      </c>
      <c r="AG2041" t="b">
        <v>1</v>
      </c>
    </row>
    <row r="2042" spans="1:33" x14ac:dyDescent="0.25">
      <c r="A2042" t="s">
        <v>6876</v>
      </c>
      <c r="B2042">
        <v>4</v>
      </c>
      <c r="C2042" t="b">
        <v>0</v>
      </c>
      <c r="D2042" t="s">
        <v>6868</v>
      </c>
      <c r="E2042" t="s">
        <v>6869</v>
      </c>
      <c r="F2042" t="s">
        <v>6991</v>
      </c>
      <c r="G2042" t="s">
        <v>6992</v>
      </c>
      <c r="H2042">
        <v>2041</v>
      </c>
      <c r="I2042" t="str">
        <f>IF(ISBLANK(Table1[[#This Row],[oid]]),"FALSE","TRUE")</f>
        <v>TRUE</v>
      </c>
      <c r="J2042" t="str" cm="1">
        <f t="array" ref="J2042">_xlfn.SWITCH(LEFT(Table1[[#This Row],[section]],1), "D", "Demographic", "S", "Social", "E", "Economic", "H", "Housing", "")</f>
        <v>Economic</v>
      </c>
      <c r="K2042" t="s">
        <v>6872</v>
      </c>
      <c r="L2042" t="s">
        <v>6873</v>
      </c>
      <c r="M2042" t="str">
        <f>IF(Table1[[#This Row],[used]], _xlfn.CONCAT("🆔 ", Table1[[#This Row],[variable]], ": ",Table1[[#This Row],[alias]]), "")</f>
        <v>🆔 B27010_021E: 18 to 34 years: With one type of health insurance coverage: With direct-purchase health insurance only</v>
      </c>
      <c r="O2042" t="s">
        <v>6993</v>
      </c>
      <c r="P2042" t="s">
        <v>6874</v>
      </c>
      <c r="Q2042" t="s">
        <v>41</v>
      </c>
      <c r="R2042" t="s">
        <v>6994</v>
      </c>
      <c r="S2042" t="b">
        <v>0</v>
      </c>
      <c r="T2042" t="b">
        <v>0</v>
      </c>
      <c r="U2042" t="b">
        <v>0</v>
      </c>
      <c r="V2042" t="b">
        <v>1</v>
      </c>
      <c r="W2042" t="b">
        <v>1</v>
      </c>
      <c r="X2042" t="b">
        <v>1</v>
      </c>
      <c r="Y2042" t="b">
        <v>1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</row>
    <row r="2043" spans="1:33" x14ac:dyDescent="0.25">
      <c r="A2043" t="s">
        <v>2259</v>
      </c>
      <c r="B2043">
        <v>8</v>
      </c>
      <c r="C2043" t="b">
        <v>0</v>
      </c>
      <c r="D2043" t="s">
        <v>6868</v>
      </c>
      <c r="E2043" t="s">
        <v>6869</v>
      </c>
      <c r="F2043" t="s">
        <v>6991</v>
      </c>
      <c r="G2043" t="s">
        <v>6995</v>
      </c>
      <c r="H2043">
        <v>2042</v>
      </c>
      <c r="I2043" t="str">
        <f>IF(ISBLANK(Table1[[#This Row],[oid]]),"FALSE","TRUE")</f>
        <v>TRUE</v>
      </c>
      <c r="J2043" t="str" cm="1">
        <f t="array" ref="J2043">_xlfn.SWITCH(LEFT(Table1[[#This Row],[section]],1), "D", "Demographic", "S", "Social", "E", "Economic", "H", "Housing", "")</f>
        <v>Economic</v>
      </c>
      <c r="K2043" t="s">
        <v>6872</v>
      </c>
      <c r="L2043" t="s">
        <v>6873</v>
      </c>
      <c r="M2043" t="str">
        <f>IF(Table1[[#This Row],[used]], _xlfn.CONCAT("🆔 ", Table1[[#This Row],[variable]], ": ",Table1[[#This Row],[alias]]), "")</f>
        <v>🆔 B27010_021E: 19 to 34 years: With one type of health insurance coverage: With direct-purchase health insurance only</v>
      </c>
      <c r="O2043" t="s">
        <v>6996</v>
      </c>
      <c r="P2043" t="s">
        <v>6874</v>
      </c>
      <c r="Q2043" t="s">
        <v>41</v>
      </c>
      <c r="R2043" t="s">
        <v>6994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1</v>
      </c>
      <c r="AA2043" t="b">
        <v>1</v>
      </c>
      <c r="AB2043" t="b">
        <v>1</v>
      </c>
      <c r="AC2043" t="b">
        <v>1</v>
      </c>
      <c r="AD2043" t="b">
        <v>1</v>
      </c>
      <c r="AE2043" t="b">
        <v>1</v>
      </c>
      <c r="AF2043" t="b">
        <v>1</v>
      </c>
      <c r="AG2043" t="b">
        <v>1</v>
      </c>
    </row>
    <row r="2044" spans="1:33" x14ac:dyDescent="0.25">
      <c r="A2044" t="s">
        <v>6876</v>
      </c>
      <c r="B2044">
        <v>4</v>
      </c>
      <c r="C2044" t="b">
        <v>0</v>
      </c>
      <c r="D2044" t="s">
        <v>6868</v>
      </c>
      <c r="E2044" t="s">
        <v>6869</v>
      </c>
      <c r="F2044" t="s">
        <v>6997</v>
      </c>
      <c r="G2044" t="s">
        <v>6998</v>
      </c>
      <c r="H2044">
        <v>2043</v>
      </c>
      <c r="I2044" t="str">
        <f>IF(ISBLANK(Table1[[#This Row],[oid]]),"FALSE","TRUE")</f>
        <v>TRUE</v>
      </c>
      <c r="J2044" t="str" cm="1">
        <f t="array" ref="J2044">_xlfn.SWITCH(LEFT(Table1[[#This Row],[section]],1), "D", "Demographic", "S", "Social", "E", "Economic", "H", "Housing", "")</f>
        <v>Economic</v>
      </c>
      <c r="K2044" t="s">
        <v>6872</v>
      </c>
      <c r="L2044" t="s">
        <v>6873</v>
      </c>
      <c r="M2044" t="str">
        <f>IF(Table1[[#This Row],[used]], _xlfn.CONCAT("🆔 ", Table1[[#This Row],[variable]], ": ",Table1[[#This Row],[alias]]), "")</f>
        <v>🆔 B27010_022E: 18 to 34 years: With one type of health insurance coverage: With Medicare coverage only</v>
      </c>
      <c r="O2044" t="s">
        <v>6999</v>
      </c>
      <c r="P2044" t="s">
        <v>6874</v>
      </c>
      <c r="Q2044" t="s">
        <v>41</v>
      </c>
      <c r="R2044" t="s">
        <v>7000</v>
      </c>
      <c r="S2044" t="b">
        <v>0</v>
      </c>
      <c r="T2044" t="b">
        <v>0</v>
      </c>
      <c r="U2044" t="b">
        <v>0</v>
      </c>
      <c r="V2044" t="b">
        <v>1</v>
      </c>
      <c r="W2044" t="b">
        <v>1</v>
      </c>
      <c r="X2044" t="b">
        <v>1</v>
      </c>
      <c r="Y2044" t="b">
        <v>1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</row>
    <row r="2045" spans="1:33" x14ac:dyDescent="0.25">
      <c r="A2045" t="s">
        <v>2259</v>
      </c>
      <c r="B2045">
        <v>8</v>
      </c>
      <c r="C2045" t="b">
        <v>0</v>
      </c>
      <c r="D2045" t="s">
        <v>6868</v>
      </c>
      <c r="E2045" t="s">
        <v>6869</v>
      </c>
      <c r="F2045" t="s">
        <v>6997</v>
      </c>
      <c r="G2045" t="s">
        <v>7001</v>
      </c>
      <c r="H2045">
        <v>2044</v>
      </c>
      <c r="I2045" t="str">
        <f>IF(ISBLANK(Table1[[#This Row],[oid]]),"FALSE","TRUE")</f>
        <v>TRUE</v>
      </c>
      <c r="J2045" t="str" cm="1">
        <f t="array" ref="J2045">_xlfn.SWITCH(LEFT(Table1[[#This Row],[section]],1), "D", "Demographic", "S", "Social", "E", "Economic", "H", "Housing", "")</f>
        <v>Economic</v>
      </c>
      <c r="K2045" t="s">
        <v>6872</v>
      </c>
      <c r="L2045" t="s">
        <v>6873</v>
      </c>
      <c r="M2045" t="str">
        <f>IF(Table1[[#This Row],[used]], _xlfn.CONCAT("🆔 ", Table1[[#This Row],[variable]], ": ",Table1[[#This Row],[alias]]), "")</f>
        <v>🆔 B27010_022E: 19 to 34 years: With one type of health insurance coverage: With Medicare coverage only</v>
      </c>
      <c r="O2045" t="s">
        <v>7002</v>
      </c>
      <c r="P2045" t="s">
        <v>6874</v>
      </c>
      <c r="Q2045" t="s">
        <v>41</v>
      </c>
      <c r="R2045" t="s">
        <v>7000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1</v>
      </c>
      <c r="AA2045" t="b">
        <v>1</v>
      </c>
      <c r="AB2045" t="b">
        <v>1</v>
      </c>
      <c r="AC2045" t="b">
        <v>1</v>
      </c>
      <c r="AD2045" t="b">
        <v>1</v>
      </c>
      <c r="AE2045" t="b">
        <v>1</v>
      </c>
      <c r="AF2045" t="b">
        <v>1</v>
      </c>
      <c r="AG2045" t="b">
        <v>1</v>
      </c>
    </row>
    <row r="2046" spans="1:33" x14ac:dyDescent="0.25">
      <c r="A2046" t="s">
        <v>6876</v>
      </c>
      <c r="B2046">
        <v>4</v>
      </c>
      <c r="C2046" t="b">
        <v>0</v>
      </c>
      <c r="D2046" t="s">
        <v>6868</v>
      </c>
      <c r="E2046" t="s">
        <v>6869</v>
      </c>
      <c r="F2046" t="s">
        <v>7003</v>
      </c>
      <c r="G2046" t="s">
        <v>7004</v>
      </c>
      <c r="H2046">
        <v>2045</v>
      </c>
      <c r="I2046" t="str">
        <f>IF(ISBLANK(Table1[[#This Row],[oid]]),"FALSE","TRUE")</f>
        <v>TRUE</v>
      </c>
      <c r="J2046" t="str" cm="1">
        <f t="array" ref="J2046">_xlfn.SWITCH(LEFT(Table1[[#This Row],[section]],1), "D", "Demographic", "S", "Social", "E", "Economic", "H", "Housing", "")</f>
        <v>Economic</v>
      </c>
      <c r="K2046" t="s">
        <v>6872</v>
      </c>
      <c r="L2046" t="s">
        <v>6873</v>
      </c>
      <c r="M2046" t="str">
        <f>IF(Table1[[#This Row],[used]], _xlfn.CONCAT("🆔 ", Table1[[#This Row],[variable]], ": ",Table1[[#This Row],[alias]]), "")</f>
        <v>🆔 B27010_023E: 18 to 34 years: With one type of health insurance coverage: With Medicaidmeans-tested public coverage only</v>
      </c>
      <c r="O2046" t="s">
        <v>7005</v>
      </c>
      <c r="P2046" t="s">
        <v>6874</v>
      </c>
      <c r="Q2046" t="s">
        <v>41</v>
      </c>
      <c r="R2046" t="s">
        <v>7006</v>
      </c>
      <c r="S2046" t="b">
        <v>0</v>
      </c>
      <c r="T2046" t="b">
        <v>0</v>
      </c>
      <c r="U2046" t="b">
        <v>0</v>
      </c>
      <c r="V2046" t="b">
        <v>1</v>
      </c>
      <c r="W2046" t="b">
        <v>1</v>
      </c>
      <c r="X2046" t="b">
        <v>1</v>
      </c>
      <c r="Y2046" t="b">
        <v>1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</row>
    <row r="2047" spans="1:33" x14ac:dyDescent="0.25">
      <c r="A2047" t="s">
        <v>2259</v>
      </c>
      <c r="B2047">
        <v>8</v>
      </c>
      <c r="C2047" t="b">
        <v>0</v>
      </c>
      <c r="D2047" t="s">
        <v>6868</v>
      </c>
      <c r="E2047" t="s">
        <v>6869</v>
      </c>
      <c r="F2047" t="s">
        <v>7003</v>
      </c>
      <c r="G2047" t="s">
        <v>7007</v>
      </c>
      <c r="H2047">
        <v>2046</v>
      </c>
      <c r="I2047" t="str">
        <f>IF(ISBLANK(Table1[[#This Row],[oid]]),"FALSE","TRUE")</f>
        <v>TRUE</v>
      </c>
      <c r="J2047" t="str" cm="1">
        <f t="array" ref="J2047">_xlfn.SWITCH(LEFT(Table1[[#This Row],[section]],1), "D", "Demographic", "S", "Social", "E", "Economic", "H", "Housing", "")</f>
        <v>Economic</v>
      </c>
      <c r="K2047" t="s">
        <v>6872</v>
      </c>
      <c r="L2047" t="s">
        <v>6873</v>
      </c>
      <c r="M2047" t="str">
        <f>IF(Table1[[#This Row],[used]], _xlfn.CONCAT("🆔 ", Table1[[#This Row],[variable]], ": ",Table1[[#This Row],[alias]]), "")</f>
        <v>🆔 B27010_023E: 19 to 34 years: With one type of health insurance coverage: With Medicaidmeans-tested public coverage only</v>
      </c>
      <c r="O2047" t="s">
        <v>7008</v>
      </c>
      <c r="P2047" t="s">
        <v>6874</v>
      </c>
      <c r="Q2047" t="s">
        <v>41</v>
      </c>
      <c r="R2047" t="s">
        <v>7006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1</v>
      </c>
      <c r="AA2047" t="b">
        <v>1</v>
      </c>
      <c r="AB2047" t="b">
        <v>1</v>
      </c>
      <c r="AC2047" t="b">
        <v>1</v>
      </c>
      <c r="AD2047" t="b">
        <v>1</v>
      </c>
      <c r="AE2047" t="b">
        <v>1</v>
      </c>
      <c r="AF2047" t="b">
        <v>1</v>
      </c>
      <c r="AG2047" t="b">
        <v>1</v>
      </c>
    </row>
    <row r="2048" spans="1:33" x14ac:dyDescent="0.25">
      <c r="A2048" t="s">
        <v>6876</v>
      </c>
      <c r="B2048">
        <v>4</v>
      </c>
      <c r="C2048" t="b">
        <v>0</v>
      </c>
      <c r="D2048" t="s">
        <v>6868</v>
      </c>
      <c r="E2048" t="s">
        <v>6869</v>
      </c>
      <c r="F2048" t="s">
        <v>7009</v>
      </c>
      <c r="G2048" t="s">
        <v>7010</v>
      </c>
      <c r="H2048">
        <v>2047</v>
      </c>
      <c r="I2048" t="str">
        <f>IF(ISBLANK(Table1[[#This Row],[oid]]),"FALSE","TRUE")</f>
        <v>TRUE</v>
      </c>
      <c r="J2048" t="str" cm="1">
        <f t="array" ref="J2048">_xlfn.SWITCH(LEFT(Table1[[#This Row],[section]],1), "D", "Demographic", "S", "Social", "E", "Economic", "H", "Housing", "")</f>
        <v>Economic</v>
      </c>
      <c r="K2048" t="s">
        <v>6872</v>
      </c>
      <c r="L2048" t="s">
        <v>6873</v>
      </c>
      <c r="M2048" t="str">
        <f>IF(Table1[[#This Row],[used]], _xlfn.CONCAT("🆔 ", Table1[[#This Row],[variable]], ": ",Table1[[#This Row],[alias]]), "")</f>
        <v>🆔 B27010_024E: 18 to 34 years: With one type of health insurance coverage: With TRICAREmilitary health coverage only</v>
      </c>
      <c r="O2048" t="s">
        <v>7011</v>
      </c>
      <c r="P2048" t="s">
        <v>6874</v>
      </c>
      <c r="Q2048" t="s">
        <v>41</v>
      </c>
      <c r="R2048" t="s">
        <v>7012</v>
      </c>
      <c r="S2048" t="b">
        <v>0</v>
      </c>
      <c r="T2048" t="b">
        <v>0</v>
      </c>
      <c r="U2048" t="b">
        <v>0</v>
      </c>
      <c r="V2048" t="b">
        <v>1</v>
      </c>
      <c r="W2048" t="b">
        <v>1</v>
      </c>
      <c r="X2048" t="b">
        <v>1</v>
      </c>
      <c r="Y2048" t="b">
        <v>1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0</v>
      </c>
      <c r="AG2048" t="b">
        <v>0</v>
      </c>
    </row>
    <row r="2049" spans="1:33" x14ac:dyDescent="0.25">
      <c r="A2049" t="s">
        <v>2259</v>
      </c>
      <c r="B2049">
        <v>8</v>
      </c>
      <c r="C2049" t="b">
        <v>0</v>
      </c>
      <c r="D2049" t="s">
        <v>6868</v>
      </c>
      <c r="E2049" t="s">
        <v>6869</v>
      </c>
      <c r="F2049" t="s">
        <v>7009</v>
      </c>
      <c r="G2049" t="s">
        <v>7013</v>
      </c>
      <c r="H2049">
        <v>2048</v>
      </c>
      <c r="I2049" t="str">
        <f>IF(ISBLANK(Table1[[#This Row],[oid]]),"FALSE","TRUE")</f>
        <v>TRUE</v>
      </c>
      <c r="J2049" t="str" cm="1">
        <f t="array" ref="J2049">_xlfn.SWITCH(LEFT(Table1[[#This Row],[section]],1), "D", "Demographic", "S", "Social", "E", "Economic", "H", "Housing", "")</f>
        <v>Economic</v>
      </c>
      <c r="K2049" t="s">
        <v>6872</v>
      </c>
      <c r="L2049" t="s">
        <v>6873</v>
      </c>
      <c r="M2049" t="str">
        <f>IF(Table1[[#This Row],[used]], _xlfn.CONCAT("🆔 ", Table1[[#This Row],[variable]], ": ",Table1[[#This Row],[alias]]), "")</f>
        <v>🆔 B27010_024E: 19 to 34 years: With one type of health insurance coverage: With TRICAREmilitary health coverage only</v>
      </c>
      <c r="O2049" t="s">
        <v>7014</v>
      </c>
      <c r="P2049" t="s">
        <v>6874</v>
      </c>
      <c r="Q2049" t="s">
        <v>41</v>
      </c>
      <c r="R2049" t="s">
        <v>7012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1</v>
      </c>
      <c r="AA2049" t="b">
        <v>1</v>
      </c>
      <c r="AB2049" t="b">
        <v>1</v>
      </c>
      <c r="AC2049" t="b">
        <v>1</v>
      </c>
      <c r="AD2049" t="b">
        <v>1</v>
      </c>
      <c r="AE2049" t="b">
        <v>1</v>
      </c>
      <c r="AF2049" t="b">
        <v>1</v>
      </c>
      <c r="AG2049" t="b">
        <v>1</v>
      </c>
    </row>
    <row r="2050" spans="1:33" x14ac:dyDescent="0.25">
      <c r="A2050" t="s">
        <v>6876</v>
      </c>
      <c r="B2050">
        <v>4</v>
      </c>
      <c r="C2050" t="b">
        <v>0</v>
      </c>
      <c r="D2050" t="s">
        <v>6868</v>
      </c>
      <c r="E2050" t="s">
        <v>6869</v>
      </c>
      <c r="F2050" t="s">
        <v>7015</v>
      </c>
      <c r="G2050" t="s">
        <v>7016</v>
      </c>
      <c r="H2050">
        <v>2049</v>
      </c>
      <c r="I2050" t="str">
        <f>IF(ISBLANK(Table1[[#This Row],[oid]]),"FALSE","TRUE")</f>
        <v>TRUE</v>
      </c>
      <c r="J2050" t="str" cm="1">
        <f t="array" ref="J2050">_xlfn.SWITCH(LEFT(Table1[[#This Row],[section]],1), "D", "Demographic", "S", "Social", "E", "Economic", "H", "Housing", "")</f>
        <v>Economic</v>
      </c>
      <c r="K2050" t="s">
        <v>6872</v>
      </c>
      <c r="L2050" t="s">
        <v>6873</v>
      </c>
      <c r="M2050" t="str">
        <f>IF(Table1[[#This Row],[used]], _xlfn.CONCAT("🆔 ", Table1[[#This Row],[variable]], ": ",Table1[[#This Row],[alias]]), "")</f>
        <v>🆔 B27010_025E: 18 to 34 years: With one type of health insurance coverage: With VA Health Care only</v>
      </c>
      <c r="O2050" t="s">
        <v>7017</v>
      </c>
      <c r="P2050" t="s">
        <v>6874</v>
      </c>
      <c r="Q2050" t="s">
        <v>41</v>
      </c>
      <c r="R2050" t="s">
        <v>7018</v>
      </c>
      <c r="S2050" t="b">
        <v>0</v>
      </c>
      <c r="T2050" t="b">
        <v>0</v>
      </c>
      <c r="U2050" t="b">
        <v>0</v>
      </c>
      <c r="V2050" t="b">
        <v>1</v>
      </c>
      <c r="W2050" t="b">
        <v>1</v>
      </c>
      <c r="X2050" t="b">
        <v>1</v>
      </c>
      <c r="Y2050" t="b">
        <v>1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</row>
    <row r="2051" spans="1:33" x14ac:dyDescent="0.25">
      <c r="A2051" t="s">
        <v>2259</v>
      </c>
      <c r="B2051">
        <v>8</v>
      </c>
      <c r="C2051" t="b">
        <v>0</v>
      </c>
      <c r="D2051" t="s">
        <v>6868</v>
      </c>
      <c r="E2051" t="s">
        <v>6869</v>
      </c>
      <c r="F2051" t="s">
        <v>7015</v>
      </c>
      <c r="G2051" t="s">
        <v>7019</v>
      </c>
      <c r="H2051">
        <v>2050</v>
      </c>
      <c r="I2051" t="str">
        <f>IF(ISBLANK(Table1[[#This Row],[oid]]),"FALSE","TRUE")</f>
        <v>TRUE</v>
      </c>
      <c r="J2051" t="str" cm="1">
        <f t="array" ref="J2051">_xlfn.SWITCH(LEFT(Table1[[#This Row],[section]],1), "D", "Demographic", "S", "Social", "E", "Economic", "H", "Housing", "")</f>
        <v>Economic</v>
      </c>
      <c r="K2051" t="s">
        <v>6872</v>
      </c>
      <c r="L2051" t="s">
        <v>6873</v>
      </c>
      <c r="M2051" t="str">
        <f>IF(Table1[[#This Row],[used]], _xlfn.CONCAT("🆔 ", Table1[[#This Row],[variable]], ": ",Table1[[#This Row],[alias]]), "")</f>
        <v>🆔 B27010_025E: 19 to 34 years: With one type of health insurance coverage: With VA Health Care only</v>
      </c>
      <c r="O2051" t="s">
        <v>7020</v>
      </c>
      <c r="P2051" t="s">
        <v>6874</v>
      </c>
      <c r="Q2051" t="s">
        <v>41</v>
      </c>
      <c r="R2051" t="s">
        <v>7018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1</v>
      </c>
      <c r="AA2051" t="b">
        <v>1</v>
      </c>
      <c r="AB2051" t="b">
        <v>1</v>
      </c>
      <c r="AC2051" t="b">
        <v>1</v>
      </c>
      <c r="AD2051" t="b">
        <v>1</v>
      </c>
      <c r="AE2051" t="b">
        <v>1</v>
      </c>
      <c r="AF2051" t="b">
        <v>1</v>
      </c>
      <c r="AG2051" t="b">
        <v>1</v>
      </c>
    </row>
    <row r="2052" spans="1:33" x14ac:dyDescent="0.25">
      <c r="A2052" t="s">
        <v>6876</v>
      </c>
      <c r="B2052">
        <v>4</v>
      </c>
      <c r="C2052" t="b">
        <v>0</v>
      </c>
      <c r="D2052" t="s">
        <v>6868</v>
      </c>
      <c r="E2052" t="s">
        <v>6869</v>
      </c>
      <c r="F2052" t="s">
        <v>7021</v>
      </c>
      <c r="G2052" t="s">
        <v>7022</v>
      </c>
      <c r="H2052">
        <v>2051</v>
      </c>
      <c r="I2052" t="str">
        <f>IF(ISBLANK(Table1[[#This Row],[oid]]),"FALSE","TRUE")</f>
        <v>TRUE</v>
      </c>
      <c r="J2052" t="str" cm="1">
        <f t="array" ref="J2052">_xlfn.SWITCH(LEFT(Table1[[#This Row],[section]],1), "D", "Demographic", "S", "Social", "E", "Economic", "H", "Housing", "")</f>
        <v>Economic</v>
      </c>
      <c r="K2052" t="s">
        <v>6872</v>
      </c>
      <c r="L2052" t="s">
        <v>6873</v>
      </c>
      <c r="M2052" t="str">
        <f>IF(Table1[[#This Row],[used]], _xlfn.CONCAT("🆔 ", Table1[[#This Row],[variable]], ": ",Table1[[#This Row],[alias]]), "")</f>
        <v>🆔 B27010_026E: 18 to 34 years: With two or more types of health insurance coverage</v>
      </c>
      <c r="O2052" t="s">
        <v>7023</v>
      </c>
      <c r="P2052" t="s">
        <v>6874</v>
      </c>
      <c r="Q2052" t="s">
        <v>41</v>
      </c>
      <c r="R2052" t="s">
        <v>7024</v>
      </c>
      <c r="S2052" t="b">
        <v>0</v>
      </c>
      <c r="T2052" t="b">
        <v>0</v>
      </c>
      <c r="U2052" t="b">
        <v>0</v>
      </c>
      <c r="V2052" t="b">
        <v>1</v>
      </c>
      <c r="W2052" t="b">
        <v>1</v>
      </c>
      <c r="X2052" t="b">
        <v>1</v>
      </c>
      <c r="Y2052" t="b">
        <v>1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</row>
    <row r="2053" spans="1:33" x14ac:dyDescent="0.25">
      <c r="A2053" t="s">
        <v>2259</v>
      </c>
      <c r="B2053">
        <v>8</v>
      </c>
      <c r="C2053" t="b">
        <v>0</v>
      </c>
      <c r="D2053" t="s">
        <v>6868</v>
      </c>
      <c r="E2053" t="s">
        <v>6869</v>
      </c>
      <c r="F2053" t="s">
        <v>7021</v>
      </c>
      <c r="G2053" t="s">
        <v>7025</v>
      </c>
      <c r="H2053">
        <v>2052</v>
      </c>
      <c r="I2053" t="str">
        <f>IF(ISBLANK(Table1[[#This Row],[oid]]),"FALSE","TRUE")</f>
        <v>TRUE</v>
      </c>
      <c r="J2053" t="str" cm="1">
        <f t="array" ref="J2053">_xlfn.SWITCH(LEFT(Table1[[#This Row],[section]],1), "D", "Demographic", "S", "Social", "E", "Economic", "H", "Housing", "")</f>
        <v>Economic</v>
      </c>
      <c r="K2053" t="s">
        <v>6872</v>
      </c>
      <c r="L2053" t="s">
        <v>6873</v>
      </c>
      <c r="M2053" t="str">
        <f>IF(Table1[[#This Row],[used]], _xlfn.CONCAT("🆔 ", Table1[[#This Row],[variable]], ": ",Table1[[#This Row],[alias]]), "")</f>
        <v>🆔 B27010_026E: 19 to 34 years: With two or more types of health insurance coverage</v>
      </c>
      <c r="O2053" t="s">
        <v>7026</v>
      </c>
      <c r="P2053" t="s">
        <v>6874</v>
      </c>
      <c r="Q2053" t="s">
        <v>41</v>
      </c>
      <c r="R2053" t="s">
        <v>7024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1</v>
      </c>
      <c r="AA2053" t="b">
        <v>1</v>
      </c>
      <c r="AB2053" t="b">
        <v>1</v>
      </c>
      <c r="AC2053" t="b">
        <v>1</v>
      </c>
      <c r="AD2053" t="b">
        <v>1</v>
      </c>
      <c r="AE2053" t="b">
        <v>1</v>
      </c>
      <c r="AF2053" t="b">
        <v>1</v>
      </c>
      <c r="AG2053" t="b">
        <v>1</v>
      </c>
    </row>
    <row r="2054" spans="1:33" x14ac:dyDescent="0.25">
      <c r="A2054" t="s">
        <v>6876</v>
      </c>
      <c r="B2054">
        <v>4</v>
      </c>
      <c r="C2054" t="b">
        <v>0</v>
      </c>
      <c r="D2054" t="s">
        <v>6868</v>
      </c>
      <c r="E2054" t="s">
        <v>6869</v>
      </c>
      <c r="F2054" t="s">
        <v>7027</v>
      </c>
      <c r="G2054" t="s">
        <v>7028</v>
      </c>
      <c r="H2054">
        <v>2053</v>
      </c>
      <c r="I2054" t="str">
        <f>IF(ISBLANK(Table1[[#This Row],[oid]]),"FALSE","TRUE")</f>
        <v>TRUE</v>
      </c>
      <c r="J2054" t="str" cm="1">
        <f t="array" ref="J2054">_xlfn.SWITCH(LEFT(Table1[[#This Row],[section]],1), "D", "Demographic", "S", "Social", "E", "Economic", "H", "Housing", "")</f>
        <v>Economic</v>
      </c>
      <c r="K2054" t="s">
        <v>6872</v>
      </c>
      <c r="L2054" t="s">
        <v>6873</v>
      </c>
      <c r="M2054" t="str">
        <f>IF(Table1[[#This Row],[used]], _xlfn.CONCAT("🆔 ", Table1[[#This Row],[variable]], ": ",Table1[[#This Row],[alias]]), "")</f>
        <v>🆔 B27010_027E: 18 to 34 years: With two or more types of health insurance coverage: With employer-based and direct-purchase coverage</v>
      </c>
      <c r="O2054" t="s">
        <v>7029</v>
      </c>
      <c r="P2054" t="s">
        <v>6874</v>
      </c>
      <c r="Q2054" t="s">
        <v>41</v>
      </c>
      <c r="R2054" t="s">
        <v>7030</v>
      </c>
      <c r="S2054" t="b">
        <v>0</v>
      </c>
      <c r="T2054" t="b">
        <v>0</v>
      </c>
      <c r="U2054" t="b">
        <v>0</v>
      </c>
      <c r="V2054" t="b">
        <v>1</v>
      </c>
      <c r="W2054" t="b">
        <v>1</v>
      </c>
      <c r="X2054" t="b">
        <v>1</v>
      </c>
      <c r="Y2054" t="b">
        <v>1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</row>
    <row r="2055" spans="1:33" x14ac:dyDescent="0.25">
      <c r="A2055" t="s">
        <v>2259</v>
      </c>
      <c r="B2055">
        <v>8</v>
      </c>
      <c r="C2055" t="b">
        <v>0</v>
      </c>
      <c r="D2055" t="s">
        <v>6868</v>
      </c>
      <c r="E2055" t="s">
        <v>6869</v>
      </c>
      <c r="F2055" t="s">
        <v>7027</v>
      </c>
      <c r="G2055" t="s">
        <v>7031</v>
      </c>
      <c r="H2055">
        <v>2054</v>
      </c>
      <c r="I2055" t="str">
        <f>IF(ISBLANK(Table1[[#This Row],[oid]]),"FALSE","TRUE")</f>
        <v>TRUE</v>
      </c>
      <c r="J2055" t="str" cm="1">
        <f t="array" ref="J2055">_xlfn.SWITCH(LEFT(Table1[[#This Row],[section]],1), "D", "Demographic", "S", "Social", "E", "Economic", "H", "Housing", "")</f>
        <v>Economic</v>
      </c>
      <c r="K2055" t="s">
        <v>6872</v>
      </c>
      <c r="L2055" t="s">
        <v>6873</v>
      </c>
      <c r="M2055" t="str">
        <f>IF(Table1[[#This Row],[used]], _xlfn.CONCAT("🆔 ", Table1[[#This Row],[variable]], ": ",Table1[[#This Row],[alias]]), "")</f>
        <v>🆔 B27010_027E: 19 to 34 years: With two or more types of health insurance coverage: With employer-based and direct-purchase coverage</v>
      </c>
      <c r="O2055" t="s">
        <v>7032</v>
      </c>
      <c r="P2055" t="s">
        <v>6874</v>
      </c>
      <c r="Q2055" t="s">
        <v>41</v>
      </c>
      <c r="R2055" t="s">
        <v>7030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1</v>
      </c>
      <c r="AA2055" t="b">
        <v>1</v>
      </c>
      <c r="AB2055" t="b">
        <v>1</v>
      </c>
      <c r="AC2055" t="b">
        <v>1</v>
      </c>
      <c r="AD2055" t="b">
        <v>1</v>
      </c>
      <c r="AE2055" t="b">
        <v>1</v>
      </c>
      <c r="AF2055" t="b">
        <v>1</v>
      </c>
      <c r="AG2055" t="b">
        <v>1</v>
      </c>
    </row>
    <row r="2056" spans="1:33" x14ac:dyDescent="0.25">
      <c r="A2056" t="s">
        <v>6876</v>
      </c>
      <c r="B2056">
        <v>4</v>
      </c>
      <c r="C2056" t="b">
        <v>0</v>
      </c>
      <c r="D2056" t="s">
        <v>6868</v>
      </c>
      <c r="E2056" t="s">
        <v>6869</v>
      </c>
      <c r="F2056" t="s">
        <v>7033</v>
      </c>
      <c r="G2056" t="s">
        <v>7034</v>
      </c>
      <c r="H2056">
        <v>2055</v>
      </c>
      <c r="I2056" t="str">
        <f>IF(ISBLANK(Table1[[#This Row],[oid]]),"FALSE","TRUE")</f>
        <v>TRUE</v>
      </c>
      <c r="J2056" t="str" cm="1">
        <f t="array" ref="J2056">_xlfn.SWITCH(LEFT(Table1[[#This Row],[section]],1), "D", "Demographic", "S", "Social", "E", "Economic", "H", "Housing", "")</f>
        <v>Economic</v>
      </c>
      <c r="K2056" t="s">
        <v>6872</v>
      </c>
      <c r="L2056" t="s">
        <v>6873</v>
      </c>
      <c r="M2056" t="str">
        <f>IF(Table1[[#This Row],[used]], _xlfn.CONCAT("🆔 ", Table1[[#This Row],[variable]], ": ",Table1[[#This Row],[alias]]), "")</f>
        <v>🆔 B27010_028E: 18 to 34 years: With two or more types of health insurance coverage: With employer-based and Medicare coverage</v>
      </c>
      <c r="O2056" t="s">
        <v>7035</v>
      </c>
      <c r="P2056" t="s">
        <v>6874</v>
      </c>
      <c r="Q2056" t="s">
        <v>41</v>
      </c>
      <c r="R2056" t="s">
        <v>7036</v>
      </c>
      <c r="S2056" t="b">
        <v>0</v>
      </c>
      <c r="T2056" t="b">
        <v>0</v>
      </c>
      <c r="U2056" t="b">
        <v>0</v>
      </c>
      <c r="V2056" t="b">
        <v>1</v>
      </c>
      <c r="W2056" t="b">
        <v>1</v>
      </c>
      <c r="X2056" t="b">
        <v>1</v>
      </c>
      <c r="Y2056" t="b">
        <v>1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</row>
    <row r="2057" spans="1:33" x14ac:dyDescent="0.25">
      <c r="A2057" t="s">
        <v>2259</v>
      </c>
      <c r="B2057">
        <v>8</v>
      </c>
      <c r="C2057" t="b">
        <v>0</v>
      </c>
      <c r="D2057" t="s">
        <v>6868</v>
      </c>
      <c r="E2057" t="s">
        <v>6869</v>
      </c>
      <c r="F2057" t="s">
        <v>7033</v>
      </c>
      <c r="G2057" t="s">
        <v>7037</v>
      </c>
      <c r="H2057">
        <v>2056</v>
      </c>
      <c r="I2057" t="str">
        <f>IF(ISBLANK(Table1[[#This Row],[oid]]),"FALSE","TRUE")</f>
        <v>TRUE</v>
      </c>
      <c r="J2057" t="str" cm="1">
        <f t="array" ref="J2057">_xlfn.SWITCH(LEFT(Table1[[#This Row],[section]],1), "D", "Demographic", "S", "Social", "E", "Economic", "H", "Housing", "")</f>
        <v>Economic</v>
      </c>
      <c r="K2057" t="s">
        <v>6872</v>
      </c>
      <c r="L2057" t="s">
        <v>6873</v>
      </c>
      <c r="M2057" t="str">
        <f>IF(Table1[[#This Row],[used]], _xlfn.CONCAT("🆔 ", Table1[[#This Row],[variable]], ": ",Table1[[#This Row],[alias]]), "")</f>
        <v>🆔 B27010_028E: 19 to 34 years: With two or more types of health insurance coverage: With employer-based and Medicare coverage</v>
      </c>
      <c r="O2057" t="s">
        <v>7038</v>
      </c>
      <c r="P2057" t="s">
        <v>6874</v>
      </c>
      <c r="Q2057" t="s">
        <v>41</v>
      </c>
      <c r="R2057" t="s">
        <v>7036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1</v>
      </c>
      <c r="AA2057" t="b">
        <v>1</v>
      </c>
      <c r="AB2057" t="b">
        <v>1</v>
      </c>
      <c r="AC2057" t="b">
        <v>1</v>
      </c>
      <c r="AD2057" t="b">
        <v>1</v>
      </c>
      <c r="AE2057" t="b">
        <v>1</v>
      </c>
      <c r="AF2057" t="b">
        <v>1</v>
      </c>
      <c r="AG2057" t="b">
        <v>1</v>
      </c>
    </row>
    <row r="2058" spans="1:33" x14ac:dyDescent="0.25">
      <c r="A2058" t="s">
        <v>6876</v>
      </c>
      <c r="B2058">
        <v>4</v>
      </c>
      <c r="C2058" t="b">
        <v>0</v>
      </c>
      <c r="D2058" t="s">
        <v>6868</v>
      </c>
      <c r="E2058" t="s">
        <v>6869</v>
      </c>
      <c r="F2058" t="s">
        <v>7039</v>
      </c>
      <c r="G2058" t="s">
        <v>7040</v>
      </c>
      <c r="H2058">
        <v>2057</v>
      </c>
      <c r="I2058" t="str">
        <f>IF(ISBLANK(Table1[[#This Row],[oid]]),"FALSE","TRUE")</f>
        <v>TRUE</v>
      </c>
      <c r="J2058" t="str" cm="1">
        <f t="array" ref="J2058">_xlfn.SWITCH(LEFT(Table1[[#This Row],[section]],1), "D", "Demographic", "S", "Social", "E", "Economic", "H", "Housing", "")</f>
        <v>Economic</v>
      </c>
      <c r="K2058" t="s">
        <v>6872</v>
      </c>
      <c r="L2058" t="s">
        <v>6873</v>
      </c>
      <c r="M2058" t="str">
        <f>IF(Table1[[#This Row],[used]], _xlfn.CONCAT("🆔 ", Table1[[#This Row],[variable]], ": ",Table1[[#This Row],[alias]]), "")</f>
        <v>🆔 B27010_029E: 18 to 34 years: With two or more types of health insurance coverage: With Medicare and Medicaidmeans-tested public coverage</v>
      </c>
      <c r="O2058" t="s">
        <v>7041</v>
      </c>
      <c r="P2058" t="s">
        <v>6874</v>
      </c>
      <c r="Q2058" t="s">
        <v>41</v>
      </c>
      <c r="R2058" t="s">
        <v>7042</v>
      </c>
      <c r="S2058" t="b">
        <v>0</v>
      </c>
      <c r="T2058" t="b">
        <v>0</v>
      </c>
      <c r="U2058" t="b">
        <v>0</v>
      </c>
      <c r="V2058" t="b">
        <v>1</v>
      </c>
      <c r="W2058" t="b">
        <v>1</v>
      </c>
      <c r="X2058" t="b">
        <v>1</v>
      </c>
      <c r="Y2058" t="b">
        <v>1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</row>
    <row r="2059" spans="1:33" x14ac:dyDescent="0.25">
      <c r="A2059" t="s">
        <v>2259</v>
      </c>
      <c r="B2059">
        <v>8</v>
      </c>
      <c r="C2059" t="b">
        <v>0</v>
      </c>
      <c r="D2059" t="s">
        <v>6868</v>
      </c>
      <c r="E2059" t="s">
        <v>6869</v>
      </c>
      <c r="F2059" t="s">
        <v>7039</v>
      </c>
      <c r="G2059" t="s">
        <v>7043</v>
      </c>
      <c r="H2059">
        <v>2058</v>
      </c>
      <c r="I2059" t="str">
        <f>IF(ISBLANK(Table1[[#This Row],[oid]]),"FALSE","TRUE")</f>
        <v>TRUE</v>
      </c>
      <c r="J2059" t="str" cm="1">
        <f t="array" ref="J2059">_xlfn.SWITCH(LEFT(Table1[[#This Row],[section]],1), "D", "Demographic", "S", "Social", "E", "Economic", "H", "Housing", "")</f>
        <v>Economic</v>
      </c>
      <c r="K2059" t="s">
        <v>6872</v>
      </c>
      <c r="L2059" t="s">
        <v>6873</v>
      </c>
      <c r="M2059" t="str">
        <f>IF(Table1[[#This Row],[used]], _xlfn.CONCAT("🆔 ", Table1[[#This Row],[variable]], ": ",Table1[[#This Row],[alias]]), "")</f>
        <v>🆔 B27010_029E: 19 to 34 years: With two or more types of health insurance coverage: With Medicare and Medicaidmeans-tested public coverage</v>
      </c>
      <c r="O2059" t="s">
        <v>7044</v>
      </c>
      <c r="P2059" t="s">
        <v>6874</v>
      </c>
      <c r="Q2059" t="s">
        <v>41</v>
      </c>
      <c r="R2059" t="s">
        <v>7042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1</v>
      </c>
      <c r="AA2059" t="b">
        <v>1</v>
      </c>
      <c r="AB2059" t="b">
        <v>1</v>
      </c>
      <c r="AC2059" t="b">
        <v>1</v>
      </c>
      <c r="AD2059" t="b">
        <v>1</v>
      </c>
      <c r="AE2059" t="b">
        <v>1</v>
      </c>
      <c r="AF2059" t="b">
        <v>1</v>
      </c>
      <c r="AG2059" t="b">
        <v>1</v>
      </c>
    </row>
    <row r="2060" spans="1:33" x14ac:dyDescent="0.25">
      <c r="A2060" t="s">
        <v>6876</v>
      </c>
      <c r="B2060">
        <v>4</v>
      </c>
      <c r="C2060" t="b">
        <v>0</v>
      </c>
      <c r="D2060" t="s">
        <v>6868</v>
      </c>
      <c r="E2060" t="s">
        <v>6869</v>
      </c>
      <c r="F2060" t="s">
        <v>7045</v>
      </c>
      <c r="G2060" t="s">
        <v>7046</v>
      </c>
      <c r="H2060">
        <v>2059</v>
      </c>
      <c r="I2060" t="str">
        <f>IF(ISBLANK(Table1[[#This Row],[oid]]),"FALSE","TRUE")</f>
        <v>TRUE</v>
      </c>
      <c r="J2060" t="str" cm="1">
        <f t="array" ref="J2060">_xlfn.SWITCH(LEFT(Table1[[#This Row],[section]],1), "D", "Demographic", "S", "Social", "E", "Economic", "H", "Housing", "")</f>
        <v>Economic</v>
      </c>
      <c r="K2060" t="s">
        <v>6872</v>
      </c>
      <c r="L2060" t="s">
        <v>6873</v>
      </c>
      <c r="M2060" t="str">
        <f>IF(Table1[[#This Row],[used]], _xlfn.CONCAT("🆔 ", Table1[[#This Row],[variable]], ": ",Table1[[#This Row],[alias]]), "")</f>
        <v>🆔 B27010_030E: 18 to 34 years: With two or more types of health insurance coverage: Other private only combinations</v>
      </c>
      <c r="O2060" t="s">
        <v>7047</v>
      </c>
      <c r="P2060" t="s">
        <v>6874</v>
      </c>
      <c r="Q2060" t="s">
        <v>41</v>
      </c>
      <c r="R2060" t="s">
        <v>7048</v>
      </c>
      <c r="S2060" t="b">
        <v>0</v>
      </c>
      <c r="T2060" t="b">
        <v>0</v>
      </c>
      <c r="U2060" t="b">
        <v>0</v>
      </c>
      <c r="V2060" t="b">
        <v>1</v>
      </c>
      <c r="W2060" t="b">
        <v>1</v>
      </c>
      <c r="X2060" t="b">
        <v>1</v>
      </c>
      <c r="Y2060" t="b">
        <v>1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</row>
    <row r="2061" spans="1:33" x14ac:dyDescent="0.25">
      <c r="A2061" t="s">
        <v>2259</v>
      </c>
      <c r="B2061">
        <v>8</v>
      </c>
      <c r="C2061" t="b">
        <v>0</v>
      </c>
      <c r="D2061" t="s">
        <v>6868</v>
      </c>
      <c r="E2061" t="s">
        <v>6869</v>
      </c>
      <c r="F2061" t="s">
        <v>7045</v>
      </c>
      <c r="G2061" t="s">
        <v>7049</v>
      </c>
      <c r="H2061">
        <v>2060</v>
      </c>
      <c r="I2061" t="str">
        <f>IF(ISBLANK(Table1[[#This Row],[oid]]),"FALSE","TRUE")</f>
        <v>TRUE</v>
      </c>
      <c r="J2061" t="str" cm="1">
        <f t="array" ref="J2061">_xlfn.SWITCH(LEFT(Table1[[#This Row],[section]],1), "D", "Demographic", "S", "Social", "E", "Economic", "H", "Housing", "")</f>
        <v>Economic</v>
      </c>
      <c r="K2061" t="s">
        <v>6872</v>
      </c>
      <c r="L2061" t="s">
        <v>6873</v>
      </c>
      <c r="M2061" t="str">
        <f>IF(Table1[[#This Row],[used]], _xlfn.CONCAT("🆔 ", Table1[[#This Row],[variable]], ": ",Table1[[#This Row],[alias]]), "")</f>
        <v>🆔 B27010_030E: 19 to 34 years: With two or more types of health insurance coverage: Other private only combinations</v>
      </c>
      <c r="O2061" t="s">
        <v>7050</v>
      </c>
      <c r="P2061" t="s">
        <v>6874</v>
      </c>
      <c r="Q2061" t="s">
        <v>41</v>
      </c>
      <c r="R2061" t="s">
        <v>7048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1</v>
      </c>
      <c r="AA2061" t="b">
        <v>1</v>
      </c>
      <c r="AB2061" t="b">
        <v>1</v>
      </c>
      <c r="AC2061" t="b">
        <v>1</v>
      </c>
      <c r="AD2061" t="b">
        <v>1</v>
      </c>
      <c r="AE2061" t="b">
        <v>1</v>
      </c>
      <c r="AF2061" t="b">
        <v>1</v>
      </c>
      <c r="AG2061" t="b">
        <v>1</v>
      </c>
    </row>
    <row r="2062" spans="1:33" x14ac:dyDescent="0.25">
      <c r="A2062" t="s">
        <v>6876</v>
      </c>
      <c r="B2062">
        <v>4</v>
      </c>
      <c r="C2062" t="b">
        <v>0</v>
      </c>
      <c r="D2062" t="s">
        <v>6868</v>
      </c>
      <c r="E2062" t="s">
        <v>6869</v>
      </c>
      <c r="F2062" t="s">
        <v>7051</v>
      </c>
      <c r="G2062" t="s">
        <v>7052</v>
      </c>
      <c r="H2062">
        <v>2061</v>
      </c>
      <c r="I2062" t="str">
        <f>IF(ISBLANK(Table1[[#This Row],[oid]]),"FALSE","TRUE")</f>
        <v>TRUE</v>
      </c>
      <c r="J2062" t="str" cm="1">
        <f t="array" ref="J2062">_xlfn.SWITCH(LEFT(Table1[[#This Row],[section]],1), "D", "Demographic", "S", "Social", "E", "Economic", "H", "Housing", "")</f>
        <v>Economic</v>
      </c>
      <c r="K2062" t="s">
        <v>6872</v>
      </c>
      <c r="L2062" t="s">
        <v>6873</v>
      </c>
      <c r="M2062" t="str">
        <f>IF(Table1[[#This Row],[used]], _xlfn.CONCAT("🆔 ", Table1[[#This Row],[variable]], ": ",Table1[[#This Row],[alias]]), "")</f>
        <v>🆔 B27010_031E: 18 to 34 years: With two or more types of health insurance coverage: Other public only combinations</v>
      </c>
      <c r="O2062" t="s">
        <v>7053</v>
      </c>
      <c r="P2062" t="s">
        <v>6874</v>
      </c>
      <c r="Q2062" t="s">
        <v>41</v>
      </c>
      <c r="R2062" t="s">
        <v>7054</v>
      </c>
      <c r="S2062" t="b">
        <v>0</v>
      </c>
      <c r="T2062" t="b">
        <v>0</v>
      </c>
      <c r="U2062" t="b">
        <v>0</v>
      </c>
      <c r="V2062" t="b">
        <v>1</v>
      </c>
      <c r="W2062" t="b">
        <v>1</v>
      </c>
      <c r="X2062" t="b">
        <v>1</v>
      </c>
      <c r="Y2062" t="b">
        <v>1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</row>
    <row r="2063" spans="1:33" x14ac:dyDescent="0.25">
      <c r="A2063" t="s">
        <v>2259</v>
      </c>
      <c r="B2063">
        <v>8</v>
      </c>
      <c r="C2063" t="b">
        <v>0</v>
      </c>
      <c r="D2063" t="s">
        <v>6868</v>
      </c>
      <c r="E2063" t="s">
        <v>6869</v>
      </c>
      <c r="F2063" t="s">
        <v>7051</v>
      </c>
      <c r="G2063" t="s">
        <v>7055</v>
      </c>
      <c r="H2063">
        <v>2062</v>
      </c>
      <c r="I2063" t="str">
        <f>IF(ISBLANK(Table1[[#This Row],[oid]]),"FALSE","TRUE")</f>
        <v>TRUE</v>
      </c>
      <c r="J2063" t="str" cm="1">
        <f t="array" ref="J2063">_xlfn.SWITCH(LEFT(Table1[[#This Row],[section]],1), "D", "Demographic", "S", "Social", "E", "Economic", "H", "Housing", "")</f>
        <v>Economic</v>
      </c>
      <c r="K2063" t="s">
        <v>6872</v>
      </c>
      <c r="L2063" t="s">
        <v>6873</v>
      </c>
      <c r="M2063" t="str">
        <f>IF(Table1[[#This Row],[used]], _xlfn.CONCAT("🆔 ", Table1[[#This Row],[variable]], ": ",Table1[[#This Row],[alias]]), "")</f>
        <v>🆔 B27010_031E: 19 to 34 years: With two or more types of health insurance coverage: Other public only combinations</v>
      </c>
      <c r="O2063" t="s">
        <v>7056</v>
      </c>
      <c r="P2063" t="s">
        <v>6874</v>
      </c>
      <c r="Q2063" t="s">
        <v>41</v>
      </c>
      <c r="R2063" t="s">
        <v>7054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1</v>
      </c>
      <c r="AA2063" t="b">
        <v>1</v>
      </c>
      <c r="AB2063" t="b">
        <v>1</v>
      </c>
      <c r="AC2063" t="b">
        <v>1</v>
      </c>
      <c r="AD2063" t="b">
        <v>1</v>
      </c>
      <c r="AE2063" t="b">
        <v>1</v>
      </c>
      <c r="AF2063" t="b">
        <v>1</v>
      </c>
      <c r="AG2063" t="b">
        <v>1</v>
      </c>
    </row>
    <row r="2064" spans="1:33" x14ac:dyDescent="0.25">
      <c r="A2064" t="s">
        <v>6876</v>
      </c>
      <c r="B2064">
        <v>4</v>
      </c>
      <c r="C2064" t="b">
        <v>0</v>
      </c>
      <c r="D2064" t="s">
        <v>6868</v>
      </c>
      <c r="E2064" t="s">
        <v>6869</v>
      </c>
      <c r="F2064" t="s">
        <v>7057</v>
      </c>
      <c r="G2064" t="s">
        <v>7058</v>
      </c>
      <c r="H2064">
        <v>2063</v>
      </c>
      <c r="I2064" t="str">
        <f>IF(ISBLANK(Table1[[#This Row],[oid]]),"FALSE","TRUE")</f>
        <v>TRUE</v>
      </c>
      <c r="J2064" t="str" cm="1">
        <f t="array" ref="J2064">_xlfn.SWITCH(LEFT(Table1[[#This Row],[section]],1), "D", "Demographic", "S", "Social", "E", "Economic", "H", "Housing", "")</f>
        <v>Economic</v>
      </c>
      <c r="K2064" t="s">
        <v>6872</v>
      </c>
      <c r="L2064" t="s">
        <v>6873</v>
      </c>
      <c r="M2064" t="str">
        <f>IF(Table1[[#This Row],[used]], _xlfn.CONCAT("🆔 ", Table1[[#This Row],[variable]], ": ",Table1[[#This Row],[alias]]), "")</f>
        <v>🆔 B27010_032E: 18 to 34 years: With two or more types of health insurance coverage: Other coverage combinations</v>
      </c>
      <c r="O2064" t="s">
        <v>7059</v>
      </c>
      <c r="P2064" t="s">
        <v>6874</v>
      </c>
      <c r="Q2064" t="s">
        <v>41</v>
      </c>
      <c r="R2064" t="s">
        <v>7060</v>
      </c>
      <c r="S2064" t="b">
        <v>0</v>
      </c>
      <c r="T2064" t="b">
        <v>0</v>
      </c>
      <c r="U2064" t="b">
        <v>0</v>
      </c>
      <c r="V2064" t="b">
        <v>1</v>
      </c>
      <c r="W2064" t="b">
        <v>1</v>
      </c>
      <c r="X2064" t="b">
        <v>1</v>
      </c>
      <c r="Y2064" t="b">
        <v>1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</row>
    <row r="2065" spans="1:33" x14ac:dyDescent="0.25">
      <c r="A2065" t="s">
        <v>2259</v>
      </c>
      <c r="B2065">
        <v>8</v>
      </c>
      <c r="C2065" t="b">
        <v>0</v>
      </c>
      <c r="D2065" t="s">
        <v>6868</v>
      </c>
      <c r="E2065" t="s">
        <v>6869</v>
      </c>
      <c r="F2065" t="s">
        <v>7057</v>
      </c>
      <c r="G2065" t="s">
        <v>7061</v>
      </c>
      <c r="H2065">
        <v>2064</v>
      </c>
      <c r="I2065" t="str">
        <f>IF(ISBLANK(Table1[[#This Row],[oid]]),"FALSE","TRUE")</f>
        <v>TRUE</v>
      </c>
      <c r="J2065" t="str" cm="1">
        <f t="array" ref="J2065">_xlfn.SWITCH(LEFT(Table1[[#This Row],[section]],1), "D", "Demographic", "S", "Social", "E", "Economic", "H", "Housing", "")</f>
        <v>Economic</v>
      </c>
      <c r="K2065" t="s">
        <v>6872</v>
      </c>
      <c r="L2065" t="s">
        <v>6873</v>
      </c>
      <c r="M2065" t="str">
        <f>IF(Table1[[#This Row],[used]], _xlfn.CONCAT("🆔 ", Table1[[#This Row],[variable]], ": ",Table1[[#This Row],[alias]]), "")</f>
        <v>🆔 B27010_032E: 19 to 34 years: With two or more types of health insurance coverage: Other coverage combinations</v>
      </c>
      <c r="O2065" t="s">
        <v>7062</v>
      </c>
      <c r="P2065" t="s">
        <v>6874</v>
      </c>
      <c r="Q2065" t="s">
        <v>41</v>
      </c>
      <c r="R2065" t="s">
        <v>7060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1</v>
      </c>
      <c r="AA2065" t="b">
        <v>1</v>
      </c>
      <c r="AB2065" t="b">
        <v>1</v>
      </c>
      <c r="AC2065" t="b">
        <v>1</v>
      </c>
      <c r="AD2065" t="b">
        <v>1</v>
      </c>
      <c r="AE2065" t="b">
        <v>1</v>
      </c>
      <c r="AF2065" t="b">
        <v>1</v>
      </c>
      <c r="AG2065" t="b">
        <v>1</v>
      </c>
    </row>
    <row r="2066" spans="1:33" x14ac:dyDescent="0.25">
      <c r="A2066" t="s">
        <v>6876</v>
      </c>
      <c r="B2066">
        <v>4</v>
      </c>
      <c r="C2066" t="b">
        <v>0</v>
      </c>
      <c r="D2066" t="s">
        <v>6868</v>
      </c>
      <c r="E2066" t="s">
        <v>6869</v>
      </c>
      <c r="F2066" t="s">
        <v>7063</v>
      </c>
      <c r="G2066" t="s">
        <v>7064</v>
      </c>
      <c r="H2066">
        <v>2065</v>
      </c>
      <c r="I2066" t="str">
        <f>IF(ISBLANK(Table1[[#This Row],[oid]]),"FALSE","TRUE")</f>
        <v>TRUE</v>
      </c>
      <c r="J2066" t="str" cm="1">
        <f t="array" ref="J2066">_xlfn.SWITCH(LEFT(Table1[[#This Row],[section]],1), "D", "Demographic", "S", "Social", "E", "Economic", "H", "Housing", "")</f>
        <v>Economic</v>
      </c>
      <c r="K2066" t="s">
        <v>6872</v>
      </c>
      <c r="L2066" t="s">
        <v>6873</v>
      </c>
      <c r="M2066" t="str">
        <f>IF(Table1[[#This Row],[used]], _xlfn.CONCAT("🆔 ", Table1[[#This Row],[variable]], ": ",Table1[[#This Row],[alias]]), "")</f>
        <v>🆔 B27010_033E: 18 to 34 years: No health insurance coverage</v>
      </c>
      <c r="O2066" t="s">
        <v>7065</v>
      </c>
      <c r="P2066" t="s">
        <v>6874</v>
      </c>
      <c r="Q2066" t="s">
        <v>41</v>
      </c>
      <c r="R2066" t="s">
        <v>7066</v>
      </c>
      <c r="S2066" t="b">
        <v>0</v>
      </c>
      <c r="T2066" t="b">
        <v>0</v>
      </c>
      <c r="U2066" t="b">
        <v>0</v>
      </c>
      <c r="V2066" t="b">
        <v>1</v>
      </c>
      <c r="W2066" t="b">
        <v>1</v>
      </c>
      <c r="X2066" t="b">
        <v>1</v>
      </c>
      <c r="Y2066" t="b">
        <v>1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</row>
    <row r="2067" spans="1:33" x14ac:dyDescent="0.25">
      <c r="A2067" t="s">
        <v>2259</v>
      </c>
      <c r="B2067">
        <v>8</v>
      </c>
      <c r="C2067" t="b">
        <v>0</v>
      </c>
      <c r="D2067" t="s">
        <v>6868</v>
      </c>
      <c r="E2067" t="s">
        <v>6869</v>
      </c>
      <c r="F2067" t="s">
        <v>7063</v>
      </c>
      <c r="G2067" t="s">
        <v>7067</v>
      </c>
      <c r="H2067">
        <v>2066</v>
      </c>
      <c r="I2067" t="str">
        <f>IF(ISBLANK(Table1[[#This Row],[oid]]),"FALSE","TRUE")</f>
        <v>TRUE</v>
      </c>
      <c r="J2067" t="str" cm="1">
        <f t="array" ref="J2067">_xlfn.SWITCH(LEFT(Table1[[#This Row],[section]],1), "D", "Demographic", "S", "Social", "E", "Economic", "H", "Housing", "")</f>
        <v>Economic</v>
      </c>
      <c r="K2067" t="s">
        <v>6872</v>
      </c>
      <c r="L2067" t="s">
        <v>6873</v>
      </c>
      <c r="M2067" t="str">
        <f>IF(Table1[[#This Row],[used]], _xlfn.CONCAT("🆔 ", Table1[[#This Row],[variable]], ": ",Table1[[#This Row],[alias]]), "")</f>
        <v>🆔 B27010_033E: 19 to 34 years: No health insurance coverage</v>
      </c>
      <c r="O2067" t="s">
        <v>7068</v>
      </c>
      <c r="P2067" t="s">
        <v>6874</v>
      </c>
      <c r="Q2067" t="s">
        <v>41</v>
      </c>
      <c r="R2067" t="s">
        <v>7066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1</v>
      </c>
      <c r="AA2067" t="b">
        <v>1</v>
      </c>
      <c r="AB2067" t="b">
        <v>1</v>
      </c>
      <c r="AC2067" t="b">
        <v>1</v>
      </c>
      <c r="AD2067" t="b">
        <v>1</v>
      </c>
      <c r="AE2067" t="b">
        <v>1</v>
      </c>
      <c r="AF2067" t="b">
        <v>1</v>
      </c>
      <c r="AG2067" t="b">
        <v>1</v>
      </c>
    </row>
    <row r="2068" spans="1:33" x14ac:dyDescent="0.25">
      <c r="A2068" t="s">
        <v>1642</v>
      </c>
      <c r="B2068">
        <v>12</v>
      </c>
      <c r="C2068" t="b">
        <v>0</v>
      </c>
      <c r="D2068" t="s">
        <v>6868</v>
      </c>
      <c r="E2068" t="s">
        <v>6869</v>
      </c>
      <c r="F2068" t="s">
        <v>7069</v>
      </c>
      <c r="G2068" t="s">
        <v>7070</v>
      </c>
      <c r="H2068">
        <v>2067</v>
      </c>
      <c r="I2068" t="str">
        <f>IF(ISBLANK(Table1[[#This Row],[oid]]),"FALSE","TRUE")</f>
        <v>TRUE</v>
      </c>
      <c r="J2068" t="str" cm="1">
        <f t="array" ref="J2068">_xlfn.SWITCH(LEFT(Table1[[#This Row],[section]],1), "D", "Demographic", "S", "Social", "E", "Economic", "H", "Housing", "")</f>
        <v>Economic</v>
      </c>
      <c r="K2068" t="s">
        <v>6872</v>
      </c>
      <c r="L2068" t="s">
        <v>6873</v>
      </c>
      <c r="M2068" t="str">
        <f>IF(Table1[[#This Row],[used]], _xlfn.CONCAT("🆔 ", Table1[[#This Row],[variable]], ": ",Table1[[#This Row],[alias]]), "")</f>
        <v>🆔 B27010_034E: 35 to 64 years</v>
      </c>
      <c r="O2068" t="s">
        <v>7071</v>
      </c>
      <c r="P2068" t="s">
        <v>6874</v>
      </c>
      <c r="Q2068" t="s">
        <v>41</v>
      </c>
      <c r="R2068" t="s">
        <v>7072</v>
      </c>
      <c r="S2068" t="b">
        <v>0</v>
      </c>
      <c r="T2068" t="b">
        <v>0</v>
      </c>
      <c r="U2068" t="b">
        <v>0</v>
      </c>
      <c r="V2068" t="b">
        <v>1</v>
      </c>
      <c r="W2068" t="b">
        <v>1</v>
      </c>
      <c r="X2068" t="b">
        <v>1</v>
      </c>
      <c r="Y2068" t="b">
        <v>1</v>
      </c>
      <c r="Z2068" t="b">
        <v>1</v>
      </c>
      <c r="AA2068" t="b">
        <v>1</v>
      </c>
      <c r="AB2068" t="b">
        <v>1</v>
      </c>
      <c r="AC2068" t="b">
        <v>1</v>
      </c>
      <c r="AD2068" t="b">
        <v>1</v>
      </c>
      <c r="AE2068" t="b">
        <v>1</v>
      </c>
      <c r="AF2068" t="b">
        <v>1</v>
      </c>
      <c r="AG2068" t="b">
        <v>1</v>
      </c>
    </row>
    <row r="2069" spans="1:33" x14ac:dyDescent="0.25">
      <c r="A2069" t="s">
        <v>1642</v>
      </c>
      <c r="B2069">
        <v>12</v>
      </c>
      <c r="C2069" t="b">
        <v>0</v>
      </c>
      <c r="D2069" t="s">
        <v>6868</v>
      </c>
      <c r="E2069" t="s">
        <v>6869</v>
      </c>
      <c r="F2069" t="s">
        <v>7073</v>
      </c>
      <c r="G2069" t="s">
        <v>7074</v>
      </c>
      <c r="H2069">
        <v>2068</v>
      </c>
      <c r="I2069" t="str">
        <f>IF(ISBLANK(Table1[[#This Row],[oid]]),"FALSE","TRUE")</f>
        <v>TRUE</v>
      </c>
      <c r="J2069" t="str" cm="1">
        <f t="array" ref="J2069">_xlfn.SWITCH(LEFT(Table1[[#This Row],[section]],1), "D", "Demographic", "S", "Social", "E", "Economic", "H", "Housing", "")</f>
        <v>Economic</v>
      </c>
      <c r="K2069" t="s">
        <v>6872</v>
      </c>
      <c r="L2069" t="s">
        <v>6873</v>
      </c>
      <c r="M2069" t="str">
        <f>IF(Table1[[#This Row],[used]], _xlfn.CONCAT("🆔 ", Table1[[#This Row],[variable]], ": ",Table1[[#This Row],[alias]]), "")</f>
        <v>🆔 B27010_035E: 35 to 64 years: With one type of health insurance coverage</v>
      </c>
      <c r="O2069" t="s">
        <v>7075</v>
      </c>
      <c r="P2069" t="s">
        <v>6874</v>
      </c>
      <c r="Q2069" t="s">
        <v>41</v>
      </c>
      <c r="R2069" t="s">
        <v>7076</v>
      </c>
      <c r="S2069" t="b">
        <v>0</v>
      </c>
      <c r="T2069" t="b">
        <v>0</v>
      </c>
      <c r="U2069" t="b">
        <v>0</v>
      </c>
      <c r="V2069" t="b">
        <v>1</v>
      </c>
      <c r="W2069" t="b">
        <v>1</v>
      </c>
      <c r="X2069" t="b">
        <v>1</v>
      </c>
      <c r="Y2069" t="b">
        <v>1</v>
      </c>
      <c r="Z2069" t="b">
        <v>1</v>
      </c>
      <c r="AA2069" t="b">
        <v>1</v>
      </c>
      <c r="AB2069" t="b">
        <v>1</v>
      </c>
      <c r="AC2069" t="b">
        <v>1</v>
      </c>
      <c r="AD2069" t="b">
        <v>1</v>
      </c>
      <c r="AE2069" t="b">
        <v>1</v>
      </c>
      <c r="AF2069" t="b">
        <v>1</v>
      </c>
      <c r="AG2069" t="b">
        <v>1</v>
      </c>
    </row>
    <row r="2070" spans="1:33" x14ac:dyDescent="0.25">
      <c r="A2070" t="s">
        <v>1642</v>
      </c>
      <c r="B2070">
        <v>12</v>
      </c>
      <c r="C2070" t="b">
        <v>0</v>
      </c>
      <c r="D2070" t="s">
        <v>6868</v>
      </c>
      <c r="E2070" t="s">
        <v>6869</v>
      </c>
      <c r="F2070" t="s">
        <v>7077</v>
      </c>
      <c r="G2070" t="s">
        <v>7078</v>
      </c>
      <c r="H2070">
        <v>2069</v>
      </c>
      <c r="I2070" t="str">
        <f>IF(ISBLANK(Table1[[#This Row],[oid]]),"FALSE","TRUE")</f>
        <v>TRUE</v>
      </c>
      <c r="J2070" t="str" cm="1">
        <f t="array" ref="J2070">_xlfn.SWITCH(LEFT(Table1[[#This Row],[section]],1), "D", "Demographic", "S", "Social", "E", "Economic", "H", "Housing", "")</f>
        <v>Economic</v>
      </c>
      <c r="K2070" t="s">
        <v>6872</v>
      </c>
      <c r="L2070" t="s">
        <v>6873</v>
      </c>
      <c r="M2070" t="str">
        <f>IF(Table1[[#This Row],[used]], _xlfn.CONCAT("🆔 ", Table1[[#This Row],[variable]], ": ",Table1[[#This Row],[alias]]), "")</f>
        <v>🆔 B27010_036E: 35 to 64 years: With one type of health insurance coverage: With employer-based health insurance only</v>
      </c>
      <c r="O2070" t="s">
        <v>7079</v>
      </c>
      <c r="P2070" t="s">
        <v>6874</v>
      </c>
      <c r="Q2070" t="s">
        <v>41</v>
      </c>
      <c r="R2070" t="s">
        <v>7080</v>
      </c>
      <c r="S2070" t="b">
        <v>0</v>
      </c>
      <c r="T2070" t="b">
        <v>0</v>
      </c>
      <c r="U2070" t="b">
        <v>0</v>
      </c>
      <c r="V2070" t="b">
        <v>1</v>
      </c>
      <c r="W2070" t="b">
        <v>1</v>
      </c>
      <c r="X2070" t="b">
        <v>1</v>
      </c>
      <c r="Y2070" t="b">
        <v>1</v>
      </c>
      <c r="Z2070" t="b">
        <v>1</v>
      </c>
      <c r="AA2070" t="b">
        <v>1</v>
      </c>
      <c r="AB2070" t="b">
        <v>1</v>
      </c>
      <c r="AC2070" t="b">
        <v>1</v>
      </c>
      <c r="AD2070" t="b">
        <v>1</v>
      </c>
      <c r="AE2070" t="b">
        <v>1</v>
      </c>
      <c r="AF2070" t="b">
        <v>1</v>
      </c>
      <c r="AG2070" t="b">
        <v>1</v>
      </c>
    </row>
    <row r="2071" spans="1:33" x14ac:dyDescent="0.25">
      <c r="A2071" t="s">
        <v>1642</v>
      </c>
      <c r="B2071">
        <v>12</v>
      </c>
      <c r="C2071" t="b">
        <v>0</v>
      </c>
      <c r="D2071" t="s">
        <v>6868</v>
      </c>
      <c r="E2071" t="s">
        <v>6869</v>
      </c>
      <c r="F2071" t="s">
        <v>7081</v>
      </c>
      <c r="G2071" t="s">
        <v>7082</v>
      </c>
      <c r="H2071">
        <v>2070</v>
      </c>
      <c r="I2071" t="str">
        <f>IF(ISBLANK(Table1[[#This Row],[oid]]),"FALSE","TRUE")</f>
        <v>TRUE</v>
      </c>
      <c r="J2071" t="str" cm="1">
        <f t="array" ref="J2071">_xlfn.SWITCH(LEFT(Table1[[#This Row],[section]],1), "D", "Demographic", "S", "Social", "E", "Economic", "H", "Housing", "")</f>
        <v>Economic</v>
      </c>
      <c r="K2071" t="s">
        <v>6872</v>
      </c>
      <c r="L2071" t="s">
        <v>6873</v>
      </c>
      <c r="M2071" t="str">
        <f>IF(Table1[[#This Row],[used]], _xlfn.CONCAT("🆔 ", Table1[[#This Row],[variable]], ": ",Table1[[#This Row],[alias]]), "")</f>
        <v>🆔 B27010_037E: 35 to 64 years: With one type of health insurance coverage: With direct-purchase health insurance only</v>
      </c>
      <c r="O2071" t="s">
        <v>7083</v>
      </c>
      <c r="P2071" t="s">
        <v>6874</v>
      </c>
      <c r="Q2071" t="s">
        <v>41</v>
      </c>
      <c r="R2071" t="s">
        <v>7084</v>
      </c>
      <c r="S2071" t="b">
        <v>0</v>
      </c>
      <c r="T2071" t="b">
        <v>0</v>
      </c>
      <c r="U2071" t="b">
        <v>0</v>
      </c>
      <c r="V2071" t="b">
        <v>1</v>
      </c>
      <c r="W2071" t="b">
        <v>1</v>
      </c>
      <c r="X2071" t="b">
        <v>1</v>
      </c>
      <c r="Y2071" t="b">
        <v>1</v>
      </c>
      <c r="Z2071" t="b">
        <v>1</v>
      </c>
      <c r="AA2071" t="b">
        <v>1</v>
      </c>
      <c r="AB2071" t="b">
        <v>1</v>
      </c>
      <c r="AC2071" t="b">
        <v>1</v>
      </c>
      <c r="AD2071" t="b">
        <v>1</v>
      </c>
      <c r="AE2071" t="b">
        <v>1</v>
      </c>
      <c r="AF2071" t="b">
        <v>1</v>
      </c>
      <c r="AG2071" t="b">
        <v>1</v>
      </c>
    </row>
    <row r="2072" spans="1:33" x14ac:dyDescent="0.25">
      <c r="A2072" t="s">
        <v>1642</v>
      </c>
      <c r="B2072">
        <v>12</v>
      </c>
      <c r="C2072" t="b">
        <v>0</v>
      </c>
      <c r="D2072" t="s">
        <v>6868</v>
      </c>
      <c r="E2072" t="s">
        <v>6869</v>
      </c>
      <c r="F2072" t="s">
        <v>7085</v>
      </c>
      <c r="G2072" t="s">
        <v>7086</v>
      </c>
      <c r="H2072">
        <v>2071</v>
      </c>
      <c r="I2072" t="str">
        <f>IF(ISBLANK(Table1[[#This Row],[oid]]),"FALSE","TRUE")</f>
        <v>TRUE</v>
      </c>
      <c r="J2072" t="str" cm="1">
        <f t="array" ref="J2072">_xlfn.SWITCH(LEFT(Table1[[#This Row],[section]],1), "D", "Demographic", "S", "Social", "E", "Economic", "H", "Housing", "")</f>
        <v>Economic</v>
      </c>
      <c r="K2072" t="s">
        <v>6872</v>
      </c>
      <c r="L2072" t="s">
        <v>6873</v>
      </c>
      <c r="M2072" t="str">
        <f>IF(Table1[[#This Row],[used]], _xlfn.CONCAT("🆔 ", Table1[[#This Row],[variable]], ": ",Table1[[#This Row],[alias]]), "")</f>
        <v>🆔 B27010_038E: 35 to 64 years: With one type of health insurance coverage: With Medicare coverage only</v>
      </c>
      <c r="O2072" t="s">
        <v>7087</v>
      </c>
      <c r="P2072" t="s">
        <v>6874</v>
      </c>
      <c r="Q2072" t="s">
        <v>41</v>
      </c>
      <c r="R2072" t="s">
        <v>7088</v>
      </c>
      <c r="S2072" t="b">
        <v>0</v>
      </c>
      <c r="T2072" t="b">
        <v>0</v>
      </c>
      <c r="U2072" t="b">
        <v>0</v>
      </c>
      <c r="V2072" t="b">
        <v>1</v>
      </c>
      <c r="W2072" t="b">
        <v>1</v>
      </c>
      <c r="X2072" t="b">
        <v>1</v>
      </c>
      <c r="Y2072" t="b">
        <v>1</v>
      </c>
      <c r="Z2072" t="b">
        <v>1</v>
      </c>
      <c r="AA2072" t="b">
        <v>1</v>
      </c>
      <c r="AB2072" t="b">
        <v>1</v>
      </c>
      <c r="AC2072" t="b">
        <v>1</v>
      </c>
      <c r="AD2072" t="b">
        <v>1</v>
      </c>
      <c r="AE2072" t="b">
        <v>1</v>
      </c>
      <c r="AF2072" t="b">
        <v>1</v>
      </c>
      <c r="AG2072" t="b">
        <v>1</v>
      </c>
    </row>
    <row r="2073" spans="1:33" x14ac:dyDescent="0.25">
      <c r="A2073" t="s">
        <v>1642</v>
      </c>
      <c r="B2073">
        <v>12</v>
      </c>
      <c r="C2073" t="b">
        <v>0</v>
      </c>
      <c r="D2073" t="s">
        <v>6868</v>
      </c>
      <c r="E2073" t="s">
        <v>6869</v>
      </c>
      <c r="F2073" t="s">
        <v>7089</v>
      </c>
      <c r="G2073" t="s">
        <v>7090</v>
      </c>
      <c r="H2073">
        <v>2072</v>
      </c>
      <c r="I2073" t="str">
        <f>IF(ISBLANK(Table1[[#This Row],[oid]]),"FALSE","TRUE")</f>
        <v>TRUE</v>
      </c>
      <c r="J2073" t="str" cm="1">
        <f t="array" ref="J2073">_xlfn.SWITCH(LEFT(Table1[[#This Row],[section]],1), "D", "Demographic", "S", "Social", "E", "Economic", "H", "Housing", "")</f>
        <v>Economic</v>
      </c>
      <c r="K2073" t="s">
        <v>6872</v>
      </c>
      <c r="L2073" t="s">
        <v>6873</v>
      </c>
      <c r="M2073" t="str">
        <f>IF(Table1[[#This Row],[used]], _xlfn.CONCAT("🆔 ", Table1[[#This Row],[variable]], ": ",Table1[[#This Row],[alias]]), "")</f>
        <v>🆔 B27010_039E: 35 to 64 years: With one type of health insurance coverage: With Medicaidmeans-tested public coverage only</v>
      </c>
      <c r="O2073" t="s">
        <v>7091</v>
      </c>
      <c r="P2073" t="s">
        <v>6874</v>
      </c>
      <c r="Q2073" t="s">
        <v>41</v>
      </c>
      <c r="R2073" t="s">
        <v>7092</v>
      </c>
      <c r="S2073" t="b">
        <v>0</v>
      </c>
      <c r="T2073" t="b">
        <v>0</v>
      </c>
      <c r="U2073" t="b">
        <v>0</v>
      </c>
      <c r="V2073" t="b">
        <v>1</v>
      </c>
      <c r="W2073" t="b">
        <v>1</v>
      </c>
      <c r="X2073" t="b">
        <v>1</v>
      </c>
      <c r="Y2073" t="b">
        <v>1</v>
      </c>
      <c r="Z2073" t="b">
        <v>1</v>
      </c>
      <c r="AA2073" t="b">
        <v>1</v>
      </c>
      <c r="AB2073" t="b">
        <v>1</v>
      </c>
      <c r="AC2073" t="b">
        <v>1</v>
      </c>
      <c r="AD2073" t="b">
        <v>1</v>
      </c>
      <c r="AE2073" t="b">
        <v>1</v>
      </c>
      <c r="AF2073" t="b">
        <v>1</v>
      </c>
      <c r="AG2073" t="b">
        <v>1</v>
      </c>
    </row>
    <row r="2074" spans="1:33" x14ac:dyDescent="0.25">
      <c r="A2074" t="s">
        <v>1642</v>
      </c>
      <c r="B2074">
        <v>12</v>
      </c>
      <c r="C2074" t="b">
        <v>0</v>
      </c>
      <c r="D2074" t="s">
        <v>6868</v>
      </c>
      <c r="E2074" t="s">
        <v>6869</v>
      </c>
      <c r="F2074" t="s">
        <v>7093</v>
      </c>
      <c r="G2074" t="s">
        <v>7094</v>
      </c>
      <c r="H2074">
        <v>2073</v>
      </c>
      <c r="I2074" t="str">
        <f>IF(ISBLANK(Table1[[#This Row],[oid]]),"FALSE","TRUE")</f>
        <v>TRUE</v>
      </c>
      <c r="J2074" t="str" cm="1">
        <f t="array" ref="J2074">_xlfn.SWITCH(LEFT(Table1[[#This Row],[section]],1), "D", "Demographic", "S", "Social", "E", "Economic", "H", "Housing", "")</f>
        <v>Economic</v>
      </c>
      <c r="K2074" t="s">
        <v>6872</v>
      </c>
      <c r="L2074" t="s">
        <v>6873</v>
      </c>
      <c r="M2074" t="str">
        <f>IF(Table1[[#This Row],[used]], _xlfn.CONCAT("🆔 ", Table1[[#This Row],[variable]], ": ",Table1[[#This Row],[alias]]), "")</f>
        <v>🆔 B27010_040E: 35 to 64 years: With one type of health insurance coverage: With TRICAREmilitary health coverage only</v>
      </c>
      <c r="O2074" t="s">
        <v>7095</v>
      </c>
      <c r="P2074" t="s">
        <v>6874</v>
      </c>
      <c r="Q2074" t="s">
        <v>41</v>
      </c>
      <c r="R2074" t="s">
        <v>7096</v>
      </c>
      <c r="S2074" t="b">
        <v>0</v>
      </c>
      <c r="T2074" t="b">
        <v>0</v>
      </c>
      <c r="U2074" t="b">
        <v>0</v>
      </c>
      <c r="V2074" t="b">
        <v>1</v>
      </c>
      <c r="W2074" t="b">
        <v>1</v>
      </c>
      <c r="X2074" t="b">
        <v>1</v>
      </c>
      <c r="Y2074" t="b">
        <v>1</v>
      </c>
      <c r="Z2074" t="b">
        <v>1</v>
      </c>
      <c r="AA2074" t="b">
        <v>1</v>
      </c>
      <c r="AB2074" t="b">
        <v>1</v>
      </c>
      <c r="AC2074" t="b">
        <v>1</v>
      </c>
      <c r="AD2074" t="b">
        <v>1</v>
      </c>
      <c r="AE2074" t="b">
        <v>1</v>
      </c>
      <c r="AF2074" t="b">
        <v>1</v>
      </c>
      <c r="AG2074" t="b">
        <v>1</v>
      </c>
    </row>
    <row r="2075" spans="1:33" x14ac:dyDescent="0.25">
      <c r="A2075" t="s">
        <v>1642</v>
      </c>
      <c r="B2075">
        <v>12</v>
      </c>
      <c r="C2075" t="b">
        <v>0</v>
      </c>
      <c r="D2075" t="s">
        <v>6868</v>
      </c>
      <c r="E2075" t="s">
        <v>6869</v>
      </c>
      <c r="F2075" t="s">
        <v>7097</v>
      </c>
      <c r="G2075" t="s">
        <v>7098</v>
      </c>
      <c r="H2075">
        <v>2074</v>
      </c>
      <c r="I2075" t="str">
        <f>IF(ISBLANK(Table1[[#This Row],[oid]]),"FALSE","TRUE")</f>
        <v>TRUE</v>
      </c>
      <c r="J2075" t="str" cm="1">
        <f t="array" ref="J2075">_xlfn.SWITCH(LEFT(Table1[[#This Row],[section]],1), "D", "Demographic", "S", "Social", "E", "Economic", "H", "Housing", "")</f>
        <v>Economic</v>
      </c>
      <c r="K2075" t="s">
        <v>6872</v>
      </c>
      <c r="L2075" t="s">
        <v>6873</v>
      </c>
      <c r="M2075" t="str">
        <f>IF(Table1[[#This Row],[used]], _xlfn.CONCAT("🆔 ", Table1[[#This Row],[variable]], ": ",Table1[[#This Row],[alias]]), "")</f>
        <v>🆔 B27010_041E: 35 to 64 years: With one type of health insurance coverage: With VA Health Care only</v>
      </c>
      <c r="O2075" t="s">
        <v>7099</v>
      </c>
      <c r="P2075" t="s">
        <v>6874</v>
      </c>
      <c r="Q2075" t="s">
        <v>41</v>
      </c>
      <c r="R2075" t="s">
        <v>7100</v>
      </c>
      <c r="S2075" t="b">
        <v>0</v>
      </c>
      <c r="T2075" t="b">
        <v>0</v>
      </c>
      <c r="U2075" t="b">
        <v>0</v>
      </c>
      <c r="V2075" t="b">
        <v>1</v>
      </c>
      <c r="W2075" t="b">
        <v>1</v>
      </c>
      <c r="X2075" t="b">
        <v>1</v>
      </c>
      <c r="Y2075" t="b">
        <v>1</v>
      </c>
      <c r="Z2075" t="b">
        <v>1</v>
      </c>
      <c r="AA2075" t="b">
        <v>1</v>
      </c>
      <c r="AB2075" t="b">
        <v>1</v>
      </c>
      <c r="AC2075" t="b">
        <v>1</v>
      </c>
      <c r="AD2075" t="b">
        <v>1</v>
      </c>
      <c r="AE2075" t="b">
        <v>1</v>
      </c>
      <c r="AF2075" t="b">
        <v>1</v>
      </c>
      <c r="AG2075" t="b">
        <v>1</v>
      </c>
    </row>
    <row r="2076" spans="1:33" x14ac:dyDescent="0.25">
      <c r="A2076" t="s">
        <v>1642</v>
      </c>
      <c r="B2076">
        <v>12</v>
      </c>
      <c r="C2076" t="b">
        <v>0</v>
      </c>
      <c r="D2076" t="s">
        <v>6868</v>
      </c>
      <c r="E2076" t="s">
        <v>6869</v>
      </c>
      <c r="F2076" t="s">
        <v>7101</v>
      </c>
      <c r="G2076" t="s">
        <v>7102</v>
      </c>
      <c r="H2076">
        <v>2075</v>
      </c>
      <c r="I2076" t="str">
        <f>IF(ISBLANK(Table1[[#This Row],[oid]]),"FALSE","TRUE")</f>
        <v>TRUE</v>
      </c>
      <c r="J2076" t="str" cm="1">
        <f t="array" ref="J2076">_xlfn.SWITCH(LEFT(Table1[[#This Row],[section]],1), "D", "Demographic", "S", "Social", "E", "Economic", "H", "Housing", "")</f>
        <v>Economic</v>
      </c>
      <c r="K2076" t="s">
        <v>6872</v>
      </c>
      <c r="L2076" t="s">
        <v>6873</v>
      </c>
      <c r="M2076" t="str">
        <f>IF(Table1[[#This Row],[used]], _xlfn.CONCAT("🆔 ", Table1[[#This Row],[variable]], ": ",Table1[[#This Row],[alias]]), "")</f>
        <v>🆔 B27010_042E: 35 to 64 years: With two or more types of health insurance coverage</v>
      </c>
      <c r="O2076" t="s">
        <v>7103</v>
      </c>
      <c r="P2076" t="s">
        <v>6874</v>
      </c>
      <c r="Q2076" t="s">
        <v>41</v>
      </c>
      <c r="R2076" t="s">
        <v>7104</v>
      </c>
      <c r="S2076" t="b">
        <v>0</v>
      </c>
      <c r="T2076" t="b">
        <v>0</v>
      </c>
      <c r="U2076" t="b">
        <v>0</v>
      </c>
      <c r="V2076" t="b">
        <v>1</v>
      </c>
      <c r="W2076" t="b">
        <v>1</v>
      </c>
      <c r="X2076" t="b">
        <v>1</v>
      </c>
      <c r="Y2076" t="b">
        <v>1</v>
      </c>
      <c r="Z2076" t="b">
        <v>1</v>
      </c>
      <c r="AA2076" t="b">
        <v>1</v>
      </c>
      <c r="AB2076" t="b">
        <v>1</v>
      </c>
      <c r="AC2076" t="b">
        <v>1</v>
      </c>
      <c r="AD2076" t="b">
        <v>1</v>
      </c>
      <c r="AE2076" t="b">
        <v>1</v>
      </c>
      <c r="AF2076" t="b">
        <v>1</v>
      </c>
      <c r="AG2076" t="b">
        <v>1</v>
      </c>
    </row>
    <row r="2077" spans="1:33" x14ac:dyDescent="0.25">
      <c r="A2077" t="s">
        <v>1642</v>
      </c>
      <c r="B2077">
        <v>12</v>
      </c>
      <c r="C2077" t="b">
        <v>0</v>
      </c>
      <c r="D2077" t="s">
        <v>6868</v>
      </c>
      <c r="E2077" t="s">
        <v>6869</v>
      </c>
      <c r="F2077" t="s">
        <v>7105</v>
      </c>
      <c r="G2077" t="s">
        <v>7106</v>
      </c>
      <c r="H2077">
        <v>2076</v>
      </c>
      <c r="I2077" t="str">
        <f>IF(ISBLANK(Table1[[#This Row],[oid]]),"FALSE","TRUE")</f>
        <v>TRUE</v>
      </c>
      <c r="J2077" t="str" cm="1">
        <f t="array" ref="J2077">_xlfn.SWITCH(LEFT(Table1[[#This Row],[section]],1), "D", "Demographic", "S", "Social", "E", "Economic", "H", "Housing", "")</f>
        <v>Economic</v>
      </c>
      <c r="K2077" t="s">
        <v>6872</v>
      </c>
      <c r="L2077" t="s">
        <v>6873</v>
      </c>
      <c r="M2077" t="str">
        <f>IF(Table1[[#This Row],[used]], _xlfn.CONCAT("🆔 ", Table1[[#This Row],[variable]], ": ",Table1[[#This Row],[alias]]), "")</f>
        <v>🆔 B27010_043E: 35 to 64 years: With two or more types of health insurance coverage: With employer-based and direct-purchase coverage</v>
      </c>
      <c r="O2077" t="s">
        <v>7107</v>
      </c>
      <c r="P2077" t="s">
        <v>6874</v>
      </c>
      <c r="Q2077" t="s">
        <v>41</v>
      </c>
      <c r="R2077" t="s">
        <v>7108</v>
      </c>
      <c r="S2077" t="b">
        <v>0</v>
      </c>
      <c r="T2077" t="b">
        <v>0</v>
      </c>
      <c r="U2077" t="b">
        <v>0</v>
      </c>
      <c r="V2077" t="b">
        <v>1</v>
      </c>
      <c r="W2077" t="b">
        <v>1</v>
      </c>
      <c r="X2077" t="b">
        <v>1</v>
      </c>
      <c r="Y2077" t="b">
        <v>1</v>
      </c>
      <c r="Z2077" t="b">
        <v>1</v>
      </c>
      <c r="AA2077" t="b">
        <v>1</v>
      </c>
      <c r="AB2077" t="b">
        <v>1</v>
      </c>
      <c r="AC2077" t="b">
        <v>1</v>
      </c>
      <c r="AD2077" t="b">
        <v>1</v>
      </c>
      <c r="AE2077" t="b">
        <v>1</v>
      </c>
      <c r="AF2077" t="b">
        <v>1</v>
      </c>
      <c r="AG2077" t="b">
        <v>1</v>
      </c>
    </row>
    <row r="2078" spans="1:33" x14ac:dyDescent="0.25">
      <c r="A2078" t="s">
        <v>1642</v>
      </c>
      <c r="B2078">
        <v>12</v>
      </c>
      <c r="C2078" t="b">
        <v>0</v>
      </c>
      <c r="D2078" t="s">
        <v>6868</v>
      </c>
      <c r="E2078" t="s">
        <v>6869</v>
      </c>
      <c r="F2078" t="s">
        <v>7109</v>
      </c>
      <c r="G2078" t="s">
        <v>7110</v>
      </c>
      <c r="H2078">
        <v>2077</v>
      </c>
      <c r="I2078" t="str">
        <f>IF(ISBLANK(Table1[[#This Row],[oid]]),"FALSE","TRUE")</f>
        <v>TRUE</v>
      </c>
      <c r="J2078" t="str" cm="1">
        <f t="array" ref="J2078">_xlfn.SWITCH(LEFT(Table1[[#This Row],[section]],1), "D", "Demographic", "S", "Social", "E", "Economic", "H", "Housing", "")</f>
        <v>Economic</v>
      </c>
      <c r="K2078" t="s">
        <v>6872</v>
      </c>
      <c r="L2078" t="s">
        <v>6873</v>
      </c>
      <c r="M2078" t="str">
        <f>IF(Table1[[#This Row],[used]], _xlfn.CONCAT("🆔 ", Table1[[#This Row],[variable]], ": ",Table1[[#This Row],[alias]]), "")</f>
        <v>🆔 B27010_044E: 35 to 64 years: With two or more types of health insurance coverage: With employer-based and Medicare coverage</v>
      </c>
      <c r="O2078" t="s">
        <v>7111</v>
      </c>
      <c r="P2078" t="s">
        <v>6874</v>
      </c>
      <c r="Q2078" t="s">
        <v>41</v>
      </c>
      <c r="R2078" t="s">
        <v>7112</v>
      </c>
      <c r="S2078" t="b">
        <v>0</v>
      </c>
      <c r="T2078" t="b">
        <v>0</v>
      </c>
      <c r="U2078" t="b">
        <v>0</v>
      </c>
      <c r="V2078" t="b">
        <v>1</v>
      </c>
      <c r="W2078" t="b">
        <v>1</v>
      </c>
      <c r="X2078" t="b">
        <v>1</v>
      </c>
      <c r="Y2078" t="b">
        <v>1</v>
      </c>
      <c r="Z2078" t="b">
        <v>1</v>
      </c>
      <c r="AA2078" t="b">
        <v>1</v>
      </c>
      <c r="AB2078" t="b">
        <v>1</v>
      </c>
      <c r="AC2078" t="b">
        <v>1</v>
      </c>
      <c r="AD2078" t="b">
        <v>1</v>
      </c>
      <c r="AE2078" t="b">
        <v>1</v>
      </c>
      <c r="AF2078" t="b">
        <v>1</v>
      </c>
      <c r="AG2078" t="b">
        <v>1</v>
      </c>
    </row>
    <row r="2079" spans="1:33" x14ac:dyDescent="0.25">
      <c r="A2079" t="s">
        <v>1642</v>
      </c>
      <c r="B2079">
        <v>12</v>
      </c>
      <c r="C2079" t="b">
        <v>0</v>
      </c>
      <c r="D2079" t="s">
        <v>6868</v>
      </c>
      <c r="E2079" t="s">
        <v>6869</v>
      </c>
      <c r="F2079" t="s">
        <v>7113</v>
      </c>
      <c r="G2079" t="s">
        <v>7114</v>
      </c>
      <c r="H2079">
        <v>2078</v>
      </c>
      <c r="I2079" t="str">
        <f>IF(ISBLANK(Table1[[#This Row],[oid]]),"FALSE","TRUE")</f>
        <v>TRUE</v>
      </c>
      <c r="J2079" t="str" cm="1">
        <f t="array" ref="J2079">_xlfn.SWITCH(LEFT(Table1[[#This Row],[section]],1), "D", "Demographic", "S", "Social", "E", "Economic", "H", "Housing", "")</f>
        <v>Economic</v>
      </c>
      <c r="K2079" t="s">
        <v>6872</v>
      </c>
      <c r="L2079" t="s">
        <v>6873</v>
      </c>
      <c r="M2079" t="str">
        <f>IF(Table1[[#This Row],[used]], _xlfn.CONCAT("🆔 ", Table1[[#This Row],[variable]], ": ",Table1[[#This Row],[alias]]), "")</f>
        <v>🆔 B27010_045E: 35 to 64 years: With two or more types of health insurance coverage: With direct-purchase and Medicare coverage</v>
      </c>
      <c r="O2079" t="s">
        <v>7115</v>
      </c>
      <c r="P2079" t="s">
        <v>6874</v>
      </c>
      <c r="Q2079" t="s">
        <v>41</v>
      </c>
      <c r="R2079" t="s">
        <v>7116</v>
      </c>
      <c r="S2079" t="b">
        <v>0</v>
      </c>
      <c r="T2079" t="b">
        <v>0</v>
      </c>
      <c r="U2079" t="b">
        <v>0</v>
      </c>
      <c r="V2079" t="b">
        <v>1</v>
      </c>
      <c r="W2079" t="b">
        <v>1</v>
      </c>
      <c r="X2079" t="b">
        <v>1</v>
      </c>
      <c r="Y2079" t="b">
        <v>1</v>
      </c>
      <c r="Z2079" t="b">
        <v>1</v>
      </c>
      <c r="AA2079" t="b">
        <v>1</v>
      </c>
      <c r="AB2079" t="b">
        <v>1</v>
      </c>
      <c r="AC2079" t="b">
        <v>1</v>
      </c>
      <c r="AD2079" t="b">
        <v>1</v>
      </c>
      <c r="AE2079" t="b">
        <v>1</v>
      </c>
      <c r="AF2079" t="b">
        <v>1</v>
      </c>
      <c r="AG2079" t="b">
        <v>1</v>
      </c>
    </row>
    <row r="2080" spans="1:33" x14ac:dyDescent="0.25">
      <c r="A2080" t="s">
        <v>1642</v>
      </c>
      <c r="B2080">
        <v>12</v>
      </c>
      <c r="C2080" t="b">
        <v>0</v>
      </c>
      <c r="D2080" t="s">
        <v>6868</v>
      </c>
      <c r="E2080" t="s">
        <v>6869</v>
      </c>
      <c r="F2080" t="s">
        <v>7117</v>
      </c>
      <c r="G2080" t="s">
        <v>7118</v>
      </c>
      <c r="H2080">
        <v>2079</v>
      </c>
      <c r="I2080" t="str">
        <f>IF(ISBLANK(Table1[[#This Row],[oid]]),"FALSE","TRUE")</f>
        <v>TRUE</v>
      </c>
      <c r="J2080" t="str" cm="1">
        <f t="array" ref="J2080">_xlfn.SWITCH(LEFT(Table1[[#This Row],[section]],1), "D", "Demographic", "S", "Social", "E", "Economic", "H", "Housing", "")</f>
        <v>Economic</v>
      </c>
      <c r="K2080" t="s">
        <v>6872</v>
      </c>
      <c r="L2080" t="s">
        <v>6873</v>
      </c>
      <c r="M2080" t="str">
        <f>IF(Table1[[#This Row],[used]], _xlfn.CONCAT("🆔 ", Table1[[#This Row],[variable]], ": ",Table1[[#This Row],[alias]]), "")</f>
        <v>🆔 B27010_046E: 35 to 64 years: With two or more types of health insurance coverage: With Medicare and Medicaidmeans-tested public coverage</v>
      </c>
      <c r="O2080" t="s">
        <v>7119</v>
      </c>
      <c r="P2080" t="s">
        <v>6874</v>
      </c>
      <c r="Q2080" t="s">
        <v>41</v>
      </c>
      <c r="R2080" t="s">
        <v>7120</v>
      </c>
      <c r="S2080" t="b">
        <v>0</v>
      </c>
      <c r="T2080" t="b">
        <v>0</v>
      </c>
      <c r="U2080" t="b">
        <v>0</v>
      </c>
      <c r="V2080" t="b">
        <v>1</v>
      </c>
      <c r="W2080" t="b">
        <v>1</v>
      </c>
      <c r="X2080" t="b">
        <v>1</v>
      </c>
      <c r="Y2080" t="b">
        <v>1</v>
      </c>
      <c r="Z2080" t="b">
        <v>1</v>
      </c>
      <c r="AA2080" t="b">
        <v>1</v>
      </c>
      <c r="AB2080" t="b">
        <v>1</v>
      </c>
      <c r="AC2080" t="b">
        <v>1</v>
      </c>
      <c r="AD2080" t="b">
        <v>1</v>
      </c>
      <c r="AE2080" t="b">
        <v>1</v>
      </c>
      <c r="AF2080" t="b">
        <v>1</v>
      </c>
      <c r="AG2080" t="b">
        <v>1</v>
      </c>
    </row>
    <row r="2081" spans="1:33" x14ac:dyDescent="0.25">
      <c r="A2081" t="s">
        <v>1642</v>
      </c>
      <c r="B2081">
        <v>12</v>
      </c>
      <c r="C2081" t="b">
        <v>0</v>
      </c>
      <c r="D2081" t="s">
        <v>6868</v>
      </c>
      <c r="E2081" t="s">
        <v>6869</v>
      </c>
      <c r="F2081" t="s">
        <v>7121</v>
      </c>
      <c r="G2081" t="s">
        <v>7122</v>
      </c>
      <c r="H2081">
        <v>2080</v>
      </c>
      <c r="I2081" t="str">
        <f>IF(ISBLANK(Table1[[#This Row],[oid]]),"FALSE","TRUE")</f>
        <v>TRUE</v>
      </c>
      <c r="J2081" t="str" cm="1">
        <f t="array" ref="J2081">_xlfn.SWITCH(LEFT(Table1[[#This Row],[section]],1), "D", "Demographic", "S", "Social", "E", "Economic", "H", "Housing", "")</f>
        <v>Economic</v>
      </c>
      <c r="K2081" t="s">
        <v>6872</v>
      </c>
      <c r="L2081" t="s">
        <v>6873</v>
      </c>
      <c r="M2081" t="str">
        <f>IF(Table1[[#This Row],[used]], _xlfn.CONCAT("🆔 ", Table1[[#This Row],[variable]], ": ",Table1[[#This Row],[alias]]), "")</f>
        <v>🆔 B27010_047E: 35 to 64 years: With two or more types of health insurance coverage: Other private only combinations</v>
      </c>
      <c r="O2081" t="s">
        <v>7123</v>
      </c>
      <c r="P2081" t="s">
        <v>6874</v>
      </c>
      <c r="Q2081" t="s">
        <v>41</v>
      </c>
      <c r="R2081" t="s">
        <v>7124</v>
      </c>
      <c r="S2081" t="b">
        <v>0</v>
      </c>
      <c r="T2081" t="b">
        <v>0</v>
      </c>
      <c r="U2081" t="b">
        <v>0</v>
      </c>
      <c r="V2081" t="b">
        <v>1</v>
      </c>
      <c r="W2081" t="b">
        <v>1</v>
      </c>
      <c r="X2081" t="b">
        <v>1</v>
      </c>
      <c r="Y2081" t="b">
        <v>1</v>
      </c>
      <c r="Z2081" t="b">
        <v>1</v>
      </c>
      <c r="AA2081" t="b">
        <v>1</v>
      </c>
      <c r="AB2081" t="b">
        <v>1</v>
      </c>
      <c r="AC2081" t="b">
        <v>1</v>
      </c>
      <c r="AD2081" t="b">
        <v>1</v>
      </c>
      <c r="AE2081" t="b">
        <v>1</v>
      </c>
      <c r="AF2081" t="b">
        <v>1</v>
      </c>
      <c r="AG2081" t="b">
        <v>1</v>
      </c>
    </row>
    <row r="2082" spans="1:33" x14ac:dyDescent="0.25">
      <c r="A2082" t="s">
        <v>1642</v>
      </c>
      <c r="B2082">
        <v>12</v>
      </c>
      <c r="C2082" t="b">
        <v>0</v>
      </c>
      <c r="D2082" t="s">
        <v>6868</v>
      </c>
      <c r="E2082" t="s">
        <v>6869</v>
      </c>
      <c r="F2082" t="s">
        <v>7125</v>
      </c>
      <c r="G2082" t="s">
        <v>7126</v>
      </c>
      <c r="H2082">
        <v>2081</v>
      </c>
      <c r="I2082" t="str">
        <f>IF(ISBLANK(Table1[[#This Row],[oid]]),"FALSE","TRUE")</f>
        <v>TRUE</v>
      </c>
      <c r="J2082" t="str" cm="1">
        <f t="array" ref="J2082">_xlfn.SWITCH(LEFT(Table1[[#This Row],[section]],1), "D", "Demographic", "S", "Social", "E", "Economic", "H", "Housing", "")</f>
        <v>Economic</v>
      </c>
      <c r="K2082" t="s">
        <v>6872</v>
      </c>
      <c r="L2082" t="s">
        <v>6873</v>
      </c>
      <c r="M2082" t="str">
        <f>IF(Table1[[#This Row],[used]], _xlfn.CONCAT("🆔 ", Table1[[#This Row],[variable]], ": ",Table1[[#This Row],[alias]]), "")</f>
        <v>🆔 B27010_048E: 35 to 64 years: With two or more types of health insurance coverage: Other public only combinations</v>
      </c>
      <c r="O2082" t="s">
        <v>7127</v>
      </c>
      <c r="P2082" t="s">
        <v>6874</v>
      </c>
      <c r="Q2082" t="s">
        <v>41</v>
      </c>
      <c r="R2082" t="s">
        <v>7128</v>
      </c>
      <c r="S2082" t="b">
        <v>0</v>
      </c>
      <c r="T2082" t="b">
        <v>0</v>
      </c>
      <c r="U2082" t="b">
        <v>0</v>
      </c>
      <c r="V2082" t="b">
        <v>1</v>
      </c>
      <c r="W2082" t="b">
        <v>1</v>
      </c>
      <c r="X2082" t="b">
        <v>1</v>
      </c>
      <c r="Y2082" t="b">
        <v>1</v>
      </c>
      <c r="Z2082" t="b">
        <v>1</v>
      </c>
      <c r="AA2082" t="b">
        <v>1</v>
      </c>
      <c r="AB2082" t="b">
        <v>1</v>
      </c>
      <c r="AC2082" t="b">
        <v>1</v>
      </c>
      <c r="AD2082" t="b">
        <v>1</v>
      </c>
      <c r="AE2082" t="b">
        <v>1</v>
      </c>
      <c r="AF2082" t="b">
        <v>1</v>
      </c>
      <c r="AG2082" t="b">
        <v>1</v>
      </c>
    </row>
    <row r="2083" spans="1:33" x14ac:dyDescent="0.25">
      <c r="A2083" t="s">
        <v>1642</v>
      </c>
      <c r="B2083">
        <v>12</v>
      </c>
      <c r="C2083" t="b">
        <v>0</v>
      </c>
      <c r="D2083" t="s">
        <v>6868</v>
      </c>
      <c r="E2083" t="s">
        <v>6869</v>
      </c>
      <c r="F2083" t="s">
        <v>7129</v>
      </c>
      <c r="G2083" t="s">
        <v>7130</v>
      </c>
      <c r="H2083">
        <v>2082</v>
      </c>
      <c r="I2083" t="str">
        <f>IF(ISBLANK(Table1[[#This Row],[oid]]),"FALSE","TRUE")</f>
        <v>TRUE</v>
      </c>
      <c r="J2083" t="str" cm="1">
        <f t="array" ref="J2083">_xlfn.SWITCH(LEFT(Table1[[#This Row],[section]],1), "D", "Demographic", "S", "Social", "E", "Economic", "H", "Housing", "")</f>
        <v>Economic</v>
      </c>
      <c r="K2083" t="s">
        <v>6872</v>
      </c>
      <c r="L2083" t="s">
        <v>6873</v>
      </c>
      <c r="M2083" t="str">
        <f>IF(Table1[[#This Row],[used]], _xlfn.CONCAT("🆔 ", Table1[[#This Row],[variable]], ": ",Table1[[#This Row],[alias]]), "")</f>
        <v>🆔 B27010_049E: 35 to 64 years: With two or more types of health insurance coverage: Other coverage combinations</v>
      </c>
      <c r="O2083" t="s">
        <v>7131</v>
      </c>
      <c r="P2083" t="s">
        <v>6874</v>
      </c>
      <c r="Q2083" t="s">
        <v>41</v>
      </c>
      <c r="R2083" t="s">
        <v>7132</v>
      </c>
      <c r="S2083" t="b">
        <v>0</v>
      </c>
      <c r="T2083" t="b">
        <v>0</v>
      </c>
      <c r="U2083" t="b">
        <v>0</v>
      </c>
      <c r="V2083" t="b">
        <v>1</v>
      </c>
      <c r="W2083" t="b">
        <v>1</v>
      </c>
      <c r="X2083" t="b">
        <v>1</v>
      </c>
      <c r="Y2083" t="b">
        <v>1</v>
      </c>
      <c r="Z2083" t="b">
        <v>1</v>
      </c>
      <c r="AA2083" t="b">
        <v>1</v>
      </c>
      <c r="AB2083" t="b">
        <v>1</v>
      </c>
      <c r="AC2083" t="b">
        <v>1</v>
      </c>
      <c r="AD2083" t="b">
        <v>1</v>
      </c>
      <c r="AE2083" t="b">
        <v>1</v>
      </c>
      <c r="AF2083" t="b">
        <v>1</v>
      </c>
      <c r="AG2083" t="b">
        <v>1</v>
      </c>
    </row>
    <row r="2084" spans="1:33" x14ac:dyDescent="0.25">
      <c r="A2084" t="s">
        <v>1642</v>
      </c>
      <c r="B2084">
        <v>12</v>
      </c>
      <c r="C2084" t="b">
        <v>0</v>
      </c>
      <c r="D2084" t="s">
        <v>6868</v>
      </c>
      <c r="E2084" t="s">
        <v>6869</v>
      </c>
      <c r="F2084" t="s">
        <v>7133</v>
      </c>
      <c r="G2084" t="s">
        <v>7134</v>
      </c>
      <c r="H2084">
        <v>2083</v>
      </c>
      <c r="I2084" t="str">
        <f>IF(ISBLANK(Table1[[#This Row],[oid]]),"FALSE","TRUE")</f>
        <v>TRUE</v>
      </c>
      <c r="J2084" t="str" cm="1">
        <f t="array" ref="J2084">_xlfn.SWITCH(LEFT(Table1[[#This Row],[section]],1), "D", "Demographic", "S", "Social", "E", "Economic", "H", "Housing", "")</f>
        <v>Economic</v>
      </c>
      <c r="K2084" t="s">
        <v>6872</v>
      </c>
      <c r="L2084" t="s">
        <v>6873</v>
      </c>
      <c r="M2084" t="str">
        <f>IF(Table1[[#This Row],[used]], _xlfn.CONCAT("🆔 ", Table1[[#This Row],[variable]], ": ",Table1[[#This Row],[alias]]), "")</f>
        <v>🆔 B27010_050E: 35 to 64 years: No health insurance coverage</v>
      </c>
      <c r="O2084" t="s">
        <v>7135</v>
      </c>
      <c r="P2084" t="s">
        <v>6874</v>
      </c>
      <c r="Q2084" t="s">
        <v>41</v>
      </c>
      <c r="R2084" t="s">
        <v>7136</v>
      </c>
      <c r="S2084" t="b">
        <v>0</v>
      </c>
      <c r="T2084" t="b">
        <v>0</v>
      </c>
      <c r="U2084" t="b">
        <v>0</v>
      </c>
      <c r="V2084" t="b">
        <v>1</v>
      </c>
      <c r="W2084" t="b">
        <v>1</v>
      </c>
      <c r="X2084" t="b">
        <v>1</v>
      </c>
      <c r="Y2084" t="b">
        <v>1</v>
      </c>
      <c r="Z2084" t="b">
        <v>1</v>
      </c>
      <c r="AA2084" t="b">
        <v>1</v>
      </c>
      <c r="AB2084" t="b">
        <v>1</v>
      </c>
      <c r="AC2084" t="b">
        <v>1</v>
      </c>
      <c r="AD2084" t="b">
        <v>1</v>
      </c>
      <c r="AE2084" t="b">
        <v>1</v>
      </c>
      <c r="AF2084" t="b">
        <v>1</v>
      </c>
      <c r="AG2084" t="b">
        <v>1</v>
      </c>
    </row>
    <row r="2085" spans="1:33" x14ac:dyDescent="0.25">
      <c r="A2085" t="s">
        <v>1642</v>
      </c>
      <c r="B2085">
        <v>12</v>
      </c>
      <c r="C2085" t="b">
        <v>0</v>
      </c>
      <c r="D2085" t="s">
        <v>6868</v>
      </c>
      <c r="E2085" t="s">
        <v>6869</v>
      </c>
      <c r="F2085" t="s">
        <v>7137</v>
      </c>
      <c r="G2085" t="s">
        <v>3088</v>
      </c>
      <c r="H2085">
        <v>2084</v>
      </c>
      <c r="I2085" t="str">
        <f>IF(ISBLANK(Table1[[#This Row],[oid]]),"FALSE","TRUE")</f>
        <v>TRUE</v>
      </c>
      <c r="J2085" t="str" cm="1">
        <f t="array" ref="J2085">_xlfn.SWITCH(LEFT(Table1[[#This Row],[section]],1), "D", "Demographic", "S", "Social", "E", "Economic", "H", "Housing", "")</f>
        <v>Economic</v>
      </c>
      <c r="K2085" t="s">
        <v>6872</v>
      </c>
      <c r="L2085" t="s">
        <v>6873</v>
      </c>
      <c r="M2085" t="str">
        <f>IF(Table1[[#This Row],[used]], _xlfn.CONCAT("🆔 ", Table1[[#This Row],[variable]], ": ",Table1[[#This Row],[alias]]), "")</f>
        <v>🆔 B27010_051E: 65 years and over</v>
      </c>
      <c r="O2085" t="s">
        <v>3089</v>
      </c>
      <c r="P2085" t="s">
        <v>6874</v>
      </c>
      <c r="Q2085" t="s">
        <v>41</v>
      </c>
      <c r="R2085" t="s">
        <v>7138</v>
      </c>
      <c r="S2085" t="b">
        <v>0</v>
      </c>
      <c r="T2085" t="b">
        <v>0</v>
      </c>
      <c r="U2085" t="b">
        <v>0</v>
      </c>
      <c r="V2085" t="b">
        <v>1</v>
      </c>
      <c r="W2085" t="b">
        <v>1</v>
      </c>
      <c r="X2085" t="b">
        <v>1</v>
      </c>
      <c r="Y2085" t="b">
        <v>1</v>
      </c>
      <c r="Z2085" t="b">
        <v>1</v>
      </c>
      <c r="AA2085" t="b">
        <v>1</v>
      </c>
      <c r="AB2085" t="b">
        <v>1</v>
      </c>
      <c r="AC2085" t="b">
        <v>1</v>
      </c>
      <c r="AD2085" t="b">
        <v>1</v>
      </c>
      <c r="AE2085" t="b">
        <v>1</v>
      </c>
      <c r="AF2085" t="b">
        <v>1</v>
      </c>
      <c r="AG2085" t="b">
        <v>1</v>
      </c>
    </row>
    <row r="2086" spans="1:33" x14ac:dyDescent="0.25">
      <c r="A2086" t="s">
        <v>1642</v>
      </c>
      <c r="B2086">
        <v>12</v>
      </c>
      <c r="C2086" t="b">
        <v>0</v>
      </c>
      <c r="D2086" t="s">
        <v>6868</v>
      </c>
      <c r="E2086" t="s">
        <v>6869</v>
      </c>
      <c r="F2086" t="s">
        <v>7139</v>
      </c>
      <c r="G2086" t="s">
        <v>7140</v>
      </c>
      <c r="H2086">
        <v>2085</v>
      </c>
      <c r="I2086" t="str">
        <f>IF(ISBLANK(Table1[[#This Row],[oid]]),"FALSE","TRUE")</f>
        <v>TRUE</v>
      </c>
      <c r="J2086" t="str" cm="1">
        <f t="array" ref="J2086">_xlfn.SWITCH(LEFT(Table1[[#This Row],[section]],1), "D", "Demographic", "S", "Social", "E", "Economic", "H", "Housing", "")</f>
        <v>Economic</v>
      </c>
      <c r="K2086" t="s">
        <v>6872</v>
      </c>
      <c r="L2086" t="s">
        <v>6873</v>
      </c>
      <c r="M2086" t="str">
        <f>IF(Table1[[#This Row],[used]], _xlfn.CONCAT("🆔 ", Table1[[#This Row],[variable]], ": ",Table1[[#This Row],[alias]]), "")</f>
        <v>🆔 B27010_052E: 65 years and over: With one type of health insurance coverage</v>
      </c>
      <c r="O2086" t="s">
        <v>7141</v>
      </c>
      <c r="P2086" t="s">
        <v>6874</v>
      </c>
      <c r="Q2086" t="s">
        <v>41</v>
      </c>
      <c r="R2086" t="s">
        <v>7142</v>
      </c>
      <c r="S2086" t="b">
        <v>0</v>
      </c>
      <c r="T2086" t="b">
        <v>0</v>
      </c>
      <c r="U2086" t="b">
        <v>0</v>
      </c>
      <c r="V2086" t="b">
        <v>1</v>
      </c>
      <c r="W2086" t="b">
        <v>1</v>
      </c>
      <c r="X2086" t="b">
        <v>1</v>
      </c>
      <c r="Y2086" t="b">
        <v>1</v>
      </c>
      <c r="Z2086" t="b">
        <v>1</v>
      </c>
      <c r="AA2086" t="b">
        <v>1</v>
      </c>
      <c r="AB2086" t="b">
        <v>1</v>
      </c>
      <c r="AC2086" t="b">
        <v>1</v>
      </c>
      <c r="AD2086" t="b">
        <v>1</v>
      </c>
      <c r="AE2086" t="b">
        <v>1</v>
      </c>
      <c r="AF2086" t="b">
        <v>1</v>
      </c>
      <c r="AG2086" t="b">
        <v>1</v>
      </c>
    </row>
    <row r="2087" spans="1:33" x14ac:dyDescent="0.25">
      <c r="A2087" t="s">
        <v>1642</v>
      </c>
      <c r="B2087">
        <v>12</v>
      </c>
      <c r="C2087" t="b">
        <v>0</v>
      </c>
      <c r="D2087" t="s">
        <v>6868</v>
      </c>
      <c r="E2087" t="s">
        <v>6869</v>
      </c>
      <c r="F2087" t="s">
        <v>7143</v>
      </c>
      <c r="G2087" t="s">
        <v>7144</v>
      </c>
      <c r="H2087">
        <v>2086</v>
      </c>
      <c r="I2087" t="str">
        <f>IF(ISBLANK(Table1[[#This Row],[oid]]),"FALSE","TRUE")</f>
        <v>TRUE</v>
      </c>
      <c r="J2087" t="str" cm="1">
        <f t="array" ref="J2087">_xlfn.SWITCH(LEFT(Table1[[#This Row],[section]],1), "D", "Demographic", "S", "Social", "E", "Economic", "H", "Housing", "")</f>
        <v>Economic</v>
      </c>
      <c r="K2087" t="s">
        <v>6872</v>
      </c>
      <c r="L2087" t="s">
        <v>6873</v>
      </c>
      <c r="M2087" t="str">
        <f>IF(Table1[[#This Row],[used]], _xlfn.CONCAT("🆔 ", Table1[[#This Row],[variable]], ": ",Table1[[#This Row],[alias]]), "")</f>
        <v>🆔 B27010_053E: 65 years and over: With one type of health insurance coverage: With employer-based health insurance only</v>
      </c>
      <c r="O2087" t="s">
        <v>7145</v>
      </c>
      <c r="P2087" t="s">
        <v>6874</v>
      </c>
      <c r="Q2087" t="s">
        <v>41</v>
      </c>
      <c r="R2087" t="s">
        <v>7146</v>
      </c>
      <c r="S2087" t="b">
        <v>0</v>
      </c>
      <c r="T2087" t="b">
        <v>0</v>
      </c>
      <c r="U2087" t="b">
        <v>0</v>
      </c>
      <c r="V2087" t="b">
        <v>1</v>
      </c>
      <c r="W2087" t="b">
        <v>1</v>
      </c>
      <c r="X2087" t="b">
        <v>1</v>
      </c>
      <c r="Y2087" t="b">
        <v>1</v>
      </c>
      <c r="Z2087" t="b">
        <v>1</v>
      </c>
      <c r="AA2087" t="b">
        <v>1</v>
      </c>
      <c r="AB2087" t="b">
        <v>1</v>
      </c>
      <c r="AC2087" t="b">
        <v>1</v>
      </c>
      <c r="AD2087" t="b">
        <v>1</v>
      </c>
      <c r="AE2087" t="b">
        <v>1</v>
      </c>
      <c r="AF2087" t="b">
        <v>1</v>
      </c>
      <c r="AG2087" t="b">
        <v>1</v>
      </c>
    </row>
    <row r="2088" spans="1:33" x14ac:dyDescent="0.25">
      <c r="A2088" t="s">
        <v>1642</v>
      </c>
      <c r="B2088">
        <v>12</v>
      </c>
      <c r="C2088" t="b">
        <v>0</v>
      </c>
      <c r="D2088" t="s">
        <v>6868</v>
      </c>
      <c r="E2088" t="s">
        <v>6869</v>
      </c>
      <c r="F2088" t="s">
        <v>7147</v>
      </c>
      <c r="G2088" t="s">
        <v>7148</v>
      </c>
      <c r="H2088">
        <v>2087</v>
      </c>
      <c r="I2088" t="str">
        <f>IF(ISBLANK(Table1[[#This Row],[oid]]),"FALSE","TRUE")</f>
        <v>TRUE</v>
      </c>
      <c r="J2088" t="str" cm="1">
        <f t="array" ref="J2088">_xlfn.SWITCH(LEFT(Table1[[#This Row],[section]],1), "D", "Demographic", "S", "Social", "E", "Economic", "H", "Housing", "")</f>
        <v>Economic</v>
      </c>
      <c r="K2088" t="s">
        <v>6872</v>
      </c>
      <c r="L2088" t="s">
        <v>6873</v>
      </c>
      <c r="M2088" t="str">
        <f>IF(Table1[[#This Row],[used]], _xlfn.CONCAT("🆔 ", Table1[[#This Row],[variable]], ": ",Table1[[#This Row],[alias]]), "")</f>
        <v>🆔 B27010_054E: 65 years and over: With one type of health insurance coverage: With direct-purchase health insurance only</v>
      </c>
      <c r="O2088" t="s">
        <v>7149</v>
      </c>
      <c r="P2088" t="s">
        <v>6874</v>
      </c>
      <c r="Q2088" t="s">
        <v>41</v>
      </c>
      <c r="R2088" t="s">
        <v>7150</v>
      </c>
      <c r="S2088" t="b">
        <v>0</v>
      </c>
      <c r="T2088" t="b">
        <v>0</v>
      </c>
      <c r="U2088" t="b">
        <v>0</v>
      </c>
      <c r="V2088" t="b">
        <v>1</v>
      </c>
      <c r="W2088" t="b">
        <v>1</v>
      </c>
      <c r="X2088" t="b">
        <v>1</v>
      </c>
      <c r="Y2088" t="b">
        <v>1</v>
      </c>
      <c r="Z2088" t="b">
        <v>1</v>
      </c>
      <c r="AA2088" t="b">
        <v>1</v>
      </c>
      <c r="AB2088" t="b">
        <v>1</v>
      </c>
      <c r="AC2088" t="b">
        <v>1</v>
      </c>
      <c r="AD2088" t="b">
        <v>1</v>
      </c>
      <c r="AE2088" t="b">
        <v>1</v>
      </c>
      <c r="AF2088" t="b">
        <v>1</v>
      </c>
      <c r="AG2088" t="b">
        <v>1</v>
      </c>
    </row>
    <row r="2089" spans="1:33" x14ac:dyDescent="0.25">
      <c r="A2089" t="s">
        <v>1642</v>
      </c>
      <c r="B2089">
        <v>12</v>
      </c>
      <c r="C2089" t="b">
        <v>0</v>
      </c>
      <c r="D2089" t="s">
        <v>6868</v>
      </c>
      <c r="E2089" t="s">
        <v>6869</v>
      </c>
      <c r="F2089" t="s">
        <v>7151</v>
      </c>
      <c r="G2089" t="s">
        <v>7152</v>
      </c>
      <c r="H2089">
        <v>2088</v>
      </c>
      <c r="I2089" t="str">
        <f>IF(ISBLANK(Table1[[#This Row],[oid]]),"FALSE","TRUE")</f>
        <v>TRUE</v>
      </c>
      <c r="J2089" t="str" cm="1">
        <f t="array" ref="J2089">_xlfn.SWITCH(LEFT(Table1[[#This Row],[section]],1), "D", "Demographic", "S", "Social", "E", "Economic", "H", "Housing", "")</f>
        <v>Economic</v>
      </c>
      <c r="K2089" t="s">
        <v>6872</v>
      </c>
      <c r="L2089" t="s">
        <v>6873</v>
      </c>
      <c r="M2089" t="str">
        <f>IF(Table1[[#This Row],[used]], _xlfn.CONCAT("🆔 ", Table1[[#This Row],[variable]], ": ",Table1[[#This Row],[alias]]), "")</f>
        <v>🆔 B27010_055E: 65 years and over: With one type of health insurance coverage: With Medicare coverage only</v>
      </c>
      <c r="O2089" t="s">
        <v>7153</v>
      </c>
      <c r="P2089" t="s">
        <v>6874</v>
      </c>
      <c r="Q2089" t="s">
        <v>41</v>
      </c>
      <c r="R2089" t="s">
        <v>7154</v>
      </c>
      <c r="S2089" t="b">
        <v>0</v>
      </c>
      <c r="T2089" t="b">
        <v>0</v>
      </c>
      <c r="U2089" t="b">
        <v>0</v>
      </c>
      <c r="V2089" t="b">
        <v>1</v>
      </c>
      <c r="W2089" t="b">
        <v>1</v>
      </c>
      <c r="X2089" t="b">
        <v>1</v>
      </c>
      <c r="Y2089" t="b">
        <v>1</v>
      </c>
      <c r="Z2089" t="b">
        <v>1</v>
      </c>
      <c r="AA2089" t="b">
        <v>1</v>
      </c>
      <c r="AB2089" t="b">
        <v>1</v>
      </c>
      <c r="AC2089" t="b">
        <v>1</v>
      </c>
      <c r="AD2089" t="b">
        <v>1</v>
      </c>
      <c r="AE2089" t="b">
        <v>1</v>
      </c>
      <c r="AF2089" t="b">
        <v>1</v>
      </c>
      <c r="AG2089" t="b">
        <v>1</v>
      </c>
    </row>
    <row r="2090" spans="1:33" x14ac:dyDescent="0.25">
      <c r="A2090" t="s">
        <v>1642</v>
      </c>
      <c r="B2090">
        <v>12</v>
      </c>
      <c r="C2090" t="b">
        <v>0</v>
      </c>
      <c r="D2090" t="s">
        <v>6868</v>
      </c>
      <c r="E2090" t="s">
        <v>6869</v>
      </c>
      <c r="F2090" t="s">
        <v>7155</v>
      </c>
      <c r="G2090" t="s">
        <v>7156</v>
      </c>
      <c r="H2090">
        <v>2089</v>
      </c>
      <c r="I2090" t="str">
        <f>IF(ISBLANK(Table1[[#This Row],[oid]]),"FALSE","TRUE")</f>
        <v>TRUE</v>
      </c>
      <c r="J2090" t="str" cm="1">
        <f t="array" ref="J2090">_xlfn.SWITCH(LEFT(Table1[[#This Row],[section]],1), "D", "Demographic", "S", "Social", "E", "Economic", "H", "Housing", "")</f>
        <v>Economic</v>
      </c>
      <c r="K2090" t="s">
        <v>6872</v>
      </c>
      <c r="L2090" t="s">
        <v>6873</v>
      </c>
      <c r="M2090" t="str">
        <f>IF(Table1[[#This Row],[used]], _xlfn.CONCAT("🆔 ", Table1[[#This Row],[variable]], ": ",Table1[[#This Row],[alias]]), "")</f>
        <v>🆔 B27010_056E: 65 years and over: With one type of health insurance coverage: With TRICAREmilitary health coverage only</v>
      </c>
      <c r="O2090" t="s">
        <v>7157</v>
      </c>
      <c r="P2090" t="s">
        <v>6874</v>
      </c>
      <c r="Q2090" t="s">
        <v>41</v>
      </c>
      <c r="R2090" t="s">
        <v>7158</v>
      </c>
      <c r="S2090" t="b">
        <v>0</v>
      </c>
      <c r="T2090" t="b">
        <v>0</v>
      </c>
      <c r="U2090" t="b">
        <v>0</v>
      </c>
      <c r="V2090" t="b">
        <v>1</v>
      </c>
      <c r="W2090" t="b">
        <v>1</v>
      </c>
      <c r="X2090" t="b">
        <v>1</v>
      </c>
      <c r="Y2090" t="b">
        <v>1</v>
      </c>
      <c r="Z2090" t="b">
        <v>1</v>
      </c>
      <c r="AA2090" t="b">
        <v>1</v>
      </c>
      <c r="AB2090" t="b">
        <v>1</v>
      </c>
      <c r="AC2090" t="b">
        <v>1</v>
      </c>
      <c r="AD2090" t="b">
        <v>1</v>
      </c>
      <c r="AE2090" t="b">
        <v>1</v>
      </c>
      <c r="AF2090" t="b">
        <v>1</v>
      </c>
      <c r="AG2090" t="b">
        <v>1</v>
      </c>
    </row>
    <row r="2091" spans="1:33" x14ac:dyDescent="0.25">
      <c r="A2091" t="s">
        <v>1642</v>
      </c>
      <c r="B2091">
        <v>12</v>
      </c>
      <c r="C2091" t="b">
        <v>0</v>
      </c>
      <c r="D2091" t="s">
        <v>6868</v>
      </c>
      <c r="E2091" t="s">
        <v>6869</v>
      </c>
      <c r="F2091" t="s">
        <v>7159</v>
      </c>
      <c r="G2091" t="s">
        <v>7160</v>
      </c>
      <c r="H2091">
        <v>2090</v>
      </c>
      <c r="I2091" t="str">
        <f>IF(ISBLANK(Table1[[#This Row],[oid]]),"FALSE","TRUE")</f>
        <v>TRUE</v>
      </c>
      <c r="J2091" t="str" cm="1">
        <f t="array" ref="J2091">_xlfn.SWITCH(LEFT(Table1[[#This Row],[section]],1), "D", "Demographic", "S", "Social", "E", "Economic", "H", "Housing", "")</f>
        <v>Economic</v>
      </c>
      <c r="K2091" t="s">
        <v>6872</v>
      </c>
      <c r="L2091" t="s">
        <v>6873</v>
      </c>
      <c r="M2091" t="str">
        <f>IF(Table1[[#This Row],[used]], _xlfn.CONCAT("🆔 ", Table1[[#This Row],[variable]], ": ",Table1[[#This Row],[alias]]), "")</f>
        <v>🆔 B27010_057E: 65 years and over: With one type of health insurance coverage: With VA Health Care only</v>
      </c>
      <c r="O2091" t="s">
        <v>7161</v>
      </c>
      <c r="P2091" t="s">
        <v>6874</v>
      </c>
      <c r="Q2091" t="s">
        <v>41</v>
      </c>
      <c r="R2091" t="s">
        <v>7162</v>
      </c>
      <c r="S2091" t="b">
        <v>0</v>
      </c>
      <c r="T2091" t="b">
        <v>0</v>
      </c>
      <c r="U2091" t="b">
        <v>0</v>
      </c>
      <c r="V2091" t="b">
        <v>1</v>
      </c>
      <c r="W2091" t="b">
        <v>1</v>
      </c>
      <c r="X2091" t="b">
        <v>1</v>
      </c>
      <c r="Y2091" t="b">
        <v>1</v>
      </c>
      <c r="Z2091" t="b">
        <v>1</v>
      </c>
      <c r="AA2091" t="b">
        <v>1</v>
      </c>
      <c r="AB2091" t="b">
        <v>1</v>
      </c>
      <c r="AC2091" t="b">
        <v>1</v>
      </c>
      <c r="AD2091" t="b">
        <v>1</v>
      </c>
      <c r="AE2091" t="b">
        <v>1</v>
      </c>
      <c r="AF2091" t="b">
        <v>1</v>
      </c>
      <c r="AG2091" t="b">
        <v>1</v>
      </c>
    </row>
    <row r="2092" spans="1:33" x14ac:dyDescent="0.25">
      <c r="A2092" t="s">
        <v>1642</v>
      </c>
      <c r="B2092">
        <v>12</v>
      </c>
      <c r="C2092" t="b">
        <v>0</v>
      </c>
      <c r="D2092" t="s">
        <v>6868</v>
      </c>
      <c r="E2092" t="s">
        <v>6869</v>
      </c>
      <c r="F2092" t="s">
        <v>7163</v>
      </c>
      <c r="G2092" t="s">
        <v>7164</v>
      </c>
      <c r="H2092">
        <v>2091</v>
      </c>
      <c r="I2092" t="str">
        <f>IF(ISBLANK(Table1[[#This Row],[oid]]),"FALSE","TRUE")</f>
        <v>TRUE</v>
      </c>
      <c r="J2092" t="str" cm="1">
        <f t="array" ref="J2092">_xlfn.SWITCH(LEFT(Table1[[#This Row],[section]],1), "D", "Demographic", "S", "Social", "E", "Economic", "H", "Housing", "")</f>
        <v>Economic</v>
      </c>
      <c r="K2092" t="s">
        <v>6872</v>
      </c>
      <c r="L2092" t="s">
        <v>6873</v>
      </c>
      <c r="M2092" t="str">
        <f>IF(Table1[[#This Row],[used]], _xlfn.CONCAT("🆔 ", Table1[[#This Row],[variable]], ": ",Table1[[#This Row],[alias]]), "")</f>
        <v>🆔 B27010_058E: 65 years and over: With two or more types of health insurance coverage</v>
      </c>
      <c r="O2092" t="s">
        <v>7165</v>
      </c>
      <c r="P2092" t="s">
        <v>6874</v>
      </c>
      <c r="Q2092" t="s">
        <v>41</v>
      </c>
      <c r="R2092" t="s">
        <v>7166</v>
      </c>
      <c r="S2092" t="b">
        <v>0</v>
      </c>
      <c r="T2092" t="b">
        <v>0</v>
      </c>
      <c r="U2092" t="b">
        <v>0</v>
      </c>
      <c r="V2092" t="b">
        <v>1</v>
      </c>
      <c r="W2092" t="b">
        <v>1</v>
      </c>
      <c r="X2092" t="b">
        <v>1</v>
      </c>
      <c r="Y2092" t="b">
        <v>1</v>
      </c>
      <c r="Z2092" t="b">
        <v>1</v>
      </c>
      <c r="AA2092" t="b">
        <v>1</v>
      </c>
      <c r="AB2092" t="b">
        <v>1</v>
      </c>
      <c r="AC2092" t="b">
        <v>1</v>
      </c>
      <c r="AD2092" t="b">
        <v>1</v>
      </c>
      <c r="AE2092" t="b">
        <v>1</v>
      </c>
      <c r="AF2092" t="b">
        <v>1</v>
      </c>
      <c r="AG2092" t="b">
        <v>1</v>
      </c>
    </row>
    <row r="2093" spans="1:33" x14ac:dyDescent="0.25">
      <c r="A2093" t="s">
        <v>1642</v>
      </c>
      <c r="B2093">
        <v>12</v>
      </c>
      <c r="C2093" t="b">
        <v>0</v>
      </c>
      <c r="D2093" t="s">
        <v>6868</v>
      </c>
      <c r="E2093" t="s">
        <v>6869</v>
      </c>
      <c r="F2093" t="s">
        <v>7167</v>
      </c>
      <c r="G2093" t="s">
        <v>7168</v>
      </c>
      <c r="H2093">
        <v>2092</v>
      </c>
      <c r="I2093" t="str">
        <f>IF(ISBLANK(Table1[[#This Row],[oid]]),"FALSE","TRUE")</f>
        <v>TRUE</v>
      </c>
      <c r="J2093" t="str" cm="1">
        <f t="array" ref="J2093">_xlfn.SWITCH(LEFT(Table1[[#This Row],[section]],1), "D", "Demographic", "S", "Social", "E", "Economic", "H", "Housing", "")</f>
        <v>Economic</v>
      </c>
      <c r="K2093" t="s">
        <v>6872</v>
      </c>
      <c r="L2093" t="s">
        <v>6873</v>
      </c>
      <c r="M2093" t="str">
        <f>IF(Table1[[#This Row],[used]], _xlfn.CONCAT("🆔 ", Table1[[#This Row],[variable]], ": ",Table1[[#This Row],[alias]]), "")</f>
        <v>🆔 B27010_059E: 65 years and over: With two or more types of health insurance coverage: With employer-based and direct-purchase coverage</v>
      </c>
      <c r="O2093" t="s">
        <v>7169</v>
      </c>
      <c r="P2093" t="s">
        <v>6874</v>
      </c>
      <c r="Q2093" t="s">
        <v>41</v>
      </c>
      <c r="R2093" t="s">
        <v>7170</v>
      </c>
      <c r="S2093" t="b">
        <v>0</v>
      </c>
      <c r="T2093" t="b">
        <v>0</v>
      </c>
      <c r="U2093" t="b">
        <v>0</v>
      </c>
      <c r="V2093" t="b">
        <v>1</v>
      </c>
      <c r="W2093" t="b">
        <v>1</v>
      </c>
      <c r="X2093" t="b">
        <v>1</v>
      </c>
      <c r="Y2093" t="b">
        <v>1</v>
      </c>
      <c r="Z2093" t="b">
        <v>1</v>
      </c>
      <c r="AA2093" t="b">
        <v>1</v>
      </c>
      <c r="AB2093" t="b">
        <v>1</v>
      </c>
      <c r="AC2093" t="b">
        <v>1</v>
      </c>
      <c r="AD2093" t="b">
        <v>1</v>
      </c>
      <c r="AE2093" t="b">
        <v>1</v>
      </c>
      <c r="AF2093" t="b">
        <v>1</v>
      </c>
      <c r="AG2093" t="b">
        <v>1</v>
      </c>
    </row>
    <row r="2094" spans="1:33" x14ac:dyDescent="0.25">
      <c r="A2094" t="s">
        <v>1642</v>
      </c>
      <c r="B2094">
        <v>12</v>
      </c>
      <c r="C2094" t="b">
        <v>0</v>
      </c>
      <c r="D2094" t="s">
        <v>6868</v>
      </c>
      <c r="E2094" t="s">
        <v>6869</v>
      </c>
      <c r="F2094" t="s">
        <v>7171</v>
      </c>
      <c r="G2094" t="s">
        <v>7172</v>
      </c>
      <c r="H2094">
        <v>2093</v>
      </c>
      <c r="I2094" t="str">
        <f>IF(ISBLANK(Table1[[#This Row],[oid]]),"FALSE","TRUE")</f>
        <v>TRUE</v>
      </c>
      <c r="J2094" t="str" cm="1">
        <f t="array" ref="J2094">_xlfn.SWITCH(LEFT(Table1[[#This Row],[section]],1), "D", "Demographic", "S", "Social", "E", "Economic", "H", "Housing", "")</f>
        <v>Economic</v>
      </c>
      <c r="K2094" t="s">
        <v>6872</v>
      </c>
      <c r="L2094" t="s">
        <v>6873</v>
      </c>
      <c r="M2094" t="str">
        <f>IF(Table1[[#This Row],[used]], _xlfn.CONCAT("🆔 ", Table1[[#This Row],[variable]], ": ",Table1[[#This Row],[alias]]), "")</f>
        <v>🆔 B27010_060E: 65 years and over: With two or more types of health insurance coverage: With employer-based and Medicare coverage</v>
      </c>
      <c r="O2094" t="s">
        <v>7173</v>
      </c>
      <c r="P2094" t="s">
        <v>6874</v>
      </c>
      <c r="Q2094" t="s">
        <v>41</v>
      </c>
      <c r="R2094" t="s">
        <v>7174</v>
      </c>
      <c r="S2094" t="b">
        <v>0</v>
      </c>
      <c r="T2094" t="b">
        <v>0</v>
      </c>
      <c r="U2094" t="b">
        <v>0</v>
      </c>
      <c r="V2094" t="b">
        <v>1</v>
      </c>
      <c r="W2094" t="b">
        <v>1</v>
      </c>
      <c r="X2094" t="b">
        <v>1</v>
      </c>
      <c r="Y2094" t="b">
        <v>1</v>
      </c>
      <c r="Z2094" t="b">
        <v>1</v>
      </c>
      <c r="AA2094" t="b">
        <v>1</v>
      </c>
      <c r="AB2094" t="b">
        <v>1</v>
      </c>
      <c r="AC2094" t="b">
        <v>1</v>
      </c>
      <c r="AD2094" t="b">
        <v>1</v>
      </c>
      <c r="AE2094" t="b">
        <v>1</v>
      </c>
      <c r="AF2094" t="b">
        <v>1</v>
      </c>
      <c r="AG2094" t="b">
        <v>1</v>
      </c>
    </row>
    <row r="2095" spans="1:33" x14ac:dyDescent="0.25">
      <c r="A2095" t="s">
        <v>1642</v>
      </c>
      <c r="B2095">
        <v>12</v>
      </c>
      <c r="C2095" t="b">
        <v>0</v>
      </c>
      <c r="D2095" t="s">
        <v>6868</v>
      </c>
      <c r="E2095" t="s">
        <v>6869</v>
      </c>
      <c r="F2095" t="s">
        <v>7175</v>
      </c>
      <c r="G2095" t="s">
        <v>7176</v>
      </c>
      <c r="H2095">
        <v>2094</v>
      </c>
      <c r="I2095" t="str">
        <f>IF(ISBLANK(Table1[[#This Row],[oid]]),"FALSE","TRUE")</f>
        <v>TRUE</v>
      </c>
      <c r="J2095" t="str" cm="1">
        <f t="array" ref="J2095">_xlfn.SWITCH(LEFT(Table1[[#This Row],[section]],1), "D", "Demographic", "S", "Social", "E", "Economic", "H", "Housing", "")</f>
        <v>Economic</v>
      </c>
      <c r="K2095" t="s">
        <v>6872</v>
      </c>
      <c r="L2095" t="s">
        <v>6873</v>
      </c>
      <c r="M2095" t="str">
        <f>IF(Table1[[#This Row],[used]], _xlfn.CONCAT("🆔 ", Table1[[#This Row],[variable]], ": ",Table1[[#This Row],[alias]]), "")</f>
        <v>🆔 B27010_061E: 65 years and over: With two or more types of health insurance coverage: With direct-purchase and Medicare coverage</v>
      </c>
      <c r="O2095" t="s">
        <v>7177</v>
      </c>
      <c r="P2095" t="s">
        <v>6874</v>
      </c>
      <c r="Q2095" t="s">
        <v>41</v>
      </c>
      <c r="R2095" t="s">
        <v>7178</v>
      </c>
      <c r="S2095" t="b">
        <v>0</v>
      </c>
      <c r="T2095" t="b">
        <v>0</v>
      </c>
      <c r="U2095" t="b">
        <v>0</v>
      </c>
      <c r="V2095" t="b">
        <v>1</v>
      </c>
      <c r="W2095" t="b">
        <v>1</v>
      </c>
      <c r="X2095" t="b">
        <v>1</v>
      </c>
      <c r="Y2095" t="b">
        <v>1</v>
      </c>
      <c r="Z2095" t="b">
        <v>1</v>
      </c>
      <c r="AA2095" t="b">
        <v>1</v>
      </c>
      <c r="AB2095" t="b">
        <v>1</v>
      </c>
      <c r="AC2095" t="b">
        <v>1</v>
      </c>
      <c r="AD2095" t="b">
        <v>1</v>
      </c>
      <c r="AE2095" t="b">
        <v>1</v>
      </c>
      <c r="AF2095" t="b">
        <v>1</v>
      </c>
      <c r="AG2095" t="b">
        <v>1</v>
      </c>
    </row>
    <row r="2096" spans="1:33" x14ac:dyDescent="0.25">
      <c r="A2096" t="s">
        <v>1642</v>
      </c>
      <c r="B2096">
        <v>12</v>
      </c>
      <c r="C2096" t="b">
        <v>0</v>
      </c>
      <c r="D2096" t="s">
        <v>6868</v>
      </c>
      <c r="E2096" t="s">
        <v>6869</v>
      </c>
      <c r="F2096" t="s">
        <v>7179</v>
      </c>
      <c r="G2096" t="s">
        <v>7180</v>
      </c>
      <c r="H2096">
        <v>2095</v>
      </c>
      <c r="I2096" t="str">
        <f>IF(ISBLANK(Table1[[#This Row],[oid]]),"FALSE","TRUE")</f>
        <v>TRUE</v>
      </c>
      <c r="J2096" t="str" cm="1">
        <f t="array" ref="J2096">_xlfn.SWITCH(LEFT(Table1[[#This Row],[section]],1), "D", "Demographic", "S", "Social", "E", "Economic", "H", "Housing", "")</f>
        <v>Economic</v>
      </c>
      <c r="K2096" t="s">
        <v>6872</v>
      </c>
      <c r="L2096" t="s">
        <v>6873</v>
      </c>
      <c r="M2096" t="str">
        <f>IF(Table1[[#This Row],[used]], _xlfn.CONCAT("🆔 ", Table1[[#This Row],[variable]], ": ",Table1[[#This Row],[alias]]), "")</f>
        <v>🆔 B27010_062E: 65 years and over: With two or more types of health insurance coverage: With Medicare and Medicaidmeans-tested public coverage</v>
      </c>
      <c r="O2096" t="s">
        <v>7181</v>
      </c>
      <c r="P2096" t="s">
        <v>6874</v>
      </c>
      <c r="Q2096" t="s">
        <v>41</v>
      </c>
      <c r="R2096" t="s">
        <v>7182</v>
      </c>
      <c r="S2096" t="b">
        <v>0</v>
      </c>
      <c r="T2096" t="b">
        <v>0</v>
      </c>
      <c r="U2096" t="b">
        <v>0</v>
      </c>
      <c r="V2096" t="b">
        <v>1</v>
      </c>
      <c r="W2096" t="b">
        <v>1</v>
      </c>
      <c r="X2096" t="b">
        <v>1</v>
      </c>
      <c r="Y2096" t="b">
        <v>1</v>
      </c>
      <c r="Z2096" t="b">
        <v>1</v>
      </c>
      <c r="AA2096" t="b">
        <v>1</v>
      </c>
      <c r="AB2096" t="b">
        <v>1</v>
      </c>
      <c r="AC2096" t="b">
        <v>1</v>
      </c>
      <c r="AD2096" t="b">
        <v>1</v>
      </c>
      <c r="AE2096" t="b">
        <v>1</v>
      </c>
      <c r="AF2096" t="b">
        <v>1</v>
      </c>
      <c r="AG2096" t="b">
        <v>1</v>
      </c>
    </row>
    <row r="2097" spans="1:33" x14ac:dyDescent="0.25">
      <c r="A2097" t="s">
        <v>1642</v>
      </c>
      <c r="B2097">
        <v>12</v>
      </c>
      <c r="C2097" t="b">
        <v>0</v>
      </c>
      <c r="D2097" t="s">
        <v>6868</v>
      </c>
      <c r="E2097" t="s">
        <v>6869</v>
      </c>
      <c r="F2097" t="s">
        <v>7183</v>
      </c>
      <c r="G2097" t="s">
        <v>7184</v>
      </c>
      <c r="H2097">
        <v>2096</v>
      </c>
      <c r="I2097" t="str">
        <f>IF(ISBLANK(Table1[[#This Row],[oid]]),"FALSE","TRUE")</f>
        <v>TRUE</v>
      </c>
      <c r="J2097" t="str" cm="1">
        <f t="array" ref="J2097">_xlfn.SWITCH(LEFT(Table1[[#This Row],[section]],1), "D", "Demographic", "S", "Social", "E", "Economic", "H", "Housing", "")</f>
        <v>Economic</v>
      </c>
      <c r="K2097" t="s">
        <v>6872</v>
      </c>
      <c r="L2097" t="s">
        <v>6873</v>
      </c>
      <c r="M2097" t="str">
        <f>IF(Table1[[#This Row],[used]], _xlfn.CONCAT("🆔 ", Table1[[#This Row],[variable]], ": ",Table1[[#This Row],[alias]]), "")</f>
        <v>🆔 B27010_063E: 65 years and over: With two or more types of health insurance coverage: Other private only combinations</v>
      </c>
      <c r="O2097" t="s">
        <v>7185</v>
      </c>
      <c r="P2097" t="s">
        <v>6874</v>
      </c>
      <c r="Q2097" t="s">
        <v>41</v>
      </c>
      <c r="R2097" t="s">
        <v>7186</v>
      </c>
      <c r="S2097" t="b">
        <v>0</v>
      </c>
      <c r="T2097" t="b">
        <v>0</v>
      </c>
      <c r="U2097" t="b">
        <v>0</v>
      </c>
      <c r="V2097" t="b">
        <v>1</v>
      </c>
      <c r="W2097" t="b">
        <v>1</v>
      </c>
      <c r="X2097" t="b">
        <v>1</v>
      </c>
      <c r="Y2097" t="b">
        <v>1</v>
      </c>
      <c r="Z2097" t="b">
        <v>1</v>
      </c>
      <c r="AA2097" t="b">
        <v>1</v>
      </c>
      <c r="AB2097" t="b">
        <v>1</v>
      </c>
      <c r="AC2097" t="b">
        <v>1</v>
      </c>
      <c r="AD2097" t="b">
        <v>1</v>
      </c>
      <c r="AE2097" t="b">
        <v>1</v>
      </c>
      <c r="AF2097" t="b">
        <v>1</v>
      </c>
      <c r="AG2097" t="b">
        <v>1</v>
      </c>
    </row>
    <row r="2098" spans="1:33" x14ac:dyDescent="0.25">
      <c r="A2098" t="s">
        <v>1642</v>
      </c>
      <c r="B2098">
        <v>12</v>
      </c>
      <c r="C2098" t="b">
        <v>0</v>
      </c>
      <c r="D2098" t="s">
        <v>6868</v>
      </c>
      <c r="E2098" t="s">
        <v>6869</v>
      </c>
      <c r="F2098" t="s">
        <v>7187</v>
      </c>
      <c r="G2098" t="s">
        <v>7188</v>
      </c>
      <c r="H2098">
        <v>2097</v>
      </c>
      <c r="I2098" t="str">
        <f>IF(ISBLANK(Table1[[#This Row],[oid]]),"FALSE","TRUE")</f>
        <v>TRUE</v>
      </c>
      <c r="J2098" t="str" cm="1">
        <f t="array" ref="J2098">_xlfn.SWITCH(LEFT(Table1[[#This Row],[section]],1), "D", "Demographic", "S", "Social", "E", "Economic", "H", "Housing", "")</f>
        <v>Economic</v>
      </c>
      <c r="K2098" t="s">
        <v>6872</v>
      </c>
      <c r="L2098" t="s">
        <v>6873</v>
      </c>
      <c r="M2098" t="str">
        <f>IF(Table1[[#This Row],[used]], _xlfn.CONCAT("🆔 ", Table1[[#This Row],[variable]], ": ",Table1[[#This Row],[alias]]), "")</f>
        <v>🆔 B27010_064E: 65 years and over: With two or more types of health insurance coverage: Other public only combinations</v>
      </c>
      <c r="O2098" t="s">
        <v>7189</v>
      </c>
      <c r="P2098" t="s">
        <v>6874</v>
      </c>
      <c r="Q2098" t="s">
        <v>41</v>
      </c>
      <c r="R2098" t="s">
        <v>7190</v>
      </c>
      <c r="S2098" t="b">
        <v>0</v>
      </c>
      <c r="T2098" t="b">
        <v>0</v>
      </c>
      <c r="U2098" t="b">
        <v>0</v>
      </c>
      <c r="V2098" t="b">
        <v>1</v>
      </c>
      <c r="W2098" t="b">
        <v>1</v>
      </c>
      <c r="X2098" t="b">
        <v>1</v>
      </c>
      <c r="Y2098" t="b">
        <v>1</v>
      </c>
      <c r="Z2098" t="b">
        <v>1</v>
      </c>
      <c r="AA2098" t="b">
        <v>1</v>
      </c>
      <c r="AB2098" t="b">
        <v>1</v>
      </c>
      <c r="AC2098" t="b">
        <v>1</v>
      </c>
      <c r="AD2098" t="b">
        <v>1</v>
      </c>
      <c r="AE2098" t="b">
        <v>1</v>
      </c>
      <c r="AF2098" t="b">
        <v>1</v>
      </c>
      <c r="AG2098" t="b">
        <v>1</v>
      </c>
    </row>
    <row r="2099" spans="1:33" x14ac:dyDescent="0.25">
      <c r="A2099" t="s">
        <v>1642</v>
      </c>
      <c r="B2099">
        <v>12</v>
      </c>
      <c r="C2099" t="b">
        <v>0</v>
      </c>
      <c r="D2099" t="s">
        <v>6868</v>
      </c>
      <c r="E2099" t="s">
        <v>6869</v>
      </c>
      <c r="F2099" t="s">
        <v>7191</v>
      </c>
      <c r="G2099" t="s">
        <v>7192</v>
      </c>
      <c r="H2099">
        <v>2098</v>
      </c>
      <c r="I2099" t="str">
        <f>IF(ISBLANK(Table1[[#This Row],[oid]]),"FALSE","TRUE")</f>
        <v>TRUE</v>
      </c>
      <c r="J2099" t="str" cm="1">
        <f t="array" ref="J2099">_xlfn.SWITCH(LEFT(Table1[[#This Row],[section]],1), "D", "Demographic", "S", "Social", "E", "Economic", "H", "Housing", "")</f>
        <v>Economic</v>
      </c>
      <c r="K2099" t="s">
        <v>6872</v>
      </c>
      <c r="L2099" t="s">
        <v>6873</v>
      </c>
      <c r="M2099" t="str">
        <f>IF(Table1[[#This Row],[used]], _xlfn.CONCAT("🆔 ", Table1[[#This Row],[variable]], ": ",Table1[[#This Row],[alias]]), "")</f>
        <v>🆔 B27010_065E: 65 years and over: With two or more types of health insurance coverage: Other coverage combinations</v>
      </c>
      <c r="O2099" t="s">
        <v>7193</v>
      </c>
      <c r="P2099" t="s">
        <v>6874</v>
      </c>
      <c r="Q2099" t="s">
        <v>41</v>
      </c>
      <c r="R2099" t="s">
        <v>7194</v>
      </c>
      <c r="S2099" t="b">
        <v>0</v>
      </c>
      <c r="T2099" t="b">
        <v>0</v>
      </c>
      <c r="U2099" t="b">
        <v>0</v>
      </c>
      <c r="V2099" t="b">
        <v>1</v>
      </c>
      <c r="W2099" t="b">
        <v>1</v>
      </c>
      <c r="X2099" t="b">
        <v>1</v>
      </c>
      <c r="Y2099" t="b">
        <v>1</v>
      </c>
      <c r="Z2099" t="b">
        <v>1</v>
      </c>
      <c r="AA2099" t="b">
        <v>1</v>
      </c>
      <c r="AB2099" t="b">
        <v>1</v>
      </c>
      <c r="AC2099" t="b">
        <v>1</v>
      </c>
      <c r="AD2099" t="b">
        <v>1</v>
      </c>
      <c r="AE2099" t="b">
        <v>1</v>
      </c>
      <c r="AF2099" t="b">
        <v>1</v>
      </c>
      <c r="AG2099" t="b">
        <v>1</v>
      </c>
    </row>
    <row r="2100" spans="1:33" x14ac:dyDescent="0.25">
      <c r="A2100" t="s">
        <v>1642</v>
      </c>
      <c r="B2100">
        <v>12</v>
      </c>
      <c r="C2100" t="b">
        <v>0</v>
      </c>
      <c r="D2100" t="s">
        <v>6868</v>
      </c>
      <c r="E2100" t="s">
        <v>6869</v>
      </c>
      <c r="F2100" t="s">
        <v>7195</v>
      </c>
      <c r="G2100" t="s">
        <v>7196</v>
      </c>
      <c r="H2100">
        <v>2099</v>
      </c>
      <c r="I2100" t="str">
        <f>IF(ISBLANK(Table1[[#This Row],[oid]]),"FALSE","TRUE")</f>
        <v>TRUE</v>
      </c>
      <c r="J2100" t="str" cm="1">
        <f t="array" ref="J2100">_xlfn.SWITCH(LEFT(Table1[[#This Row],[section]],1), "D", "Demographic", "S", "Social", "E", "Economic", "H", "Housing", "")</f>
        <v>Economic</v>
      </c>
      <c r="K2100" t="s">
        <v>6872</v>
      </c>
      <c r="L2100" t="s">
        <v>6873</v>
      </c>
      <c r="M2100" t="str">
        <f>IF(Table1[[#This Row],[used]], _xlfn.CONCAT("🆔 ", Table1[[#This Row],[variable]], ": ",Table1[[#This Row],[alias]]), "")</f>
        <v>🆔 B27010_066E: 65 years and over: No health insurance coverage</v>
      </c>
      <c r="O2100" t="s">
        <v>7197</v>
      </c>
      <c r="P2100" t="s">
        <v>6874</v>
      </c>
      <c r="Q2100" t="s">
        <v>41</v>
      </c>
      <c r="R2100" t="s">
        <v>7198</v>
      </c>
      <c r="S2100" t="b">
        <v>0</v>
      </c>
      <c r="T2100" t="b">
        <v>0</v>
      </c>
      <c r="U2100" t="b">
        <v>0</v>
      </c>
      <c r="V2100" t="b">
        <v>1</v>
      </c>
      <c r="W2100" t="b">
        <v>1</v>
      </c>
      <c r="X2100" t="b">
        <v>1</v>
      </c>
      <c r="Y2100" t="b">
        <v>1</v>
      </c>
      <c r="Z2100" t="b">
        <v>1</v>
      </c>
      <c r="AA2100" t="b">
        <v>1</v>
      </c>
      <c r="AB2100" t="b">
        <v>1</v>
      </c>
      <c r="AC2100" t="b">
        <v>1</v>
      </c>
      <c r="AD2100" t="b">
        <v>1</v>
      </c>
      <c r="AE2100" t="b">
        <v>1</v>
      </c>
      <c r="AF2100" t="b">
        <v>1</v>
      </c>
      <c r="AG2100" t="b">
        <v>1</v>
      </c>
    </row>
    <row r="2101" spans="1:33" x14ac:dyDescent="0.25">
      <c r="A2101" t="s">
        <v>33</v>
      </c>
      <c r="B2101">
        <v>15</v>
      </c>
      <c r="C2101" t="b">
        <v>1</v>
      </c>
      <c r="D2101" t="s">
        <v>7199</v>
      </c>
      <c r="E2101" t="s">
        <v>7200</v>
      </c>
      <c r="F2101" t="s">
        <v>7201</v>
      </c>
      <c r="G2101" t="s">
        <v>7202</v>
      </c>
      <c r="H2101">
        <v>2100</v>
      </c>
      <c r="I2101" t="str">
        <f>IF(ISBLANK(Table1[[#This Row],[oid]]),"FALSE","TRUE")</f>
        <v>TRUE</v>
      </c>
      <c r="J2101" t="str" cm="1">
        <f t="array" ref="J2101">_xlfn.SWITCH(LEFT(Table1[[#This Row],[section]],1), "D", "Demographic", "S", "Social", "E", "Economic", "H", "Housing", "")</f>
        <v>Economic</v>
      </c>
      <c r="K2101" t="s">
        <v>7203</v>
      </c>
      <c r="L2101" t="s">
        <v>7204</v>
      </c>
      <c r="M2101" t="str">
        <f>IF(Table1[[#This Row],[used]], _xlfn.CONCAT("🆔 ", Table1[[#This Row],[variable]], ": ",Table1[[#This Row],[alias]]), "")</f>
        <v>🆔 C17002_001E: Total population for whom poverty status is determined</v>
      </c>
      <c r="O2101" t="s">
        <v>39</v>
      </c>
      <c r="P2101" t="s">
        <v>7205</v>
      </c>
      <c r="Q2101" t="s">
        <v>41</v>
      </c>
      <c r="R2101" t="s">
        <v>7206</v>
      </c>
      <c r="S2101" t="b">
        <v>1</v>
      </c>
      <c r="T2101" t="b">
        <v>1</v>
      </c>
      <c r="U2101" t="b">
        <v>1</v>
      </c>
      <c r="V2101" t="b">
        <v>1</v>
      </c>
      <c r="W2101" t="b">
        <v>1</v>
      </c>
      <c r="X2101" t="b">
        <v>1</v>
      </c>
      <c r="Y2101" t="b">
        <v>1</v>
      </c>
      <c r="Z2101" t="b">
        <v>1</v>
      </c>
      <c r="AA2101" t="b">
        <v>1</v>
      </c>
      <c r="AB2101" t="b">
        <v>1</v>
      </c>
      <c r="AC2101" t="b">
        <v>1</v>
      </c>
      <c r="AD2101" t="b">
        <v>1</v>
      </c>
      <c r="AE2101" t="b">
        <v>1</v>
      </c>
      <c r="AF2101" t="b">
        <v>1</v>
      </c>
      <c r="AG2101" t="b">
        <v>1</v>
      </c>
    </row>
    <row r="2102" spans="1:33" x14ac:dyDescent="0.25">
      <c r="A2102" t="s">
        <v>33</v>
      </c>
      <c r="B2102">
        <v>15</v>
      </c>
      <c r="C2102" t="b">
        <v>1</v>
      </c>
      <c r="D2102" t="s">
        <v>7199</v>
      </c>
      <c r="E2102" t="s">
        <v>7200</v>
      </c>
      <c r="F2102" t="s">
        <v>7207</v>
      </c>
      <c r="G2102" t="s">
        <v>9831</v>
      </c>
      <c r="H2102">
        <v>2101</v>
      </c>
      <c r="I2102" t="str">
        <f>IF(ISBLANK(Table1[[#This Row],[oid]]),"FALSE","TRUE")</f>
        <v>TRUE</v>
      </c>
      <c r="J2102" t="str" cm="1">
        <f t="array" ref="J2102">_xlfn.SWITCH(LEFT(Table1[[#This Row],[section]],1), "D", "Demographic", "S", "Social", "E", "Economic", "H", "Housing", "")</f>
        <v>Economic</v>
      </c>
      <c r="K2102" t="s">
        <v>7203</v>
      </c>
      <c r="L2102" t="s">
        <v>7204</v>
      </c>
      <c r="M2102" t="str">
        <f>IF(Table1[[#This Row],[used]], _xlfn.CONCAT("🆔 ", Table1[[#This Row],[variable]], ": ",Table1[[#This Row],[alias]]), "")</f>
        <v>🆔 C17002_002E: Under 0.50</v>
      </c>
      <c r="O2102" t="s">
        <v>7208</v>
      </c>
      <c r="P2102" t="s">
        <v>7205</v>
      </c>
      <c r="Q2102" t="s">
        <v>41</v>
      </c>
      <c r="R2102" t="s">
        <v>7209</v>
      </c>
      <c r="S2102" t="b">
        <v>1</v>
      </c>
      <c r="T2102" t="b">
        <v>1</v>
      </c>
      <c r="U2102" t="b">
        <v>1</v>
      </c>
      <c r="V2102" t="b">
        <v>1</v>
      </c>
      <c r="W2102" t="b">
        <v>1</v>
      </c>
      <c r="X2102" t="b">
        <v>1</v>
      </c>
      <c r="Y2102" t="b">
        <v>1</v>
      </c>
      <c r="Z2102" t="b">
        <v>1</v>
      </c>
      <c r="AA2102" t="b">
        <v>1</v>
      </c>
      <c r="AB2102" t="b">
        <v>1</v>
      </c>
      <c r="AC2102" t="b">
        <v>1</v>
      </c>
      <c r="AD2102" t="b">
        <v>1</v>
      </c>
      <c r="AE2102" t="b">
        <v>1</v>
      </c>
      <c r="AF2102" t="b">
        <v>1</v>
      </c>
      <c r="AG2102" t="b">
        <v>1</v>
      </c>
    </row>
    <row r="2103" spans="1:33" x14ac:dyDescent="0.25">
      <c r="A2103" t="s">
        <v>33</v>
      </c>
      <c r="B2103">
        <v>15</v>
      </c>
      <c r="C2103" t="b">
        <v>1</v>
      </c>
      <c r="D2103" t="s">
        <v>7199</v>
      </c>
      <c r="E2103" t="s">
        <v>7200</v>
      </c>
      <c r="F2103" t="s">
        <v>7210</v>
      </c>
      <c r="G2103" t="s">
        <v>9832</v>
      </c>
      <c r="H2103">
        <v>2102</v>
      </c>
      <c r="I2103" t="str">
        <f>IF(ISBLANK(Table1[[#This Row],[oid]]),"FALSE","TRUE")</f>
        <v>TRUE</v>
      </c>
      <c r="J2103" t="str" cm="1">
        <f t="array" ref="J2103">_xlfn.SWITCH(LEFT(Table1[[#This Row],[section]],1), "D", "Demographic", "S", "Social", "E", "Economic", "H", "Housing", "")</f>
        <v>Economic</v>
      </c>
      <c r="K2103" t="s">
        <v>7203</v>
      </c>
      <c r="L2103" t="s">
        <v>7204</v>
      </c>
      <c r="M2103" t="str">
        <f>IF(Table1[[#This Row],[used]], _xlfn.CONCAT("🆔 ", Table1[[#This Row],[variable]], ": ",Table1[[#This Row],[alias]]), "")</f>
        <v>🆔 C17002_003E: 0.50 to 0.99</v>
      </c>
      <c r="O2103" t="s">
        <v>7211</v>
      </c>
      <c r="P2103" t="s">
        <v>7205</v>
      </c>
      <c r="Q2103" t="s">
        <v>41</v>
      </c>
      <c r="R2103" t="s">
        <v>7212</v>
      </c>
      <c r="S2103" t="b">
        <v>1</v>
      </c>
      <c r="T2103" t="b">
        <v>1</v>
      </c>
      <c r="U2103" t="b">
        <v>1</v>
      </c>
      <c r="V2103" t="b">
        <v>1</v>
      </c>
      <c r="W2103" t="b">
        <v>1</v>
      </c>
      <c r="X2103" t="b">
        <v>1</v>
      </c>
      <c r="Y2103" t="b">
        <v>1</v>
      </c>
      <c r="Z2103" t="b">
        <v>1</v>
      </c>
      <c r="AA2103" t="b">
        <v>1</v>
      </c>
      <c r="AB2103" t="b">
        <v>1</v>
      </c>
      <c r="AC2103" t="b">
        <v>1</v>
      </c>
      <c r="AD2103" t="b">
        <v>1</v>
      </c>
      <c r="AE2103" t="b">
        <v>1</v>
      </c>
      <c r="AF2103" t="b">
        <v>1</v>
      </c>
      <c r="AG2103" t="b">
        <v>1</v>
      </c>
    </row>
    <row r="2104" spans="1:33" x14ac:dyDescent="0.25">
      <c r="A2104" t="s">
        <v>33</v>
      </c>
      <c r="B2104">
        <v>15</v>
      </c>
      <c r="C2104" t="b">
        <v>1</v>
      </c>
      <c r="D2104" t="s">
        <v>7199</v>
      </c>
      <c r="E2104" t="s">
        <v>7200</v>
      </c>
      <c r="F2104" t="s">
        <v>7213</v>
      </c>
      <c r="G2104" t="s">
        <v>9833</v>
      </c>
      <c r="H2104">
        <v>2103</v>
      </c>
      <c r="I2104" t="str">
        <f>IF(ISBLANK(Table1[[#This Row],[oid]]),"FALSE","TRUE")</f>
        <v>TRUE</v>
      </c>
      <c r="J2104" t="str" cm="1">
        <f t="array" ref="J2104">_xlfn.SWITCH(LEFT(Table1[[#This Row],[section]],1), "D", "Demographic", "S", "Social", "E", "Economic", "H", "Housing", "")</f>
        <v>Economic</v>
      </c>
      <c r="K2104" t="s">
        <v>7203</v>
      </c>
      <c r="L2104" t="s">
        <v>7204</v>
      </c>
      <c r="M2104" t="str">
        <f>IF(Table1[[#This Row],[used]], _xlfn.CONCAT("🆔 ", Table1[[#This Row],[variable]], ": ",Table1[[#This Row],[alias]]), "")</f>
        <v>🆔 C17002_004E: 1.00 to 1.24</v>
      </c>
      <c r="O2104" t="s">
        <v>7214</v>
      </c>
      <c r="P2104" t="s">
        <v>7205</v>
      </c>
      <c r="Q2104" t="s">
        <v>41</v>
      </c>
      <c r="R2104" t="s">
        <v>7215</v>
      </c>
      <c r="S2104" t="b">
        <v>1</v>
      </c>
      <c r="T2104" t="b">
        <v>1</v>
      </c>
      <c r="U2104" t="b">
        <v>1</v>
      </c>
      <c r="V2104" t="b">
        <v>1</v>
      </c>
      <c r="W2104" t="b">
        <v>1</v>
      </c>
      <c r="X2104" t="b">
        <v>1</v>
      </c>
      <c r="Y2104" t="b">
        <v>1</v>
      </c>
      <c r="Z2104" t="b">
        <v>1</v>
      </c>
      <c r="AA2104" t="b">
        <v>1</v>
      </c>
      <c r="AB2104" t="b">
        <v>1</v>
      </c>
      <c r="AC2104" t="b">
        <v>1</v>
      </c>
      <c r="AD2104" t="b">
        <v>1</v>
      </c>
      <c r="AE2104" t="b">
        <v>1</v>
      </c>
      <c r="AF2104" t="b">
        <v>1</v>
      </c>
      <c r="AG2104" t="b">
        <v>1</v>
      </c>
    </row>
    <row r="2105" spans="1:33" x14ac:dyDescent="0.25">
      <c r="A2105" t="s">
        <v>33</v>
      </c>
      <c r="B2105">
        <v>15</v>
      </c>
      <c r="C2105" t="b">
        <v>1</v>
      </c>
      <c r="D2105" t="s">
        <v>7199</v>
      </c>
      <c r="E2105" t="s">
        <v>7200</v>
      </c>
      <c r="F2105" t="s">
        <v>7216</v>
      </c>
      <c r="G2105" t="s">
        <v>9834</v>
      </c>
      <c r="H2105">
        <v>2104</v>
      </c>
      <c r="I2105" t="str">
        <f>IF(ISBLANK(Table1[[#This Row],[oid]]),"FALSE","TRUE")</f>
        <v>TRUE</v>
      </c>
      <c r="J2105" t="str" cm="1">
        <f t="array" ref="J2105">_xlfn.SWITCH(LEFT(Table1[[#This Row],[section]],1), "D", "Demographic", "S", "Social", "E", "Economic", "H", "Housing", "")</f>
        <v>Economic</v>
      </c>
      <c r="K2105" t="s">
        <v>7203</v>
      </c>
      <c r="L2105" t="s">
        <v>7204</v>
      </c>
      <c r="M2105" t="str">
        <f>IF(Table1[[#This Row],[used]], _xlfn.CONCAT("🆔 ", Table1[[#This Row],[variable]], ": ",Table1[[#This Row],[alias]]), "")</f>
        <v>🆔 C17002_005E: 1.25 to 1.49</v>
      </c>
      <c r="O2105" t="s">
        <v>7217</v>
      </c>
      <c r="P2105" t="s">
        <v>7205</v>
      </c>
      <c r="Q2105" t="s">
        <v>41</v>
      </c>
      <c r="R2105" t="s">
        <v>7218</v>
      </c>
      <c r="S2105" t="b">
        <v>1</v>
      </c>
      <c r="T2105" t="b">
        <v>1</v>
      </c>
      <c r="U2105" t="b">
        <v>1</v>
      </c>
      <c r="V2105" t="b">
        <v>1</v>
      </c>
      <c r="W2105" t="b">
        <v>1</v>
      </c>
      <c r="X2105" t="b">
        <v>1</v>
      </c>
      <c r="Y2105" t="b">
        <v>1</v>
      </c>
      <c r="Z2105" t="b">
        <v>1</v>
      </c>
      <c r="AA2105" t="b">
        <v>1</v>
      </c>
      <c r="AB2105" t="b">
        <v>1</v>
      </c>
      <c r="AC2105" t="b">
        <v>1</v>
      </c>
      <c r="AD2105" t="b">
        <v>1</v>
      </c>
      <c r="AE2105" t="b">
        <v>1</v>
      </c>
      <c r="AF2105" t="b">
        <v>1</v>
      </c>
      <c r="AG2105" t="b">
        <v>1</v>
      </c>
    </row>
    <row r="2106" spans="1:33" x14ac:dyDescent="0.25">
      <c r="A2106" t="s">
        <v>33</v>
      </c>
      <c r="B2106">
        <v>15</v>
      </c>
      <c r="C2106" t="b">
        <v>1</v>
      </c>
      <c r="D2106" t="s">
        <v>7199</v>
      </c>
      <c r="E2106" t="s">
        <v>7200</v>
      </c>
      <c r="F2106" t="s">
        <v>7219</v>
      </c>
      <c r="G2106" t="s">
        <v>9835</v>
      </c>
      <c r="H2106">
        <v>2105</v>
      </c>
      <c r="I2106" t="str">
        <f>IF(ISBLANK(Table1[[#This Row],[oid]]),"FALSE","TRUE")</f>
        <v>TRUE</v>
      </c>
      <c r="J2106" t="str" cm="1">
        <f t="array" ref="J2106">_xlfn.SWITCH(LEFT(Table1[[#This Row],[section]],1), "D", "Demographic", "S", "Social", "E", "Economic", "H", "Housing", "")</f>
        <v>Economic</v>
      </c>
      <c r="K2106" t="s">
        <v>7203</v>
      </c>
      <c r="L2106" t="s">
        <v>7204</v>
      </c>
      <c r="M2106" t="str">
        <f>IF(Table1[[#This Row],[used]], _xlfn.CONCAT("🆔 ", Table1[[#This Row],[variable]], ": ",Table1[[#This Row],[alias]]), "")</f>
        <v>🆔 C17002_006E: 1.50 to 1.84</v>
      </c>
      <c r="O2106" t="s">
        <v>7220</v>
      </c>
      <c r="P2106" t="s">
        <v>7205</v>
      </c>
      <c r="Q2106" t="s">
        <v>41</v>
      </c>
      <c r="R2106" t="s">
        <v>7221</v>
      </c>
      <c r="S2106" t="b">
        <v>1</v>
      </c>
      <c r="T2106" t="b">
        <v>1</v>
      </c>
      <c r="U2106" t="b">
        <v>1</v>
      </c>
      <c r="V2106" t="b">
        <v>1</v>
      </c>
      <c r="W2106" t="b">
        <v>1</v>
      </c>
      <c r="X2106" t="b">
        <v>1</v>
      </c>
      <c r="Y2106" t="b">
        <v>1</v>
      </c>
      <c r="Z2106" t="b">
        <v>1</v>
      </c>
      <c r="AA2106" t="b">
        <v>1</v>
      </c>
      <c r="AB2106" t="b">
        <v>1</v>
      </c>
      <c r="AC2106" t="b">
        <v>1</v>
      </c>
      <c r="AD2106" t="b">
        <v>1</v>
      </c>
      <c r="AE2106" t="b">
        <v>1</v>
      </c>
      <c r="AF2106" t="b">
        <v>1</v>
      </c>
      <c r="AG2106" t="b">
        <v>1</v>
      </c>
    </row>
    <row r="2107" spans="1:33" x14ac:dyDescent="0.25">
      <c r="A2107" t="s">
        <v>33</v>
      </c>
      <c r="B2107">
        <v>15</v>
      </c>
      <c r="C2107" t="b">
        <v>1</v>
      </c>
      <c r="D2107" t="s">
        <v>7199</v>
      </c>
      <c r="E2107" t="s">
        <v>7200</v>
      </c>
      <c r="F2107" t="s">
        <v>7222</v>
      </c>
      <c r="G2107" t="s">
        <v>9836</v>
      </c>
      <c r="H2107">
        <v>2106</v>
      </c>
      <c r="I2107" t="str">
        <f>IF(ISBLANK(Table1[[#This Row],[oid]]),"FALSE","TRUE")</f>
        <v>TRUE</v>
      </c>
      <c r="J2107" t="str" cm="1">
        <f t="array" ref="J2107">_xlfn.SWITCH(LEFT(Table1[[#This Row],[section]],1), "D", "Demographic", "S", "Social", "E", "Economic", "H", "Housing", "")</f>
        <v>Economic</v>
      </c>
      <c r="K2107" t="s">
        <v>7203</v>
      </c>
      <c r="L2107" t="s">
        <v>7204</v>
      </c>
      <c r="M2107" t="str">
        <f>IF(Table1[[#This Row],[used]], _xlfn.CONCAT("🆔 ", Table1[[#This Row],[variable]], ": ",Table1[[#This Row],[alias]]), "")</f>
        <v>🆔 C17002_007E: 1.85 to 1.99</v>
      </c>
      <c r="O2107" t="s">
        <v>7223</v>
      </c>
      <c r="P2107" t="s">
        <v>7205</v>
      </c>
      <c r="Q2107" t="s">
        <v>41</v>
      </c>
      <c r="R2107" t="s">
        <v>7224</v>
      </c>
      <c r="S2107" t="b">
        <v>1</v>
      </c>
      <c r="T2107" t="b">
        <v>1</v>
      </c>
      <c r="U2107" t="b">
        <v>1</v>
      </c>
      <c r="V2107" t="b">
        <v>1</v>
      </c>
      <c r="W2107" t="b">
        <v>1</v>
      </c>
      <c r="X2107" t="b">
        <v>1</v>
      </c>
      <c r="Y2107" t="b">
        <v>1</v>
      </c>
      <c r="Z2107" t="b">
        <v>1</v>
      </c>
      <c r="AA2107" t="b">
        <v>1</v>
      </c>
      <c r="AB2107" t="b">
        <v>1</v>
      </c>
      <c r="AC2107" t="b">
        <v>1</v>
      </c>
      <c r="AD2107" t="b">
        <v>1</v>
      </c>
      <c r="AE2107" t="b">
        <v>1</v>
      </c>
      <c r="AF2107" t="b">
        <v>1</v>
      </c>
      <c r="AG2107" t="b">
        <v>1</v>
      </c>
    </row>
    <row r="2108" spans="1:33" x14ac:dyDescent="0.25">
      <c r="A2108" t="s">
        <v>33</v>
      </c>
      <c r="B2108">
        <v>15</v>
      </c>
      <c r="C2108" t="b">
        <v>1</v>
      </c>
      <c r="D2108" t="s">
        <v>7199</v>
      </c>
      <c r="E2108" t="s">
        <v>7200</v>
      </c>
      <c r="F2108" t="s">
        <v>7225</v>
      </c>
      <c r="G2108" t="s">
        <v>9837</v>
      </c>
      <c r="H2108">
        <v>2107</v>
      </c>
      <c r="I2108" t="str">
        <f>IF(ISBLANK(Table1[[#This Row],[oid]]),"FALSE","TRUE")</f>
        <v>TRUE</v>
      </c>
      <c r="J2108" t="str" cm="1">
        <f t="array" ref="J2108">_xlfn.SWITCH(LEFT(Table1[[#This Row],[section]],1), "D", "Demographic", "S", "Social", "E", "Economic", "H", "Housing", "")</f>
        <v>Economic</v>
      </c>
      <c r="K2108" t="s">
        <v>7203</v>
      </c>
      <c r="L2108" t="s">
        <v>7204</v>
      </c>
      <c r="M2108" t="str">
        <f>IF(Table1[[#This Row],[used]], _xlfn.CONCAT("🆔 ", Table1[[#This Row],[variable]], ": ",Table1[[#This Row],[alias]]), "")</f>
        <v>🆔 C17002_008E: 2.00 and over</v>
      </c>
      <c r="O2108" t="s">
        <v>7226</v>
      </c>
      <c r="P2108" t="s">
        <v>7205</v>
      </c>
      <c r="Q2108" t="s">
        <v>41</v>
      </c>
      <c r="R2108" t="s">
        <v>7227</v>
      </c>
      <c r="S2108" t="b">
        <v>1</v>
      </c>
      <c r="T2108" t="b">
        <v>1</v>
      </c>
      <c r="U2108" t="b">
        <v>1</v>
      </c>
      <c r="V2108" t="b">
        <v>1</v>
      </c>
      <c r="W2108" t="b">
        <v>1</v>
      </c>
      <c r="X2108" t="b">
        <v>1</v>
      </c>
      <c r="Y2108" t="b">
        <v>1</v>
      </c>
      <c r="Z2108" t="b">
        <v>1</v>
      </c>
      <c r="AA2108" t="b">
        <v>1</v>
      </c>
      <c r="AB2108" t="b">
        <v>1</v>
      </c>
      <c r="AC2108" t="b">
        <v>1</v>
      </c>
      <c r="AD2108" t="b">
        <v>1</v>
      </c>
      <c r="AE2108" t="b">
        <v>1</v>
      </c>
      <c r="AF2108" t="b">
        <v>1</v>
      </c>
      <c r="AG2108" t="b">
        <v>1</v>
      </c>
    </row>
    <row r="2109" spans="1:33" x14ac:dyDescent="0.25">
      <c r="A2109" t="s">
        <v>33</v>
      </c>
      <c r="B2109">
        <v>15</v>
      </c>
      <c r="C2109" t="b">
        <v>1</v>
      </c>
      <c r="D2109" t="s">
        <v>7228</v>
      </c>
      <c r="E2109" t="s">
        <v>7229</v>
      </c>
      <c r="F2109" t="s">
        <v>7230</v>
      </c>
      <c r="G2109" t="s">
        <v>7202</v>
      </c>
      <c r="H2109">
        <v>2108</v>
      </c>
      <c r="I2109" t="str">
        <f>IF(ISBLANK(Table1[[#This Row],[oid]]),"FALSE","TRUE")</f>
        <v>TRUE</v>
      </c>
      <c r="J2109" t="str" cm="1">
        <f t="array" ref="J2109">_xlfn.SWITCH(LEFT(Table1[[#This Row],[section]],1), "D", "Demographic", "S", "Social", "E", "Economic", "H", "Housing", "")</f>
        <v>Economic</v>
      </c>
      <c r="K2109" t="s">
        <v>7231</v>
      </c>
      <c r="L2109" t="s">
        <v>7232</v>
      </c>
      <c r="M2109" t="str">
        <f>IF(Table1[[#This Row],[used]], _xlfn.CONCAT("🆔 ", Table1[[#This Row],[variable]], ": ",Table1[[#This Row],[alias]]), "")</f>
        <v>🆔 B17021_001E: Total population for whom poverty status is determined</v>
      </c>
      <c r="O2109" t="s">
        <v>39</v>
      </c>
      <c r="P2109" t="s">
        <v>7233</v>
      </c>
      <c r="Q2109" t="s">
        <v>41</v>
      </c>
      <c r="R2109" t="s">
        <v>7234</v>
      </c>
      <c r="S2109" t="b">
        <v>1</v>
      </c>
      <c r="T2109" t="b">
        <v>1</v>
      </c>
      <c r="U2109" t="b">
        <v>1</v>
      </c>
      <c r="V2109" t="b">
        <v>1</v>
      </c>
      <c r="W2109" t="b">
        <v>1</v>
      </c>
      <c r="X2109" t="b">
        <v>1</v>
      </c>
      <c r="Y2109" t="b">
        <v>1</v>
      </c>
      <c r="Z2109" t="b">
        <v>1</v>
      </c>
      <c r="AA2109" t="b">
        <v>1</v>
      </c>
      <c r="AB2109" t="b">
        <v>1</v>
      </c>
      <c r="AC2109" t="b">
        <v>1</v>
      </c>
      <c r="AD2109" t="b">
        <v>1</v>
      </c>
      <c r="AE2109" t="b">
        <v>1</v>
      </c>
      <c r="AF2109" t="b">
        <v>1</v>
      </c>
      <c r="AG2109" t="b">
        <v>1</v>
      </c>
    </row>
    <row r="2110" spans="1:33" x14ac:dyDescent="0.25">
      <c r="A2110" t="s">
        <v>33</v>
      </c>
      <c r="B2110">
        <v>15</v>
      </c>
      <c r="C2110" t="b">
        <v>1</v>
      </c>
      <c r="D2110" t="s">
        <v>7228</v>
      </c>
      <c r="E2110" t="s">
        <v>7229</v>
      </c>
      <c r="F2110" t="s">
        <v>7235</v>
      </c>
      <c r="G2110" t="s">
        <v>7236</v>
      </c>
      <c r="H2110">
        <v>2109</v>
      </c>
      <c r="I2110" t="str">
        <f>IF(ISBLANK(Table1[[#This Row],[oid]]),"FALSE","TRUE")</f>
        <v>TRUE</v>
      </c>
      <c r="J2110" t="str" cm="1">
        <f t="array" ref="J2110">_xlfn.SWITCH(LEFT(Table1[[#This Row],[section]],1), "D", "Demographic", "S", "Social", "E", "Economic", "H", "Housing", "")</f>
        <v>Economic</v>
      </c>
      <c r="K2110" t="s">
        <v>7231</v>
      </c>
      <c r="L2110" t="s">
        <v>7232</v>
      </c>
      <c r="M2110" t="str">
        <f>IF(Table1[[#This Row],[used]], _xlfn.CONCAT("🆔 ", Table1[[#This Row],[variable]], ": ",Table1[[#This Row],[alias]]), "")</f>
        <v>🆔 B17021_002E: Income in the past 12 months below poverty level</v>
      </c>
      <c r="O2110" t="s">
        <v>7237</v>
      </c>
      <c r="P2110" t="s">
        <v>7233</v>
      </c>
      <c r="Q2110" t="s">
        <v>41</v>
      </c>
      <c r="R2110" t="s">
        <v>7238</v>
      </c>
      <c r="S2110" t="b">
        <v>1</v>
      </c>
      <c r="T2110" t="b">
        <v>1</v>
      </c>
      <c r="U2110" t="b">
        <v>1</v>
      </c>
      <c r="V2110" t="b">
        <v>1</v>
      </c>
      <c r="W2110" t="b">
        <v>1</v>
      </c>
      <c r="X2110" t="b">
        <v>1</v>
      </c>
      <c r="Y2110" t="b">
        <v>1</v>
      </c>
      <c r="Z2110" t="b">
        <v>1</v>
      </c>
      <c r="AA2110" t="b">
        <v>1</v>
      </c>
      <c r="AB2110" t="b">
        <v>1</v>
      </c>
      <c r="AC2110" t="b">
        <v>1</v>
      </c>
      <c r="AD2110" t="b">
        <v>1</v>
      </c>
      <c r="AE2110" t="b">
        <v>1</v>
      </c>
      <c r="AF2110" t="b">
        <v>1</v>
      </c>
      <c r="AG2110" t="b">
        <v>1</v>
      </c>
    </row>
    <row r="2111" spans="1:33" x14ac:dyDescent="0.25">
      <c r="A2111" t="s">
        <v>33</v>
      </c>
      <c r="B2111">
        <v>15</v>
      </c>
      <c r="C2111" t="b">
        <v>1</v>
      </c>
      <c r="D2111" t="s">
        <v>7228</v>
      </c>
      <c r="E2111" t="s">
        <v>7229</v>
      </c>
      <c r="F2111" t="s">
        <v>7239</v>
      </c>
      <c r="G2111" t="s">
        <v>7240</v>
      </c>
      <c r="H2111">
        <v>2110</v>
      </c>
      <c r="I2111" t="str">
        <f>IF(ISBLANK(Table1[[#This Row],[oid]]),"FALSE","TRUE")</f>
        <v>TRUE</v>
      </c>
      <c r="J2111" t="str" cm="1">
        <f t="array" ref="J2111">_xlfn.SWITCH(LEFT(Table1[[#This Row],[section]],1), "D", "Demographic", "S", "Social", "E", "Economic", "H", "Housing", "")</f>
        <v>Economic</v>
      </c>
      <c r="K2111" t="s">
        <v>7231</v>
      </c>
      <c r="L2111" t="s">
        <v>7232</v>
      </c>
      <c r="M2111" t="str">
        <f>IF(Table1[[#This Row],[used]], _xlfn.CONCAT("🆔 ", Table1[[#This Row],[variable]], ": ",Table1[[#This Row],[alias]]), "")</f>
        <v>🆔 B17021_003E: Income in the past 12 months below poverty level: In family households</v>
      </c>
      <c r="O2111" t="s">
        <v>7241</v>
      </c>
      <c r="P2111" t="s">
        <v>7233</v>
      </c>
      <c r="Q2111" t="s">
        <v>41</v>
      </c>
      <c r="R2111" t="s">
        <v>7242</v>
      </c>
      <c r="S2111" t="b">
        <v>1</v>
      </c>
      <c r="T2111" t="b">
        <v>1</v>
      </c>
      <c r="U2111" t="b">
        <v>1</v>
      </c>
      <c r="V2111" t="b">
        <v>1</v>
      </c>
      <c r="W2111" t="b">
        <v>1</v>
      </c>
      <c r="X2111" t="b">
        <v>1</v>
      </c>
      <c r="Y2111" t="b">
        <v>1</v>
      </c>
      <c r="Z2111" t="b">
        <v>1</v>
      </c>
      <c r="AA2111" t="b">
        <v>1</v>
      </c>
      <c r="AB2111" t="b">
        <v>1</v>
      </c>
      <c r="AC2111" t="b">
        <v>1</v>
      </c>
      <c r="AD2111" t="b">
        <v>1</v>
      </c>
      <c r="AE2111" t="b">
        <v>1</v>
      </c>
      <c r="AF2111" t="b">
        <v>1</v>
      </c>
      <c r="AG2111" t="b">
        <v>1</v>
      </c>
    </row>
    <row r="2112" spans="1:33" x14ac:dyDescent="0.25">
      <c r="A2112" t="s">
        <v>33</v>
      </c>
      <c r="B2112">
        <v>15</v>
      </c>
      <c r="C2112" t="b">
        <v>1</v>
      </c>
      <c r="D2112" t="s">
        <v>7228</v>
      </c>
      <c r="E2112" t="s">
        <v>7229</v>
      </c>
      <c r="F2112" t="s">
        <v>7243</v>
      </c>
      <c r="G2112" t="s">
        <v>7244</v>
      </c>
      <c r="H2112">
        <v>2111</v>
      </c>
      <c r="I2112" t="str">
        <f>IF(ISBLANK(Table1[[#This Row],[oid]]),"FALSE","TRUE")</f>
        <v>TRUE</v>
      </c>
      <c r="J2112" t="str" cm="1">
        <f t="array" ref="J2112">_xlfn.SWITCH(LEFT(Table1[[#This Row],[section]],1), "D", "Demographic", "S", "Social", "E", "Economic", "H", "Housing", "")</f>
        <v>Economic</v>
      </c>
      <c r="K2112" t="s">
        <v>7231</v>
      </c>
      <c r="L2112" t="s">
        <v>7232</v>
      </c>
      <c r="M2112" t="str">
        <f>IF(Table1[[#This Row],[used]], _xlfn.CONCAT("🆔 ", Table1[[#This Row],[variable]], ": ",Table1[[#This Row],[alias]]), "")</f>
        <v>🆔 B17021_004E: Income in the past 12 months below poverty level: In family households: In married couple families</v>
      </c>
      <c r="O2112" t="s">
        <v>7245</v>
      </c>
      <c r="P2112" t="s">
        <v>7233</v>
      </c>
      <c r="Q2112" t="s">
        <v>41</v>
      </c>
      <c r="R2112" t="s">
        <v>7246</v>
      </c>
      <c r="S2112" t="b">
        <v>1</v>
      </c>
      <c r="T2112" t="b">
        <v>1</v>
      </c>
      <c r="U2112" t="b">
        <v>1</v>
      </c>
      <c r="V2112" t="b">
        <v>1</v>
      </c>
      <c r="W2112" t="b">
        <v>1</v>
      </c>
      <c r="X2112" t="b">
        <v>1</v>
      </c>
      <c r="Y2112" t="b">
        <v>1</v>
      </c>
      <c r="Z2112" t="b">
        <v>1</v>
      </c>
      <c r="AA2112" t="b">
        <v>1</v>
      </c>
      <c r="AB2112" t="b">
        <v>1</v>
      </c>
      <c r="AC2112" t="b">
        <v>1</v>
      </c>
      <c r="AD2112" t="b">
        <v>1</v>
      </c>
      <c r="AE2112" t="b">
        <v>1</v>
      </c>
      <c r="AF2112" t="b">
        <v>1</v>
      </c>
      <c r="AG2112" t="b">
        <v>1</v>
      </c>
    </row>
    <row r="2113" spans="1:33" x14ac:dyDescent="0.25">
      <c r="A2113" t="s">
        <v>33</v>
      </c>
      <c r="B2113">
        <v>15</v>
      </c>
      <c r="C2113" t="b">
        <v>1</v>
      </c>
      <c r="D2113" t="s">
        <v>7228</v>
      </c>
      <c r="E2113" t="s">
        <v>7229</v>
      </c>
      <c r="F2113" t="s">
        <v>7247</v>
      </c>
      <c r="G2113" t="s">
        <v>7248</v>
      </c>
      <c r="H2113">
        <v>2112</v>
      </c>
      <c r="I2113" t="str">
        <f>IF(ISBLANK(Table1[[#This Row],[oid]]),"FALSE","TRUE")</f>
        <v>TRUE</v>
      </c>
      <c r="J2113" t="str" cm="1">
        <f t="array" ref="J2113">_xlfn.SWITCH(LEFT(Table1[[#This Row],[section]],1), "D", "Demographic", "S", "Social", "E", "Economic", "H", "Housing", "")</f>
        <v>Economic</v>
      </c>
      <c r="K2113" t="s">
        <v>7231</v>
      </c>
      <c r="L2113" t="s">
        <v>7232</v>
      </c>
      <c r="M2113" t="str">
        <f>IF(Table1[[#This Row],[used]], _xlfn.CONCAT("🆔 ", Table1[[#This Row],[variable]], ": ",Table1[[#This Row],[alias]]), "")</f>
        <v>🆔 B17021_005E: Income in the past 12 months below poverty level: In family households: In married couple families: All relatives</v>
      </c>
      <c r="O2113" t="s">
        <v>7249</v>
      </c>
      <c r="P2113" t="s">
        <v>7233</v>
      </c>
      <c r="Q2113" t="s">
        <v>41</v>
      </c>
      <c r="R2113" t="s">
        <v>7250</v>
      </c>
      <c r="S2113" t="b">
        <v>1</v>
      </c>
      <c r="T2113" t="b">
        <v>1</v>
      </c>
      <c r="U2113" t="b">
        <v>1</v>
      </c>
      <c r="V2113" t="b">
        <v>1</v>
      </c>
      <c r="W2113" t="b">
        <v>1</v>
      </c>
      <c r="X2113" t="b">
        <v>1</v>
      </c>
      <c r="Y2113" t="b">
        <v>1</v>
      </c>
      <c r="Z2113" t="b">
        <v>1</v>
      </c>
      <c r="AA2113" t="b">
        <v>1</v>
      </c>
      <c r="AB2113" t="b">
        <v>1</v>
      </c>
      <c r="AC2113" t="b">
        <v>1</v>
      </c>
      <c r="AD2113" t="b">
        <v>1</v>
      </c>
      <c r="AE2113" t="b">
        <v>1</v>
      </c>
      <c r="AF2113" t="b">
        <v>1</v>
      </c>
      <c r="AG2113" t="b">
        <v>1</v>
      </c>
    </row>
    <row r="2114" spans="1:33" x14ac:dyDescent="0.25">
      <c r="A2114" t="s">
        <v>33</v>
      </c>
      <c r="B2114">
        <v>15</v>
      </c>
      <c r="C2114" t="b">
        <v>1</v>
      </c>
      <c r="D2114" t="s">
        <v>7228</v>
      </c>
      <c r="E2114" t="s">
        <v>7229</v>
      </c>
      <c r="F2114" t="s">
        <v>7251</v>
      </c>
      <c r="G2114" t="s">
        <v>7252</v>
      </c>
      <c r="H2114">
        <v>2113</v>
      </c>
      <c r="I2114" t="str">
        <f>IF(ISBLANK(Table1[[#This Row],[oid]]),"FALSE","TRUE")</f>
        <v>TRUE</v>
      </c>
      <c r="J2114" t="str" cm="1">
        <f t="array" ref="J2114">_xlfn.SWITCH(LEFT(Table1[[#This Row],[section]],1), "D", "Demographic", "S", "Social", "E", "Economic", "H", "Housing", "")</f>
        <v>Economic</v>
      </c>
      <c r="K2114" t="s">
        <v>7231</v>
      </c>
      <c r="L2114" t="s">
        <v>7232</v>
      </c>
      <c r="M2114" t="str">
        <f>IF(Table1[[#This Row],[used]], _xlfn.CONCAT("🆔 ", Table1[[#This Row],[variable]], ": ",Table1[[#This Row],[alias]]), "")</f>
        <v>🆔 B17021_006E: Income in the past 12 months below poverty level: In family households: In married couple families: Non-relatives</v>
      </c>
      <c r="O2114" t="s">
        <v>7253</v>
      </c>
      <c r="P2114" t="s">
        <v>7233</v>
      </c>
      <c r="Q2114" t="s">
        <v>41</v>
      </c>
      <c r="R2114" t="s">
        <v>7254</v>
      </c>
      <c r="S2114" t="b">
        <v>1</v>
      </c>
      <c r="T2114" t="b">
        <v>1</v>
      </c>
      <c r="U2114" t="b">
        <v>1</v>
      </c>
      <c r="V2114" t="b">
        <v>1</v>
      </c>
      <c r="W2114" t="b">
        <v>1</v>
      </c>
      <c r="X2114" t="b">
        <v>1</v>
      </c>
      <c r="Y2114" t="b">
        <v>1</v>
      </c>
      <c r="Z2114" t="b">
        <v>1</v>
      </c>
      <c r="AA2114" t="b">
        <v>1</v>
      </c>
      <c r="AB2114" t="b">
        <v>1</v>
      </c>
      <c r="AC2114" t="b">
        <v>1</v>
      </c>
      <c r="AD2114" t="b">
        <v>1</v>
      </c>
      <c r="AE2114" t="b">
        <v>1</v>
      </c>
      <c r="AF2114" t="b">
        <v>1</v>
      </c>
      <c r="AG2114" t="b">
        <v>1</v>
      </c>
    </row>
    <row r="2115" spans="1:33" x14ac:dyDescent="0.25">
      <c r="A2115" t="s">
        <v>33</v>
      </c>
      <c r="B2115">
        <v>15</v>
      </c>
      <c r="C2115" t="b">
        <v>1</v>
      </c>
      <c r="D2115" t="s">
        <v>7228</v>
      </c>
      <c r="E2115" t="s">
        <v>7229</v>
      </c>
      <c r="F2115" t="s">
        <v>7255</v>
      </c>
      <c r="G2115" t="s">
        <v>7256</v>
      </c>
      <c r="H2115">
        <v>2114</v>
      </c>
      <c r="I2115" t="str">
        <f>IF(ISBLANK(Table1[[#This Row],[oid]]),"FALSE","TRUE")</f>
        <v>TRUE</v>
      </c>
      <c r="J2115" t="str" cm="1">
        <f t="array" ref="J2115">_xlfn.SWITCH(LEFT(Table1[[#This Row],[section]],1), "D", "Demographic", "S", "Social", "E", "Economic", "H", "Housing", "")</f>
        <v>Economic</v>
      </c>
      <c r="K2115" t="s">
        <v>7231</v>
      </c>
      <c r="L2115" t="s">
        <v>7232</v>
      </c>
      <c r="M2115" t="str">
        <f>IF(Table1[[#This Row],[used]], _xlfn.CONCAT("🆔 ", Table1[[#This Row],[variable]], ": ",Table1[[#This Row],[alias]]), "")</f>
        <v>🆔 B17021_007E: Income in the past 12 months below poverty level: In family households: In other families</v>
      </c>
      <c r="O2115" t="s">
        <v>7257</v>
      </c>
      <c r="P2115" t="s">
        <v>7233</v>
      </c>
      <c r="Q2115" t="s">
        <v>41</v>
      </c>
      <c r="R2115" t="s">
        <v>7258</v>
      </c>
      <c r="S2115" t="b">
        <v>1</v>
      </c>
      <c r="T2115" t="b">
        <v>1</v>
      </c>
      <c r="U2115" t="b">
        <v>1</v>
      </c>
      <c r="V2115" t="b">
        <v>1</v>
      </c>
      <c r="W2115" t="b">
        <v>1</v>
      </c>
      <c r="X2115" t="b">
        <v>1</v>
      </c>
      <c r="Y2115" t="b">
        <v>1</v>
      </c>
      <c r="Z2115" t="b">
        <v>1</v>
      </c>
      <c r="AA2115" t="b">
        <v>1</v>
      </c>
      <c r="AB2115" t="b">
        <v>1</v>
      </c>
      <c r="AC2115" t="b">
        <v>1</v>
      </c>
      <c r="AD2115" t="b">
        <v>1</v>
      </c>
      <c r="AE2115" t="b">
        <v>1</v>
      </c>
      <c r="AF2115" t="b">
        <v>1</v>
      </c>
      <c r="AG2115" t="b">
        <v>1</v>
      </c>
    </row>
    <row r="2116" spans="1:33" x14ac:dyDescent="0.25">
      <c r="A2116" t="s">
        <v>676</v>
      </c>
      <c r="B2116">
        <v>9</v>
      </c>
      <c r="C2116" t="b">
        <v>0</v>
      </c>
      <c r="D2116" t="s">
        <v>7228</v>
      </c>
      <c r="E2116" t="s">
        <v>7229</v>
      </c>
      <c r="F2116" t="s">
        <v>7259</v>
      </c>
      <c r="G2116" t="s">
        <v>7260</v>
      </c>
      <c r="H2116">
        <v>2115</v>
      </c>
      <c r="I2116" t="str">
        <f>IF(ISBLANK(Table1[[#This Row],[oid]]),"FALSE","TRUE")</f>
        <v>TRUE</v>
      </c>
      <c r="J2116" t="str" cm="1">
        <f t="array" ref="J2116">_xlfn.SWITCH(LEFT(Table1[[#This Row],[section]],1), "D", "Demographic", "S", "Social", "E", "Economic", "H", "Housing", "")</f>
        <v>Economic</v>
      </c>
      <c r="K2116" t="s">
        <v>7231</v>
      </c>
      <c r="L2116" t="s">
        <v>7232</v>
      </c>
      <c r="M2116" t="str">
        <f>IF(Table1[[#This Row],[used]], _xlfn.CONCAT("🆔 ", Table1[[#This Row],[variable]], ": ",Table1[[#This Row],[alias]]), "")</f>
        <v>🆔 B17021_008E: Income in the past 12 months below poverty level: In family households: In other families: Male householder no wife present</v>
      </c>
      <c r="O2116" t="s">
        <v>7261</v>
      </c>
      <c r="P2116" t="s">
        <v>7233</v>
      </c>
      <c r="Q2116" t="s">
        <v>41</v>
      </c>
      <c r="R2116" t="s">
        <v>7262</v>
      </c>
      <c r="S2116" t="b">
        <v>1</v>
      </c>
      <c r="T2116" t="b">
        <v>1</v>
      </c>
      <c r="U2116" t="b">
        <v>1</v>
      </c>
      <c r="V2116" t="b">
        <v>1</v>
      </c>
      <c r="W2116" t="b">
        <v>1</v>
      </c>
      <c r="X2116" t="b">
        <v>1</v>
      </c>
      <c r="Y2116" t="b">
        <v>1</v>
      </c>
      <c r="Z2116" t="b">
        <v>1</v>
      </c>
      <c r="AA2116" t="b">
        <v>1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</row>
    <row r="2117" spans="1:33" x14ac:dyDescent="0.25">
      <c r="A2117" t="s">
        <v>681</v>
      </c>
      <c r="B2117">
        <v>6</v>
      </c>
      <c r="C2117" t="b">
        <v>0</v>
      </c>
      <c r="D2117" t="s">
        <v>7228</v>
      </c>
      <c r="E2117" t="s">
        <v>7229</v>
      </c>
      <c r="F2117" t="s">
        <v>7259</v>
      </c>
      <c r="G2117" t="s">
        <v>7263</v>
      </c>
      <c r="H2117">
        <v>2116</v>
      </c>
      <c r="I2117" t="str">
        <f>IF(ISBLANK(Table1[[#This Row],[oid]]),"FALSE","TRUE")</f>
        <v>TRUE</v>
      </c>
      <c r="J2117" t="str" cm="1">
        <f t="array" ref="J2117">_xlfn.SWITCH(LEFT(Table1[[#This Row],[section]],1), "D", "Demographic", "S", "Social", "E", "Economic", "H", "Housing", "")</f>
        <v>Economic</v>
      </c>
      <c r="K2117" t="s">
        <v>7231</v>
      </c>
      <c r="L2117" t="s">
        <v>7232</v>
      </c>
      <c r="M2117" t="str">
        <f>IF(Table1[[#This Row],[used]], _xlfn.CONCAT("🆔 ", Table1[[#This Row],[variable]], ": ",Table1[[#This Row],[alias]]), "")</f>
        <v>🆔 B17021_008E: Income in the past 12 months below poverty level: In family households: In other families: Male householder no spouse present</v>
      </c>
      <c r="O2117" t="s">
        <v>7264</v>
      </c>
      <c r="P2117" t="s">
        <v>7233</v>
      </c>
      <c r="Q2117" t="s">
        <v>41</v>
      </c>
      <c r="R2117" t="s">
        <v>7262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1</v>
      </c>
      <c r="AC2117" t="b">
        <v>1</v>
      </c>
      <c r="AD2117" t="b">
        <v>1</v>
      </c>
      <c r="AE2117" t="b">
        <v>1</v>
      </c>
      <c r="AF2117" t="b">
        <v>1</v>
      </c>
      <c r="AG2117" t="b">
        <v>1</v>
      </c>
    </row>
    <row r="2118" spans="1:33" x14ac:dyDescent="0.25">
      <c r="A2118" t="s">
        <v>676</v>
      </c>
      <c r="B2118">
        <v>9</v>
      </c>
      <c r="C2118" t="b">
        <v>0</v>
      </c>
      <c r="D2118" t="s">
        <v>7228</v>
      </c>
      <c r="E2118" t="s">
        <v>7229</v>
      </c>
      <c r="F2118" t="s">
        <v>7265</v>
      </c>
      <c r="G2118" t="s">
        <v>7266</v>
      </c>
      <c r="H2118">
        <v>2117</v>
      </c>
      <c r="I2118" t="str">
        <f>IF(ISBLANK(Table1[[#This Row],[oid]]),"FALSE","TRUE")</f>
        <v>TRUE</v>
      </c>
      <c r="J2118" t="str" cm="1">
        <f t="array" ref="J2118">_xlfn.SWITCH(LEFT(Table1[[#This Row],[section]],1), "D", "Demographic", "S", "Social", "E", "Economic", "H", "Housing", "")</f>
        <v>Economic</v>
      </c>
      <c r="K2118" t="s">
        <v>7231</v>
      </c>
      <c r="L2118" t="s">
        <v>7232</v>
      </c>
      <c r="M2118" t="str">
        <f>IF(Table1[[#This Row],[used]], _xlfn.CONCAT("🆔 ", Table1[[#This Row],[variable]], ": ",Table1[[#This Row],[alias]]), "")</f>
        <v>🆔 B17021_009E: Income in the past 12 months below poverty level: In family households: In other families: Male householder no wife present: All relatives</v>
      </c>
      <c r="O2118" t="s">
        <v>7267</v>
      </c>
      <c r="P2118" t="s">
        <v>7233</v>
      </c>
      <c r="Q2118" t="s">
        <v>41</v>
      </c>
      <c r="R2118" t="s">
        <v>7268</v>
      </c>
      <c r="S2118" t="b">
        <v>1</v>
      </c>
      <c r="T2118" t="b">
        <v>1</v>
      </c>
      <c r="U2118" t="b">
        <v>1</v>
      </c>
      <c r="V2118" t="b">
        <v>1</v>
      </c>
      <c r="W2118" t="b">
        <v>1</v>
      </c>
      <c r="X2118" t="b">
        <v>1</v>
      </c>
      <c r="Y2118" t="b">
        <v>1</v>
      </c>
      <c r="Z2118" t="b">
        <v>1</v>
      </c>
      <c r="AA2118" t="b">
        <v>1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</row>
    <row r="2119" spans="1:33" x14ac:dyDescent="0.25">
      <c r="A2119" t="s">
        <v>681</v>
      </c>
      <c r="B2119">
        <v>6</v>
      </c>
      <c r="C2119" t="b">
        <v>0</v>
      </c>
      <c r="D2119" t="s">
        <v>7228</v>
      </c>
      <c r="E2119" t="s">
        <v>7229</v>
      </c>
      <c r="F2119" t="s">
        <v>7265</v>
      </c>
      <c r="G2119" t="s">
        <v>7269</v>
      </c>
      <c r="H2119">
        <v>2118</v>
      </c>
      <c r="I2119" t="str">
        <f>IF(ISBLANK(Table1[[#This Row],[oid]]),"FALSE","TRUE")</f>
        <v>TRUE</v>
      </c>
      <c r="J2119" t="str" cm="1">
        <f t="array" ref="J2119">_xlfn.SWITCH(LEFT(Table1[[#This Row],[section]],1), "D", "Demographic", "S", "Social", "E", "Economic", "H", "Housing", "")</f>
        <v>Economic</v>
      </c>
      <c r="K2119" t="s">
        <v>7231</v>
      </c>
      <c r="L2119" t="s">
        <v>7232</v>
      </c>
      <c r="M2119" t="str">
        <f>IF(Table1[[#This Row],[used]], _xlfn.CONCAT("🆔 ", Table1[[#This Row],[variable]], ": ",Table1[[#This Row],[alias]]), "")</f>
        <v>🆔 B17021_009E: Income in the past 12 months below poverty level: In family households: In other families: Male householder no spouse present: All relatives</v>
      </c>
      <c r="O2119" t="s">
        <v>7270</v>
      </c>
      <c r="P2119" t="s">
        <v>7233</v>
      </c>
      <c r="Q2119" t="s">
        <v>41</v>
      </c>
      <c r="R2119" t="s">
        <v>7268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1</v>
      </c>
      <c r="AC2119" t="b">
        <v>1</v>
      </c>
      <c r="AD2119" t="b">
        <v>1</v>
      </c>
      <c r="AE2119" t="b">
        <v>1</v>
      </c>
      <c r="AF2119" t="b">
        <v>1</v>
      </c>
      <c r="AG2119" t="b">
        <v>1</v>
      </c>
    </row>
    <row r="2120" spans="1:33" x14ac:dyDescent="0.25">
      <c r="A2120" t="s">
        <v>676</v>
      </c>
      <c r="B2120">
        <v>9</v>
      </c>
      <c r="C2120" t="b">
        <v>0</v>
      </c>
      <c r="D2120" t="s">
        <v>7228</v>
      </c>
      <c r="E2120" t="s">
        <v>7229</v>
      </c>
      <c r="F2120" t="s">
        <v>7271</v>
      </c>
      <c r="G2120" t="s">
        <v>7272</v>
      </c>
      <c r="H2120">
        <v>2119</v>
      </c>
      <c r="I2120" t="str">
        <f>IF(ISBLANK(Table1[[#This Row],[oid]]),"FALSE","TRUE")</f>
        <v>TRUE</v>
      </c>
      <c r="J2120" t="str" cm="1">
        <f t="array" ref="J2120">_xlfn.SWITCH(LEFT(Table1[[#This Row],[section]],1), "D", "Demographic", "S", "Social", "E", "Economic", "H", "Housing", "")</f>
        <v>Economic</v>
      </c>
      <c r="K2120" t="s">
        <v>7231</v>
      </c>
      <c r="L2120" t="s">
        <v>7232</v>
      </c>
      <c r="M2120" t="str">
        <f>IF(Table1[[#This Row],[used]], _xlfn.CONCAT("🆔 ", Table1[[#This Row],[variable]], ": ",Table1[[#This Row],[alias]]), "")</f>
        <v>🆔 B17021_010E: Income in the past 12 months below poverty level: In family households: In other families: Male householder no wife present: Non-relatives</v>
      </c>
      <c r="O2120" t="s">
        <v>7273</v>
      </c>
      <c r="P2120" t="s">
        <v>7233</v>
      </c>
      <c r="Q2120" t="s">
        <v>41</v>
      </c>
      <c r="R2120" t="s">
        <v>7274</v>
      </c>
      <c r="S2120" t="b">
        <v>1</v>
      </c>
      <c r="T2120" t="b">
        <v>1</v>
      </c>
      <c r="U2120" t="b">
        <v>1</v>
      </c>
      <c r="V2120" t="b">
        <v>1</v>
      </c>
      <c r="W2120" t="b">
        <v>1</v>
      </c>
      <c r="X2120" t="b">
        <v>1</v>
      </c>
      <c r="Y2120" t="b">
        <v>1</v>
      </c>
      <c r="Z2120" t="b">
        <v>1</v>
      </c>
      <c r="AA2120" t="b">
        <v>1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</row>
    <row r="2121" spans="1:33" x14ac:dyDescent="0.25">
      <c r="A2121" t="s">
        <v>681</v>
      </c>
      <c r="B2121">
        <v>6</v>
      </c>
      <c r="C2121" t="b">
        <v>0</v>
      </c>
      <c r="D2121" t="s">
        <v>7228</v>
      </c>
      <c r="E2121" t="s">
        <v>7229</v>
      </c>
      <c r="F2121" t="s">
        <v>7271</v>
      </c>
      <c r="G2121" t="s">
        <v>7275</v>
      </c>
      <c r="H2121">
        <v>2120</v>
      </c>
      <c r="I2121" t="str">
        <f>IF(ISBLANK(Table1[[#This Row],[oid]]),"FALSE","TRUE")</f>
        <v>TRUE</v>
      </c>
      <c r="J2121" t="str" cm="1">
        <f t="array" ref="J2121">_xlfn.SWITCH(LEFT(Table1[[#This Row],[section]],1), "D", "Demographic", "S", "Social", "E", "Economic", "H", "Housing", "")</f>
        <v>Economic</v>
      </c>
      <c r="K2121" t="s">
        <v>7231</v>
      </c>
      <c r="L2121" t="s">
        <v>7232</v>
      </c>
      <c r="M2121" t="str">
        <f>IF(Table1[[#This Row],[used]], _xlfn.CONCAT("🆔 ", Table1[[#This Row],[variable]], ": ",Table1[[#This Row],[alias]]), "")</f>
        <v>🆔 B17021_010E: Income in the past 12 months below poverty level: In family households: In other families: Male householder no spouse present: Non-relatives</v>
      </c>
      <c r="O2121" t="s">
        <v>7276</v>
      </c>
      <c r="P2121" t="s">
        <v>7233</v>
      </c>
      <c r="Q2121" t="s">
        <v>41</v>
      </c>
      <c r="R2121" t="s">
        <v>7274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1</v>
      </c>
      <c r="AC2121" t="b">
        <v>1</v>
      </c>
      <c r="AD2121" t="b">
        <v>1</v>
      </c>
      <c r="AE2121" t="b">
        <v>1</v>
      </c>
      <c r="AF2121" t="b">
        <v>1</v>
      </c>
      <c r="AG2121" t="b">
        <v>1</v>
      </c>
    </row>
    <row r="2122" spans="1:33" x14ac:dyDescent="0.25">
      <c r="A2122" t="s">
        <v>676</v>
      </c>
      <c r="B2122">
        <v>9</v>
      </c>
      <c r="C2122" t="b">
        <v>0</v>
      </c>
      <c r="D2122" t="s">
        <v>7228</v>
      </c>
      <c r="E2122" t="s">
        <v>7229</v>
      </c>
      <c r="F2122" t="s">
        <v>7277</v>
      </c>
      <c r="G2122" t="s">
        <v>7278</v>
      </c>
      <c r="H2122">
        <v>2121</v>
      </c>
      <c r="I2122" t="str">
        <f>IF(ISBLANK(Table1[[#This Row],[oid]]),"FALSE","TRUE")</f>
        <v>TRUE</v>
      </c>
      <c r="J2122" t="str" cm="1">
        <f t="array" ref="J2122">_xlfn.SWITCH(LEFT(Table1[[#This Row],[section]],1), "D", "Demographic", "S", "Social", "E", "Economic", "H", "Housing", "")</f>
        <v>Economic</v>
      </c>
      <c r="K2122" t="s">
        <v>7231</v>
      </c>
      <c r="L2122" t="s">
        <v>7232</v>
      </c>
      <c r="M2122" t="str">
        <f>IF(Table1[[#This Row],[used]], _xlfn.CONCAT("🆔 ", Table1[[#This Row],[variable]], ": ",Table1[[#This Row],[alias]]), "")</f>
        <v>🆔 B17021_011E: Income in the past 12 months below poverty level: In family households: In other families: Female householder no husband present</v>
      </c>
      <c r="O2122" t="s">
        <v>7279</v>
      </c>
      <c r="P2122" t="s">
        <v>7233</v>
      </c>
      <c r="Q2122" t="s">
        <v>41</v>
      </c>
      <c r="R2122" t="s">
        <v>7280</v>
      </c>
      <c r="S2122" t="b">
        <v>1</v>
      </c>
      <c r="T2122" t="b">
        <v>1</v>
      </c>
      <c r="U2122" t="b">
        <v>1</v>
      </c>
      <c r="V2122" t="b">
        <v>1</v>
      </c>
      <c r="W2122" t="b">
        <v>1</v>
      </c>
      <c r="X2122" t="b">
        <v>1</v>
      </c>
      <c r="Y2122" t="b">
        <v>1</v>
      </c>
      <c r="Z2122" t="b">
        <v>1</v>
      </c>
      <c r="AA2122" t="b">
        <v>1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</row>
    <row r="2123" spans="1:33" x14ac:dyDescent="0.25">
      <c r="A2123" t="s">
        <v>681</v>
      </c>
      <c r="B2123">
        <v>6</v>
      </c>
      <c r="C2123" t="b">
        <v>0</v>
      </c>
      <c r="D2123" t="s">
        <v>7228</v>
      </c>
      <c r="E2123" t="s">
        <v>7229</v>
      </c>
      <c r="F2123" t="s">
        <v>7277</v>
      </c>
      <c r="G2123" t="s">
        <v>7281</v>
      </c>
      <c r="H2123">
        <v>2122</v>
      </c>
      <c r="I2123" t="str">
        <f>IF(ISBLANK(Table1[[#This Row],[oid]]),"FALSE","TRUE")</f>
        <v>TRUE</v>
      </c>
      <c r="J2123" t="str" cm="1">
        <f t="array" ref="J2123">_xlfn.SWITCH(LEFT(Table1[[#This Row],[section]],1), "D", "Demographic", "S", "Social", "E", "Economic", "H", "Housing", "")</f>
        <v>Economic</v>
      </c>
      <c r="K2123" t="s">
        <v>7231</v>
      </c>
      <c r="L2123" t="s">
        <v>7232</v>
      </c>
      <c r="M2123" t="str">
        <f>IF(Table1[[#This Row],[used]], _xlfn.CONCAT("🆔 ", Table1[[#This Row],[variable]], ": ",Table1[[#This Row],[alias]]), "")</f>
        <v>🆔 B17021_011E: Income in the past 12 months below poverty level: In family households: In other families: Female householder no spouse present</v>
      </c>
      <c r="O2123" t="s">
        <v>7282</v>
      </c>
      <c r="P2123" t="s">
        <v>7233</v>
      </c>
      <c r="Q2123" t="s">
        <v>41</v>
      </c>
      <c r="R2123" t="s">
        <v>7280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1</v>
      </c>
      <c r="AC2123" t="b">
        <v>1</v>
      </c>
      <c r="AD2123" t="b">
        <v>1</v>
      </c>
      <c r="AE2123" t="b">
        <v>1</v>
      </c>
      <c r="AF2123" t="b">
        <v>1</v>
      </c>
      <c r="AG2123" t="b">
        <v>1</v>
      </c>
    </row>
    <row r="2124" spans="1:33" x14ac:dyDescent="0.25">
      <c r="A2124" t="s">
        <v>676</v>
      </c>
      <c r="B2124">
        <v>9</v>
      </c>
      <c r="C2124" t="b">
        <v>0</v>
      </c>
      <c r="D2124" t="s">
        <v>7228</v>
      </c>
      <c r="E2124" t="s">
        <v>7229</v>
      </c>
      <c r="F2124" t="s">
        <v>7283</v>
      </c>
      <c r="G2124" t="s">
        <v>7284</v>
      </c>
      <c r="H2124">
        <v>2123</v>
      </c>
      <c r="I2124" t="str">
        <f>IF(ISBLANK(Table1[[#This Row],[oid]]),"FALSE","TRUE")</f>
        <v>TRUE</v>
      </c>
      <c r="J2124" t="str" cm="1">
        <f t="array" ref="J2124">_xlfn.SWITCH(LEFT(Table1[[#This Row],[section]],1), "D", "Demographic", "S", "Social", "E", "Economic", "H", "Housing", "")</f>
        <v>Economic</v>
      </c>
      <c r="K2124" t="s">
        <v>7231</v>
      </c>
      <c r="L2124" t="s">
        <v>7232</v>
      </c>
      <c r="M2124" t="str">
        <f>IF(Table1[[#This Row],[used]], _xlfn.CONCAT("🆔 ", Table1[[#This Row],[variable]], ": ",Table1[[#This Row],[alias]]), "")</f>
        <v>🆔 B17021_012E: Income in the past 12 months below poverty level: In family households: In other families: Female householder no husband present: All relatives</v>
      </c>
      <c r="O2124" t="s">
        <v>7285</v>
      </c>
      <c r="P2124" t="s">
        <v>7233</v>
      </c>
      <c r="Q2124" t="s">
        <v>41</v>
      </c>
      <c r="R2124" t="s">
        <v>7286</v>
      </c>
      <c r="S2124" t="b">
        <v>1</v>
      </c>
      <c r="T2124" t="b">
        <v>1</v>
      </c>
      <c r="U2124" t="b">
        <v>1</v>
      </c>
      <c r="V2124" t="b">
        <v>1</v>
      </c>
      <c r="W2124" t="b">
        <v>1</v>
      </c>
      <c r="X2124" t="b">
        <v>1</v>
      </c>
      <c r="Y2124" t="b">
        <v>1</v>
      </c>
      <c r="Z2124" t="b">
        <v>1</v>
      </c>
      <c r="AA2124" t="b">
        <v>1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</row>
    <row r="2125" spans="1:33" x14ac:dyDescent="0.25">
      <c r="A2125" t="s">
        <v>681</v>
      </c>
      <c r="B2125">
        <v>6</v>
      </c>
      <c r="C2125" t="b">
        <v>0</v>
      </c>
      <c r="D2125" t="s">
        <v>7228</v>
      </c>
      <c r="E2125" t="s">
        <v>7229</v>
      </c>
      <c r="F2125" t="s">
        <v>7283</v>
      </c>
      <c r="G2125" t="s">
        <v>7287</v>
      </c>
      <c r="H2125">
        <v>2124</v>
      </c>
      <c r="I2125" t="str">
        <f>IF(ISBLANK(Table1[[#This Row],[oid]]),"FALSE","TRUE")</f>
        <v>TRUE</v>
      </c>
      <c r="J2125" t="str" cm="1">
        <f t="array" ref="J2125">_xlfn.SWITCH(LEFT(Table1[[#This Row],[section]],1), "D", "Demographic", "S", "Social", "E", "Economic", "H", "Housing", "")</f>
        <v>Economic</v>
      </c>
      <c r="K2125" t="s">
        <v>7231</v>
      </c>
      <c r="L2125" t="s">
        <v>7232</v>
      </c>
      <c r="M2125" t="str">
        <f>IF(Table1[[#This Row],[used]], _xlfn.CONCAT("🆔 ", Table1[[#This Row],[variable]], ": ",Table1[[#This Row],[alias]]), "")</f>
        <v>🆔 B17021_012E: Income in the past 12 months below poverty level: In family households: In other families: Female householder no spouse present: All relatives</v>
      </c>
      <c r="O2125" t="s">
        <v>7288</v>
      </c>
      <c r="P2125" t="s">
        <v>7233</v>
      </c>
      <c r="Q2125" t="s">
        <v>41</v>
      </c>
      <c r="R2125" t="s">
        <v>7286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1</v>
      </c>
      <c r="AC2125" t="b">
        <v>1</v>
      </c>
      <c r="AD2125" t="b">
        <v>1</v>
      </c>
      <c r="AE2125" t="b">
        <v>1</v>
      </c>
      <c r="AF2125" t="b">
        <v>1</v>
      </c>
      <c r="AG2125" t="b">
        <v>1</v>
      </c>
    </row>
    <row r="2126" spans="1:33" x14ac:dyDescent="0.25">
      <c r="A2126" t="s">
        <v>676</v>
      </c>
      <c r="B2126">
        <v>9</v>
      </c>
      <c r="C2126" t="b">
        <v>0</v>
      </c>
      <c r="D2126" t="s">
        <v>7228</v>
      </c>
      <c r="E2126" t="s">
        <v>7229</v>
      </c>
      <c r="F2126" t="s">
        <v>7289</v>
      </c>
      <c r="G2126" t="s">
        <v>7290</v>
      </c>
      <c r="H2126">
        <v>2125</v>
      </c>
      <c r="I2126" t="str">
        <f>IF(ISBLANK(Table1[[#This Row],[oid]]),"FALSE","TRUE")</f>
        <v>TRUE</v>
      </c>
      <c r="J2126" t="str" cm="1">
        <f t="array" ref="J2126">_xlfn.SWITCH(LEFT(Table1[[#This Row],[section]],1), "D", "Demographic", "S", "Social", "E", "Economic", "H", "Housing", "")</f>
        <v>Economic</v>
      </c>
      <c r="K2126" t="s">
        <v>7231</v>
      </c>
      <c r="L2126" t="s">
        <v>7232</v>
      </c>
      <c r="M2126" t="str">
        <f>IF(Table1[[#This Row],[used]], _xlfn.CONCAT("🆔 ", Table1[[#This Row],[variable]], ": ",Table1[[#This Row],[alias]]), "")</f>
        <v>🆔 B17021_013E: Income in the past 12 months below poverty level: In family households: In other families: Female householder no husband present: Non-relatives</v>
      </c>
      <c r="O2126" t="s">
        <v>7291</v>
      </c>
      <c r="P2126" t="s">
        <v>7233</v>
      </c>
      <c r="Q2126" t="s">
        <v>41</v>
      </c>
      <c r="R2126" t="s">
        <v>7292</v>
      </c>
      <c r="S2126" t="b">
        <v>1</v>
      </c>
      <c r="T2126" t="b">
        <v>1</v>
      </c>
      <c r="U2126" t="b">
        <v>1</v>
      </c>
      <c r="V2126" t="b">
        <v>1</v>
      </c>
      <c r="W2126" t="b">
        <v>1</v>
      </c>
      <c r="X2126" t="b">
        <v>1</v>
      </c>
      <c r="Y2126" t="b">
        <v>1</v>
      </c>
      <c r="Z2126" t="b">
        <v>1</v>
      </c>
      <c r="AA2126" t="b">
        <v>1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</row>
    <row r="2127" spans="1:33" x14ac:dyDescent="0.25">
      <c r="A2127" t="s">
        <v>681</v>
      </c>
      <c r="B2127">
        <v>6</v>
      </c>
      <c r="C2127" t="b">
        <v>0</v>
      </c>
      <c r="D2127" t="s">
        <v>7228</v>
      </c>
      <c r="E2127" t="s">
        <v>7229</v>
      </c>
      <c r="F2127" t="s">
        <v>7289</v>
      </c>
      <c r="G2127" t="s">
        <v>7293</v>
      </c>
      <c r="H2127">
        <v>2126</v>
      </c>
      <c r="I2127" t="str">
        <f>IF(ISBLANK(Table1[[#This Row],[oid]]),"FALSE","TRUE")</f>
        <v>TRUE</v>
      </c>
      <c r="J2127" t="str" cm="1">
        <f t="array" ref="J2127">_xlfn.SWITCH(LEFT(Table1[[#This Row],[section]],1), "D", "Demographic", "S", "Social", "E", "Economic", "H", "Housing", "")</f>
        <v>Economic</v>
      </c>
      <c r="K2127" t="s">
        <v>7231</v>
      </c>
      <c r="L2127" t="s">
        <v>7232</v>
      </c>
      <c r="M2127" t="str">
        <f>IF(Table1[[#This Row],[used]], _xlfn.CONCAT("🆔 ", Table1[[#This Row],[variable]], ": ",Table1[[#This Row],[alias]]), "")</f>
        <v>🆔 B17021_013E: Income in the past 12 months below poverty level: In family households: In other families: Female householder no spouse present: Non-relatives</v>
      </c>
      <c r="O2127" t="s">
        <v>7294</v>
      </c>
      <c r="P2127" t="s">
        <v>7233</v>
      </c>
      <c r="Q2127" t="s">
        <v>41</v>
      </c>
      <c r="R2127" t="s">
        <v>7292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1</v>
      </c>
      <c r="AC2127" t="b">
        <v>1</v>
      </c>
      <c r="AD2127" t="b">
        <v>1</v>
      </c>
      <c r="AE2127" t="b">
        <v>1</v>
      </c>
      <c r="AF2127" t="b">
        <v>1</v>
      </c>
      <c r="AG2127" t="b">
        <v>1</v>
      </c>
    </row>
    <row r="2128" spans="1:33" x14ac:dyDescent="0.25">
      <c r="A2128" t="s">
        <v>33</v>
      </c>
      <c r="B2128">
        <v>15</v>
      </c>
      <c r="C2128" t="b">
        <v>1</v>
      </c>
      <c r="D2128" t="s">
        <v>7228</v>
      </c>
      <c r="E2128" t="s">
        <v>7229</v>
      </c>
      <c r="F2128" t="s">
        <v>7295</v>
      </c>
      <c r="G2128" t="s">
        <v>7296</v>
      </c>
      <c r="H2128">
        <v>2127</v>
      </c>
      <c r="I2128" t="str">
        <f>IF(ISBLANK(Table1[[#This Row],[oid]]),"FALSE","TRUE")</f>
        <v>TRUE</v>
      </c>
      <c r="J2128" t="str" cm="1">
        <f t="array" ref="J2128">_xlfn.SWITCH(LEFT(Table1[[#This Row],[section]],1), "D", "Demographic", "S", "Social", "E", "Economic", "H", "Housing", "")</f>
        <v>Economic</v>
      </c>
      <c r="K2128" t="s">
        <v>7231</v>
      </c>
      <c r="L2128" t="s">
        <v>7232</v>
      </c>
      <c r="M2128" t="str">
        <f>IF(Table1[[#This Row],[used]], _xlfn.CONCAT("🆔 ", Table1[[#This Row],[variable]], ": ",Table1[[#This Row],[alias]]), "")</f>
        <v>🆔 B17021_014E: Income in the past 12 months below poverty level: In non-family households and other living arrangement</v>
      </c>
      <c r="O2128" t="s">
        <v>7297</v>
      </c>
      <c r="P2128" t="s">
        <v>7233</v>
      </c>
      <c r="Q2128" t="s">
        <v>41</v>
      </c>
      <c r="R2128" t="s">
        <v>7298</v>
      </c>
      <c r="S2128" t="b">
        <v>1</v>
      </c>
      <c r="T2128" t="b">
        <v>1</v>
      </c>
      <c r="U2128" t="b">
        <v>1</v>
      </c>
      <c r="V2128" t="b">
        <v>1</v>
      </c>
      <c r="W2128" t="b">
        <v>1</v>
      </c>
      <c r="X2128" t="b">
        <v>1</v>
      </c>
      <c r="Y2128" t="b">
        <v>1</v>
      </c>
      <c r="Z2128" t="b">
        <v>1</v>
      </c>
      <c r="AA2128" t="b">
        <v>1</v>
      </c>
      <c r="AB2128" t="b">
        <v>1</v>
      </c>
      <c r="AC2128" t="b">
        <v>1</v>
      </c>
      <c r="AD2128" t="b">
        <v>1</v>
      </c>
      <c r="AE2128" t="b">
        <v>1</v>
      </c>
      <c r="AF2128" t="b">
        <v>1</v>
      </c>
      <c r="AG2128" t="b">
        <v>1</v>
      </c>
    </row>
    <row r="2129" spans="1:33" x14ac:dyDescent="0.25">
      <c r="A2129" t="s">
        <v>33</v>
      </c>
      <c r="B2129">
        <v>15</v>
      </c>
      <c r="C2129" t="b">
        <v>1</v>
      </c>
      <c r="D2129" t="s">
        <v>7228</v>
      </c>
      <c r="E2129" t="s">
        <v>7229</v>
      </c>
      <c r="F2129" t="s">
        <v>7299</v>
      </c>
      <c r="G2129" t="s">
        <v>7300</v>
      </c>
      <c r="H2129">
        <v>2128</v>
      </c>
      <c r="I2129" t="str">
        <f>IF(ISBLANK(Table1[[#This Row],[oid]]),"FALSE","TRUE")</f>
        <v>TRUE</v>
      </c>
      <c r="J2129" t="str" cm="1">
        <f t="array" ref="J2129">_xlfn.SWITCH(LEFT(Table1[[#This Row],[section]],1), "D", "Demographic", "S", "Social", "E", "Economic", "H", "Housing", "")</f>
        <v>Economic</v>
      </c>
      <c r="K2129" t="s">
        <v>7231</v>
      </c>
      <c r="L2129" t="s">
        <v>7232</v>
      </c>
      <c r="M2129" t="str">
        <f>IF(Table1[[#This Row],[used]], _xlfn.CONCAT("🆔 ", Table1[[#This Row],[variable]], ": ",Table1[[#This Row],[alias]]), "")</f>
        <v>🆔 B17021_015E: Income in the past 12 months below poverty level: In non-family households and other living arrangement: Householder</v>
      </c>
      <c r="O2129" t="s">
        <v>7301</v>
      </c>
      <c r="P2129" t="s">
        <v>7233</v>
      </c>
      <c r="Q2129" t="s">
        <v>41</v>
      </c>
      <c r="R2129" t="s">
        <v>7302</v>
      </c>
      <c r="S2129" t="b">
        <v>1</v>
      </c>
      <c r="T2129" t="b">
        <v>1</v>
      </c>
      <c r="U2129" t="b">
        <v>1</v>
      </c>
      <c r="V2129" t="b">
        <v>1</v>
      </c>
      <c r="W2129" t="b">
        <v>1</v>
      </c>
      <c r="X2129" t="b">
        <v>1</v>
      </c>
      <c r="Y2129" t="b">
        <v>1</v>
      </c>
      <c r="Z2129" t="b">
        <v>1</v>
      </c>
      <c r="AA2129" t="b">
        <v>1</v>
      </c>
      <c r="AB2129" t="b">
        <v>1</v>
      </c>
      <c r="AC2129" t="b">
        <v>1</v>
      </c>
      <c r="AD2129" t="b">
        <v>1</v>
      </c>
      <c r="AE2129" t="b">
        <v>1</v>
      </c>
      <c r="AF2129" t="b">
        <v>1</v>
      </c>
      <c r="AG2129" t="b">
        <v>1</v>
      </c>
    </row>
    <row r="2130" spans="1:33" x14ac:dyDescent="0.25">
      <c r="A2130" t="s">
        <v>33</v>
      </c>
      <c r="B2130">
        <v>15</v>
      </c>
      <c r="C2130" t="b">
        <v>1</v>
      </c>
      <c r="D2130" t="s">
        <v>7228</v>
      </c>
      <c r="E2130" t="s">
        <v>7229</v>
      </c>
      <c r="F2130" t="s">
        <v>7303</v>
      </c>
      <c r="G2130" t="s">
        <v>7304</v>
      </c>
      <c r="H2130">
        <v>2129</v>
      </c>
      <c r="I2130" t="str">
        <f>IF(ISBLANK(Table1[[#This Row],[oid]]),"FALSE","TRUE")</f>
        <v>TRUE</v>
      </c>
      <c r="J2130" t="str" cm="1">
        <f t="array" ref="J2130">_xlfn.SWITCH(LEFT(Table1[[#This Row],[section]],1), "D", "Demographic", "S", "Social", "E", "Economic", "H", "Housing", "")</f>
        <v>Economic</v>
      </c>
      <c r="K2130" t="s">
        <v>7231</v>
      </c>
      <c r="L2130" t="s">
        <v>7232</v>
      </c>
      <c r="M2130" t="str">
        <f>IF(Table1[[#This Row],[used]], _xlfn.CONCAT("🆔 ", Table1[[#This Row],[variable]], ": ",Table1[[#This Row],[alias]]), "")</f>
        <v>🆔 B17021_016E: Income in the past 12 months below poverty level: In non-family households and other living arrangement: Householder: Living alone</v>
      </c>
      <c r="O2130" t="s">
        <v>7305</v>
      </c>
      <c r="P2130" t="s">
        <v>7233</v>
      </c>
      <c r="Q2130" t="s">
        <v>41</v>
      </c>
      <c r="R2130" t="s">
        <v>7306</v>
      </c>
      <c r="S2130" t="b">
        <v>1</v>
      </c>
      <c r="T2130" t="b">
        <v>1</v>
      </c>
      <c r="U2130" t="b">
        <v>1</v>
      </c>
      <c r="V2130" t="b">
        <v>1</v>
      </c>
      <c r="W2130" t="b">
        <v>1</v>
      </c>
      <c r="X2130" t="b">
        <v>1</v>
      </c>
      <c r="Y2130" t="b">
        <v>1</v>
      </c>
      <c r="Z2130" t="b">
        <v>1</v>
      </c>
      <c r="AA2130" t="b">
        <v>1</v>
      </c>
      <c r="AB2130" t="b">
        <v>1</v>
      </c>
      <c r="AC2130" t="b">
        <v>1</v>
      </c>
      <c r="AD2130" t="b">
        <v>1</v>
      </c>
      <c r="AE2130" t="b">
        <v>1</v>
      </c>
      <c r="AF2130" t="b">
        <v>1</v>
      </c>
      <c r="AG2130" t="b">
        <v>1</v>
      </c>
    </row>
    <row r="2131" spans="1:33" x14ac:dyDescent="0.25">
      <c r="A2131" t="s">
        <v>33</v>
      </c>
      <c r="B2131">
        <v>15</v>
      </c>
      <c r="C2131" t="b">
        <v>1</v>
      </c>
      <c r="D2131" t="s">
        <v>7228</v>
      </c>
      <c r="E2131" t="s">
        <v>7229</v>
      </c>
      <c r="F2131" t="s">
        <v>7307</v>
      </c>
      <c r="G2131" t="s">
        <v>7308</v>
      </c>
      <c r="H2131">
        <v>2130</v>
      </c>
      <c r="I2131" t="str">
        <f>IF(ISBLANK(Table1[[#This Row],[oid]]),"FALSE","TRUE")</f>
        <v>TRUE</v>
      </c>
      <c r="J2131" t="str" cm="1">
        <f t="array" ref="J2131">_xlfn.SWITCH(LEFT(Table1[[#This Row],[section]],1), "D", "Demographic", "S", "Social", "E", "Economic", "H", "Housing", "")</f>
        <v>Economic</v>
      </c>
      <c r="K2131" t="s">
        <v>7231</v>
      </c>
      <c r="L2131" t="s">
        <v>7232</v>
      </c>
      <c r="M2131" t="str">
        <f>IF(Table1[[#This Row],[used]], _xlfn.CONCAT("🆔 ", Table1[[#This Row],[variable]], ": ",Table1[[#This Row],[alias]]), "")</f>
        <v>🆔 B17021_017E: Income in the past 12 months below poverty level: In non-family households and other living arrangement: Householder: Not living alone</v>
      </c>
      <c r="O2131" t="s">
        <v>7309</v>
      </c>
      <c r="P2131" t="s">
        <v>7233</v>
      </c>
      <c r="Q2131" t="s">
        <v>41</v>
      </c>
      <c r="R2131" t="s">
        <v>7310</v>
      </c>
      <c r="S2131" t="b">
        <v>1</v>
      </c>
      <c r="T2131" t="b">
        <v>1</v>
      </c>
      <c r="U2131" t="b">
        <v>1</v>
      </c>
      <c r="V2131" t="b">
        <v>1</v>
      </c>
      <c r="W2131" t="b">
        <v>1</v>
      </c>
      <c r="X2131" t="b">
        <v>1</v>
      </c>
      <c r="Y2131" t="b">
        <v>1</v>
      </c>
      <c r="Z2131" t="b">
        <v>1</v>
      </c>
      <c r="AA2131" t="b">
        <v>1</v>
      </c>
      <c r="AB2131" t="b">
        <v>1</v>
      </c>
      <c r="AC2131" t="b">
        <v>1</v>
      </c>
      <c r="AD2131" t="b">
        <v>1</v>
      </c>
      <c r="AE2131" t="b">
        <v>1</v>
      </c>
      <c r="AF2131" t="b">
        <v>1</v>
      </c>
      <c r="AG2131" t="b">
        <v>1</v>
      </c>
    </row>
    <row r="2132" spans="1:33" x14ac:dyDescent="0.25">
      <c r="A2132" t="s">
        <v>33</v>
      </c>
      <c r="B2132">
        <v>15</v>
      </c>
      <c r="C2132" t="b">
        <v>1</v>
      </c>
      <c r="D2132" t="s">
        <v>7228</v>
      </c>
      <c r="E2132" t="s">
        <v>7229</v>
      </c>
      <c r="F2132" t="s">
        <v>7311</v>
      </c>
      <c r="G2132" t="s">
        <v>7312</v>
      </c>
      <c r="H2132">
        <v>2131</v>
      </c>
      <c r="I2132" t="str">
        <f>IF(ISBLANK(Table1[[#This Row],[oid]]),"FALSE","TRUE")</f>
        <v>TRUE</v>
      </c>
      <c r="J2132" t="str" cm="1">
        <f t="array" ref="J2132">_xlfn.SWITCH(LEFT(Table1[[#This Row],[section]],1), "D", "Demographic", "S", "Social", "E", "Economic", "H", "Housing", "")</f>
        <v>Economic</v>
      </c>
      <c r="K2132" t="s">
        <v>7231</v>
      </c>
      <c r="L2132" t="s">
        <v>7232</v>
      </c>
      <c r="M2132" t="str">
        <f>IF(Table1[[#This Row],[used]], _xlfn.CONCAT("🆔 ", Table1[[#This Row],[variable]], ": ",Table1[[#This Row],[alias]]), "")</f>
        <v>🆔 B17021_018E: Income in the past 12 months below poverty level: In non-family households and other living arrangement: Other living arrangement</v>
      </c>
      <c r="O2132" t="s">
        <v>7313</v>
      </c>
      <c r="P2132" t="s">
        <v>7233</v>
      </c>
      <c r="Q2132" t="s">
        <v>41</v>
      </c>
      <c r="R2132" t="s">
        <v>7314</v>
      </c>
      <c r="S2132" t="b">
        <v>1</v>
      </c>
      <c r="T2132" t="b">
        <v>1</v>
      </c>
      <c r="U2132" t="b">
        <v>1</v>
      </c>
      <c r="V2132" t="b">
        <v>1</v>
      </c>
      <c r="W2132" t="b">
        <v>1</v>
      </c>
      <c r="X2132" t="b">
        <v>1</v>
      </c>
      <c r="Y2132" t="b">
        <v>1</v>
      </c>
      <c r="Z2132" t="b">
        <v>1</v>
      </c>
      <c r="AA2132" t="b">
        <v>1</v>
      </c>
      <c r="AB2132" t="b">
        <v>1</v>
      </c>
      <c r="AC2132" t="b">
        <v>1</v>
      </c>
      <c r="AD2132" t="b">
        <v>1</v>
      </c>
      <c r="AE2132" t="b">
        <v>1</v>
      </c>
      <c r="AF2132" t="b">
        <v>1</v>
      </c>
      <c r="AG2132" t="b">
        <v>1</v>
      </c>
    </row>
    <row r="2133" spans="1:33" x14ac:dyDescent="0.25">
      <c r="A2133" t="s">
        <v>33</v>
      </c>
      <c r="B2133">
        <v>15</v>
      </c>
      <c r="C2133" t="b">
        <v>1</v>
      </c>
      <c r="D2133" t="s">
        <v>7228</v>
      </c>
      <c r="E2133" t="s">
        <v>7229</v>
      </c>
      <c r="F2133" t="s">
        <v>7315</v>
      </c>
      <c r="G2133" t="s">
        <v>7316</v>
      </c>
      <c r="H2133">
        <v>2132</v>
      </c>
      <c r="I2133" t="str">
        <f>IF(ISBLANK(Table1[[#This Row],[oid]]),"FALSE","TRUE")</f>
        <v>TRUE</v>
      </c>
      <c r="J2133" t="str" cm="1">
        <f t="array" ref="J2133">_xlfn.SWITCH(LEFT(Table1[[#This Row],[section]],1), "D", "Demographic", "S", "Social", "E", "Economic", "H", "Housing", "")</f>
        <v>Economic</v>
      </c>
      <c r="K2133" t="s">
        <v>7231</v>
      </c>
      <c r="L2133" t="s">
        <v>7232</v>
      </c>
      <c r="M2133" t="str">
        <f>IF(Table1[[#This Row],[used]], _xlfn.CONCAT("🆔 ", Table1[[#This Row],[variable]], ": ",Table1[[#This Row],[alias]]), "")</f>
        <v>🆔 B17021_019E: Income in the past 12 months at or above poverty level</v>
      </c>
      <c r="O2133" t="s">
        <v>7317</v>
      </c>
      <c r="P2133" t="s">
        <v>7233</v>
      </c>
      <c r="Q2133" t="s">
        <v>41</v>
      </c>
      <c r="R2133" t="s">
        <v>7318</v>
      </c>
      <c r="S2133" t="b">
        <v>1</v>
      </c>
      <c r="T2133" t="b">
        <v>1</v>
      </c>
      <c r="U2133" t="b">
        <v>1</v>
      </c>
      <c r="V2133" t="b">
        <v>1</v>
      </c>
      <c r="W2133" t="b">
        <v>1</v>
      </c>
      <c r="X2133" t="b">
        <v>1</v>
      </c>
      <c r="Y2133" t="b">
        <v>1</v>
      </c>
      <c r="Z2133" t="b">
        <v>1</v>
      </c>
      <c r="AA2133" t="b">
        <v>1</v>
      </c>
      <c r="AB2133" t="b">
        <v>1</v>
      </c>
      <c r="AC2133" t="b">
        <v>1</v>
      </c>
      <c r="AD2133" t="b">
        <v>1</v>
      </c>
      <c r="AE2133" t="b">
        <v>1</v>
      </c>
      <c r="AF2133" t="b">
        <v>1</v>
      </c>
      <c r="AG2133" t="b">
        <v>1</v>
      </c>
    </row>
    <row r="2134" spans="1:33" x14ac:dyDescent="0.25">
      <c r="A2134" t="s">
        <v>33</v>
      </c>
      <c r="B2134">
        <v>15</v>
      </c>
      <c r="C2134" t="b">
        <v>1</v>
      </c>
      <c r="D2134" t="s">
        <v>7228</v>
      </c>
      <c r="E2134" t="s">
        <v>7229</v>
      </c>
      <c r="F2134" t="s">
        <v>7319</v>
      </c>
      <c r="G2134" t="s">
        <v>7320</v>
      </c>
      <c r="H2134">
        <v>2133</v>
      </c>
      <c r="I2134" t="str">
        <f>IF(ISBLANK(Table1[[#This Row],[oid]]),"FALSE","TRUE")</f>
        <v>TRUE</v>
      </c>
      <c r="J2134" t="str" cm="1">
        <f t="array" ref="J2134">_xlfn.SWITCH(LEFT(Table1[[#This Row],[section]],1), "D", "Demographic", "S", "Social", "E", "Economic", "H", "Housing", "")</f>
        <v>Economic</v>
      </c>
      <c r="K2134" t="s">
        <v>7231</v>
      </c>
      <c r="L2134" t="s">
        <v>7232</v>
      </c>
      <c r="M2134" t="str">
        <f>IF(Table1[[#This Row],[used]], _xlfn.CONCAT("🆔 ", Table1[[#This Row],[variable]], ": ",Table1[[#This Row],[alias]]), "")</f>
        <v>🆔 B17021_020E: Income in the past 12 months at or above poverty level: In family households</v>
      </c>
      <c r="O2134" t="s">
        <v>7321</v>
      </c>
      <c r="P2134" t="s">
        <v>7233</v>
      </c>
      <c r="Q2134" t="s">
        <v>41</v>
      </c>
      <c r="R2134" t="s">
        <v>7322</v>
      </c>
      <c r="S2134" t="b">
        <v>1</v>
      </c>
      <c r="T2134" t="b">
        <v>1</v>
      </c>
      <c r="U2134" t="b">
        <v>1</v>
      </c>
      <c r="V2134" t="b">
        <v>1</v>
      </c>
      <c r="W2134" t="b">
        <v>1</v>
      </c>
      <c r="X2134" t="b">
        <v>1</v>
      </c>
      <c r="Y2134" t="b">
        <v>1</v>
      </c>
      <c r="Z2134" t="b">
        <v>1</v>
      </c>
      <c r="AA2134" t="b">
        <v>1</v>
      </c>
      <c r="AB2134" t="b">
        <v>1</v>
      </c>
      <c r="AC2134" t="b">
        <v>1</v>
      </c>
      <c r="AD2134" t="b">
        <v>1</v>
      </c>
      <c r="AE2134" t="b">
        <v>1</v>
      </c>
      <c r="AF2134" t="b">
        <v>1</v>
      </c>
      <c r="AG2134" t="b">
        <v>1</v>
      </c>
    </row>
    <row r="2135" spans="1:33" x14ac:dyDescent="0.25">
      <c r="A2135" t="s">
        <v>33</v>
      </c>
      <c r="B2135">
        <v>15</v>
      </c>
      <c r="C2135" t="b">
        <v>1</v>
      </c>
      <c r="D2135" t="s">
        <v>7228</v>
      </c>
      <c r="E2135" t="s">
        <v>7229</v>
      </c>
      <c r="F2135" t="s">
        <v>7323</v>
      </c>
      <c r="G2135" t="s">
        <v>7324</v>
      </c>
      <c r="H2135">
        <v>2134</v>
      </c>
      <c r="I2135" t="str">
        <f>IF(ISBLANK(Table1[[#This Row],[oid]]),"FALSE","TRUE")</f>
        <v>TRUE</v>
      </c>
      <c r="J2135" t="str" cm="1">
        <f t="array" ref="J2135">_xlfn.SWITCH(LEFT(Table1[[#This Row],[section]],1), "D", "Demographic", "S", "Social", "E", "Economic", "H", "Housing", "")</f>
        <v>Economic</v>
      </c>
      <c r="K2135" t="s">
        <v>7231</v>
      </c>
      <c r="L2135" t="s">
        <v>7232</v>
      </c>
      <c r="M2135" t="str">
        <f>IF(Table1[[#This Row],[used]], _xlfn.CONCAT("🆔 ", Table1[[#This Row],[variable]], ": ",Table1[[#This Row],[alias]]), "")</f>
        <v>🆔 B17021_021E: Income in the past 12 months at or above poverty level: In family households: In married couple families</v>
      </c>
      <c r="O2135" t="s">
        <v>7325</v>
      </c>
      <c r="P2135" t="s">
        <v>7233</v>
      </c>
      <c r="Q2135" t="s">
        <v>41</v>
      </c>
      <c r="R2135" t="s">
        <v>7326</v>
      </c>
      <c r="S2135" t="b">
        <v>1</v>
      </c>
      <c r="T2135" t="b">
        <v>1</v>
      </c>
      <c r="U2135" t="b">
        <v>1</v>
      </c>
      <c r="V2135" t="b">
        <v>1</v>
      </c>
      <c r="W2135" t="b">
        <v>1</v>
      </c>
      <c r="X2135" t="b">
        <v>1</v>
      </c>
      <c r="Y2135" t="b">
        <v>1</v>
      </c>
      <c r="Z2135" t="b">
        <v>1</v>
      </c>
      <c r="AA2135" t="b">
        <v>1</v>
      </c>
      <c r="AB2135" t="b">
        <v>1</v>
      </c>
      <c r="AC2135" t="b">
        <v>1</v>
      </c>
      <c r="AD2135" t="b">
        <v>1</v>
      </c>
      <c r="AE2135" t="b">
        <v>1</v>
      </c>
      <c r="AF2135" t="b">
        <v>1</v>
      </c>
      <c r="AG2135" t="b">
        <v>1</v>
      </c>
    </row>
    <row r="2136" spans="1:33" x14ac:dyDescent="0.25">
      <c r="A2136" t="s">
        <v>33</v>
      </c>
      <c r="B2136">
        <v>15</v>
      </c>
      <c r="C2136" t="b">
        <v>1</v>
      </c>
      <c r="D2136" t="s">
        <v>7228</v>
      </c>
      <c r="E2136" t="s">
        <v>7229</v>
      </c>
      <c r="F2136" t="s">
        <v>7327</v>
      </c>
      <c r="G2136" t="s">
        <v>7328</v>
      </c>
      <c r="H2136">
        <v>2135</v>
      </c>
      <c r="I2136" t="str">
        <f>IF(ISBLANK(Table1[[#This Row],[oid]]),"FALSE","TRUE")</f>
        <v>TRUE</v>
      </c>
      <c r="J2136" t="str" cm="1">
        <f t="array" ref="J2136">_xlfn.SWITCH(LEFT(Table1[[#This Row],[section]],1), "D", "Demographic", "S", "Social", "E", "Economic", "H", "Housing", "")</f>
        <v>Economic</v>
      </c>
      <c r="K2136" t="s">
        <v>7231</v>
      </c>
      <c r="L2136" t="s">
        <v>7232</v>
      </c>
      <c r="M2136" t="str">
        <f>IF(Table1[[#This Row],[used]], _xlfn.CONCAT("🆔 ", Table1[[#This Row],[variable]], ": ",Table1[[#This Row],[alias]]), "")</f>
        <v>🆔 B17021_022E: Income in the past 12 months at or above poverty level: In family households: In married couple families: All relatives</v>
      </c>
      <c r="O2136" t="s">
        <v>7329</v>
      </c>
      <c r="P2136" t="s">
        <v>7233</v>
      </c>
      <c r="Q2136" t="s">
        <v>41</v>
      </c>
      <c r="R2136" t="s">
        <v>7330</v>
      </c>
      <c r="S2136" t="b">
        <v>1</v>
      </c>
      <c r="T2136" t="b">
        <v>1</v>
      </c>
      <c r="U2136" t="b">
        <v>1</v>
      </c>
      <c r="V2136" t="b">
        <v>1</v>
      </c>
      <c r="W2136" t="b">
        <v>1</v>
      </c>
      <c r="X2136" t="b">
        <v>1</v>
      </c>
      <c r="Y2136" t="b">
        <v>1</v>
      </c>
      <c r="Z2136" t="b">
        <v>1</v>
      </c>
      <c r="AA2136" t="b">
        <v>1</v>
      </c>
      <c r="AB2136" t="b">
        <v>1</v>
      </c>
      <c r="AC2136" t="b">
        <v>1</v>
      </c>
      <c r="AD2136" t="b">
        <v>1</v>
      </c>
      <c r="AE2136" t="b">
        <v>1</v>
      </c>
      <c r="AF2136" t="b">
        <v>1</v>
      </c>
      <c r="AG2136" t="b">
        <v>1</v>
      </c>
    </row>
    <row r="2137" spans="1:33" x14ac:dyDescent="0.25">
      <c r="A2137" t="s">
        <v>33</v>
      </c>
      <c r="B2137">
        <v>15</v>
      </c>
      <c r="C2137" t="b">
        <v>1</v>
      </c>
      <c r="D2137" t="s">
        <v>7228</v>
      </c>
      <c r="E2137" t="s">
        <v>7229</v>
      </c>
      <c r="F2137" t="s">
        <v>7331</v>
      </c>
      <c r="G2137" t="s">
        <v>7332</v>
      </c>
      <c r="H2137">
        <v>2136</v>
      </c>
      <c r="I2137" t="str">
        <f>IF(ISBLANK(Table1[[#This Row],[oid]]),"FALSE","TRUE")</f>
        <v>TRUE</v>
      </c>
      <c r="J2137" t="str" cm="1">
        <f t="array" ref="J2137">_xlfn.SWITCH(LEFT(Table1[[#This Row],[section]],1), "D", "Demographic", "S", "Social", "E", "Economic", "H", "Housing", "")</f>
        <v>Economic</v>
      </c>
      <c r="K2137" t="s">
        <v>7231</v>
      </c>
      <c r="L2137" t="s">
        <v>7232</v>
      </c>
      <c r="M2137" t="str">
        <f>IF(Table1[[#This Row],[used]], _xlfn.CONCAT("🆔 ", Table1[[#This Row],[variable]], ": ",Table1[[#This Row],[alias]]), "")</f>
        <v>🆔 B17021_023E: Income in the past 12 months at or above poverty level: In family households: In married couple families: Non-relatives</v>
      </c>
      <c r="O2137" t="s">
        <v>7333</v>
      </c>
      <c r="P2137" t="s">
        <v>7233</v>
      </c>
      <c r="Q2137" t="s">
        <v>41</v>
      </c>
      <c r="R2137" t="s">
        <v>7334</v>
      </c>
      <c r="S2137" t="b">
        <v>1</v>
      </c>
      <c r="T2137" t="b">
        <v>1</v>
      </c>
      <c r="U2137" t="b">
        <v>1</v>
      </c>
      <c r="V2137" t="b">
        <v>1</v>
      </c>
      <c r="W2137" t="b">
        <v>1</v>
      </c>
      <c r="X2137" t="b">
        <v>1</v>
      </c>
      <c r="Y2137" t="b">
        <v>1</v>
      </c>
      <c r="Z2137" t="b">
        <v>1</v>
      </c>
      <c r="AA2137" t="b">
        <v>1</v>
      </c>
      <c r="AB2137" t="b">
        <v>1</v>
      </c>
      <c r="AC2137" t="b">
        <v>1</v>
      </c>
      <c r="AD2137" t="b">
        <v>1</v>
      </c>
      <c r="AE2137" t="b">
        <v>1</v>
      </c>
      <c r="AF2137" t="b">
        <v>1</v>
      </c>
      <c r="AG2137" t="b">
        <v>1</v>
      </c>
    </row>
    <row r="2138" spans="1:33" x14ac:dyDescent="0.25">
      <c r="A2138" t="s">
        <v>33</v>
      </c>
      <c r="B2138">
        <v>15</v>
      </c>
      <c r="C2138" t="b">
        <v>1</v>
      </c>
      <c r="D2138" t="s">
        <v>7228</v>
      </c>
      <c r="E2138" t="s">
        <v>7229</v>
      </c>
      <c r="F2138" t="s">
        <v>7335</v>
      </c>
      <c r="G2138" t="s">
        <v>7336</v>
      </c>
      <c r="H2138">
        <v>2137</v>
      </c>
      <c r="I2138" t="str">
        <f>IF(ISBLANK(Table1[[#This Row],[oid]]),"FALSE","TRUE")</f>
        <v>TRUE</v>
      </c>
      <c r="J2138" t="str" cm="1">
        <f t="array" ref="J2138">_xlfn.SWITCH(LEFT(Table1[[#This Row],[section]],1), "D", "Demographic", "S", "Social", "E", "Economic", "H", "Housing", "")</f>
        <v>Economic</v>
      </c>
      <c r="K2138" t="s">
        <v>7231</v>
      </c>
      <c r="L2138" t="s">
        <v>7232</v>
      </c>
      <c r="M2138" t="str">
        <f>IF(Table1[[#This Row],[used]], _xlfn.CONCAT("🆔 ", Table1[[#This Row],[variable]], ": ",Table1[[#This Row],[alias]]), "")</f>
        <v>🆔 B17021_024E: Income in the past 12 months at or above poverty level: In family households: In other families</v>
      </c>
      <c r="O2138" t="s">
        <v>7337</v>
      </c>
      <c r="P2138" t="s">
        <v>7233</v>
      </c>
      <c r="Q2138" t="s">
        <v>41</v>
      </c>
      <c r="R2138" t="s">
        <v>7338</v>
      </c>
      <c r="S2138" t="b">
        <v>1</v>
      </c>
      <c r="T2138" t="b">
        <v>1</v>
      </c>
      <c r="U2138" t="b">
        <v>1</v>
      </c>
      <c r="V2138" t="b">
        <v>1</v>
      </c>
      <c r="W2138" t="b">
        <v>1</v>
      </c>
      <c r="X2138" t="b">
        <v>1</v>
      </c>
      <c r="Y2138" t="b">
        <v>1</v>
      </c>
      <c r="Z2138" t="b">
        <v>1</v>
      </c>
      <c r="AA2138" t="b">
        <v>1</v>
      </c>
      <c r="AB2138" t="b">
        <v>1</v>
      </c>
      <c r="AC2138" t="b">
        <v>1</v>
      </c>
      <c r="AD2138" t="b">
        <v>1</v>
      </c>
      <c r="AE2138" t="b">
        <v>1</v>
      </c>
      <c r="AF2138" t="b">
        <v>1</v>
      </c>
      <c r="AG2138" t="b">
        <v>1</v>
      </c>
    </row>
    <row r="2139" spans="1:33" x14ac:dyDescent="0.25">
      <c r="A2139" t="s">
        <v>676</v>
      </c>
      <c r="B2139">
        <v>9</v>
      </c>
      <c r="C2139" t="b">
        <v>0</v>
      </c>
      <c r="D2139" t="s">
        <v>7228</v>
      </c>
      <c r="E2139" t="s">
        <v>7229</v>
      </c>
      <c r="F2139" t="s">
        <v>7339</v>
      </c>
      <c r="G2139" t="s">
        <v>7340</v>
      </c>
      <c r="H2139">
        <v>2138</v>
      </c>
      <c r="I2139" t="str">
        <f>IF(ISBLANK(Table1[[#This Row],[oid]]),"FALSE","TRUE")</f>
        <v>TRUE</v>
      </c>
      <c r="J2139" t="str" cm="1">
        <f t="array" ref="J2139">_xlfn.SWITCH(LEFT(Table1[[#This Row],[section]],1), "D", "Demographic", "S", "Social", "E", "Economic", "H", "Housing", "")</f>
        <v>Economic</v>
      </c>
      <c r="K2139" t="s">
        <v>7231</v>
      </c>
      <c r="L2139" t="s">
        <v>7232</v>
      </c>
      <c r="M2139" t="str">
        <f>IF(Table1[[#This Row],[used]], _xlfn.CONCAT("🆔 ", Table1[[#This Row],[variable]], ": ",Table1[[#This Row],[alias]]), "")</f>
        <v>🆔 B17021_025E: Income in the past 12 months at or above poverty level: In family households: In other families: Male householder no wife present</v>
      </c>
      <c r="O2139" t="s">
        <v>7341</v>
      </c>
      <c r="P2139" t="s">
        <v>7233</v>
      </c>
      <c r="Q2139" t="s">
        <v>41</v>
      </c>
      <c r="R2139" t="s">
        <v>7342</v>
      </c>
      <c r="S2139" t="b">
        <v>1</v>
      </c>
      <c r="T2139" t="b">
        <v>1</v>
      </c>
      <c r="U2139" t="b">
        <v>1</v>
      </c>
      <c r="V2139" t="b">
        <v>1</v>
      </c>
      <c r="W2139" t="b">
        <v>1</v>
      </c>
      <c r="X2139" t="b">
        <v>1</v>
      </c>
      <c r="Y2139" t="b">
        <v>1</v>
      </c>
      <c r="Z2139" t="b">
        <v>1</v>
      </c>
      <c r="AA2139" t="b">
        <v>1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0</v>
      </c>
    </row>
    <row r="2140" spans="1:33" x14ac:dyDescent="0.25">
      <c r="A2140" t="s">
        <v>681</v>
      </c>
      <c r="B2140">
        <v>6</v>
      </c>
      <c r="C2140" t="b">
        <v>0</v>
      </c>
      <c r="D2140" t="s">
        <v>7228</v>
      </c>
      <c r="E2140" t="s">
        <v>7229</v>
      </c>
      <c r="F2140" t="s">
        <v>7339</v>
      </c>
      <c r="G2140" t="s">
        <v>7343</v>
      </c>
      <c r="H2140">
        <v>2139</v>
      </c>
      <c r="I2140" t="str">
        <f>IF(ISBLANK(Table1[[#This Row],[oid]]),"FALSE","TRUE")</f>
        <v>TRUE</v>
      </c>
      <c r="J2140" t="str" cm="1">
        <f t="array" ref="J2140">_xlfn.SWITCH(LEFT(Table1[[#This Row],[section]],1), "D", "Demographic", "S", "Social", "E", "Economic", "H", "Housing", "")</f>
        <v>Economic</v>
      </c>
      <c r="K2140" t="s">
        <v>7231</v>
      </c>
      <c r="L2140" t="s">
        <v>7232</v>
      </c>
      <c r="M2140" t="str">
        <f>IF(Table1[[#This Row],[used]], _xlfn.CONCAT("🆔 ", Table1[[#This Row],[variable]], ": ",Table1[[#This Row],[alias]]), "")</f>
        <v>🆔 B17021_025E: Income in the past 12 months at or above poverty level: In family households: In other families: Male householder no spouse present</v>
      </c>
      <c r="O2140" t="s">
        <v>7344</v>
      </c>
      <c r="P2140" t="s">
        <v>7233</v>
      </c>
      <c r="Q2140" t="s">
        <v>41</v>
      </c>
      <c r="R2140" t="s">
        <v>7342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1</v>
      </c>
      <c r="AC2140" t="b">
        <v>1</v>
      </c>
      <c r="AD2140" t="b">
        <v>1</v>
      </c>
      <c r="AE2140" t="b">
        <v>1</v>
      </c>
      <c r="AF2140" t="b">
        <v>1</v>
      </c>
      <c r="AG2140" t="b">
        <v>1</v>
      </c>
    </row>
    <row r="2141" spans="1:33" x14ac:dyDescent="0.25">
      <c r="A2141" t="s">
        <v>676</v>
      </c>
      <c r="B2141">
        <v>9</v>
      </c>
      <c r="C2141" t="b">
        <v>0</v>
      </c>
      <c r="D2141" t="s">
        <v>7228</v>
      </c>
      <c r="E2141" t="s">
        <v>7229</v>
      </c>
      <c r="F2141" t="s">
        <v>7345</v>
      </c>
      <c r="G2141" t="s">
        <v>7346</v>
      </c>
      <c r="H2141">
        <v>2140</v>
      </c>
      <c r="I2141" t="str">
        <f>IF(ISBLANK(Table1[[#This Row],[oid]]),"FALSE","TRUE")</f>
        <v>TRUE</v>
      </c>
      <c r="J2141" t="str" cm="1">
        <f t="array" ref="J2141">_xlfn.SWITCH(LEFT(Table1[[#This Row],[section]],1), "D", "Demographic", "S", "Social", "E", "Economic", "H", "Housing", "")</f>
        <v>Economic</v>
      </c>
      <c r="K2141" t="s">
        <v>7231</v>
      </c>
      <c r="L2141" t="s">
        <v>7232</v>
      </c>
      <c r="M2141" t="str">
        <f>IF(Table1[[#This Row],[used]], _xlfn.CONCAT("🆔 ", Table1[[#This Row],[variable]], ": ",Table1[[#This Row],[alias]]), "")</f>
        <v>🆔 B17021_026E: Income in the past 12 months at or above poverty level: In family households: In other families: Male householder no wife present: All relatives</v>
      </c>
      <c r="O2141" t="s">
        <v>7347</v>
      </c>
      <c r="P2141" t="s">
        <v>7233</v>
      </c>
      <c r="Q2141" t="s">
        <v>41</v>
      </c>
      <c r="R2141" t="s">
        <v>7348</v>
      </c>
      <c r="S2141" t="b">
        <v>1</v>
      </c>
      <c r="T2141" t="b">
        <v>1</v>
      </c>
      <c r="U2141" t="b">
        <v>1</v>
      </c>
      <c r="V2141" t="b">
        <v>1</v>
      </c>
      <c r="W2141" t="b">
        <v>1</v>
      </c>
      <c r="X2141" t="b">
        <v>1</v>
      </c>
      <c r="Y2141" t="b">
        <v>1</v>
      </c>
      <c r="Z2141" t="b">
        <v>1</v>
      </c>
      <c r="AA2141" t="b">
        <v>1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</row>
    <row r="2142" spans="1:33" x14ac:dyDescent="0.25">
      <c r="A2142" t="s">
        <v>681</v>
      </c>
      <c r="B2142">
        <v>6</v>
      </c>
      <c r="C2142" t="b">
        <v>0</v>
      </c>
      <c r="D2142" t="s">
        <v>7228</v>
      </c>
      <c r="E2142" t="s">
        <v>7229</v>
      </c>
      <c r="F2142" t="s">
        <v>7345</v>
      </c>
      <c r="G2142" t="s">
        <v>7349</v>
      </c>
      <c r="H2142">
        <v>2141</v>
      </c>
      <c r="I2142" t="str">
        <f>IF(ISBLANK(Table1[[#This Row],[oid]]),"FALSE","TRUE")</f>
        <v>TRUE</v>
      </c>
      <c r="J2142" t="str" cm="1">
        <f t="array" ref="J2142">_xlfn.SWITCH(LEFT(Table1[[#This Row],[section]],1), "D", "Demographic", "S", "Social", "E", "Economic", "H", "Housing", "")</f>
        <v>Economic</v>
      </c>
      <c r="K2142" t="s">
        <v>7231</v>
      </c>
      <c r="L2142" t="s">
        <v>7232</v>
      </c>
      <c r="M2142" t="str">
        <f>IF(Table1[[#This Row],[used]], _xlfn.CONCAT("🆔 ", Table1[[#This Row],[variable]], ": ",Table1[[#This Row],[alias]]), "")</f>
        <v>🆔 B17021_026E: Income in the past 12 months at or above poverty level: In family households: In other families: Male householder no spouse present: All relatives</v>
      </c>
      <c r="O2142" t="s">
        <v>7350</v>
      </c>
      <c r="P2142" t="s">
        <v>7233</v>
      </c>
      <c r="Q2142" t="s">
        <v>41</v>
      </c>
      <c r="R2142" t="s">
        <v>7348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1</v>
      </c>
      <c r="AC2142" t="b">
        <v>1</v>
      </c>
      <c r="AD2142" t="b">
        <v>1</v>
      </c>
      <c r="AE2142" t="b">
        <v>1</v>
      </c>
      <c r="AF2142" t="b">
        <v>1</v>
      </c>
      <c r="AG2142" t="b">
        <v>1</v>
      </c>
    </row>
    <row r="2143" spans="1:33" x14ac:dyDescent="0.25">
      <c r="A2143" t="s">
        <v>676</v>
      </c>
      <c r="B2143">
        <v>9</v>
      </c>
      <c r="C2143" t="b">
        <v>0</v>
      </c>
      <c r="D2143" t="s">
        <v>7228</v>
      </c>
      <c r="E2143" t="s">
        <v>7229</v>
      </c>
      <c r="F2143" t="s">
        <v>7351</v>
      </c>
      <c r="G2143" t="s">
        <v>7352</v>
      </c>
      <c r="H2143">
        <v>2142</v>
      </c>
      <c r="I2143" t="str">
        <f>IF(ISBLANK(Table1[[#This Row],[oid]]),"FALSE","TRUE")</f>
        <v>TRUE</v>
      </c>
      <c r="J2143" t="str" cm="1">
        <f t="array" ref="J2143">_xlfn.SWITCH(LEFT(Table1[[#This Row],[section]],1), "D", "Demographic", "S", "Social", "E", "Economic", "H", "Housing", "")</f>
        <v>Economic</v>
      </c>
      <c r="K2143" t="s">
        <v>7231</v>
      </c>
      <c r="L2143" t="s">
        <v>7232</v>
      </c>
      <c r="M2143" t="str">
        <f>IF(Table1[[#This Row],[used]], _xlfn.CONCAT("🆔 ", Table1[[#This Row],[variable]], ": ",Table1[[#This Row],[alias]]), "")</f>
        <v>🆔 B17021_027E: Income in the past 12 months at or above poverty level: In family households: In other families: Male householder no wife present: Non-relatives</v>
      </c>
      <c r="O2143" t="s">
        <v>7353</v>
      </c>
      <c r="P2143" t="s">
        <v>7233</v>
      </c>
      <c r="Q2143" t="s">
        <v>41</v>
      </c>
      <c r="R2143" t="s">
        <v>7354</v>
      </c>
      <c r="S2143" t="b">
        <v>1</v>
      </c>
      <c r="T2143" t="b">
        <v>1</v>
      </c>
      <c r="U2143" t="b">
        <v>1</v>
      </c>
      <c r="V2143" t="b">
        <v>1</v>
      </c>
      <c r="W2143" t="b">
        <v>1</v>
      </c>
      <c r="X2143" t="b">
        <v>1</v>
      </c>
      <c r="Y2143" t="b">
        <v>1</v>
      </c>
      <c r="Z2143" t="b">
        <v>1</v>
      </c>
      <c r="AA2143" t="b">
        <v>1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</row>
    <row r="2144" spans="1:33" x14ac:dyDescent="0.25">
      <c r="A2144" t="s">
        <v>681</v>
      </c>
      <c r="B2144">
        <v>6</v>
      </c>
      <c r="C2144" t="b">
        <v>0</v>
      </c>
      <c r="D2144" t="s">
        <v>7228</v>
      </c>
      <c r="E2144" t="s">
        <v>7229</v>
      </c>
      <c r="F2144" t="s">
        <v>7351</v>
      </c>
      <c r="G2144" t="s">
        <v>7355</v>
      </c>
      <c r="H2144">
        <v>2143</v>
      </c>
      <c r="I2144" t="str">
        <f>IF(ISBLANK(Table1[[#This Row],[oid]]),"FALSE","TRUE")</f>
        <v>TRUE</v>
      </c>
      <c r="J2144" t="str" cm="1">
        <f t="array" ref="J2144">_xlfn.SWITCH(LEFT(Table1[[#This Row],[section]],1), "D", "Demographic", "S", "Social", "E", "Economic", "H", "Housing", "")</f>
        <v>Economic</v>
      </c>
      <c r="K2144" t="s">
        <v>7231</v>
      </c>
      <c r="L2144" t="s">
        <v>7232</v>
      </c>
      <c r="M2144" t="str">
        <f>IF(Table1[[#This Row],[used]], _xlfn.CONCAT("🆔 ", Table1[[#This Row],[variable]], ": ",Table1[[#This Row],[alias]]), "")</f>
        <v>🆔 B17021_027E: Income in the past 12 months at or above poverty level: In family households: In other families: Male householder no spouse present: Non-relatives</v>
      </c>
      <c r="O2144" t="s">
        <v>7356</v>
      </c>
      <c r="P2144" t="s">
        <v>7233</v>
      </c>
      <c r="Q2144" t="s">
        <v>41</v>
      </c>
      <c r="R2144" t="s">
        <v>7354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1</v>
      </c>
      <c r="AC2144" t="b">
        <v>1</v>
      </c>
      <c r="AD2144" t="b">
        <v>1</v>
      </c>
      <c r="AE2144" t="b">
        <v>1</v>
      </c>
      <c r="AF2144" t="b">
        <v>1</v>
      </c>
      <c r="AG2144" t="b">
        <v>1</v>
      </c>
    </row>
    <row r="2145" spans="1:33" x14ac:dyDescent="0.25">
      <c r="A2145" t="s">
        <v>676</v>
      </c>
      <c r="B2145">
        <v>9</v>
      </c>
      <c r="C2145" t="b">
        <v>0</v>
      </c>
      <c r="D2145" t="s">
        <v>7228</v>
      </c>
      <c r="E2145" t="s">
        <v>7229</v>
      </c>
      <c r="F2145" t="s">
        <v>7357</v>
      </c>
      <c r="G2145" t="s">
        <v>7358</v>
      </c>
      <c r="H2145">
        <v>2144</v>
      </c>
      <c r="I2145" t="str">
        <f>IF(ISBLANK(Table1[[#This Row],[oid]]),"FALSE","TRUE")</f>
        <v>TRUE</v>
      </c>
      <c r="J2145" t="str" cm="1">
        <f t="array" ref="J2145">_xlfn.SWITCH(LEFT(Table1[[#This Row],[section]],1), "D", "Demographic", "S", "Social", "E", "Economic", "H", "Housing", "")</f>
        <v>Economic</v>
      </c>
      <c r="K2145" t="s">
        <v>7231</v>
      </c>
      <c r="L2145" t="s">
        <v>7232</v>
      </c>
      <c r="M2145" t="str">
        <f>IF(Table1[[#This Row],[used]], _xlfn.CONCAT("🆔 ", Table1[[#This Row],[variable]], ": ",Table1[[#This Row],[alias]]), "")</f>
        <v>🆔 B17021_028E: Income in the past 12 months at or above poverty level: In family households: In other families: Female householder no husband present</v>
      </c>
      <c r="O2145" t="s">
        <v>7359</v>
      </c>
      <c r="P2145" t="s">
        <v>7233</v>
      </c>
      <c r="Q2145" t="s">
        <v>41</v>
      </c>
      <c r="R2145" t="s">
        <v>7360</v>
      </c>
      <c r="S2145" t="b">
        <v>1</v>
      </c>
      <c r="T2145" t="b">
        <v>1</v>
      </c>
      <c r="U2145" t="b">
        <v>1</v>
      </c>
      <c r="V2145" t="b">
        <v>1</v>
      </c>
      <c r="W2145" t="b">
        <v>1</v>
      </c>
      <c r="X2145" t="b">
        <v>1</v>
      </c>
      <c r="Y2145" t="b">
        <v>1</v>
      </c>
      <c r="Z2145" t="b">
        <v>1</v>
      </c>
      <c r="AA2145" t="b">
        <v>1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</row>
    <row r="2146" spans="1:33" x14ac:dyDescent="0.25">
      <c r="A2146" t="s">
        <v>681</v>
      </c>
      <c r="B2146">
        <v>6</v>
      </c>
      <c r="C2146" t="b">
        <v>0</v>
      </c>
      <c r="D2146" t="s">
        <v>7228</v>
      </c>
      <c r="E2146" t="s">
        <v>7229</v>
      </c>
      <c r="F2146" t="s">
        <v>7357</v>
      </c>
      <c r="G2146" t="s">
        <v>7361</v>
      </c>
      <c r="H2146">
        <v>2145</v>
      </c>
      <c r="I2146" t="str">
        <f>IF(ISBLANK(Table1[[#This Row],[oid]]),"FALSE","TRUE")</f>
        <v>TRUE</v>
      </c>
      <c r="J2146" t="str" cm="1">
        <f t="array" ref="J2146">_xlfn.SWITCH(LEFT(Table1[[#This Row],[section]],1), "D", "Demographic", "S", "Social", "E", "Economic", "H", "Housing", "")</f>
        <v>Economic</v>
      </c>
      <c r="K2146" t="s">
        <v>7231</v>
      </c>
      <c r="L2146" t="s">
        <v>7232</v>
      </c>
      <c r="M2146" t="str">
        <f>IF(Table1[[#This Row],[used]], _xlfn.CONCAT("🆔 ", Table1[[#This Row],[variable]], ": ",Table1[[#This Row],[alias]]), "")</f>
        <v>🆔 B17021_028E: Income in the past 12 months at or above poverty level: In family households: In other families: Female householder no spouse present</v>
      </c>
      <c r="O2146" t="s">
        <v>7362</v>
      </c>
      <c r="P2146" t="s">
        <v>7233</v>
      </c>
      <c r="Q2146" t="s">
        <v>41</v>
      </c>
      <c r="R2146" t="s">
        <v>7360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1</v>
      </c>
      <c r="AC2146" t="b">
        <v>1</v>
      </c>
      <c r="AD2146" t="b">
        <v>1</v>
      </c>
      <c r="AE2146" t="b">
        <v>1</v>
      </c>
      <c r="AF2146" t="b">
        <v>1</v>
      </c>
      <c r="AG2146" t="b">
        <v>1</v>
      </c>
    </row>
    <row r="2147" spans="1:33" x14ac:dyDescent="0.25">
      <c r="A2147" t="s">
        <v>676</v>
      </c>
      <c r="B2147">
        <v>9</v>
      </c>
      <c r="C2147" t="b">
        <v>0</v>
      </c>
      <c r="D2147" t="s">
        <v>7228</v>
      </c>
      <c r="E2147" t="s">
        <v>7229</v>
      </c>
      <c r="F2147" t="s">
        <v>7363</v>
      </c>
      <c r="G2147" t="s">
        <v>7364</v>
      </c>
      <c r="H2147">
        <v>2146</v>
      </c>
      <c r="I2147" t="str">
        <f>IF(ISBLANK(Table1[[#This Row],[oid]]),"FALSE","TRUE")</f>
        <v>TRUE</v>
      </c>
      <c r="J2147" t="str" cm="1">
        <f t="array" ref="J2147">_xlfn.SWITCH(LEFT(Table1[[#This Row],[section]],1), "D", "Demographic", "S", "Social", "E", "Economic", "H", "Housing", "")</f>
        <v>Economic</v>
      </c>
      <c r="K2147" t="s">
        <v>7231</v>
      </c>
      <c r="L2147" t="s">
        <v>7232</v>
      </c>
      <c r="M2147" t="str">
        <f>IF(Table1[[#This Row],[used]], _xlfn.CONCAT("🆔 ", Table1[[#This Row],[variable]], ": ",Table1[[#This Row],[alias]]), "")</f>
        <v>🆔 B17021_029E: Income in the past 12 months at or above poverty level: In family households: In other families: Female householder no husband present: All relatives</v>
      </c>
      <c r="O2147" t="s">
        <v>7365</v>
      </c>
      <c r="P2147" t="s">
        <v>7233</v>
      </c>
      <c r="Q2147" t="s">
        <v>41</v>
      </c>
      <c r="R2147" t="s">
        <v>7366</v>
      </c>
      <c r="S2147" t="b">
        <v>1</v>
      </c>
      <c r="T2147" t="b">
        <v>1</v>
      </c>
      <c r="U2147" t="b">
        <v>1</v>
      </c>
      <c r="V2147" t="b">
        <v>1</v>
      </c>
      <c r="W2147" t="b">
        <v>1</v>
      </c>
      <c r="X2147" t="b">
        <v>1</v>
      </c>
      <c r="Y2147" t="b">
        <v>1</v>
      </c>
      <c r="Z2147" t="b">
        <v>1</v>
      </c>
      <c r="AA2147" t="b">
        <v>1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b">
        <v>0</v>
      </c>
    </row>
    <row r="2148" spans="1:33" x14ac:dyDescent="0.25">
      <c r="A2148" t="s">
        <v>681</v>
      </c>
      <c r="B2148">
        <v>6</v>
      </c>
      <c r="C2148" t="b">
        <v>0</v>
      </c>
      <c r="D2148" t="s">
        <v>7228</v>
      </c>
      <c r="E2148" t="s">
        <v>7229</v>
      </c>
      <c r="F2148" t="s">
        <v>7363</v>
      </c>
      <c r="G2148" t="s">
        <v>7367</v>
      </c>
      <c r="H2148">
        <v>2147</v>
      </c>
      <c r="I2148" t="str">
        <f>IF(ISBLANK(Table1[[#This Row],[oid]]),"FALSE","TRUE")</f>
        <v>TRUE</v>
      </c>
      <c r="J2148" t="str" cm="1">
        <f t="array" ref="J2148">_xlfn.SWITCH(LEFT(Table1[[#This Row],[section]],1), "D", "Demographic", "S", "Social", "E", "Economic", "H", "Housing", "")</f>
        <v>Economic</v>
      </c>
      <c r="K2148" t="s">
        <v>7231</v>
      </c>
      <c r="L2148" t="s">
        <v>7232</v>
      </c>
      <c r="M2148" t="str">
        <f>IF(Table1[[#This Row],[used]], _xlfn.CONCAT("🆔 ", Table1[[#This Row],[variable]], ": ",Table1[[#This Row],[alias]]), "")</f>
        <v>🆔 B17021_029E: Income in the past 12 months at or above poverty level: In family households: In other families: Female householder no spouse present: All relatives</v>
      </c>
      <c r="O2148" t="s">
        <v>7368</v>
      </c>
      <c r="P2148" t="s">
        <v>7233</v>
      </c>
      <c r="Q2148" t="s">
        <v>41</v>
      </c>
      <c r="R2148" t="s">
        <v>7366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1</v>
      </c>
      <c r="AC2148" t="b">
        <v>1</v>
      </c>
      <c r="AD2148" t="b">
        <v>1</v>
      </c>
      <c r="AE2148" t="b">
        <v>1</v>
      </c>
      <c r="AF2148" t="b">
        <v>1</v>
      </c>
      <c r="AG2148" t="b">
        <v>1</v>
      </c>
    </row>
    <row r="2149" spans="1:33" x14ac:dyDescent="0.25">
      <c r="A2149" t="s">
        <v>676</v>
      </c>
      <c r="B2149">
        <v>9</v>
      </c>
      <c r="C2149" t="b">
        <v>0</v>
      </c>
      <c r="D2149" t="s">
        <v>7228</v>
      </c>
      <c r="E2149" t="s">
        <v>7229</v>
      </c>
      <c r="F2149" t="s">
        <v>7369</v>
      </c>
      <c r="G2149" t="s">
        <v>7370</v>
      </c>
      <c r="H2149">
        <v>2148</v>
      </c>
      <c r="I2149" t="str">
        <f>IF(ISBLANK(Table1[[#This Row],[oid]]),"FALSE","TRUE")</f>
        <v>TRUE</v>
      </c>
      <c r="J2149" t="str" cm="1">
        <f t="array" ref="J2149">_xlfn.SWITCH(LEFT(Table1[[#This Row],[section]],1), "D", "Demographic", "S", "Social", "E", "Economic", "H", "Housing", "")</f>
        <v>Economic</v>
      </c>
      <c r="K2149" t="s">
        <v>7231</v>
      </c>
      <c r="L2149" t="s">
        <v>7232</v>
      </c>
      <c r="M2149" t="str">
        <f>IF(Table1[[#This Row],[used]], _xlfn.CONCAT("🆔 ", Table1[[#This Row],[variable]], ": ",Table1[[#This Row],[alias]]), "")</f>
        <v>🆔 B17021_030E: Income in the past 12 months at or above poverty level: In family households: In other families: Female householder no husband present: Non-relatives</v>
      </c>
      <c r="O2149" t="s">
        <v>7371</v>
      </c>
      <c r="P2149" t="s">
        <v>7233</v>
      </c>
      <c r="Q2149" t="s">
        <v>41</v>
      </c>
      <c r="R2149" t="s">
        <v>7372</v>
      </c>
      <c r="S2149" t="b">
        <v>1</v>
      </c>
      <c r="T2149" t="b">
        <v>1</v>
      </c>
      <c r="U2149" t="b">
        <v>1</v>
      </c>
      <c r="V2149" t="b">
        <v>1</v>
      </c>
      <c r="W2149" t="b">
        <v>1</v>
      </c>
      <c r="X2149" t="b">
        <v>1</v>
      </c>
      <c r="Y2149" t="b">
        <v>1</v>
      </c>
      <c r="Z2149" t="b">
        <v>1</v>
      </c>
      <c r="AA2149" t="b">
        <v>1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0</v>
      </c>
    </row>
    <row r="2150" spans="1:33" x14ac:dyDescent="0.25">
      <c r="A2150" t="s">
        <v>681</v>
      </c>
      <c r="B2150">
        <v>6</v>
      </c>
      <c r="C2150" t="b">
        <v>0</v>
      </c>
      <c r="D2150" t="s">
        <v>7228</v>
      </c>
      <c r="E2150" t="s">
        <v>7229</v>
      </c>
      <c r="F2150" t="s">
        <v>7369</v>
      </c>
      <c r="G2150" t="s">
        <v>7373</v>
      </c>
      <c r="H2150">
        <v>2149</v>
      </c>
      <c r="I2150" t="str">
        <f>IF(ISBLANK(Table1[[#This Row],[oid]]),"FALSE","TRUE")</f>
        <v>TRUE</v>
      </c>
      <c r="J2150" t="str" cm="1">
        <f t="array" ref="J2150">_xlfn.SWITCH(LEFT(Table1[[#This Row],[section]],1), "D", "Demographic", "S", "Social", "E", "Economic", "H", "Housing", "")</f>
        <v>Economic</v>
      </c>
      <c r="K2150" t="s">
        <v>7231</v>
      </c>
      <c r="L2150" t="s">
        <v>7232</v>
      </c>
      <c r="M2150" t="str">
        <f>IF(Table1[[#This Row],[used]], _xlfn.CONCAT("🆔 ", Table1[[#This Row],[variable]], ": ",Table1[[#This Row],[alias]]), "")</f>
        <v>🆔 B17021_030E: Income in the past 12 months at or above poverty level: In family households: In other families: Female householder no spouse present: Non-relatives</v>
      </c>
      <c r="O2150" t="s">
        <v>7374</v>
      </c>
      <c r="P2150" t="s">
        <v>7233</v>
      </c>
      <c r="Q2150" t="s">
        <v>41</v>
      </c>
      <c r="R2150" t="s">
        <v>7372</v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1</v>
      </c>
      <c r="AC2150" t="b">
        <v>1</v>
      </c>
      <c r="AD2150" t="b">
        <v>1</v>
      </c>
      <c r="AE2150" t="b">
        <v>1</v>
      </c>
      <c r="AF2150" t="b">
        <v>1</v>
      </c>
      <c r="AG2150" t="b">
        <v>1</v>
      </c>
    </row>
    <row r="2151" spans="1:33" x14ac:dyDescent="0.25">
      <c r="A2151" t="s">
        <v>33</v>
      </c>
      <c r="B2151">
        <v>15</v>
      </c>
      <c r="C2151" t="b">
        <v>1</v>
      </c>
      <c r="D2151" t="s">
        <v>7228</v>
      </c>
      <c r="E2151" t="s">
        <v>7229</v>
      </c>
      <c r="F2151" t="s">
        <v>7375</v>
      </c>
      <c r="G2151" t="s">
        <v>7376</v>
      </c>
      <c r="H2151">
        <v>2150</v>
      </c>
      <c r="I2151" t="str">
        <f>IF(ISBLANK(Table1[[#This Row],[oid]]),"FALSE","TRUE")</f>
        <v>TRUE</v>
      </c>
      <c r="J2151" t="str" cm="1">
        <f t="array" ref="J2151">_xlfn.SWITCH(LEFT(Table1[[#This Row],[section]],1), "D", "Demographic", "S", "Social", "E", "Economic", "H", "Housing", "")</f>
        <v>Economic</v>
      </c>
      <c r="K2151" t="s">
        <v>7231</v>
      </c>
      <c r="L2151" t="s">
        <v>7232</v>
      </c>
      <c r="M2151" t="str">
        <f>IF(Table1[[#This Row],[used]], _xlfn.CONCAT("🆔 ", Table1[[#This Row],[variable]], ": ",Table1[[#This Row],[alias]]), "")</f>
        <v>🆔 B17021_031E: Income in the past 12 months at or above poverty level: In non-family households and other living arrangement</v>
      </c>
      <c r="O2151" t="s">
        <v>7377</v>
      </c>
      <c r="P2151" t="s">
        <v>7233</v>
      </c>
      <c r="Q2151" t="s">
        <v>41</v>
      </c>
      <c r="R2151" t="s">
        <v>7378</v>
      </c>
      <c r="S2151" t="b">
        <v>1</v>
      </c>
      <c r="T2151" t="b">
        <v>1</v>
      </c>
      <c r="U2151" t="b">
        <v>1</v>
      </c>
      <c r="V2151" t="b">
        <v>1</v>
      </c>
      <c r="W2151" t="b">
        <v>1</v>
      </c>
      <c r="X2151" t="b">
        <v>1</v>
      </c>
      <c r="Y2151" t="b">
        <v>1</v>
      </c>
      <c r="Z2151" t="b">
        <v>1</v>
      </c>
      <c r="AA2151" t="b">
        <v>1</v>
      </c>
      <c r="AB2151" t="b">
        <v>1</v>
      </c>
      <c r="AC2151" t="b">
        <v>1</v>
      </c>
      <c r="AD2151" t="b">
        <v>1</v>
      </c>
      <c r="AE2151" t="b">
        <v>1</v>
      </c>
      <c r="AF2151" t="b">
        <v>1</v>
      </c>
      <c r="AG2151" t="b">
        <v>1</v>
      </c>
    </row>
    <row r="2152" spans="1:33" x14ac:dyDescent="0.25">
      <c r="A2152" t="s">
        <v>33</v>
      </c>
      <c r="B2152">
        <v>15</v>
      </c>
      <c r="C2152" t="b">
        <v>1</v>
      </c>
      <c r="D2152" t="s">
        <v>7228</v>
      </c>
      <c r="E2152" t="s">
        <v>7229</v>
      </c>
      <c r="F2152" t="s">
        <v>7379</v>
      </c>
      <c r="G2152" t="s">
        <v>7380</v>
      </c>
      <c r="H2152">
        <v>2151</v>
      </c>
      <c r="I2152" t="str">
        <f>IF(ISBLANK(Table1[[#This Row],[oid]]),"FALSE","TRUE")</f>
        <v>TRUE</v>
      </c>
      <c r="J2152" t="str" cm="1">
        <f t="array" ref="J2152">_xlfn.SWITCH(LEFT(Table1[[#This Row],[section]],1), "D", "Demographic", "S", "Social", "E", "Economic", "H", "Housing", "")</f>
        <v>Economic</v>
      </c>
      <c r="K2152" t="s">
        <v>7231</v>
      </c>
      <c r="L2152" t="s">
        <v>7232</v>
      </c>
      <c r="M2152" t="str">
        <f>IF(Table1[[#This Row],[used]], _xlfn.CONCAT("🆔 ", Table1[[#This Row],[variable]], ": ",Table1[[#This Row],[alias]]), "")</f>
        <v>🆔 B17021_032E: Income in the past 12 months at or above poverty level: In non-family households and other living arrangement: Householder</v>
      </c>
      <c r="O2152" t="s">
        <v>7381</v>
      </c>
      <c r="P2152" t="s">
        <v>7233</v>
      </c>
      <c r="Q2152" t="s">
        <v>41</v>
      </c>
      <c r="R2152" t="s">
        <v>7382</v>
      </c>
      <c r="S2152" t="b">
        <v>1</v>
      </c>
      <c r="T2152" t="b">
        <v>1</v>
      </c>
      <c r="U2152" t="b">
        <v>1</v>
      </c>
      <c r="V2152" t="b">
        <v>1</v>
      </c>
      <c r="W2152" t="b">
        <v>1</v>
      </c>
      <c r="X2152" t="b">
        <v>1</v>
      </c>
      <c r="Y2152" t="b">
        <v>1</v>
      </c>
      <c r="Z2152" t="b">
        <v>1</v>
      </c>
      <c r="AA2152" t="b">
        <v>1</v>
      </c>
      <c r="AB2152" t="b">
        <v>1</v>
      </c>
      <c r="AC2152" t="b">
        <v>1</v>
      </c>
      <c r="AD2152" t="b">
        <v>1</v>
      </c>
      <c r="AE2152" t="b">
        <v>1</v>
      </c>
      <c r="AF2152" t="b">
        <v>1</v>
      </c>
      <c r="AG2152" t="b">
        <v>1</v>
      </c>
    </row>
    <row r="2153" spans="1:33" x14ac:dyDescent="0.25">
      <c r="A2153" t="s">
        <v>33</v>
      </c>
      <c r="B2153">
        <v>15</v>
      </c>
      <c r="C2153" t="b">
        <v>1</v>
      </c>
      <c r="D2153" t="s">
        <v>7228</v>
      </c>
      <c r="E2153" t="s">
        <v>7229</v>
      </c>
      <c r="F2153" t="s">
        <v>7383</v>
      </c>
      <c r="G2153" t="s">
        <v>7384</v>
      </c>
      <c r="H2153">
        <v>2152</v>
      </c>
      <c r="I2153" t="str">
        <f>IF(ISBLANK(Table1[[#This Row],[oid]]),"FALSE","TRUE")</f>
        <v>TRUE</v>
      </c>
      <c r="J2153" t="str" cm="1">
        <f t="array" ref="J2153">_xlfn.SWITCH(LEFT(Table1[[#This Row],[section]],1), "D", "Demographic", "S", "Social", "E", "Economic", "H", "Housing", "")</f>
        <v>Economic</v>
      </c>
      <c r="K2153" t="s">
        <v>7231</v>
      </c>
      <c r="L2153" t="s">
        <v>7232</v>
      </c>
      <c r="M2153" t="str">
        <f>IF(Table1[[#This Row],[used]], _xlfn.CONCAT("🆔 ", Table1[[#This Row],[variable]], ": ",Table1[[#This Row],[alias]]), "")</f>
        <v>🆔 B17021_033E: Income in the past 12 months at or above poverty level: In non-family households and other living arrangement: Householder: Living alone</v>
      </c>
      <c r="O2153" t="s">
        <v>7385</v>
      </c>
      <c r="P2153" t="s">
        <v>7233</v>
      </c>
      <c r="Q2153" t="s">
        <v>41</v>
      </c>
      <c r="R2153" t="s">
        <v>7386</v>
      </c>
      <c r="S2153" t="b">
        <v>1</v>
      </c>
      <c r="T2153" t="b">
        <v>1</v>
      </c>
      <c r="U2153" t="b">
        <v>1</v>
      </c>
      <c r="V2153" t="b">
        <v>1</v>
      </c>
      <c r="W2153" t="b">
        <v>1</v>
      </c>
      <c r="X2153" t="b">
        <v>1</v>
      </c>
      <c r="Y2153" t="b">
        <v>1</v>
      </c>
      <c r="Z2153" t="b">
        <v>1</v>
      </c>
      <c r="AA2153" t="b">
        <v>1</v>
      </c>
      <c r="AB2153" t="b">
        <v>1</v>
      </c>
      <c r="AC2153" t="b">
        <v>1</v>
      </c>
      <c r="AD2153" t="b">
        <v>1</v>
      </c>
      <c r="AE2153" t="b">
        <v>1</v>
      </c>
      <c r="AF2153" t="b">
        <v>1</v>
      </c>
      <c r="AG2153" t="b">
        <v>1</v>
      </c>
    </row>
    <row r="2154" spans="1:33" x14ac:dyDescent="0.25">
      <c r="A2154" t="s">
        <v>33</v>
      </c>
      <c r="B2154">
        <v>15</v>
      </c>
      <c r="C2154" t="b">
        <v>1</v>
      </c>
      <c r="D2154" t="s">
        <v>7228</v>
      </c>
      <c r="E2154" t="s">
        <v>7229</v>
      </c>
      <c r="F2154" t="s">
        <v>7387</v>
      </c>
      <c r="G2154" t="s">
        <v>7388</v>
      </c>
      <c r="H2154">
        <v>2153</v>
      </c>
      <c r="I2154" t="str">
        <f>IF(ISBLANK(Table1[[#This Row],[oid]]),"FALSE","TRUE")</f>
        <v>TRUE</v>
      </c>
      <c r="J2154" t="str" cm="1">
        <f t="array" ref="J2154">_xlfn.SWITCH(LEFT(Table1[[#This Row],[section]],1), "D", "Demographic", "S", "Social", "E", "Economic", "H", "Housing", "")</f>
        <v>Economic</v>
      </c>
      <c r="K2154" t="s">
        <v>7231</v>
      </c>
      <c r="L2154" t="s">
        <v>7232</v>
      </c>
      <c r="M2154" t="str">
        <f>IF(Table1[[#This Row],[used]], _xlfn.CONCAT("🆔 ", Table1[[#This Row],[variable]], ": ",Table1[[#This Row],[alias]]), "")</f>
        <v>🆔 B17021_034E: Income in the past 12 months at or above poverty level: In non-family households and other living arrangement: Householder: Not living alone</v>
      </c>
      <c r="O2154" t="s">
        <v>7389</v>
      </c>
      <c r="P2154" t="s">
        <v>7233</v>
      </c>
      <c r="Q2154" t="s">
        <v>41</v>
      </c>
      <c r="R2154" t="s">
        <v>7390</v>
      </c>
      <c r="S2154" t="b">
        <v>1</v>
      </c>
      <c r="T2154" t="b">
        <v>1</v>
      </c>
      <c r="U2154" t="b">
        <v>1</v>
      </c>
      <c r="V2154" t="b">
        <v>1</v>
      </c>
      <c r="W2154" t="b">
        <v>1</v>
      </c>
      <c r="X2154" t="b">
        <v>1</v>
      </c>
      <c r="Y2154" t="b">
        <v>1</v>
      </c>
      <c r="Z2154" t="b">
        <v>1</v>
      </c>
      <c r="AA2154" t="b">
        <v>1</v>
      </c>
      <c r="AB2154" t="b">
        <v>1</v>
      </c>
      <c r="AC2154" t="b">
        <v>1</v>
      </c>
      <c r="AD2154" t="b">
        <v>1</v>
      </c>
      <c r="AE2154" t="b">
        <v>1</v>
      </c>
      <c r="AF2154" t="b">
        <v>1</v>
      </c>
      <c r="AG2154" t="b">
        <v>1</v>
      </c>
    </row>
    <row r="2155" spans="1:33" x14ac:dyDescent="0.25">
      <c r="A2155" t="s">
        <v>33</v>
      </c>
      <c r="B2155">
        <v>15</v>
      </c>
      <c r="C2155" t="b">
        <v>1</v>
      </c>
      <c r="D2155" t="s">
        <v>7228</v>
      </c>
      <c r="E2155" t="s">
        <v>7229</v>
      </c>
      <c r="F2155" t="s">
        <v>7391</v>
      </c>
      <c r="G2155" t="s">
        <v>7392</v>
      </c>
      <c r="H2155">
        <v>2154</v>
      </c>
      <c r="I2155" t="str">
        <f>IF(ISBLANK(Table1[[#This Row],[oid]]),"FALSE","TRUE")</f>
        <v>TRUE</v>
      </c>
      <c r="J2155" t="str" cm="1">
        <f t="array" ref="J2155">_xlfn.SWITCH(LEFT(Table1[[#This Row],[section]],1), "D", "Demographic", "S", "Social", "E", "Economic", "H", "Housing", "")</f>
        <v>Economic</v>
      </c>
      <c r="K2155" t="s">
        <v>7231</v>
      </c>
      <c r="L2155" t="s">
        <v>7232</v>
      </c>
      <c r="M2155" t="str">
        <f>IF(Table1[[#This Row],[used]], _xlfn.CONCAT("🆔 ", Table1[[#This Row],[variable]], ": ",Table1[[#This Row],[alias]]), "")</f>
        <v>🆔 B17021_035E: Income in the past 12 months at or above poverty level: In non-family households and other living arrangement: Other living arrangement</v>
      </c>
      <c r="O2155" t="s">
        <v>7393</v>
      </c>
      <c r="P2155" t="s">
        <v>7233</v>
      </c>
      <c r="Q2155" t="s">
        <v>41</v>
      </c>
      <c r="R2155" t="s">
        <v>7394</v>
      </c>
      <c r="S2155" t="b">
        <v>1</v>
      </c>
      <c r="T2155" t="b">
        <v>1</v>
      </c>
      <c r="U2155" t="b">
        <v>1</v>
      </c>
      <c r="V2155" t="b">
        <v>1</v>
      </c>
      <c r="W2155" t="b">
        <v>1</v>
      </c>
      <c r="X2155" t="b">
        <v>1</v>
      </c>
      <c r="Y2155" t="b">
        <v>1</v>
      </c>
      <c r="Z2155" t="b">
        <v>1</v>
      </c>
      <c r="AA2155" t="b">
        <v>1</v>
      </c>
      <c r="AB2155" t="b">
        <v>1</v>
      </c>
      <c r="AC2155" t="b">
        <v>1</v>
      </c>
      <c r="AD2155" t="b">
        <v>1</v>
      </c>
      <c r="AE2155" t="b">
        <v>1</v>
      </c>
      <c r="AF2155" t="b">
        <v>1</v>
      </c>
      <c r="AG2155" t="b">
        <v>1</v>
      </c>
    </row>
    <row r="2156" spans="1:33" x14ac:dyDescent="0.25">
      <c r="A2156" t="s">
        <v>33</v>
      </c>
      <c r="B2156">
        <v>15</v>
      </c>
      <c r="C2156" t="b">
        <v>1</v>
      </c>
      <c r="D2156" t="s">
        <v>7228</v>
      </c>
      <c r="E2156" t="s">
        <v>7395</v>
      </c>
      <c r="F2156" t="s">
        <v>7396</v>
      </c>
      <c r="G2156" t="s">
        <v>655</v>
      </c>
      <c r="H2156">
        <v>2155</v>
      </c>
      <c r="I2156" t="str">
        <f>IF(ISBLANK(Table1[[#This Row],[oid]]),"FALSE","TRUE")</f>
        <v>TRUE</v>
      </c>
      <c r="J2156" t="str" cm="1">
        <f t="array" ref="J2156">_xlfn.SWITCH(LEFT(Table1[[#This Row],[section]],1), "D", "Demographic", "S", "Social", "E", "Economic", "H", "Housing", "")</f>
        <v>Economic</v>
      </c>
      <c r="K2156" t="s">
        <v>7397</v>
      </c>
      <c r="L2156" t="s">
        <v>7398</v>
      </c>
      <c r="M2156" t="str">
        <f>IF(Table1[[#This Row],[used]], _xlfn.CONCAT("🆔 ", Table1[[#This Row],[variable]], ": ",Table1[[#This Row],[alias]]), "")</f>
        <v>🆔 B17017_001E: Total Households</v>
      </c>
      <c r="O2156" t="s">
        <v>39</v>
      </c>
      <c r="P2156" t="s">
        <v>7399</v>
      </c>
      <c r="Q2156" t="s">
        <v>41</v>
      </c>
      <c r="R2156" t="s">
        <v>7400</v>
      </c>
      <c r="S2156" t="b">
        <v>1</v>
      </c>
      <c r="T2156" t="b">
        <v>1</v>
      </c>
      <c r="U2156" t="b">
        <v>1</v>
      </c>
      <c r="V2156" t="b">
        <v>1</v>
      </c>
      <c r="W2156" t="b">
        <v>1</v>
      </c>
      <c r="X2156" t="b">
        <v>1</v>
      </c>
      <c r="Y2156" t="b">
        <v>1</v>
      </c>
      <c r="Z2156" t="b">
        <v>1</v>
      </c>
      <c r="AA2156" t="b">
        <v>1</v>
      </c>
      <c r="AB2156" t="b">
        <v>1</v>
      </c>
      <c r="AC2156" t="b">
        <v>1</v>
      </c>
      <c r="AD2156" t="b">
        <v>1</v>
      </c>
      <c r="AE2156" t="b">
        <v>1</v>
      </c>
      <c r="AF2156" t="b">
        <v>1</v>
      </c>
      <c r="AG2156" t="b">
        <v>1</v>
      </c>
    </row>
    <row r="2157" spans="1:33" x14ac:dyDescent="0.25">
      <c r="A2157" t="s">
        <v>33</v>
      </c>
      <c r="B2157">
        <v>15</v>
      </c>
      <c r="C2157" t="b">
        <v>1</v>
      </c>
      <c r="D2157" t="s">
        <v>7228</v>
      </c>
      <c r="E2157" t="s">
        <v>7395</v>
      </c>
      <c r="F2157" t="s">
        <v>7401</v>
      </c>
      <c r="G2157" t="s">
        <v>7236</v>
      </c>
      <c r="H2157">
        <v>2156</v>
      </c>
      <c r="I2157" t="str">
        <f>IF(ISBLANK(Table1[[#This Row],[oid]]),"FALSE","TRUE")</f>
        <v>TRUE</v>
      </c>
      <c r="J2157" t="str" cm="1">
        <f t="array" ref="J2157">_xlfn.SWITCH(LEFT(Table1[[#This Row],[section]],1), "D", "Demographic", "S", "Social", "E", "Economic", "H", "Housing", "")</f>
        <v>Economic</v>
      </c>
      <c r="K2157" t="s">
        <v>7397</v>
      </c>
      <c r="L2157" t="s">
        <v>7398</v>
      </c>
      <c r="M2157" t="str">
        <f>IF(Table1[[#This Row],[used]], _xlfn.CONCAT("🆔 ", Table1[[#This Row],[variable]], ": ",Table1[[#This Row],[alias]]), "")</f>
        <v>🆔 B17017_002E: Income in the past 12 months below poverty level</v>
      </c>
      <c r="O2157" t="s">
        <v>7237</v>
      </c>
      <c r="P2157" t="s">
        <v>7399</v>
      </c>
      <c r="Q2157" t="s">
        <v>41</v>
      </c>
      <c r="R2157" t="s">
        <v>7402</v>
      </c>
      <c r="S2157" t="b">
        <v>1</v>
      </c>
      <c r="T2157" t="b">
        <v>1</v>
      </c>
      <c r="U2157" t="b">
        <v>1</v>
      </c>
      <c r="V2157" t="b">
        <v>1</v>
      </c>
      <c r="W2157" t="b">
        <v>1</v>
      </c>
      <c r="X2157" t="b">
        <v>1</v>
      </c>
      <c r="Y2157" t="b">
        <v>1</v>
      </c>
      <c r="Z2157" t="b">
        <v>1</v>
      </c>
      <c r="AA2157" t="b">
        <v>1</v>
      </c>
      <c r="AB2157" t="b">
        <v>1</v>
      </c>
      <c r="AC2157" t="b">
        <v>1</v>
      </c>
      <c r="AD2157" t="b">
        <v>1</v>
      </c>
      <c r="AE2157" t="b">
        <v>1</v>
      </c>
      <c r="AF2157" t="b">
        <v>1</v>
      </c>
      <c r="AG2157" t="b">
        <v>1</v>
      </c>
    </row>
    <row r="2158" spans="1:33" x14ac:dyDescent="0.25">
      <c r="A2158" t="s">
        <v>33</v>
      </c>
      <c r="B2158">
        <v>15</v>
      </c>
      <c r="C2158" t="b">
        <v>1</v>
      </c>
      <c r="D2158" t="s">
        <v>7228</v>
      </c>
      <c r="E2158" t="s">
        <v>7395</v>
      </c>
      <c r="F2158" t="s">
        <v>7403</v>
      </c>
      <c r="G2158" t="s">
        <v>7404</v>
      </c>
      <c r="H2158">
        <v>2157</v>
      </c>
      <c r="I2158" t="str">
        <f>IF(ISBLANK(Table1[[#This Row],[oid]]),"FALSE","TRUE")</f>
        <v>TRUE</v>
      </c>
      <c r="J2158" t="str" cm="1">
        <f t="array" ref="J2158">_xlfn.SWITCH(LEFT(Table1[[#This Row],[section]],1), "D", "Demographic", "S", "Social", "E", "Economic", "H", "Housing", "")</f>
        <v>Economic</v>
      </c>
      <c r="K2158" t="s">
        <v>7397</v>
      </c>
      <c r="L2158" t="s">
        <v>7398</v>
      </c>
      <c r="M2158" t="str">
        <f>IF(Table1[[#This Row],[used]], _xlfn.CONCAT("🆔 ", Table1[[#This Row],[variable]], ": ",Table1[[#This Row],[alias]]), "")</f>
        <v>🆔 B17017_003E: Income in the past 12 months below poverty level: Family households</v>
      </c>
      <c r="O2158" t="s">
        <v>7405</v>
      </c>
      <c r="P2158" t="s">
        <v>7399</v>
      </c>
      <c r="Q2158" t="s">
        <v>41</v>
      </c>
      <c r="R2158" t="s">
        <v>7406</v>
      </c>
      <c r="S2158" t="b">
        <v>1</v>
      </c>
      <c r="T2158" t="b">
        <v>1</v>
      </c>
      <c r="U2158" t="b">
        <v>1</v>
      </c>
      <c r="V2158" t="b">
        <v>1</v>
      </c>
      <c r="W2158" t="b">
        <v>1</v>
      </c>
      <c r="X2158" t="b">
        <v>1</v>
      </c>
      <c r="Y2158" t="b">
        <v>1</v>
      </c>
      <c r="Z2158" t="b">
        <v>1</v>
      </c>
      <c r="AA2158" t="b">
        <v>1</v>
      </c>
      <c r="AB2158" t="b">
        <v>1</v>
      </c>
      <c r="AC2158" t="b">
        <v>1</v>
      </c>
      <c r="AD2158" t="b">
        <v>1</v>
      </c>
      <c r="AE2158" t="b">
        <v>1</v>
      </c>
      <c r="AF2158" t="b">
        <v>1</v>
      </c>
      <c r="AG2158" t="b">
        <v>1</v>
      </c>
    </row>
    <row r="2159" spans="1:33" x14ac:dyDescent="0.25">
      <c r="A2159" t="s">
        <v>33</v>
      </c>
      <c r="B2159">
        <v>15</v>
      </c>
      <c r="C2159" t="b">
        <v>1</v>
      </c>
      <c r="D2159" t="s">
        <v>7228</v>
      </c>
      <c r="E2159" t="s">
        <v>7395</v>
      </c>
      <c r="F2159" t="s">
        <v>7407</v>
      </c>
      <c r="G2159" t="s">
        <v>7408</v>
      </c>
      <c r="H2159">
        <v>2158</v>
      </c>
      <c r="I2159" t="str">
        <f>IF(ISBLANK(Table1[[#This Row],[oid]]),"FALSE","TRUE")</f>
        <v>TRUE</v>
      </c>
      <c r="J2159" t="str" cm="1">
        <f t="array" ref="J2159">_xlfn.SWITCH(LEFT(Table1[[#This Row],[section]],1), "D", "Demographic", "S", "Social", "E", "Economic", "H", "Housing", "")</f>
        <v>Economic</v>
      </c>
      <c r="K2159" t="s">
        <v>7397</v>
      </c>
      <c r="L2159" t="s">
        <v>7398</v>
      </c>
      <c r="M2159" t="str">
        <f>IF(Table1[[#This Row],[used]], _xlfn.CONCAT("🆔 ", Table1[[#This Row],[variable]], ": ",Table1[[#This Row],[alias]]), "")</f>
        <v>🆔 B17017_004E: Income in the past 12 months below poverty level: Family households: Married-couple family</v>
      </c>
      <c r="O2159" t="s">
        <v>7409</v>
      </c>
      <c r="P2159" t="s">
        <v>7399</v>
      </c>
      <c r="Q2159" t="s">
        <v>41</v>
      </c>
      <c r="R2159" t="s">
        <v>7410</v>
      </c>
      <c r="S2159" t="b">
        <v>1</v>
      </c>
      <c r="T2159" t="b">
        <v>1</v>
      </c>
      <c r="U2159" t="b">
        <v>1</v>
      </c>
      <c r="V2159" t="b">
        <v>1</v>
      </c>
      <c r="W2159" t="b">
        <v>1</v>
      </c>
      <c r="X2159" t="b">
        <v>1</v>
      </c>
      <c r="Y2159" t="b">
        <v>1</v>
      </c>
      <c r="Z2159" t="b">
        <v>1</v>
      </c>
      <c r="AA2159" t="b">
        <v>1</v>
      </c>
      <c r="AB2159" t="b">
        <v>1</v>
      </c>
      <c r="AC2159" t="b">
        <v>1</v>
      </c>
      <c r="AD2159" t="b">
        <v>1</v>
      </c>
      <c r="AE2159" t="b">
        <v>1</v>
      </c>
      <c r="AF2159" t="b">
        <v>1</v>
      </c>
      <c r="AG2159" t="b">
        <v>1</v>
      </c>
    </row>
    <row r="2160" spans="1:33" x14ac:dyDescent="0.25">
      <c r="A2160" t="s">
        <v>33</v>
      </c>
      <c r="B2160">
        <v>15</v>
      </c>
      <c r="C2160" t="b">
        <v>1</v>
      </c>
      <c r="D2160" t="s">
        <v>7228</v>
      </c>
      <c r="E2160" t="s">
        <v>7395</v>
      </c>
      <c r="F2160" t="s">
        <v>7411</v>
      </c>
      <c r="G2160" t="s">
        <v>7412</v>
      </c>
      <c r="H2160">
        <v>2159</v>
      </c>
      <c r="I2160" t="str">
        <f>IF(ISBLANK(Table1[[#This Row],[oid]]),"FALSE","TRUE")</f>
        <v>TRUE</v>
      </c>
      <c r="J2160" t="str" cm="1">
        <f t="array" ref="J2160">_xlfn.SWITCH(LEFT(Table1[[#This Row],[section]],1), "D", "Demographic", "S", "Social", "E", "Economic", "H", "Housing", "")</f>
        <v>Economic</v>
      </c>
      <c r="K2160" t="s">
        <v>7397</v>
      </c>
      <c r="L2160" t="s">
        <v>7398</v>
      </c>
      <c r="M2160" t="str">
        <f>IF(Table1[[#This Row],[used]], _xlfn.CONCAT("🆔 ", Table1[[#This Row],[variable]], ": ",Table1[[#This Row],[alias]]), "")</f>
        <v>🆔 B17017_005E: Income in the past 12 months below poverty level: Family households: Married-couple family: Householder under 25 years</v>
      </c>
      <c r="O2160" t="s">
        <v>7413</v>
      </c>
      <c r="P2160" t="s">
        <v>7399</v>
      </c>
      <c r="Q2160" t="s">
        <v>41</v>
      </c>
      <c r="R2160" t="s">
        <v>7414</v>
      </c>
      <c r="S2160" t="b">
        <v>1</v>
      </c>
      <c r="T2160" t="b">
        <v>1</v>
      </c>
      <c r="U2160" t="b">
        <v>1</v>
      </c>
      <c r="V2160" t="b">
        <v>1</v>
      </c>
      <c r="W2160" t="b">
        <v>1</v>
      </c>
      <c r="X2160" t="b">
        <v>1</v>
      </c>
      <c r="Y2160" t="b">
        <v>1</v>
      </c>
      <c r="Z2160" t="b">
        <v>1</v>
      </c>
      <c r="AA2160" t="b">
        <v>1</v>
      </c>
      <c r="AB2160" t="b">
        <v>1</v>
      </c>
      <c r="AC2160" t="b">
        <v>1</v>
      </c>
      <c r="AD2160" t="b">
        <v>1</v>
      </c>
      <c r="AE2160" t="b">
        <v>1</v>
      </c>
      <c r="AF2160" t="b">
        <v>1</v>
      </c>
      <c r="AG2160" t="b">
        <v>1</v>
      </c>
    </row>
    <row r="2161" spans="1:33" x14ac:dyDescent="0.25">
      <c r="A2161" t="s">
        <v>33</v>
      </c>
      <c r="B2161">
        <v>15</v>
      </c>
      <c r="C2161" t="b">
        <v>1</v>
      </c>
      <c r="D2161" t="s">
        <v>7228</v>
      </c>
      <c r="E2161" t="s">
        <v>7395</v>
      </c>
      <c r="F2161" t="s">
        <v>7415</v>
      </c>
      <c r="G2161" t="s">
        <v>7416</v>
      </c>
      <c r="H2161">
        <v>2160</v>
      </c>
      <c r="I2161" t="str">
        <f>IF(ISBLANK(Table1[[#This Row],[oid]]),"FALSE","TRUE")</f>
        <v>TRUE</v>
      </c>
      <c r="J2161" t="str" cm="1">
        <f t="array" ref="J2161">_xlfn.SWITCH(LEFT(Table1[[#This Row],[section]],1), "D", "Demographic", "S", "Social", "E", "Economic", "H", "Housing", "")</f>
        <v>Economic</v>
      </c>
      <c r="K2161" t="s">
        <v>7397</v>
      </c>
      <c r="L2161" t="s">
        <v>7398</v>
      </c>
      <c r="M2161" t="str">
        <f>IF(Table1[[#This Row],[used]], _xlfn.CONCAT("🆔 ", Table1[[#This Row],[variable]], ": ",Table1[[#This Row],[alias]]), "")</f>
        <v>🆔 B17017_006E: Income in the past 12 months below poverty level: Family households: Married-couple family: Householder 25 to 44 years</v>
      </c>
      <c r="O2161" t="s">
        <v>7417</v>
      </c>
      <c r="P2161" t="s">
        <v>7399</v>
      </c>
      <c r="Q2161" t="s">
        <v>41</v>
      </c>
      <c r="R2161" t="s">
        <v>7418</v>
      </c>
      <c r="S2161" t="b">
        <v>1</v>
      </c>
      <c r="T2161" t="b">
        <v>1</v>
      </c>
      <c r="U2161" t="b">
        <v>1</v>
      </c>
      <c r="V2161" t="b">
        <v>1</v>
      </c>
      <c r="W2161" t="b">
        <v>1</v>
      </c>
      <c r="X2161" t="b">
        <v>1</v>
      </c>
      <c r="Y2161" t="b">
        <v>1</v>
      </c>
      <c r="Z2161" t="b">
        <v>1</v>
      </c>
      <c r="AA2161" t="b">
        <v>1</v>
      </c>
      <c r="AB2161" t="b">
        <v>1</v>
      </c>
      <c r="AC2161" t="b">
        <v>1</v>
      </c>
      <c r="AD2161" t="b">
        <v>1</v>
      </c>
      <c r="AE2161" t="b">
        <v>1</v>
      </c>
      <c r="AF2161" t="b">
        <v>1</v>
      </c>
      <c r="AG2161" t="b">
        <v>1</v>
      </c>
    </row>
    <row r="2162" spans="1:33" x14ac:dyDescent="0.25">
      <c r="A2162" t="s">
        <v>33</v>
      </c>
      <c r="B2162">
        <v>15</v>
      </c>
      <c r="C2162" t="b">
        <v>1</v>
      </c>
      <c r="D2162" t="s">
        <v>7228</v>
      </c>
      <c r="E2162" t="s">
        <v>7395</v>
      </c>
      <c r="F2162" t="s">
        <v>7419</v>
      </c>
      <c r="G2162" t="s">
        <v>7420</v>
      </c>
      <c r="H2162">
        <v>2161</v>
      </c>
      <c r="I2162" t="str">
        <f>IF(ISBLANK(Table1[[#This Row],[oid]]),"FALSE","TRUE")</f>
        <v>TRUE</v>
      </c>
      <c r="J2162" t="str" cm="1">
        <f t="array" ref="J2162">_xlfn.SWITCH(LEFT(Table1[[#This Row],[section]],1), "D", "Demographic", "S", "Social", "E", "Economic", "H", "Housing", "")</f>
        <v>Economic</v>
      </c>
      <c r="K2162" t="s">
        <v>7397</v>
      </c>
      <c r="L2162" t="s">
        <v>7398</v>
      </c>
      <c r="M2162" t="str">
        <f>IF(Table1[[#This Row],[used]], _xlfn.CONCAT("🆔 ", Table1[[#This Row],[variable]], ": ",Table1[[#This Row],[alias]]), "")</f>
        <v>🆔 B17017_007E: Income in the past 12 months below poverty level: Family households: Married-couple family: Householder 45 to 64 years</v>
      </c>
      <c r="O2162" t="s">
        <v>7421</v>
      </c>
      <c r="P2162" t="s">
        <v>7399</v>
      </c>
      <c r="Q2162" t="s">
        <v>41</v>
      </c>
      <c r="R2162" t="s">
        <v>7422</v>
      </c>
      <c r="S2162" t="b">
        <v>1</v>
      </c>
      <c r="T2162" t="b">
        <v>1</v>
      </c>
      <c r="U2162" t="b">
        <v>1</v>
      </c>
      <c r="V2162" t="b">
        <v>1</v>
      </c>
      <c r="W2162" t="b">
        <v>1</v>
      </c>
      <c r="X2162" t="b">
        <v>1</v>
      </c>
      <c r="Y2162" t="b">
        <v>1</v>
      </c>
      <c r="Z2162" t="b">
        <v>1</v>
      </c>
      <c r="AA2162" t="b">
        <v>1</v>
      </c>
      <c r="AB2162" t="b">
        <v>1</v>
      </c>
      <c r="AC2162" t="b">
        <v>1</v>
      </c>
      <c r="AD2162" t="b">
        <v>1</v>
      </c>
      <c r="AE2162" t="b">
        <v>1</v>
      </c>
      <c r="AF2162" t="b">
        <v>1</v>
      </c>
      <c r="AG2162" t="b">
        <v>1</v>
      </c>
    </row>
    <row r="2163" spans="1:33" x14ac:dyDescent="0.25">
      <c r="A2163" t="s">
        <v>33</v>
      </c>
      <c r="B2163">
        <v>15</v>
      </c>
      <c r="C2163" t="b">
        <v>1</v>
      </c>
      <c r="D2163" t="s">
        <v>7228</v>
      </c>
      <c r="E2163" t="s">
        <v>7395</v>
      </c>
      <c r="F2163" t="s">
        <v>7423</v>
      </c>
      <c r="G2163" t="s">
        <v>7424</v>
      </c>
      <c r="H2163">
        <v>2162</v>
      </c>
      <c r="I2163" t="str">
        <f>IF(ISBLANK(Table1[[#This Row],[oid]]),"FALSE","TRUE")</f>
        <v>TRUE</v>
      </c>
      <c r="J2163" t="str" cm="1">
        <f t="array" ref="J2163">_xlfn.SWITCH(LEFT(Table1[[#This Row],[section]],1), "D", "Demographic", "S", "Social", "E", "Economic", "H", "Housing", "")</f>
        <v>Economic</v>
      </c>
      <c r="K2163" t="s">
        <v>7397</v>
      </c>
      <c r="L2163" t="s">
        <v>7398</v>
      </c>
      <c r="M2163" t="str">
        <f>IF(Table1[[#This Row],[used]], _xlfn.CONCAT("🆔 ", Table1[[#This Row],[variable]], ": ",Table1[[#This Row],[alias]]), "")</f>
        <v>🆔 B17017_008E: Income in the past 12 months below poverty level: Family households: Married-couple family: Householder 65 years and over</v>
      </c>
      <c r="O2163" t="s">
        <v>7425</v>
      </c>
      <c r="P2163" t="s">
        <v>7399</v>
      </c>
      <c r="Q2163" t="s">
        <v>41</v>
      </c>
      <c r="R2163" t="s">
        <v>7426</v>
      </c>
      <c r="S2163" t="b">
        <v>1</v>
      </c>
      <c r="T2163" t="b">
        <v>1</v>
      </c>
      <c r="U2163" t="b">
        <v>1</v>
      </c>
      <c r="V2163" t="b">
        <v>1</v>
      </c>
      <c r="W2163" t="b">
        <v>1</v>
      </c>
      <c r="X2163" t="b">
        <v>1</v>
      </c>
      <c r="Y2163" t="b">
        <v>1</v>
      </c>
      <c r="Z2163" t="b">
        <v>1</v>
      </c>
      <c r="AA2163" t="b">
        <v>1</v>
      </c>
      <c r="AB2163" t="b">
        <v>1</v>
      </c>
      <c r="AC2163" t="b">
        <v>1</v>
      </c>
      <c r="AD2163" t="b">
        <v>1</v>
      </c>
      <c r="AE2163" t="b">
        <v>1</v>
      </c>
      <c r="AF2163" t="b">
        <v>1</v>
      </c>
      <c r="AG2163" t="b">
        <v>1</v>
      </c>
    </row>
    <row r="2164" spans="1:33" x14ac:dyDescent="0.25">
      <c r="A2164" t="s">
        <v>33</v>
      </c>
      <c r="B2164">
        <v>15</v>
      </c>
      <c r="C2164" t="b">
        <v>1</v>
      </c>
      <c r="D2164" t="s">
        <v>7228</v>
      </c>
      <c r="E2164" t="s">
        <v>7395</v>
      </c>
      <c r="F2164" t="s">
        <v>7427</v>
      </c>
      <c r="G2164" t="s">
        <v>7428</v>
      </c>
      <c r="H2164">
        <v>2163</v>
      </c>
      <c r="I2164" t="str">
        <f>IF(ISBLANK(Table1[[#This Row],[oid]]),"FALSE","TRUE")</f>
        <v>TRUE</v>
      </c>
      <c r="J2164" t="str" cm="1">
        <f t="array" ref="J2164">_xlfn.SWITCH(LEFT(Table1[[#This Row],[section]],1), "D", "Demographic", "S", "Social", "E", "Economic", "H", "Housing", "")</f>
        <v>Economic</v>
      </c>
      <c r="K2164" t="s">
        <v>7397</v>
      </c>
      <c r="L2164" t="s">
        <v>7398</v>
      </c>
      <c r="M2164" t="str">
        <f>IF(Table1[[#This Row],[used]], _xlfn.CONCAT("🆔 ", Table1[[#This Row],[variable]], ": ",Table1[[#This Row],[alias]]), "")</f>
        <v>🆔 B17017_009E: Income in the past 12 months below poverty level: Family households: Other family</v>
      </c>
      <c r="O2164" t="s">
        <v>7429</v>
      </c>
      <c r="P2164" t="s">
        <v>7399</v>
      </c>
      <c r="Q2164" t="s">
        <v>41</v>
      </c>
      <c r="R2164" t="s">
        <v>7430</v>
      </c>
      <c r="S2164" t="b">
        <v>1</v>
      </c>
      <c r="T2164" t="b">
        <v>1</v>
      </c>
      <c r="U2164" t="b">
        <v>1</v>
      </c>
      <c r="V2164" t="b">
        <v>1</v>
      </c>
      <c r="W2164" t="b">
        <v>1</v>
      </c>
      <c r="X2164" t="b">
        <v>1</v>
      </c>
      <c r="Y2164" t="b">
        <v>1</v>
      </c>
      <c r="Z2164" t="b">
        <v>1</v>
      </c>
      <c r="AA2164" t="b">
        <v>1</v>
      </c>
      <c r="AB2164" t="b">
        <v>1</v>
      </c>
      <c r="AC2164" t="b">
        <v>1</v>
      </c>
      <c r="AD2164" t="b">
        <v>1</v>
      </c>
      <c r="AE2164" t="b">
        <v>1</v>
      </c>
      <c r="AF2164" t="b">
        <v>1</v>
      </c>
      <c r="AG2164" t="b">
        <v>1</v>
      </c>
    </row>
    <row r="2165" spans="1:33" x14ac:dyDescent="0.25">
      <c r="A2165" t="s">
        <v>676</v>
      </c>
      <c r="B2165">
        <v>9</v>
      </c>
      <c r="C2165" t="b">
        <v>0</v>
      </c>
      <c r="D2165" t="s">
        <v>7228</v>
      </c>
      <c r="E2165" t="s">
        <v>7395</v>
      </c>
      <c r="F2165" t="s">
        <v>7431</v>
      </c>
      <c r="G2165" t="s">
        <v>7432</v>
      </c>
      <c r="H2165">
        <v>2164</v>
      </c>
      <c r="I2165" t="str">
        <f>IF(ISBLANK(Table1[[#This Row],[oid]]),"FALSE","TRUE")</f>
        <v>TRUE</v>
      </c>
      <c r="J2165" t="str" cm="1">
        <f t="array" ref="J2165">_xlfn.SWITCH(LEFT(Table1[[#This Row],[section]],1), "D", "Demographic", "S", "Social", "E", "Economic", "H", "Housing", "")</f>
        <v>Economic</v>
      </c>
      <c r="K2165" t="s">
        <v>7397</v>
      </c>
      <c r="L2165" t="s">
        <v>7398</v>
      </c>
      <c r="M2165" t="str">
        <f>IF(Table1[[#This Row],[used]], _xlfn.CONCAT("🆔 ", Table1[[#This Row],[variable]], ": ",Table1[[#This Row],[alias]]), "")</f>
        <v>🆔 B17017_010E: Income in the past 12 months below poverty level: Family households: Other family: Male householder no wife present</v>
      </c>
      <c r="O2165" t="s">
        <v>7433</v>
      </c>
      <c r="P2165" t="s">
        <v>7399</v>
      </c>
      <c r="Q2165" t="s">
        <v>41</v>
      </c>
      <c r="R2165" t="s">
        <v>7434</v>
      </c>
      <c r="S2165" t="b">
        <v>1</v>
      </c>
      <c r="T2165" t="b">
        <v>1</v>
      </c>
      <c r="U2165" t="b">
        <v>1</v>
      </c>
      <c r="V2165" t="b">
        <v>1</v>
      </c>
      <c r="W2165" t="b">
        <v>1</v>
      </c>
      <c r="X2165" t="b">
        <v>1</v>
      </c>
      <c r="Y2165" t="b">
        <v>1</v>
      </c>
      <c r="Z2165" t="b">
        <v>1</v>
      </c>
      <c r="AA2165" t="b">
        <v>1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</row>
    <row r="2166" spans="1:33" x14ac:dyDescent="0.25">
      <c r="A2166" t="s">
        <v>681</v>
      </c>
      <c r="B2166">
        <v>6</v>
      </c>
      <c r="C2166" t="b">
        <v>0</v>
      </c>
      <c r="D2166" t="s">
        <v>7228</v>
      </c>
      <c r="E2166" t="s">
        <v>7395</v>
      </c>
      <c r="F2166" t="s">
        <v>7431</v>
      </c>
      <c r="G2166" t="s">
        <v>7435</v>
      </c>
      <c r="H2166">
        <v>2165</v>
      </c>
      <c r="I2166" t="str">
        <f>IF(ISBLANK(Table1[[#This Row],[oid]]),"FALSE","TRUE")</f>
        <v>TRUE</v>
      </c>
      <c r="J2166" t="str" cm="1">
        <f t="array" ref="J2166">_xlfn.SWITCH(LEFT(Table1[[#This Row],[section]],1), "D", "Demographic", "S", "Social", "E", "Economic", "H", "Housing", "")</f>
        <v>Economic</v>
      </c>
      <c r="K2166" t="s">
        <v>7397</v>
      </c>
      <c r="L2166" t="s">
        <v>7398</v>
      </c>
      <c r="M2166" t="str">
        <f>IF(Table1[[#This Row],[used]], _xlfn.CONCAT("🆔 ", Table1[[#This Row],[variable]], ": ",Table1[[#This Row],[alias]]), "")</f>
        <v>🆔 B17017_010E: Income in the past 12 months below poverty level: Family households: Other family: Male householder no spouse present</v>
      </c>
      <c r="O2166" t="s">
        <v>7436</v>
      </c>
      <c r="P2166" t="s">
        <v>7399</v>
      </c>
      <c r="Q2166" t="s">
        <v>41</v>
      </c>
      <c r="R2166" t="s">
        <v>7434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1</v>
      </c>
      <c r="AC2166" t="b">
        <v>1</v>
      </c>
      <c r="AD2166" t="b">
        <v>1</v>
      </c>
      <c r="AE2166" t="b">
        <v>1</v>
      </c>
      <c r="AF2166" t="b">
        <v>1</v>
      </c>
      <c r="AG2166" t="b">
        <v>1</v>
      </c>
    </row>
    <row r="2167" spans="1:33" x14ac:dyDescent="0.25">
      <c r="A2167" t="s">
        <v>676</v>
      </c>
      <c r="B2167">
        <v>9</v>
      </c>
      <c r="C2167" t="b">
        <v>0</v>
      </c>
      <c r="D2167" t="s">
        <v>7228</v>
      </c>
      <c r="E2167" t="s">
        <v>7395</v>
      </c>
      <c r="F2167" t="s">
        <v>7437</v>
      </c>
      <c r="G2167" t="s">
        <v>7438</v>
      </c>
      <c r="H2167">
        <v>2166</v>
      </c>
      <c r="I2167" t="str">
        <f>IF(ISBLANK(Table1[[#This Row],[oid]]),"FALSE","TRUE")</f>
        <v>TRUE</v>
      </c>
      <c r="J2167" t="str" cm="1">
        <f t="array" ref="J2167">_xlfn.SWITCH(LEFT(Table1[[#This Row],[section]],1), "D", "Demographic", "S", "Social", "E", "Economic", "H", "Housing", "")</f>
        <v>Economic</v>
      </c>
      <c r="K2167" t="s">
        <v>7397</v>
      </c>
      <c r="L2167" t="s">
        <v>7398</v>
      </c>
      <c r="M2167" t="str">
        <f>IF(Table1[[#This Row],[used]], _xlfn.CONCAT("🆔 ", Table1[[#This Row],[variable]], ": ",Table1[[#This Row],[alias]]), "")</f>
        <v>🆔 B17017_011E: Income in the past 12 months below poverty level: Family households: Other family: Male householder no wife present: Householder under 25 years</v>
      </c>
      <c r="O2167" t="s">
        <v>7439</v>
      </c>
      <c r="P2167" t="s">
        <v>7399</v>
      </c>
      <c r="Q2167" t="s">
        <v>41</v>
      </c>
      <c r="R2167" t="s">
        <v>7440</v>
      </c>
      <c r="S2167" t="b">
        <v>1</v>
      </c>
      <c r="T2167" t="b">
        <v>1</v>
      </c>
      <c r="U2167" t="b">
        <v>1</v>
      </c>
      <c r="V2167" t="b">
        <v>1</v>
      </c>
      <c r="W2167" t="b">
        <v>1</v>
      </c>
      <c r="X2167" t="b">
        <v>1</v>
      </c>
      <c r="Y2167" t="b">
        <v>1</v>
      </c>
      <c r="Z2167" t="b">
        <v>1</v>
      </c>
      <c r="AA2167" t="b">
        <v>1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</row>
    <row r="2168" spans="1:33" x14ac:dyDescent="0.25">
      <c r="A2168" t="s">
        <v>681</v>
      </c>
      <c r="B2168">
        <v>6</v>
      </c>
      <c r="C2168" t="b">
        <v>0</v>
      </c>
      <c r="D2168" t="s">
        <v>7228</v>
      </c>
      <c r="E2168" t="s">
        <v>7395</v>
      </c>
      <c r="F2168" t="s">
        <v>7437</v>
      </c>
      <c r="G2168" t="s">
        <v>7441</v>
      </c>
      <c r="H2168">
        <v>2167</v>
      </c>
      <c r="I2168" t="str">
        <f>IF(ISBLANK(Table1[[#This Row],[oid]]),"FALSE","TRUE")</f>
        <v>TRUE</v>
      </c>
      <c r="J2168" t="str" cm="1">
        <f t="array" ref="J2168">_xlfn.SWITCH(LEFT(Table1[[#This Row],[section]],1), "D", "Demographic", "S", "Social", "E", "Economic", "H", "Housing", "")</f>
        <v>Economic</v>
      </c>
      <c r="K2168" t="s">
        <v>7397</v>
      </c>
      <c r="L2168" t="s">
        <v>7398</v>
      </c>
      <c r="M2168" t="str">
        <f>IF(Table1[[#This Row],[used]], _xlfn.CONCAT("🆔 ", Table1[[#This Row],[variable]], ": ",Table1[[#This Row],[alias]]), "")</f>
        <v>🆔 B17017_011E: Income in the past 12 months below poverty level: Family households: Other family: Male householder no spouse present: Householder under 25 years</v>
      </c>
      <c r="O2168" t="s">
        <v>7442</v>
      </c>
      <c r="P2168" t="s">
        <v>7399</v>
      </c>
      <c r="Q2168" t="s">
        <v>41</v>
      </c>
      <c r="R2168" t="s">
        <v>7440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1</v>
      </c>
      <c r="AC2168" t="b">
        <v>1</v>
      </c>
      <c r="AD2168" t="b">
        <v>1</v>
      </c>
      <c r="AE2168" t="b">
        <v>1</v>
      </c>
      <c r="AF2168" t="b">
        <v>1</v>
      </c>
      <c r="AG2168" t="b">
        <v>1</v>
      </c>
    </row>
    <row r="2169" spans="1:33" x14ac:dyDescent="0.25">
      <c r="A2169" t="s">
        <v>676</v>
      </c>
      <c r="B2169">
        <v>9</v>
      </c>
      <c r="C2169" t="b">
        <v>0</v>
      </c>
      <c r="D2169" t="s">
        <v>7228</v>
      </c>
      <c r="E2169" t="s">
        <v>7395</v>
      </c>
      <c r="F2169" t="s">
        <v>7443</v>
      </c>
      <c r="G2169" t="s">
        <v>7444</v>
      </c>
      <c r="H2169">
        <v>2168</v>
      </c>
      <c r="I2169" t="str">
        <f>IF(ISBLANK(Table1[[#This Row],[oid]]),"FALSE","TRUE")</f>
        <v>TRUE</v>
      </c>
      <c r="J2169" t="str" cm="1">
        <f t="array" ref="J2169">_xlfn.SWITCH(LEFT(Table1[[#This Row],[section]],1), "D", "Demographic", "S", "Social", "E", "Economic", "H", "Housing", "")</f>
        <v>Economic</v>
      </c>
      <c r="K2169" t="s">
        <v>7397</v>
      </c>
      <c r="L2169" t="s">
        <v>7398</v>
      </c>
      <c r="M2169" t="str">
        <f>IF(Table1[[#This Row],[used]], _xlfn.CONCAT("🆔 ", Table1[[#This Row],[variable]], ": ",Table1[[#This Row],[alias]]), "")</f>
        <v>🆔 B17017_012E: Income in the past 12 months below poverty level: Family households: Other family: Male householder no wife present: Householder 25 to 44 years</v>
      </c>
      <c r="O2169" t="s">
        <v>7445</v>
      </c>
      <c r="P2169" t="s">
        <v>7399</v>
      </c>
      <c r="Q2169" t="s">
        <v>41</v>
      </c>
      <c r="R2169" t="s">
        <v>7446</v>
      </c>
      <c r="S2169" t="b">
        <v>1</v>
      </c>
      <c r="T2169" t="b">
        <v>1</v>
      </c>
      <c r="U2169" t="b">
        <v>1</v>
      </c>
      <c r="V2169" t="b">
        <v>1</v>
      </c>
      <c r="W2169" t="b">
        <v>1</v>
      </c>
      <c r="X2169" t="b">
        <v>1</v>
      </c>
      <c r="Y2169" t="b">
        <v>1</v>
      </c>
      <c r="Z2169" t="b">
        <v>1</v>
      </c>
      <c r="AA2169" t="b">
        <v>1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</row>
    <row r="2170" spans="1:33" x14ac:dyDescent="0.25">
      <c r="A2170" t="s">
        <v>681</v>
      </c>
      <c r="B2170">
        <v>6</v>
      </c>
      <c r="C2170" t="b">
        <v>0</v>
      </c>
      <c r="D2170" t="s">
        <v>7228</v>
      </c>
      <c r="E2170" t="s">
        <v>7395</v>
      </c>
      <c r="F2170" t="s">
        <v>7443</v>
      </c>
      <c r="G2170" t="s">
        <v>7447</v>
      </c>
      <c r="H2170">
        <v>2169</v>
      </c>
      <c r="I2170" t="str">
        <f>IF(ISBLANK(Table1[[#This Row],[oid]]),"FALSE","TRUE")</f>
        <v>TRUE</v>
      </c>
      <c r="J2170" t="str" cm="1">
        <f t="array" ref="J2170">_xlfn.SWITCH(LEFT(Table1[[#This Row],[section]],1), "D", "Demographic", "S", "Social", "E", "Economic", "H", "Housing", "")</f>
        <v>Economic</v>
      </c>
      <c r="K2170" t="s">
        <v>7397</v>
      </c>
      <c r="L2170" t="s">
        <v>7398</v>
      </c>
      <c r="M2170" t="str">
        <f>IF(Table1[[#This Row],[used]], _xlfn.CONCAT("🆔 ", Table1[[#This Row],[variable]], ": ",Table1[[#This Row],[alias]]), "")</f>
        <v>🆔 B17017_012E: Income in the past 12 months below poverty level: Family households: Other family: Male householder no spouse present: Householder 25 to 44 years</v>
      </c>
      <c r="O2170" t="s">
        <v>7448</v>
      </c>
      <c r="P2170" t="s">
        <v>7399</v>
      </c>
      <c r="Q2170" t="s">
        <v>41</v>
      </c>
      <c r="R2170" t="s">
        <v>7446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1</v>
      </c>
      <c r="AC2170" t="b">
        <v>1</v>
      </c>
      <c r="AD2170" t="b">
        <v>1</v>
      </c>
      <c r="AE2170" t="b">
        <v>1</v>
      </c>
      <c r="AF2170" t="b">
        <v>1</v>
      </c>
      <c r="AG2170" t="b">
        <v>1</v>
      </c>
    </row>
    <row r="2171" spans="1:33" x14ac:dyDescent="0.25">
      <c r="A2171" t="s">
        <v>676</v>
      </c>
      <c r="B2171">
        <v>9</v>
      </c>
      <c r="C2171" t="b">
        <v>0</v>
      </c>
      <c r="D2171" t="s">
        <v>7228</v>
      </c>
      <c r="E2171" t="s">
        <v>7395</v>
      </c>
      <c r="F2171" t="s">
        <v>7449</v>
      </c>
      <c r="G2171" t="s">
        <v>7450</v>
      </c>
      <c r="H2171">
        <v>2170</v>
      </c>
      <c r="I2171" t="str">
        <f>IF(ISBLANK(Table1[[#This Row],[oid]]),"FALSE","TRUE")</f>
        <v>TRUE</v>
      </c>
      <c r="J2171" t="str" cm="1">
        <f t="array" ref="J2171">_xlfn.SWITCH(LEFT(Table1[[#This Row],[section]],1), "D", "Demographic", "S", "Social", "E", "Economic", "H", "Housing", "")</f>
        <v>Economic</v>
      </c>
      <c r="K2171" t="s">
        <v>7397</v>
      </c>
      <c r="L2171" t="s">
        <v>7398</v>
      </c>
      <c r="M2171" t="str">
        <f>IF(Table1[[#This Row],[used]], _xlfn.CONCAT("🆔 ", Table1[[#This Row],[variable]], ": ",Table1[[#This Row],[alias]]), "")</f>
        <v>🆔 B17017_013E: Income in the past 12 months below poverty level: Family households: Other family: Male householder no wife present: Householder 45 to 64 years</v>
      </c>
      <c r="O2171" t="s">
        <v>7451</v>
      </c>
      <c r="P2171" t="s">
        <v>7399</v>
      </c>
      <c r="Q2171" t="s">
        <v>41</v>
      </c>
      <c r="R2171" t="s">
        <v>7452</v>
      </c>
      <c r="S2171" t="b">
        <v>1</v>
      </c>
      <c r="T2171" t="b">
        <v>1</v>
      </c>
      <c r="U2171" t="b">
        <v>1</v>
      </c>
      <c r="V2171" t="b">
        <v>1</v>
      </c>
      <c r="W2171" t="b">
        <v>1</v>
      </c>
      <c r="X2171" t="b">
        <v>1</v>
      </c>
      <c r="Y2171" t="b">
        <v>1</v>
      </c>
      <c r="Z2171" t="b">
        <v>1</v>
      </c>
      <c r="AA2171" t="b">
        <v>1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</row>
    <row r="2172" spans="1:33" x14ac:dyDescent="0.25">
      <c r="A2172" t="s">
        <v>681</v>
      </c>
      <c r="B2172">
        <v>6</v>
      </c>
      <c r="C2172" t="b">
        <v>0</v>
      </c>
      <c r="D2172" t="s">
        <v>7228</v>
      </c>
      <c r="E2172" t="s">
        <v>7395</v>
      </c>
      <c r="F2172" t="s">
        <v>7449</v>
      </c>
      <c r="G2172" t="s">
        <v>7453</v>
      </c>
      <c r="H2172">
        <v>2171</v>
      </c>
      <c r="I2172" t="str">
        <f>IF(ISBLANK(Table1[[#This Row],[oid]]),"FALSE","TRUE")</f>
        <v>TRUE</v>
      </c>
      <c r="J2172" t="str" cm="1">
        <f t="array" ref="J2172">_xlfn.SWITCH(LEFT(Table1[[#This Row],[section]],1), "D", "Demographic", "S", "Social", "E", "Economic", "H", "Housing", "")</f>
        <v>Economic</v>
      </c>
      <c r="K2172" t="s">
        <v>7397</v>
      </c>
      <c r="L2172" t="s">
        <v>7398</v>
      </c>
      <c r="M2172" t="str">
        <f>IF(Table1[[#This Row],[used]], _xlfn.CONCAT("🆔 ", Table1[[#This Row],[variable]], ": ",Table1[[#This Row],[alias]]), "")</f>
        <v>🆔 B17017_013E: Income in the past 12 months below poverty level: Family households: Other family: Male householder no spouse present: Householder 45 to 64 years</v>
      </c>
      <c r="O2172" t="s">
        <v>7454</v>
      </c>
      <c r="P2172" t="s">
        <v>7399</v>
      </c>
      <c r="Q2172" t="s">
        <v>41</v>
      </c>
      <c r="R2172" t="s">
        <v>7452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1</v>
      </c>
      <c r="AC2172" t="b">
        <v>1</v>
      </c>
      <c r="AD2172" t="b">
        <v>1</v>
      </c>
      <c r="AE2172" t="b">
        <v>1</v>
      </c>
      <c r="AF2172" t="b">
        <v>1</v>
      </c>
      <c r="AG2172" t="b">
        <v>1</v>
      </c>
    </row>
    <row r="2173" spans="1:33" x14ac:dyDescent="0.25">
      <c r="A2173" t="s">
        <v>676</v>
      </c>
      <c r="B2173">
        <v>9</v>
      </c>
      <c r="C2173" t="b">
        <v>0</v>
      </c>
      <c r="D2173" t="s">
        <v>7228</v>
      </c>
      <c r="E2173" t="s">
        <v>7395</v>
      </c>
      <c r="F2173" t="s">
        <v>7455</v>
      </c>
      <c r="G2173" t="s">
        <v>7456</v>
      </c>
      <c r="H2173">
        <v>2172</v>
      </c>
      <c r="I2173" t="str">
        <f>IF(ISBLANK(Table1[[#This Row],[oid]]),"FALSE","TRUE")</f>
        <v>TRUE</v>
      </c>
      <c r="J2173" t="str" cm="1">
        <f t="array" ref="J2173">_xlfn.SWITCH(LEFT(Table1[[#This Row],[section]],1), "D", "Demographic", "S", "Social", "E", "Economic", "H", "Housing", "")</f>
        <v>Economic</v>
      </c>
      <c r="K2173" t="s">
        <v>7397</v>
      </c>
      <c r="L2173" t="s">
        <v>7398</v>
      </c>
      <c r="M2173" t="str">
        <f>IF(Table1[[#This Row],[used]], _xlfn.CONCAT("🆔 ", Table1[[#This Row],[variable]], ": ",Table1[[#This Row],[alias]]), "")</f>
        <v>🆔 B17017_014E: Income in the past 12 months below poverty level: Family households: Other family: Male householder no wife present: Householder 65 years and over</v>
      </c>
      <c r="O2173" t="s">
        <v>7457</v>
      </c>
      <c r="P2173" t="s">
        <v>7399</v>
      </c>
      <c r="Q2173" t="s">
        <v>41</v>
      </c>
      <c r="R2173" t="s">
        <v>7458</v>
      </c>
      <c r="S2173" t="b">
        <v>1</v>
      </c>
      <c r="T2173" t="b">
        <v>1</v>
      </c>
      <c r="U2173" t="b">
        <v>1</v>
      </c>
      <c r="V2173" t="b">
        <v>1</v>
      </c>
      <c r="W2173" t="b">
        <v>1</v>
      </c>
      <c r="X2173" t="b">
        <v>1</v>
      </c>
      <c r="Y2173" t="b">
        <v>1</v>
      </c>
      <c r="Z2173" t="b">
        <v>1</v>
      </c>
      <c r="AA2173" t="b">
        <v>1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</row>
    <row r="2174" spans="1:33" x14ac:dyDescent="0.25">
      <c r="A2174" t="s">
        <v>681</v>
      </c>
      <c r="B2174">
        <v>6</v>
      </c>
      <c r="C2174" t="b">
        <v>0</v>
      </c>
      <c r="D2174" t="s">
        <v>7228</v>
      </c>
      <c r="E2174" t="s">
        <v>7395</v>
      </c>
      <c r="F2174" t="s">
        <v>7455</v>
      </c>
      <c r="G2174" t="s">
        <v>7459</v>
      </c>
      <c r="H2174">
        <v>2173</v>
      </c>
      <c r="I2174" t="str">
        <f>IF(ISBLANK(Table1[[#This Row],[oid]]),"FALSE","TRUE")</f>
        <v>TRUE</v>
      </c>
      <c r="J2174" t="str" cm="1">
        <f t="array" ref="J2174">_xlfn.SWITCH(LEFT(Table1[[#This Row],[section]],1), "D", "Demographic", "S", "Social", "E", "Economic", "H", "Housing", "")</f>
        <v>Economic</v>
      </c>
      <c r="K2174" t="s">
        <v>7397</v>
      </c>
      <c r="L2174" t="s">
        <v>7398</v>
      </c>
      <c r="M2174" t="str">
        <f>IF(Table1[[#This Row],[used]], _xlfn.CONCAT("🆔 ", Table1[[#This Row],[variable]], ": ",Table1[[#This Row],[alias]]), "")</f>
        <v>🆔 B17017_014E: Income in the past 12 months below poverty level: Family households: Other family: Male householder no spouse present: Householder 65 years and over</v>
      </c>
      <c r="O2174" t="s">
        <v>7460</v>
      </c>
      <c r="P2174" t="s">
        <v>7399</v>
      </c>
      <c r="Q2174" t="s">
        <v>41</v>
      </c>
      <c r="R2174" t="s">
        <v>7458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1</v>
      </c>
      <c r="AC2174" t="b">
        <v>1</v>
      </c>
      <c r="AD2174" t="b">
        <v>1</v>
      </c>
      <c r="AE2174" t="b">
        <v>1</v>
      </c>
      <c r="AF2174" t="b">
        <v>1</v>
      </c>
      <c r="AG2174" t="b">
        <v>1</v>
      </c>
    </row>
    <row r="2175" spans="1:33" x14ac:dyDescent="0.25">
      <c r="A2175" t="s">
        <v>676</v>
      </c>
      <c r="B2175">
        <v>9</v>
      </c>
      <c r="C2175" t="b">
        <v>0</v>
      </c>
      <c r="D2175" t="s">
        <v>7228</v>
      </c>
      <c r="E2175" t="s">
        <v>7395</v>
      </c>
      <c r="F2175" t="s">
        <v>7461</v>
      </c>
      <c r="G2175" t="s">
        <v>7462</v>
      </c>
      <c r="H2175">
        <v>2174</v>
      </c>
      <c r="I2175" t="str">
        <f>IF(ISBLANK(Table1[[#This Row],[oid]]),"FALSE","TRUE")</f>
        <v>TRUE</v>
      </c>
      <c r="J2175" t="str" cm="1">
        <f t="array" ref="J2175">_xlfn.SWITCH(LEFT(Table1[[#This Row],[section]],1), "D", "Demographic", "S", "Social", "E", "Economic", "H", "Housing", "")</f>
        <v>Economic</v>
      </c>
      <c r="K2175" t="s">
        <v>7397</v>
      </c>
      <c r="L2175" t="s">
        <v>7398</v>
      </c>
      <c r="M2175" t="str">
        <f>IF(Table1[[#This Row],[used]], _xlfn.CONCAT("🆔 ", Table1[[#This Row],[variable]], ": ",Table1[[#This Row],[alias]]), "")</f>
        <v>🆔 B17017_015E: Income in the past 12 months below poverty level: Family households: Other family: Female householder no husband present</v>
      </c>
      <c r="O2175" t="s">
        <v>7463</v>
      </c>
      <c r="P2175" t="s">
        <v>7399</v>
      </c>
      <c r="Q2175" t="s">
        <v>41</v>
      </c>
      <c r="R2175" t="s">
        <v>7464</v>
      </c>
      <c r="S2175" t="b">
        <v>1</v>
      </c>
      <c r="T2175" t="b">
        <v>1</v>
      </c>
      <c r="U2175" t="b">
        <v>1</v>
      </c>
      <c r="V2175" t="b">
        <v>1</v>
      </c>
      <c r="W2175" t="b">
        <v>1</v>
      </c>
      <c r="X2175" t="b">
        <v>1</v>
      </c>
      <c r="Y2175" t="b">
        <v>1</v>
      </c>
      <c r="Z2175" t="b">
        <v>1</v>
      </c>
      <c r="AA2175" t="b">
        <v>1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</row>
    <row r="2176" spans="1:33" x14ac:dyDescent="0.25">
      <c r="A2176" t="s">
        <v>681</v>
      </c>
      <c r="B2176">
        <v>6</v>
      </c>
      <c r="C2176" t="b">
        <v>0</v>
      </c>
      <c r="D2176" t="s">
        <v>7228</v>
      </c>
      <c r="E2176" t="s">
        <v>7395</v>
      </c>
      <c r="F2176" t="s">
        <v>7461</v>
      </c>
      <c r="G2176" t="s">
        <v>7465</v>
      </c>
      <c r="H2176">
        <v>2175</v>
      </c>
      <c r="I2176" t="str">
        <f>IF(ISBLANK(Table1[[#This Row],[oid]]),"FALSE","TRUE")</f>
        <v>TRUE</v>
      </c>
      <c r="J2176" t="str" cm="1">
        <f t="array" ref="J2176">_xlfn.SWITCH(LEFT(Table1[[#This Row],[section]],1), "D", "Demographic", "S", "Social", "E", "Economic", "H", "Housing", "")</f>
        <v>Economic</v>
      </c>
      <c r="K2176" t="s">
        <v>7397</v>
      </c>
      <c r="L2176" t="s">
        <v>7398</v>
      </c>
      <c r="M2176" t="str">
        <f>IF(Table1[[#This Row],[used]], _xlfn.CONCAT("🆔 ", Table1[[#This Row],[variable]], ": ",Table1[[#This Row],[alias]]), "")</f>
        <v>🆔 B17017_015E: Income in the past 12 months below poverty level: Family households: Other family: Female householder no spouse present</v>
      </c>
      <c r="O2176" t="s">
        <v>7466</v>
      </c>
      <c r="P2176" t="s">
        <v>7399</v>
      </c>
      <c r="Q2176" t="s">
        <v>41</v>
      </c>
      <c r="R2176" t="s">
        <v>7464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1</v>
      </c>
      <c r="AC2176" t="b">
        <v>1</v>
      </c>
      <c r="AD2176" t="b">
        <v>1</v>
      </c>
      <c r="AE2176" t="b">
        <v>1</v>
      </c>
      <c r="AF2176" t="b">
        <v>1</v>
      </c>
      <c r="AG2176" t="b">
        <v>1</v>
      </c>
    </row>
    <row r="2177" spans="1:33" x14ac:dyDescent="0.25">
      <c r="A2177" t="s">
        <v>676</v>
      </c>
      <c r="B2177">
        <v>9</v>
      </c>
      <c r="C2177" t="b">
        <v>0</v>
      </c>
      <c r="D2177" t="s">
        <v>7228</v>
      </c>
      <c r="E2177" t="s">
        <v>7395</v>
      </c>
      <c r="F2177" t="s">
        <v>7467</v>
      </c>
      <c r="G2177" t="s">
        <v>7468</v>
      </c>
      <c r="H2177">
        <v>2176</v>
      </c>
      <c r="I2177" t="str">
        <f>IF(ISBLANK(Table1[[#This Row],[oid]]),"FALSE","TRUE")</f>
        <v>TRUE</v>
      </c>
      <c r="J2177" t="str" cm="1">
        <f t="array" ref="J2177">_xlfn.SWITCH(LEFT(Table1[[#This Row],[section]],1), "D", "Demographic", "S", "Social", "E", "Economic", "H", "Housing", "")</f>
        <v>Economic</v>
      </c>
      <c r="K2177" t="s">
        <v>7397</v>
      </c>
      <c r="L2177" t="s">
        <v>7398</v>
      </c>
      <c r="M2177" t="str">
        <f>IF(Table1[[#This Row],[used]], _xlfn.CONCAT("🆔 ", Table1[[#This Row],[variable]], ": ",Table1[[#This Row],[alias]]), "")</f>
        <v>🆔 B17017_016E: Income in the past 12 months below poverty level: Family households: Other family: Female householder no husband present: Householder under 25 years</v>
      </c>
      <c r="O2177" t="s">
        <v>7469</v>
      </c>
      <c r="P2177" t="s">
        <v>7399</v>
      </c>
      <c r="Q2177" t="s">
        <v>41</v>
      </c>
      <c r="R2177" t="s">
        <v>7470</v>
      </c>
      <c r="S2177" t="b">
        <v>1</v>
      </c>
      <c r="T2177" t="b">
        <v>1</v>
      </c>
      <c r="U2177" t="b">
        <v>1</v>
      </c>
      <c r="V2177" t="b">
        <v>1</v>
      </c>
      <c r="W2177" t="b">
        <v>1</v>
      </c>
      <c r="X2177" t="b">
        <v>1</v>
      </c>
      <c r="Y2177" t="b">
        <v>1</v>
      </c>
      <c r="Z2177" t="b">
        <v>1</v>
      </c>
      <c r="AA2177" t="b">
        <v>1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</row>
    <row r="2178" spans="1:33" x14ac:dyDescent="0.25">
      <c r="A2178" t="s">
        <v>681</v>
      </c>
      <c r="B2178">
        <v>6</v>
      </c>
      <c r="C2178" t="b">
        <v>0</v>
      </c>
      <c r="D2178" t="s">
        <v>7228</v>
      </c>
      <c r="E2178" t="s">
        <v>7395</v>
      </c>
      <c r="F2178" t="s">
        <v>7467</v>
      </c>
      <c r="G2178" t="s">
        <v>7471</v>
      </c>
      <c r="H2178">
        <v>2177</v>
      </c>
      <c r="I2178" t="str">
        <f>IF(ISBLANK(Table1[[#This Row],[oid]]),"FALSE","TRUE")</f>
        <v>TRUE</v>
      </c>
      <c r="J2178" t="str" cm="1">
        <f t="array" ref="J2178">_xlfn.SWITCH(LEFT(Table1[[#This Row],[section]],1), "D", "Demographic", "S", "Social", "E", "Economic", "H", "Housing", "")</f>
        <v>Economic</v>
      </c>
      <c r="K2178" t="s">
        <v>7397</v>
      </c>
      <c r="L2178" t="s">
        <v>7398</v>
      </c>
      <c r="M2178" t="str">
        <f>IF(Table1[[#This Row],[used]], _xlfn.CONCAT("🆔 ", Table1[[#This Row],[variable]], ": ",Table1[[#This Row],[alias]]), "")</f>
        <v>🆔 B17017_016E: Income in the past 12 months below poverty level: Family households: Other family: Female householder no spouse present: Householder under 25 years</v>
      </c>
      <c r="O2178" t="s">
        <v>7472</v>
      </c>
      <c r="P2178" t="s">
        <v>7399</v>
      </c>
      <c r="Q2178" t="s">
        <v>41</v>
      </c>
      <c r="R2178" t="s">
        <v>7470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1</v>
      </c>
      <c r="AC2178" t="b">
        <v>1</v>
      </c>
      <c r="AD2178" t="b">
        <v>1</v>
      </c>
      <c r="AE2178" t="b">
        <v>1</v>
      </c>
      <c r="AF2178" t="b">
        <v>1</v>
      </c>
      <c r="AG2178" t="b">
        <v>1</v>
      </c>
    </row>
    <row r="2179" spans="1:33" x14ac:dyDescent="0.25">
      <c r="A2179" t="s">
        <v>676</v>
      </c>
      <c r="B2179">
        <v>9</v>
      </c>
      <c r="C2179" t="b">
        <v>0</v>
      </c>
      <c r="D2179" t="s">
        <v>7228</v>
      </c>
      <c r="E2179" t="s">
        <v>7395</v>
      </c>
      <c r="F2179" t="s">
        <v>7473</v>
      </c>
      <c r="G2179" t="s">
        <v>7474</v>
      </c>
      <c r="H2179">
        <v>2178</v>
      </c>
      <c r="I2179" t="str">
        <f>IF(ISBLANK(Table1[[#This Row],[oid]]),"FALSE","TRUE")</f>
        <v>TRUE</v>
      </c>
      <c r="J2179" t="str" cm="1">
        <f t="array" ref="J2179">_xlfn.SWITCH(LEFT(Table1[[#This Row],[section]],1), "D", "Demographic", "S", "Social", "E", "Economic", "H", "Housing", "")</f>
        <v>Economic</v>
      </c>
      <c r="K2179" t="s">
        <v>7397</v>
      </c>
      <c r="L2179" t="s">
        <v>7398</v>
      </c>
      <c r="M2179" t="str">
        <f>IF(Table1[[#This Row],[used]], _xlfn.CONCAT("🆔 ", Table1[[#This Row],[variable]], ": ",Table1[[#This Row],[alias]]), "")</f>
        <v>🆔 B17017_017E: Income in the past 12 months below poverty level: Family households: Other family: Female householder no husband present: Householder 25 to 44 years</v>
      </c>
      <c r="O2179" t="s">
        <v>7475</v>
      </c>
      <c r="P2179" t="s">
        <v>7399</v>
      </c>
      <c r="Q2179" t="s">
        <v>41</v>
      </c>
      <c r="R2179" t="s">
        <v>7476</v>
      </c>
      <c r="S2179" t="b">
        <v>1</v>
      </c>
      <c r="T2179" t="b">
        <v>1</v>
      </c>
      <c r="U2179" t="b">
        <v>1</v>
      </c>
      <c r="V2179" t="b">
        <v>1</v>
      </c>
      <c r="W2179" t="b">
        <v>1</v>
      </c>
      <c r="X2179" t="b">
        <v>1</v>
      </c>
      <c r="Y2179" t="b">
        <v>1</v>
      </c>
      <c r="Z2179" t="b">
        <v>1</v>
      </c>
      <c r="AA2179" t="b">
        <v>1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</row>
    <row r="2180" spans="1:33" x14ac:dyDescent="0.25">
      <c r="A2180" t="s">
        <v>681</v>
      </c>
      <c r="B2180">
        <v>6</v>
      </c>
      <c r="C2180" t="b">
        <v>0</v>
      </c>
      <c r="D2180" t="s">
        <v>7228</v>
      </c>
      <c r="E2180" t="s">
        <v>7395</v>
      </c>
      <c r="F2180" t="s">
        <v>7473</v>
      </c>
      <c r="G2180" t="s">
        <v>7477</v>
      </c>
      <c r="H2180">
        <v>2179</v>
      </c>
      <c r="I2180" t="str">
        <f>IF(ISBLANK(Table1[[#This Row],[oid]]),"FALSE","TRUE")</f>
        <v>TRUE</v>
      </c>
      <c r="J2180" t="str" cm="1">
        <f t="array" ref="J2180">_xlfn.SWITCH(LEFT(Table1[[#This Row],[section]],1), "D", "Demographic", "S", "Social", "E", "Economic", "H", "Housing", "")</f>
        <v>Economic</v>
      </c>
      <c r="K2180" t="s">
        <v>7397</v>
      </c>
      <c r="L2180" t="s">
        <v>7398</v>
      </c>
      <c r="M2180" t="str">
        <f>IF(Table1[[#This Row],[used]], _xlfn.CONCAT("🆔 ", Table1[[#This Row],[variable]], ": ",Table1[[#This Row],[alias]]), "")</f>
        <v>🆔 B17017_017E: Income in the past 12 months below poverty level: Family households: Other family: Female householder no spouse present: Householder 25 to 44 years</v>
      </c>
      <c r="O2180" t="s">
        <v>7478</v>
      </c>
      <c r="P2180" t="s">
        <v>7399</v>
      </c>
      <c r="Q2180" t="s">
        <v>41</v>
      </c>
      <c r="R2180" t="s">
        <v>7476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1</v>
      </c>
      <c r="AC2180" t="b">
        <v>1</v>
      </c>
      <c r="AD2180" t="b">
        <v>1</v>
      </c>
      <c r="AE2180" t="b">
        <v>1</v>
      </c>
      <c r="AF2180" t="b">
        <v>1</v>
      </c>
      <c r="AG2180" t="b">
        <v>1</v>
      </c>
    </row>
    <row r="2181" spans="1:33" x14ac:dyDescent="0.25">
      <c r="A2181" t="s">
        <v>676</v>
      </c>
      <c r="B2181">
        <v>9</v>
      </c>
      <c r="C2181" t="b">
        <v>0</v>
      </c>
      <c r="D2181" t="s">
        <v>7228</v>
      </c>
      <c r="E2181" t="s">
        <v>7395</v>
      </c>
      <c r="F2181" t="s">
        <v>7479</v>
      </c>
      <c r="G2181" t="s">
        <v>7480</v>
      </c>
      <c r="H2181">
        <v>2180</v>
      </c>
      <c r="I2181" t="str">
        <f>IF(ISBLANK(Table1[[#This Row],[oid]]),"FALSE","TRUE")</f>
        <v>TRUE</v>
      </c>
      <c r="J2181" t="str" cm="1">
        <f t="array" ref="J2181">_xlfn.SWITCH(LEFT(Table1[[#This Row],[section]],1), "D", "Demographic", "S", "Social", "E", "Economic", "H", "Housing", "")</f>
        <v>Economic</v>
      </c>
      <c r="K2181" t="s">
        <v>7397</v>
      </c>
      <c r="L2181" t="s">
        <v>7398</v>
      </c>
      <c r="M2181" t="str">
        <f>IF(Table1[[#This Row],[used]], _xlfn.CONCAT("🆔 ", Table1[[#This Row],[variable]], ": ",Table1[[#This Row],[alias]]), "")</f>
        <v>🆔 B17017_018E: Income in the past 12 months below poverty level: Family households: Other family: Female householder no husband present: Householder 45 to 64 years</v>
      </c>
      <c r="O2181" t="s">
        <v>7481</v>
      </c>
      <c r="P2181" t="s">
        <v>7399</v>
      </c>
      <c r="Q2181" t="s">
        <v>41</v>
      </c>
      <c r="R2181" t="s">
        <v>7482</v>
      </c>
      <c r="S2181" t="b">
        <v>1</v>
      </c>
      <c r="T2181" t="b">
        <v>1</v>
      </c>
      <c r="U2181" t="b">
        <v>1</v>
      </c>
      <c r="V2181" t="b">
        <v>1</v>
      </c>
      <c r="W2181" t="b">
        <v>1</v>
      </c>
      <c r="X2181" t="b">
        <v>1</v>
      </c>
      <c r="Y2181" t="b">
        <v>1</v>
      </c>
      <c r="Z2181" t="b">
        <v>1</v>
      </c>
      <c r="AA2181" t="b">
        <v>1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</row>
    <row r="2182" spans="1:33" x14ac:dyDescent="0.25">
      <c r="A2182" t="s">
        <v>681</v>
      </c>
      <c r="B2182">
        <v>6</v>
      </c>
      <c r="C2182" t="b">
        <v>0</v>
      </c>
      <c r="D2182" t="s">
        <v>7228</v>
      </c>
      <c r="E2182" t="s">
        <v>7395</v>
      </c>
      <c r="F2182" t="s">
        <v>7479</v>
      </c>
      <c r="G2182" t="s">
        <v>7483</v>
      </c>
      <c r="H2182">
        <v>2181</v>
      </c>
      <c r="I2182" t="str">
        <f>IF(ISBLANK(Table1[[#This Row],[oid]]),"FALSE","TRUE")</f>
        <v>TRUE</v>
      </c>
      <c r="J2182" t="str" cm="1">
        <f t="array" ref="J2182">_xlfn.SWITCH(LEFT(Table1[[#This Row],[section]],1), "D", "Demographic", "S", "Social", "E", "Economic", "H", "Housing", "")</f>
        <v>Economic</v>
      </c>
      <c r="K2182" t="s">
        <v>7397</v>
      </c>
      <c r="L2182" t="s">
        <v>7398</v>
      </c>
      <c r="M2182" t="str">
        <f>IF(Table1[[#This Row],[used]], _xlfn.CONCAT("🆔 ", Table1[[#This Row],[variable]], ": ",Table1[[#This Row],[alias]]), "")</f>
        <v>🆔 B17017_018E: Income in the past 12 months below poverty level: Family households: Other family: Female householder no spouse present: Householder 45 to 64 years</v>
      </c>
      <c r="O2182" t="s">
        <v>7484</v>
      </c>
      <c r="P2182" t="s">
        <v>7399</v>
      </c>
      <c r="Q2182" t="s">
        <v>41</v>
      </c>
      <c r="R2182" t="s">
        <v>7482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1</v>
      </c>
      <c r="AC2182" t="b">
        <v>1</v>
      </c>
      <c r="AD2182" t="b">
        <v>1</v>
      </c>
      <c r="AE2182" t="b">
        <v>1</v>
      </c>
      <c r="AF2182" t="b">
        <v>1</v>
      </c>
      <c r="AG2182" t="b">
        <v>1</v>
      </c>
    </row>
    <row r="2183" spans="1:33" x14ac:dyDescent="0.25">
      <c r="A2183" t="s">
        <v>676</v>
      </c>
      <c r="B2183">
        <v>9</v>
      </c>
      <c r="C2183" t="b">
        <v>0</v>
      </c>
      <c r="D2183" t="s">
        <v>7228</v>
      </c>
      <c r="E2183" t="s">
        <v>7395</v>
      </c>
      <c r="F2183" t="s">
        <v>7485</v>
      </c>
      <c r="G2183" t="s">
        <v>7486</v>
      </c>
      <c r="H2183">
        <v>2182</v>
      </c>
      <c r="I2183" t="str">
        <f>IF(ISBLANK(Table1[[#This Row],[oid]]),"FALSE","TRUE")</f>
        <v>TRUE</v>
      </c>
      <c r="J2183" t="str" cm="1">
        <f t="array" ref="J2183">_xlfn.SWITCH(LEFT(Table1[[#This Row],[section]],1), "D", "Demographic", "S", "Social", "E", "Economic", "H", "Housing", "")</f>
        <v>Economic</v>
      </c>
      <c r="K2183" t="s">
        <v>7397</v>
      </c>
      <c r="L2183" t="s">
        <v>7398</v>
      </c>
      <c r="M2183" t="str">
        <f>IF(Table1[[#This Row],[used]], _xlfn.CONCAT("🆔 ", Table1[[#This Row],[variable]], ": ",Table1[[#This Row],[alias]]), "")</f>
        <v>🆔 B17017_019E: Income in the past 12 months below poverty level: Family households: Other family: Female householder no husband present: Householder 65 years and over</v>
      </c>
      <c r="O2183" t="s">
        <v>7487</v>
      </c>
      <c r="P2183" t="s">
        <v>7399</v>
      </c>
      <c r="Q2183" t="s">
        <v>41</v>
      </c>
      <c r="R2183" t="s">
        <v>7488</v>
      </c>
      <c r="S2183" t="b">
        <v>1</v>
      </c>
      <c r="T2183" t="b">
        <v>1</v>
      </c>
      <c r="U2183" t="b">
        <v>1</v>
      </c>
      <c r="V2183" t="b">
        <v>1</v>
      </c>
      <c r="W2183" t="b">
        <v>1</v>
      </c>
      <c r="X2183" t="b">
        <v>1</v>
      </c>
      <c r="Y2183" t="b">
        <v>1</v>
      </c>
      <c r="Z2183" t="b">
        <v>1</v>
      </c>
      <c r="AA2183" t="b">
        <v>1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</row>
    <row r="2184" spans="1:33" x14ac:dyDescent="0.25">
      <c r="A2184" t="s">
        <v>681</v>
      </c>
      <c r="B2184">
        <v>6</v>
      </c>
      <c r="C2184" t="b">
        <v>0</v>
      </c>
      <c r="D2184" t="s">
        <v>7228</v>
      </c>
      <c r="E2184" t="s">
        <v>7395</v>
      </c>
      <c r="F2184" t="s">
        <v>7485</v>
      </c>
      <c r="G2184" t="s">
        <v>7489</v>
      </c>
      <c r="H2184">
        <v>2183</v>
      </c>
      <c r="I2184" t="str">
        <f>IF(ISBLANK(Table1[[#This Row],[oid]]),"FALSE","TRUE")</f>
        <v>TRUE</v>
      </c>
      <c r="J2184" t="str" cm="1">
        <f t="array" ref="J2184">_xlfn.SWITCH(LEFT(Table1[[#This Row],[section]],1), "D", "Demographic", "S", "Social", "E", "Economic", "H", "Housing", "")</f>
        <v>Economic</v>
      </c>
      <c r="K2184" t="s">
        <v>7397</v>
      </c>
      <c r="L2184" t="s">
        <v>7398</v>
      </c>
      <c r="M2184" t="str">
        <f>IF(Table1[[#This Row],[used]], _xlfn.CONCAT("🆔 ", Table1[[#This Row],[variable]], ": ",Table1[[#This Row],[alias]]), "")</f>
        <v>🆔 B17017_019E: Income in the past 12 months below poverty level: Family households: Other family: Female householder no spouse present: Householder 65 years and over</v>
      </c>
      <c r="O2184" t="s">
        <v>7490</v>
      </c>
      <c r="P2184" t="s">
        <v>7399</v>
      </c>
      <c r="Q2184" t="s">
        <v>41</v>
      </c>
      <c r="R2184" t="s">
        <v>7488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1</v>
      </c>
      <c r="AC2184" t="b">
        <v>1</v>
      </c>
      <c r="AD2184" t="b">
        <v>1</v>
      </c>
      <c r="AE2184" t="b">
        <v>1</v>
      </c>
      <c r="AF2184" t="b">
        <v>1</v>
      </c>
      <c r="AG2184" t="b">
        <v>1</v>
      </c>
    </row>
    <row r="2185" spans="1:33" x14ac:dyDescent="0.25">
      <c r="A2185" t="s">
        <v>33</v>
      </c>
      <c r="B2185">
        <v>15</v>
      </c>
      <c r="C2185" t="b">
        <v>1</v>
      </c>
      <c r="D2185" t="s">
        <v>7228</v>
      </c>
      <c r="E2185" t="s">
        <v>7395</v>
      </c>
      <c r="F2185" t="s">
        <v>7491</v>
      </c>
      <c r="G2185" t="s">
        <v>7492</v>
      </c>
      <c r="H2185">
        <v>2184</v>
      </c>
      <c r="I2185" t="str">
        <f>IF(ISBLANK(Table1[[#This Row],[oid]]),"FALSE","TRUE")</f>
        <v>TRUE</v>
      </c>
      <c r="J2185" t="str" cm="1">
        <f t="array" ref="J2185">_xlfn.SWITCH(LEFT(Table1[[#This Row],[section]],1), "D", "Demographic", "S", "Social", "E", "Economic", "H", "Housing", "")</f>
        <v>Economic</v>
      </c>
      <c r="K2185" t="s">
        <v>7397</v>
      </c>
      <c r="L2185" t="s">
        <v>7398</v>
      </c>
      <c r="M2185" t="str">
        <f>IF(Table1[[#This Row],[used]], _xlfn.CONCAT("🆔 ", Table1[[#This Row],[variable]], ": ",Table1[[#This Row],[alias]]), "")</f>
        <v>🆔 B17017_020E: Income in the past 12 months below poverty level: Non-family households</v>
      </c>
      <c r="O2185" t="s">
        <v>7493</v>
      </c>
      <c r="P2185" t="s">
        <v>7399</v>
      </c>
      <c r="Q2185" t="s">
        <v>41</v>
      </c>
      <c r="R2185" t="s">
        <v>7494</v>
      </c>
      <c r="S2185" t="b">
        <v>1</v>
      </c>
      <c r="T2185" t="b">
        <v>1</v>
      </c>
      <c r="U2185" t="b">
        <v>1</v>
      </c>
      <c r="V2185" t="b">
        <v>1</v>
      </c>
      <c r="W2185" t="b">
        <v>1</v>
      </c>
      <c r="X2185" t="b">
        <v>1</v>
      </c>
      <c r="Y2185" t="b">
        <v>1</v>
      </c>
      <c r="Z2185" t="b">
        <v>1</v>
      </c>
      <c r="AA2185" t="b">
        <v>1</v>
      </c>
      <c r="AB2185" t="b">
        <v>1</v>
      </c>
      <c r="AC2185" t="b">
        <v>1</v>
      </c>
      <c r="AD2185" t="b">
        <v>1</v>
      </c>
      <c r="AE2185" t="b">
        <v>1</v>
      </c>
      <c r="AF2185" t="b">
        <v>1</v>
      </c>
      <c r="AG2185" t="b">
        <v>1</v>
      </c>
    </row>
    <row r="2186" spans="1:33" x14ac:dyDescent="0.25">
      <c r="A2186" t="s">
        <v>33</v>
      </c>
      <c r="B2186">
        <v>15</v>
      </c>
      <c r="C2186" t="b">
        <v>1</v>
      </c>
      <c r="D2186" t="s">
        <v>7228</v>
      </c>
      <c r="E2186" t="s">
        <v>7395</v>
      </c>
      <c r="F2186" t="s">
        <v>7495</v>
      </c>
      <c r="G2186" t="s">
        <v>7496</v>
      </c>
      <c r="H2186">
        <v>2185</v>
      </c>
      <c r="I2186" t="str">
        <f>IF(ISBLANK(Table1[[#This Row],[oid]]),"FALSE","TRUE")</f>
        <v>TRUE</v>
      </c>
      <c r="J2186" t="str" cm="1">
        <f t="array" ref="J2186">_xlfn.SWITCH(LEFT(Table1[[#This Row],[section]],1), "D", "Demographic", "S", "Social", "E", "Economic", "H", "Housing", "")</f>
        <v>Economic</v>
      </c>
      <c r="K2186" t="s">
        <v>7397</v>
      </c>
      <c r="L2186" t="s">
        <v>7398</v>
      </c>
      <c r="M2186" t="str">
        <f>IF(Table1[[#This Row],[used]], _xlfn.CONCAT("🆔 ", Table1[[#This Row],[variable]], ": ",Table1[[#This Row],[alias]]), "")</f>
        <v>🆔 B17017_021E: Income in the past 12 months below poverty level: Non-family households: Male householder</v>
      </c>
      <c r="O2186" t="s">
        <v>7497</v>
      </c>
      <c r="P2186" t="s">
        <v>7399</v>
      </c>
      <c r="Q2186" t="s">
        <v>41</v>
      </c>
      <c r="R2186" t="s">
        <v>7498</v>
      </c>
      <c r="S2186" t="b">
        <v>1</v>
      </c>
      <c r="T2186" t="b">
        <v>1</v>
      </c>
      <c r="U2186" t="b">
        <v>1</v>
      </c>
      <c r="V2186" t="b">
        <v>1</v>
      </c>
      <c r="W2186" t="b">
        <v>1</v>
      </c>
      <c r="X2186" t="b">
        <v>1</v>
      </c>
      <c r="Y2186" t="b">
        <v>1</v>
      </c>
      <c r="Z2186" t="b">
        <v>1</v>
      </c>
      <c r="AA2186" t="b">
        <v>1</v>
      </c>
      <c r="AB2186" t="b">
        <v>1</v>
      </c>
      <c r="AC2186" t="b">
        <v>1</v>
      </c>
      <c r="AD2186" t="b">
        <v>1</v>
      </c>
      <c r="AE2186" t="b">
        <v>1</v>
      </c>
      <c r="AF2186" t="b">
        <v>1</v>
      </c>
      <c r="AG2186" t="b">
        <v>1</v>
      </c>
    </row>
    <row r="2187" spans="1:33" x14ac:dyDescent="0.25">
      <c r="A2187" t="s">
        <v>33</v>
      </c>
      <c r="B2187">
        <v>15</v>
      </c>
      <c r="C2187" t="b">
        <v>1</v>
      </c>
      <c r="D2187" t="s">
        <v>7228</v>
      </c>
      <c r="E2187" t="s">
        <v>7395</v>
      </c>
      <c r="F2187" t="s">
        <v>7499</v>
      </c>
      <c r="G2187" t="s">
        <v>7500</v>
      </c>
      <c r="H2187">
        <v>2186</v>
      </c>
      <c r="I2187" t="str">
        <f>IF(ISBLANK(Table1[[#This Row],[oid]]),"FALSE","TRUE")</f>
        <v>TRUE</v>
      </c>
      <c r="J2187" t="str" cm="1">
        <f t="array" ref="J2187">_xlfn.SWITCH(LEFT(Table1[[#This Row],[section]],1), "D", "Demographic", "S", "Social", "E", "Economic", "H", "Housing", "")</f>
        <v>Economic</v>
      </c>
      <c r="K2187" t="s">
        <v>7397</v>
      </c>
      <c r="L2187" t="s">
        <v>7398</v>
      </c>
      <c r="M2187" t="str">
        <f>IF(Table1[[#This Row],[used]], _xlfn.CONCAT("🆔 ", Table1[[#This Row],[variable]], ": ",Table1[[#This Row],[alias]]), "")</f>
        <v>🆔 B17017_022E: Income in the past 12 months below poverty level: Non-family households: Male householder: Householder under 25 years</v>
      </c>
      <c r="O2187" t="s">
        <v>7501</v>
      </c>
      <c r="P2187" t="s">
        <v>7399</v>
      </c>
      <c r="Q2187" t="s">
        <v>41</v>
      </c>
      <c r="R2187" t="s">
        <v>7502</v>
      </c>
      <c r="S2187" t="b">
        <v>1</v>
      </c>
      <c r="T2187" t="b">
        <v>1</v>
      </c>
      <c r="U2187" t="b">
        <v>1</v>
      </c>
      <c r="V2187" t="b">
        <v>1</v>
      </c>
      <c r="W2187" t="b">
        <v>1</v>
      </c>
      <c r="X2187" t="b">
        <v>1</v>
      </c>
      <c r="Y2187" t="b">
        <v>1</v>
      </c>
      <c r="Z2187" t="b">
        <v>1</v>
      </c>
      <c r="AA2187" t="b">
        <v>1</v>
      </c>
      <c r="AB2187" t="b">
        <v>1</v>
      </c>
      <c r="AC2187" t="b">
        <v>1</v>
      </c>
      <c r="AD2187" t="b">
        <v>1</v>
      </c>
      <c r="AE2187" t="b">
        <v>1</v>
      </c>
      <c r="AF2187" t="b">
        <v>1</v>
      </c>
      <c r="AG2187" t="b">
        <v>1</v>
      </c>
    </row>
    <row r="2188" spans="1:33" x14ac:dyDescent="0.25">
      <c r="A2188" t="s">
        <v>33</v>
      </c>
      <c r="B2188">
        <v>15</v>
      </c>
      <c r="C2188" t="b">
        <v>1</v>
      </c>
      <c r="D2188" t="s">
        <v>7228</v>
      </c>
      <c r="E2188" t="s">
        <v>7395</v>
      </c>
      <c r="F2188" t="s">
        <v>7503</v>
      </c>
      <c r="G2188" t="s">
        <v>7504</v>
      </c>
      <c r="H2188">
        <v>2187</v>
      </c>
      <c r="I2188" t="str">
        <f>IF(ISBLANK(Table1[[#This Row],[oid]]),"FALSE","TRUE")</f>
        <v>TRUE</v>
      </c>
      <c r="J2188" t="str" cm="1">
        <f t="array" ref="J2188">_xlfn.SWITCH(LEFT(Table1[[#This Row],[section]],1), "D", "Demographic", "S", "Social", "E", "Economic", "H", "Housing", "")</f>
        <v>Economic</v>
      </c>
      <c r="K2188" t="s">
        <v>7397</v>
      </c>
      <c r="L2188" t="s">
        <v>7398</v>
      </c>
      <c r="M2188" t="str">
        <f>IF(Table1[[#This Row],[used]], _xlfn.CONCAT("🆔 ", Table1[[#This Row],[variable]], ": ",Table1[[#This Row],[alias]]), "")</f>
        <v>🆔 B17017_023E: Income in the past 12 months below poverty level: Non-family households: Male householder: Householder 25 to 44 years</v>
      </c>
      <c r="O2188" t="s">
        <v>7505</v>
      </c>
      <c r="P2188" t="s">
        <v>7399</v>
      </c>
      <c r="Q2188" t="s">
        <v>41</v>
      </c>
      <c r="R2188" t="s">
        <v>7506</v>
      </c>
      <c r="S2188" t="b">
        <v>1</v>
      </c>
      <c r="T2188" t="b">
        <v>1</v>
      </c>
      <c r="U2188" t="b">
        <v>1</v>
      </c>
      <c r="V2188" t="b">
        <v>1</v>
      </c>
      <c r="W2188" t="b">
        <v>1</v>
      </c>
      <c r="X2188" t="b">
        <v>1</v>
      </c>
      <c r="Y2188" t="b">
        <v>1</v>
      </c>
      <c r="Z2188" t="b">
        <v>1</v>
      </c>
      <c r="AA2188" t="b">
        <v>1</v>
      </c>
      <c r="AB2188" t="b">
        <v>1</v>
      </c>
      <c r="AC2188" t="b">
        <v>1</v>
      </c>
      <c r="AD2188" t="b">
        <v>1</v>
      </c>
      <c r="AE2188" t="b">
        <v>1</v>
      </c>
      <c r="AF2188" t="b">
        <v>1</v>
      </c>
      <c r="AG2188" t="b">
        <v>1</v>
      </c>
    </row>
    <row r="2189" spans="1:33" x14ac:dyDescent="0.25">
      <c r="A2189" t="s">
        <v>33</v>
      </c>
      <c r="B2189">
        <v>15</v>
      </c>
      <c r="C2189" t="b">
        <v>1</v>
      </c>
      <c r="D2189" t="s">
        <v>7228</v>
      </c>
      <c r="E2189" t="s">
        <v>7395</v>
      </c>
      <c r="F2189" t="s">
        <v>7507</v>
      </c>
      <c r="G2189" t="s">
        <v>7508</v>
      </c>
      <c r="H2189">
        <v>2188</v>
      </c>
      <c r="I2189" t="str">
        <f>IF(ISBLANK(Table1[[#This Row],[oid]]),"FALSE","TRUE")</f>
        <v>TRUE</v>
      </c>
      <c r="J2189" t="str" cm="1">
        <f t="array" ref="J2189">_xlfn.SWITCH(LEFT(Table1[[#This Row],[section]],1), "D", "Demographic", "S", "Social", "E", "Economic", "H", "Housing", "")</f>
        <v>Economic</v>
      </c>
      <c r="K2189" t="s">
        <v>7397</v>
      </c>
      <c r="L2189" t="s">
        <v>7398</v>
      </c>
      <c r="M2189" t="str">
        <f>IF(Table1[[#This Row],[used]], _xlfn.CONCAT("🆔 ", Table1[[#This Row],[variable]], ": ",Table1[[#This Row],[alias]]), "")</f>
        <v>🆔 B17017_024E: Income in the past 12 months below poverty level: Non-family households: Male householder: Householder 45 to 64 years</v>
      </c>
      <c r="O2189" t="s">
        <v>7509</v>
      </c>
      <c r="P2189" t="s">
        <v>7399</v>
      </c>
      <c r="Q2189" t="s">
        <v>41</v>
      </c>
      <c r="R2189" t="s">
        <v>7510</v>
      </c>
      <c r="S2189" t="b">
        <v>1</v>
      </c>
      <c r="T2189" t="b">
        <v>1</v>
      </c>
      <c r="U2189" t="b">
        <v>1</v>
      </c>
      <c r="V2189" t="b">
        <v>1</v>
      </c>
      <c r="W2189" t="b">
        <v>1</v>
      </c>
      <c r="X2189" t="b">
        <v>1</v>
      </c>
      <c r="Y2189" t="b">
        <v>1</v>
      </c>
      <c r="Z2189" t="b">
        <v>1</v>
      </c>
      <c r="AA2189" t="b">
        <v>1</v>
      </c>
      <c r="AB2189" t="b">
        <v>1</v>
      </c>
      <c r="AC2189" t="b">
        <v>1</v>
      </c>
      <c r="AD2189" t="b">
        <v>1</v>
      </c>
      <c r="AE2189" t="b">
        <v>1</v>
      </c>
      <c r="AF2189" t="b">
        <v>1</v>
      </c>
      <c r="AG2189" t="b">
        <v>1</v>
      </c>
    </row>
    <row r="2190" spans="1:33" x14ac:dyDescent="0.25">
      <c r="A2190" t="s">
        <v>33</v>
      </c>
      <c r="B2190">
        <v>15</v>
      </c>
      <c r="C2190" t="b">
        <v>1</v>
      </c>
      <c r="D2190" t="s">
        <v>7228</v>
      </c>
      <c r="E2190" t="s">
        <v>7395</v>
      </c>
      <c r="F2190" t="s">
        <v>7511</v>
      </c>
      <c r="G2190" t="s">
        <v>7512</v>
      </c>
      <c r="H2190">
        <v>2189</v>
      </c>
      <c r="I2190" t="str">
        <f>IF(ISBLANK(Table1[[#This Row],[oid]]),"FALSE","TRUE")</f>
        <v>TRUE</v>
      </c>
      <c r="J2190" t="str" cm="1">
        <f t="array" ref="J2190">_xlfn.SWITCH(LEFT(Table1[[#This Row],[section]],1), "D", "Demographic", "S", "Social", "E", "Economic", "H", "Housing", "")</f>
        <v>Economic</v>
      </c>
      <c r="K2190" t="s">
        <v>7397</v>
      </c>
      <c r="L2190" t="s">
        <v>7398</v>
      </c>
      <c r="M2190" t="str">
        <f>IF(Table1[[#This Row],[used]], _xlfn.CONCAT("🆔 ", Table1[[#This Row],[variable]], ": ",Table1[[#This Row],[alias]]), "")</f>
        <v>🆔 B17017_025E: Income in the past 12 months below poverty level: Non-family households: Male householder: Householder 65 years and over</v>
      </c>
      <c r="O2190" t="s">
        <v>7513</v>
      </c>
      <c r="P2190" t="s">
        <v>7399</v>
      </c>
      <c r="Q2190" t="s">
        <v>41</v>
      </c>
      <c r="R2190" t="s">
        <v>7514</v>
      </c>
      <c r="S2190" t="b">
        <v>1</v>
      </c>
      <c r="T2190" t="b">
        <v>1</v>
      </c>
      <c r="U2190" t="b">
        <v>1</v>
      </c>
      <c r="V2190" t="b">
        <v>1</v>
      </c>
      <c r="W2190" t="b">
        <v>1</v>
      </c>
      <c r="X2190" t="b">
        <v>1</v>
      </c>
      <c r="Y2190" t="b">
        <v>1</v>
      </c>
      <c r="Z2190" t="b">
        <v>1</v>
      </c>
      <c r="AA2190" t="b">
        <v>1</v>
      </c>
      <c r="AB2190" t="b">
        <v>1</v>
      </c>
      <c r="AC2190" t="b">
        <v>1</v>
      </c>
      <c r="AD2190" t="b">
        <v>1</v>
      </c>
      <c r="AE2190" t="b">
        <v>1</v>
      </c>
      <c r="AF2190" t="b">
        <v>1</v>
      </c>
      <c r="AG2190" t="b">
        <v>1</v>
      </c>
    </row>
    <row r="2191" spans="1:33" x14ac:dyDescent="0.25">
      <c r="A2191" t="s">
        <v>33</v>
      </c>
      <c r="B2191">
        <v>15</v>
      </c>
      <c r="C2191" t="b">
        <v>1</v>
      </c>
      <c r="D2191" t="s">
        <v>7228</v>
      </c>
      <c r="E2191" t="s">
        <v>7395</v>
      </c>
      <c r="F2191" t="s">
        <v>7515</v>
      </c>
      <c r="G2191" t="s">
        <v>7516</v>
      </c>
      <c r="H2191">
        <v>2190</v>
      </c>
      <c r="I2191" t="str">
        <f>IF(ISBLANK(Table1[[#This Row],[oid]]),"FALSE","TRUE")</f>
        <v>TRUE</v>
      </c>
      <c r="J2191" t="str" cm="1">
        <f t="array" ref="J2191">_xlfn.SWITCH(LEFT(Table1[[#This Row],[section]],1), "D", "Demographic", "S", "Social", "E", "Economic", "H", "Housing", "")</f>
        <v>Economic</v>
      </c>
      <c r="K2191" t="s">
        <v>7397</v>
      </c>
      <c r="L2191" t="s">
        <v>7398</v>
      </c>
      <c r="M2191" t="str">
        <f>IF(Table1[[#This Row],[used]], _xlfn.CONCAT("🆔 ", Table1[[#This Row],[variable]], ": ",Table1[[#This Row],[alias]]), "")</f>
        <v>🆔 B17017_026E: Income in the past 12 months below poverty level: Non-family households: Female householder</v>
      </c>
      <c r="O2191" t="s">
        <v>7517</v>
      </c>
      <c r="P2191" t="s">
        <v>7399</v>
      </c>
      <c r="Q2191" t="s">
        <v>41</v>
      </c>
      <c r="R2191" t="s">
        <v>7518</v>
      </c>
      <c r="S2191" t="b">
        <v>1</v>
      </c>
      <c r="T2191" t="b">
        <v>1</v>
      </c>
      <c r="U2191" t="b">
        <v>1</v>
      </c>
      <c r="V2191" t="b">
        <v>1</v>
      </c>
      <c r="W2191" t="b">
        <v>1</v>
      </c>
      <c r="X2191" t="b">
        <v>1</v>
      </c>
      <c r="Y2191" t="b">
        <v>1</v>
      </c>
      <c r="Z2191" t="b">
        <v>1</v>
      </c>
      <c r="AA2191" t="b">
        <v>1</v>
      </c>
      <c r="AB2191" t="b">
        <v>1</v>
      </c>
      <c r="AC2191" t="b">
        <v>1</v>
      </c>
      <c r="AD2191" t="b">
        <v>1</v>
      </c>
      <c r="AE2191" t="b">
        <v>1</v>
      </c>
      <c r="AF2191" t="b">
        <v>1</v>
      </c>
      <c r="AG2191" t="b">
        <v>1</v>
      </c>
    </row>
    <row r="2192" spans="1:33" x14ac:dyDescent="0.25">
      <c r="A2192" t="s">
        <v>33</v>
      </c>
      <c r="B2192">
        <v>15</v>
      </c>
      <c r="C2192" t="b">
        <v>1</v>
      </c>
      <c r="D2192" t="s">
        <v>7228</v>
      </c>
      <c r="E2192" t="s">
        <v>7395</v>
      </c>
      <c r="F2192" t="s">
        <v>7519</v>
      </c>
      <c r="G2192" t="s">
        <v>7520</v>
      </c>
      <c r="H2192">
        <v>2191</v>
      </c>
      <c r="I2192" t="str">
        <f>IF(ISBLANK(Table1[[#This Row],[oid]]),"FALSE","TRUE")</f>
        <v>TRUE</v>
      </c>
      <c r="J2192" t="str" cm="1">
        <f t="array" ref="J2192">_xlfn.SWITCH(LEFT(Table1[[#This Row],[section]],1), "D", "Demographic", "S", "Social", "E", "Economic", "H", "Housing", "")</f>
        <v>Economic</v>
      </c>
      <c r="K2192" t="s">
        <v>7397</v>
      </c>
      <c r="L2192" t="s">
        <v>7398</v>
      </c>
      <c r="M2192" t="str">
        <f>IF(Table1[[#This Row],[used]], _xlfn.CONCAT("🆔 ", Table1[[#This Row],[variable]], ": ",Table1[[#This Row],[alias]]), "")</f>
        <v>🆔 B17017_027E: Income in the past 12 months below poverty level: Non-family households: Female householder: Householder under 25 years</v>
      </c>
      <c r="O2192" t="s">
        <v>7521</v>
      </c>
      <c r="P2192" t="s">
        <v>7399</v>
      </c>
      <c r="Q2192" t="s">
        <v>41</v>
      </c>
      <c r="R2192" t="s">
        <v>7522</v>
      </c>
      <c r="S2192" t="b">
        <v>1</v>
      </c>
      <c r="T2192" t="b">
        <v>1</v>
      </c>
      <c r="U2192" t="b">
        <v>1</v>
      </c>
      <c r="V2192" t="b">
        <v>1</v>
      </c>
      <c r="W2192" t="b">
        <v>1</v>
      </c>
      <c r="X2192" t="b">
        <v>1</v>
      </c>
      <c r="Y2192" t="b">
        <v>1</v>
      </c>
      <c r="Z2192" t="b">
        <v>1</v>
      </c>
      <c r="AA2192" t="b">
        <v>1</v>
      </c>
      <c r="AB2192" t="b">
        <v>1</v>
      </c>
      <c r="AC2192" t="b">
        <v>1</v>
      </c>
      <c r="AD2192" t="b">
        <v>1</v>
      </c>
      <c r="AE2192" t="b">
        <v>1</v>
      </c>
      <c r="AF2192" t="b">
        <v>1</v>
      </c>
      <c r="AG2192" t="b">
        <v>1</v>
      </c>
    </row>
    <row r="2193" spans="1:33" x14ac:dyDescent="0.25">
      <c r="A2193" t="s">
        <v>33</v>
      </c>
      <c r="B2193">
        <v>15</v>
      </c>
      <c r="C2193" t="b">
        <v>1</v>
      </c>
      <c r="D2193" t="s">
        <v>7228</v>
      </c>
      <c r="E2193" t="s">
        <v>7395</v>
      </c>
      <c r="F2193" t="s">
        <v>7523</v>
      </c>
      <c r="G2193" t="s">
        <v>7524</v>
      </c>
      <c r="H2193">
        <v>2192</v>
      </c>
      <c r="I2193" t="str">
        <f>IF(ISBLANK(Table1[[#This Row],[oid]]),"FALSE","TRUE")</f>
        <v>TRUE</v>
      </c>
      <c r="J2193" t="str" cm="1">
        <f t="array" ref="J2193">_xlfn.SWITCH(LEFT(Table1[[#This Row],[section]],1), "D", "Demographic", "S", "Social", "E", "Economic", "H", "Housing", "")</f>
        <v>Economic</v>
      </c>
      <c r="K2193" t="s">
        <v>7397</v>
      </c>
      <c r="L2193" t="s">
        <v>7398</v>
      </c>
      <c r="M2193" t="str">
        <f>IF(Table1[[#This Row],[used]], _xlfn.CONCAT("🆔 ", Table1[[#This Row],[variable]], ": ",Table1[[#This Row],[alias]]), "")</f>
        <v>🆔 B17017_028E: Income in the past 12 months below poverty level: Non-family households: Female householder: Householder 25 to 44 years</v>
      </c>
      <c r="O2193" t="s">
        <v>7525</v>
      </c>
      <c r="P2193" t="s">
        <v>7399</v>
      </c>
      <c r="Q2193" t="s">
        <v>41</v>
      </c>
      <c r="R2193" t="s">
        <v>7526</v>
      </c>
      <c r="S2193" t="b">
        <v>1</v>
      </c>
      <c r="T2193" t="b">
        <v>1</v>
      </c>
      <c r="U2193" t="b">
        <v>1</v>
      </c>
      <c r="V2193" t="b">
        <v>1</v>
      </c>
      <c r="W2193" t="b">
        <v>1</v>
      </c>
      <c r="X2193" t="b">
        <v>1</v>
      </c>
      <c r="Y2193" t="b">
        <v>1</v>
      </c>
      <c r="Z2193" t="b">
        <v>1</v>
      </c>
      <c r="AA2193" t="b">
        <v>1</v>
      </c>
      <c r="AB2193" t="b">
        <v>1</v>
      </c>
      <c r="AC2193" t="b">
        <v>1</v>
      </c>
      <c r="AD2193" t="b">
        <v>1</v>
      </c>
      <c r="AE2193" t="b">
        <v>1</v>
      </c>
      <c r="AF2193" t="b">
        <v>1</v>
      </c>
      <c r="AG2193" t="b">
        <v>1</v>
      </c>
    </row>
    <row r="2194" spans="1:33" x14ac:dyDescent="0.25">
      <c r="A2194" t="s">
        <v>33</v>
      </c>
      <c r="B2194">
        <v>15</v>
      </c>
      <c r="C2194" t="b">
        <v>1</v>
      </c>
      <c r="D2194" t="s">
        <v>7228</v>
      </c>
      <c r="E2194" t="s">
        <v>7395</v>
      </c>
      <c r="F2194" t="s">
        <v>7527</v>
      </c>
      <c r="G2194" t="s">
        <v>7528</v>
      </c>
      <c r="H2194">
        <v>2193</v>
      </c>
      <c r="I2194" t="str">
        <f>IF(ISBLANK(Table1[[#This Row],[oid]]),"FALSE","TRUE")</f>
        <v>TRUE</v>
      </c>
      <c r="J2194" t="str" cm="1">
        <f t="array" ref="J2194">_xlfn.SWITCH(LEFT(Table1[[#This Row],[section]],1), "D", "Demographic", "S", "Social", "E", "Economic", "H", "Housing", "")</f>
        <v>Economic</v>
      </c>
      <c r="K2194" t="s">
        <v>7397</v>
      </c>
      <c r="L2194" t="s">
        <v>7398</v>
      </c>
      <c r="M2194" t="str">
        <f>IF(Table1[[#This Row],[used]], _xlfn.CONCAT("🆔 ", Table1[[#This Row],[variable]], ": ",Table1[[#This Row],[alias]]), "")</f>
        <v>🆔 B17017_029E: Income in the past 12 months below poverty level: Non-family households: Female householder: Householder 45 to 64 years</v>
      </c>
      <c r="O2194" t="s">
        <v>7529</v>
      </c>
      <c r="P2194" t="s">
        <v>7399</v>
      </c>
      <c r="Q2194" t="s">
        <v>41</v>
      </c>
      <c r="R2194" t="s">
        <v>7530</v>
      </c>
      <c r="S2194" t="b">
        <v>1</v>
      </c>
      <c r="T2194" t="b">
        <v>1</v>
      </c>
      <c r="U2194" t="b">
        <v>1</v>
      </c>
      <c r="V2194" t="b">
        <v>1</v>
      </c>
      <c r="W2194" t="b">
        <v>1</v>
      </c>
      <c r="X2194" t="b">
        <v>1</v>
      </c>
      <c r="Y2194" t="b">
        <v>1</v>
      </c>
      <c r="Z2194" t="b">
        <v>1</v>
      </c>
      <c r="AA2194" t="b">
        <v>1</v>
      </c>
      <c r="AB2194" t="b">
        <v>1</v>
      </c>
      <c r="AC2194" t="b">
        <v>1</v>
      </c>
      <c r="AD2194" t="b">
        <v>1</v>
      </c>
      <c r="AE2194" t="b">
        <v>1</v>
      </c>
      <c r="AF2194" t="b">
        <v>1</v>
      </c>
      <c r="AG2194" t="b">
        <v>1</v>
      </c>
    </row>
    <row r="2195" spans="1:33" x14ac:dyDescent="0.25">
      <c r="A2195" t="s">
        <v>33</v>
      </c>
      <c r="B2195">
        <v>15</v>
      </c>
      <c r="C2195" t="b">
        <v>1</v>
      </c>
      <c r="D2195" t="s">
        <v>7228</v>
      </c>
      <c r="E2195" t="s">
        <v>7395</v>
      </c>
      <c r="F2195" t="s">
        <v>7531</v>
      </c>
      <c r="G2195" t="s">
        <v>7532</v>
      </c>
      <c r="H2195">
        <v>2194</v>
      </c>
      <c r="I2195" t="str">
        <f>IF(ISBLANK(Table1[[#This Row],[oid]]),"FALSE","TRUE")</f>
        <v>TRUE</v>
      </c>
      <c r="J2195" t="str" cm="1">
        <f t="array" ref="J2195">_xlfn.SWITCH(LEFT(Table1[[#This Row],[section]],1), "D", "Demographic", "S", "Social", "E", "Economic", "H", "Housing", "")</f>
        <v>Economic</v>
      </c>
      <c r="K2195" t="s">
        <v>7397</v>
      </c>
      <c r="L2195" t="s">
        <v>7398</v>
      </c>
      <c r="M2195" t="str">
        <f>IF(Table1[[#This Row],[used]], _xlfn.CONCAT("🆔 ", Table1[[#This Row],[variable]], ": ",Table1[[#This Row],[alias]]), "")</f>
        <v>🆔 B17017_030E: Income in the past 12 months below poverty level: Non-family households: Female householder: Householder 65 years and over</v>
      </c>
      <c r="O2195" t="s">
        <v>7533</v>
      </c>
      <c r="P2195" t="s">
        <v>7399</v>
      </c>
      <c r="Q2195" t="s">
        <v>41</v>
      </c>
      <c r="R2195" t="s">
        <v>7534</v>
      </c>
      <c r="S2195" t="b">
        <v>1</v>
      </c>
      <c r="T2195" t="b">
        <v>1</v>
      </c>
      <c r="U2195" t="b">
        <v>1</v>
      </c>
      <c r="V2195" t="b">
        <v>1</v>
      </c>
      <c r="W2195" t="b">
        <v>1</v>
      </c>
      <c r="X2195" t="b">
        <v>1</v>
      </c>
      <c r="Y2195" t="b">
        <v>1</v>
      </c>
      <c r="Z2195" t="b">
        <v>1</v>
      </c>
      <c r="AA2195" t="b">
        <v>1</v>
      </c>
      <c r="AB2195" t="b">
        <v>1</v>
      </c>
      <c r="AC2195" t="b">
        <v>1</v>
      </c>
      <c r="AD2195" t="b">
        <v>1</v>
      </c>
      <c r="AE2195" t="b">
        <v>1</v>
      </c>
      <c r="AF2195" t="b">
        <v>1</v>
      </c>
      <c r="AG2195" t="b">
        <v>1</v>
      </c>
    </row>
    <row r="2196" spans="1:33" x14ac:dyDescent="0.25">
      <c r="A2196" t="s">
        <v>33</v>
      </c>
      <c r="B2196">
        <v>15</v>
      </c>
      <c r="C2196" t="b">
        <v>1</v>
      </c>
      <c r="D2196" t="s">
        <v>7228</v>
      </c>
      <c r="E2196" t="s">
        <v>7395</v>
      </c>
      <c r="F2196" t="s">
        <v>7535</v>
      </c>
      <c r="G2196" t="s">
        <v>7316</v>
      </c>
      <c r="H2196">
        <v>2195</v>
      </c>
      <c r="I2196" t="str">
        <f>IF(ISBLANK(Table1[[#This Row],[oid]]),"FALSE","TRUE")</f>
        <v>TRUE</v>
      </c>
      <c r="J2196" t="str" cm="1">
        <f t="array" ref="J2196">_xlfn.SWITCH(LEFT(Table1[[#This Row],[section]],1), "D", "Demographic", "S", "Social", "E", "Economic", "H", "Housing", "")</f>
        <v>Economic</v>
      </c>
      <c r="K2196" t="s">
        <v>7397</v>
      </c>
      <c r="L2196" t="s">
        <v>7398</v>
      </c>
      <c r="M2196" t="str">
        <f>IF(Table1[[#This Row],[used]], _xlfn.CONCAT("🆔 ", Table1[[#This Row],[variable]], ": ",Table1[[#This Row],[alias]]), "")</f>
        <v>🆔 B17017_031E: Income in the past 12 months at or above poverty level</v>
      </c>
      <c r="O2196" t="s">
        <v>7317</v>
      </c>
      <c r="P2196" t="s">
        <v>7399</v>
      </c>
      <c r="Q2196" t="s">
        <v>41</v>
      </c>
      <c r="R2196" t="s">
        <v>7536</v>
      </c>
      <c r="S2196" t="b">
        <v>1</v>
      </c>
      <c r="T2196" t="b">
        <v>1</v>
      </c>
      <c r="U2196" t="b">
        <v>1</v>
      </c>
      <c r="V2196" t="b">
        <v>1</v>
      </c>
      <c r="W2196" t="b">
        <v>1</v>
      </c>
      <c r="X2196" t="b">
        <v>1</v>
      </c>
      <c r="Y2196" t="b">
        <v>1</v>
      </c>
      <c r="Z2196" t="b">
        <v>1</v>
      </c>
      <c r="AA2196" t="b">
        <v>1</v>
      </c>
      <c r="AB2196" t="b">
        <v>1</v>
      </c>
      <c r="AC2196" t="b">
        <v>1</v>
      </c>
      <c r="AD2196" t="b">
        <v>1</v>
      </c>
      <c r="AE2196" t="b">
        <v>1</v>
      </c>
      <c r="AF2196" t="b">
        <v>1</v>
      </c>
      <c r="AG2196" t="b">
        <v>1</v>
      </c>
    </row>
    <row r="2197" spans="1:33" x14ac:dyDescent="0.25">
      <c r="A2197" t="s">
        <v>33</v>
      </c>
      <c r="B2197">
        <v>15</v>
      </c>
      <c r="C2197" t="b">
        <v>1</v>
      </c>
      <c r="D2197" t="s">
        <v>7228</v>
      </c>
      <c r="E2197" t="s">
        <v>7395</v>
      </c>
      <c r="F2197" t="s">
        <v>7537</v>
      </c>
      <c r="G2197" t="s">
        <v>7538</v>
      </c>
      <c r="H2197">
        <v>2196</v>
      </c>
      <c r="I2197" t="str">
        <f>IF(ISBLANK(Table1[[#This Row],[oid]]),"FALSE","TRUE")</f>
        <v>TRUE</v>
      </c>
      <c r="J2197" t="str" cm="1">
        <f t="array" ref="J2197">_xlfn.SWITCH(LEFT(Table1[[#This Row],[section]],1), "D", "Demographic", "S", "Social", "E", "Economic", "H", "Housing", "")</f>
        <v>Economic</v>
      </c>
      <c r="K2197" t="s">
        <v>7397</v>
      </c>
      <c r="L2197" t="s">
        <v>7398</v>
      </c>
      <c r="M2197" t="str">
        <f>IF(Table1[[#This Row],[used]], _xlfn.CONCAT("🆔 ", Table1[[#This Row],[variable]], ": ",Table1[[#This Row],[alias]]), "")</f>
        <v>🆔 B17017_032E: Income in the past 12 months at or above poverty level: Family households</v>
      </c>
      <c r="O2197" t="s">
        <v>7539</v>
      </c>
      <c r="P2197" t="s">
        <v>7399</v>
      </c>
      <c r="Q2197" t="s">
        <v>41</v>
      </c>
      <c r="R2197" t="s">
        <v>7540</v>
      </c>
      <c r="S2197" t="b">
        <v>1</v>
      </c>
      <c r="T2197" t="b">
        <v>1</v>
      </c>
      <c r="U2197" t="b">
        <v>1</v>
      </c>
      <c r="V2197" t="b">
        <v>1</v>
      </c>
      <c r="W2197" t="b">
        <v>1</v>
      </c>
      <c r="X2197" t="b">
        <v>1</v>
      </c>
      <c r="Y2197" t="b">
        <v>1</v>
      </c>
      <c r="Z2197" t="b">
        <v>1</v>
      </c>
      <c r="AA2197" t="b">
        <v>1</v>
      </c>
      <c r="AB2197" t="b">
        <v>1</v>
      </c>
      <c r="AC2197" t="b">
        <v>1</v>
      </c>
      <c r="AD2197" t="b">
        <v>1</v>
      </c>
      <c r="AE2197" t="b">
        <v>1</v>
      </c>
      <c r="AF2197" t="b">
        <v>1</v>
      </c>
      <c r="AG2197" t="b">
        <v>1</v>
      </c>
    </row>
    <row r="2198" spans="1:33" x14ac:dyDescent="0.25">
      <c r="A2198" t="s">
        <v>33</v>
      </c>
      <c r="B2198">
        <v>15</v>
      </c>
      <c r="C2198" t="b">
        <v>1</v>
      </c>
      <c r="D2198" t="s">
        <v>7228</v>
      </c>
      <c r="E2198" t="s">
        <v>7395</v>
      </c>
      <c r="F2198" t="s">
        <v>7541</v>
      </c>
      <c r="G2198" t="s">
        <v>7542</v>
      </c>
      <c r="H2198">
        <v>2197</v>
      </c>
      <c r="I2198" t="str">
        <f>IF(ISBLANK(Table1[[#This Row],[oid]]),"FALSE","TRUE")</f>
        <v>TRUE</v>
      </c>
      <c r="J2198" t="str" cm="1">
        <f t="array" ref="J2198">_xlfn.SWITCH(LEFT(Table1[[#This Row],[section]],1), "D", "Demographic", "S", "Social", "E", "Economic", "H", "Housing", "")</f>
        <v>Economic</v>
      </c>
      <c r="K2198" t="s">
        <v>7397</v>
      </c>
      <c r="L2198" t="s">
        <v>7398</v>
      </c>
      <c r="M2198" t="str">
        <f>IF(Table1[[#This Row],[used]], _xlfn.CONCAT("🆔 ", Table1[[#This Row],[variable]], ": ",Table1[[#This Row],[alias]]), "")</f>
        <v>🆔 B17017_033E: Income in the past 12 months at or above poverty level: Family households: Married-couple family</v>
      </c>
      <c r="O2198" t="s">
        <v>7543</v>
      </c>
      <c r="P2198" t="s">
        <v>7399</v>
      </c>
      <c r="Q2198" t="s">
        <v>41</v>
      </c>
      <c r="R2198" t="s">
        <v>7544</v>
      </c>
      <c r="S2198" t="b">
        <v>1</v>
      </c>
      <c r="T2198" t="b">
        <v>1</v>
      </c>
      <c r="U2198" t="b">
        <v>1</v>
      </c>
      <c r="V2198" t="b">
        <v>1</v>
      </c>
      <c r="W2198" t="b">
        <v>1</v>
      </c>
      <c r="X2198" t="b">
        <v>1</v>
      </c>
      <c r="Y2198" t="b">
        <v>1</v>
      </c>
      <c r="Z2198" t="b">
        <v>1</v>
      </c>
      <c r="AA2198" t="b">
        <v>1</v>
      </c>
      <c r="AB2198" t="b">
        <v>1</v>
      </c>
      <c r="AC2198" t="b">
        <v>1</v>
      </c>
      <c r="AD2198" t="b">
        <v>1</v>
      </c>
      <c r="AE2198" t="b">
        <v>1</v>
      </c>
      <c r="AF2198" t="b">
        <v>1</v>
      </c>
      <c r="AG2198" t="b">
        <v>1</v>
      </c>
    </row>
    <row r="2199" spans="1:33" x14ac:dyDescent="0.25">
      <c r="A2199" t="s">
        <v>33</v>
      </c>
      <c r="B2199">
        <v>15</v>
      </c>
      <c r="C2199" t="b">
        <v>1</v>
      </c>
      <c r="D2199" t="s">
        <v>7228</v>
      </c>
      <c r="E2199" t="s">
        <v>7395</v>
      </c>
      <c r="F2199" t="s">
        <v>7545</v>
      </c>
      <c r="G2199" t="s">
        <v>7546</v>
      </c>
      <c r="H2199">
        <v>2198</v>
      </c>
      <c r="I2199" t="str">
        <f>IF(ISBLANK(Table1[[#This Row],[oid]]),"FALSE","TRUE")</f>
        <v>TRUE</v>
      </c>
      <c r="J2199" t="str" cm="1">
        <f t="array" ref="J2199">_xlfn.SWITCH(LEFT(Table1[[#This Row],[section]],1), "D", "Demographic", "S", "Social", "E", "Economic", "H", "Housing", "")</f>
        <v>Economic</v>
      </c>
      <c r="K2199" t="s">
        <v>7397</v>
      </c>
      <c r="L2199" t="s">
        <v>7398</v>
      </c>
      <c r="M2199" t="str">
        <f>IF(Table1[[#This Row],[used]], _xlfn.CONCAT("🆔 ", Table1[[#This Row],[variable]], ": ",Table1[[#This Row],[alias]]), "")</f>
        <v>🆔 B17017_034E: Income in the past 12 months at or above poverty level: Family households: Married-couple family: Householder under 25 years</v>
      </c>
      <c r="O2199" t="s">
        <v>7547</v>
      </c>
      <c r="P2199" t="s">
        <v>7399</v>
      </c>
      <c r="Q2199" t="s">
        <v>41</v>
      </c>
      <c r="R2199" t="s">
        <v>7548</v>
      </c>
      <c r="S2199" t="b">
        <v>1</v>
      </c>
      <c r="T2199" t="b">
        <v>1</v>
      </c>
      <c r="U2199" t="b">
        <v>1</v>
      </c>
      <c r="V2199" t="b">
        <v>1</v>
      </c>
      <c r="W2199" t="b">
        <v>1</v>
      </c>
      <c r="X2199" t="b">
        <v>1</v>
      </c>
      <c r="Y2199" t="b">
        <v>1</v>
      </c>
      <c r="Z2199" t="b">
        <v>1</v>
      </c>
      <c r="AA2199" t="b">
        <v>1</v>
      </c>
      <c r="AB2199" t="b">
        <v>1</v>
      </c>
      <c r="AC2199" t="b">
        <v>1</v>
      </c>
      <c r="AD2199" t="b">
        <v>1</v>
      </c>
      <c r="AE2199" t="b">
        <v>1</v>
      </c>
      <c r="AF2199" t="b">
        <v>1</v>
      </c>
      <c r="AG2199" t="b">
        <v>1</v>
      </c>
    </row>
    <row r="2200" spans="1:33" x14ac:dyDescent="0.25">
      <c r="A2200" t="s">
        <v>33</v>
      </c>
      <c r="B2200">
        <v>15</v>
      </c>
      <c r="C2200" t="b">
        <v>1</v>
      </c>
      <c r="D2200" t="s">
        <v>7228</v>
      </c>
      <c r="E2200" t="s">
        <v>7395</v>
      </c>
      <c r="F2200" t="s">
        <v>7549</v>
      </c>
      <c r="G2200" t="s">
        <v>7550</v>
      </c>
      <c r="H2200">
        <v>2199</v>
      </c>
      <c r="I2200" t="str">
        <f>IF(ISBLANK(Table1[[#This Row],[oid]]),"FALSE","TRUE")</f>
        <v>TRUE</v>
      </c>
      <c r="J2200" t="str" cm="1">
        <f t="array" ref="J2200">_xlfn.SWITCH(LEFT(Table1[[#This Row],[section]],1), "D", "Demographic", "S", "Social", "E", "Economic", "H", "Housing", "")</f>
        <v>Economic</v>
      </c>
      <c r="K2200" t="s">
        <v>7397</v>
      </c>
      <c r="L2200" t="s">
        <v>7398</v>
      </c>
      <c r="M2200" t="str">
        <f>IF(Table1[[#This Row],[used]], _xlfn.CONCAT("🆔 ", Table1[[#This Row],[variable]], ": ",Table1[[#This Row],[alias]]), "")</f>
        <v>🆔 B17017_035E: Income in the past 12 months at or above poverty level: Family households: Married-couple family: Householder 25 to 44 years</v>
      </c>
      <c r="O2200" t="s">
        <v>7551</v>
      </c>
      <c r="P2200" t="s">
        <v>7399</v>
      </c>
      <c r="Q2200" t="s">
        <v>41</v>
      </c>
      <c r="R2200" t="s">
        <v>7552</v>
      </c>
      <c r="S2200" t="b">
        <v>1</v>
      </c>
      <c r="T2200" t="b">
        <v>1</v>
      </c>
      <c r="U2200" t="b">
        <v>1</v>
      </c>
      <c r="V2200" t="b">
        <v>1</v>
      </c>
      <c r="W2200" t="b">
        <v>1</v>
      </c>
      <c r="X2200" t="b">
        <v>1</v>
      </c>
      <c r="Y2200" t="b">
        <v>1</v>
      </c>
      <c r="Z2200" t="b">
        <v>1</v>
      </c>
      <c r="AA2200" t="b">
        <v>1</v>
      </c>
      <c r="AB2200" t="b">
        <v>1</v>
      </c>
      <c r="AC2200" t="b">
        <v>1</v>
      </c>
      <c r="AD2200" t="b">
        <v>1</v>
      </c>
      <c r="AE2200" t="b">
        <v>1</v>
      </c>
      <c r="AF2200" t="b">
        <v>1</v>
      </c>
      <c r="AG2200" t="b">
        <v>1</v>
      </c>
    </row>
    <row r="2201" spans="1:33" x14ac:dyDescent="0.25">
      <c r="A2201" t="s">
        <v>33</v>
      </c>
      <c r="B2201">
        <v>15</v>
      </c>
      <c r="C2201" t="b">
        <v>1</v>
      </c>
      <c r="D2201" t="s">
        <v>7228</v>
      </c>
      <c r="E2201" t="s">
        <v>7395</v>
      </c>
      <c r="F2201" t="s">
        <v>7553</v>
      </c>
      <c r="G2201" t="s">
        <v>7554</v>
      </c>
      <c r="H2201">
        <v>2200</v>
      </c>
      <c r="I2201" t="str">
        <f>IF(ISBLANK(Table1[[#This Row],[oid]]),"FALSE","TRUE")</f>
        <v>TRUE</v>
      </c>
      <c r="J2201" t="str" cm="1">
        <f t="array" ref="J2201">_xlfn.SWITCH(LEFT(Table1[[#This Row],[section]],1), "D", "Demographic", "S", "Social", "E", "Economic", "H", "Housing", "")</f>
        <v>Economic</v>
      </c>
      <c r="K2201" t="s">
        <v>7397</v>
      </c>
      <c r="L2201" t="s">
        <v>7398</v>
      </c>
      <c r="M2201" t="str">
        <f>IF(Table1[[#This Row],[used]], _xlfn.CONCAT("🆔 ", Table1[[#This Row],[variable]], ": ",Table1[[#This Row],[alias]]), "")</f>
        <v>🆔 B17017_036E: Income in the past 12 months at or above poverty level: Family households: Married-couple family: Householder 45 to 64 years</v>
      </c>
      <c r="O2201" t="s">
        <v>7555</v>
      </c>
      <c r="P2201" t="s">
        <v>7399</v>
      </c>
      <c r="Q2201" t="s">
        <v>41</v>
      </c>
      <c r="R2201" t="s">
        <v>7556</v>
      </c>
      <c r="S2201" t="b">
        <v>1</v>
      </c>
      <c r="T2201" t="b">
        <v>1</v>
      </c>
      <c r="U2201" t="b">
        <v>1</v>
      </c>
      <c r="V2201" t="b">
        <v>1</v>
      </c>
      <c r="W2201" t="b">
        <v>1</v>
      </c>
      <c r="X2201" t="b">
        <v>1</v>
      </c>
      <c r="Y2201" t="b">
        <v>1</v>
      </c>
      <c r="Z2201" t="b">
        <v>1</v>
      </c>
      <c r="AA2201" t="b">
        <v>1</v>
      </c>
      <c r="AB2201" t="b">
        <v>1</v>
      </c>
      <c r="AC2201" t="b">
        <v>1</v>
      </c>
      <c r="AD2201" t="b">
        <v>1</v>
      </c>
      <c r="AE2201" t="b">
        <v>1</v>
      </c>
      <c r="AF2201" t="b">
        <v>1</v>
      </c>
      <c r="AG2201" t="b">
        <v>1</v>
      </c>
    </row>
    <row r="2202" spans="1:33" x14ac:dyDescent="0.25">
      <c r="A2202" t="s">
        <v>33</v>
      </c>
      <c r="B2202">
        <v>15</v>
      </c>
      <c r="C2202" t="b">
        <v>1</v>
      </c>
      <c r="D2202" t="s">
        <v>7228</v>
      </c>
      <c r="E2202" t="s">
        <v>7395</v>
      </c>
      <c r="F2202" t="s">
        <v>7557</v>
      </c>
      <c r="G2202" t="s">
        <v>7558</v>
      </c>
      <c r="H2202">
        <v>2201</v>
      </c>
      <c r="I2202" t="str">
        <f>IF(ISBLANK(Table1[[#This Row],[oid]]),"FALSE","TRUE")</f>
        <v>TRUE</v>
      </c>
      <c r="J2202" t="str" cm="1">
        <f t="array" ref="J2202">_xlfn.SWITCH(LEFT(Table1[[#This Row],[section]],1), "D", "Demographic", "S", "Social", "E", "Economic", "H", "Housing", "")</f>
        <v>Economic</v>
      </c>
      <c r="K2202" t="s">
        <v>7397</v>
      </c>
      <c r="L2202" t="s">
        <v>7398</v>
      </c>
      <c r="M2202" t="str">
        <f>IF(Table1[[#This Row],[used]], _xlfn.CONCAT("🆔 ", Table1[[#This Row],[variable]], ": ",Table1[[#This Row],[alias]]), "")</f>
        <v>🆔 B17017_037E: Income in the past 12 months at or above poverty level: Family households: Married-couple family: Householder 65 years and over</v>
      </c>
      <c r="O2202" t="s">
        <v>7559</v>
      </c>
      <c r="P2202" t="s">
        <v>7399</v>
      </c>
      <c r="Q2202" t="s">
        <v>41</v>
      </c>
      <c r="R2202" t="s">
        <v>7560</v>
      </c>
      <c r="S2202" t="b">
        <v>1</v>
      </c>
      <c r="T2202" t="b">
        <v>1</v>
      </c>
      <c r="U2202" t="b">
        <v>1</v>
      </c>
      <c r="V2202" t="b">
        <v>1</v>
      </c>
      <c r="W2202" t="b">
        <v>1</v>
      </c>
      <c r="X2202" t="b">
        <v>1</v>
      </c>
      <c r="Y2202" t="b">
        <v>1</v>
      </c>
      <c r="Z2202" t="b">
        <v>1</v>
      </c>
      <c r="AA2202" t="b">
        <v>1</v>
      </c>
      <c r="AB2202" t="b">
        <v>1</v>
      </c>
      <c r="AC2202" t="b">
        <v>1</v>
      </c>
      <c r="AD2202" t="b">
        <v>1</v>
      </c>
      <c r="AE2202" t="b">
        <v>1</v>
      </c>
      <c r="AF2202" t="b">
        <v>1</v>
      </c>
      <c r="AG2202" t="b">
        <v>1</v>
      </c>
    </row>
    <row r="2203" spans="1:33" x14ac:dyDescent="0.25">
      <c r="A2203" t="s">
        <v>33</v>
      </c>
      <c r="B2203">
        <v>15</v>
      </c>
      <c r="C2203" t="b">
        <v>1</v>
      </c>
      <c r="D2203" t="s">
        <v>7228</v>
      </c>
      <c r="E2203" t="s">
        <v>7395</v>
      </c>
      <c r="F2203" t="s">
        <v>7561</v>
      </c>
      <c r="G2203" t="s">
        <v>7562</v>
      </c>
      <c r="H2203">
        <v>2202</v>
      </c>
      <c r="I2203" t="str">
        <f>IF(ISBLANK(Table1[[#This Row],[oid]]),"FALSE","TRUE")</f>
        <v>TRUE</v>
      </c>
      <c r="J2203" t="str" cm="1">
        <f t="array" ref="J2203">_xlfn.SWITCH(LEFT(Table1[[#This Row],[section]],1), "D", "Demographic", "S", "Social", "E", "Economic", "H", "Housing", "")</f>
        <v>Economic</v>
      </c>
      <c r="K2203" t="s">
        <v>7397</v>
      </c>
      <c r="L2203" t="s">
        <v>7398</v>
      </c>
      <c r="M2203" t="str">
        <f>IF(Table1[[#This Row],[used]], _xlfn.CONCAT("🆔 ", Table1[[#This Row],[variable]], ": ",Table1[[#This Row],[alias]]), "")</f>
        <v>🆔 B17017_038E: Income in the past 12 months at or above poverty level: Family households: Other family</v>
      </c>
      <c r="O2203" t="s">
        <v>7563</v>
      </c>
      <c r="P2203" t="s">
        <v>7399</v>
      </c>
      <c r="Q2203" t="s">
        <v>41</v>
      </c>
      <c r="R2203" t="s">
        <v>7564</v>
      </c>
      <c r="S2203" t="b">
        <v>1</v>
      </c>
      <c r="T2203" t="b">
        <v>1</v>
      </c>
      <c r="U2203" t="b">
        <v>1</v>
      </c>
      <c r="V2203" t="b">
        <v>1</v>
      </c>
      <c r="W2203" t="b">
        <v>1</v>
      </c>
      <c r="X2203" t="b">
        <v>1</v>
      </c>
      <c r="Y2203" t="b">
        <v>1</v>
      </c>
      <c r="Z2203" t="b">
        <v>1</v>
      </c>
      <c r="AA2203" t="b">
        <v>1</v>
      </c>
      <c r="AB2203" t="b">
        <v>1</v>
      </c>
      <c r="AC2203" t="b">
        <v>1</v>
      </c>
      <c r="AD2203" t="b">
        <v>1</v>
      </c>
      <c r="AE2203" t="b">
        <v>1</v>
      </c>
      <c r="AF2203" t="b">
        <v>1</v>
      </c>
      <c r="AG2203" t="b">
        <v>1</v>
      </c>
    </row>
    <row r="2204" spans="1:33" x14ac:dyDescent="0.25">
      <c r="A2204" t="s">
        <v>676</v>
      </c>
      <c r="B2204">
        <v>9</v>
      </c>
      <c r="C2204" t="b">
        <v>0</v>
      </c>
      <c r="D2204" t="s">
        <v>7228</v>
      </c>
      <c r="E2204" t="s">
        <v>7395</v>
      </c>
      <c r="F2204" t="s">
        <v>7565</v>
      </c>
      <c r="G2204" t="s">
        <v>7566</v>
      </c>
      <c r="H2204">
        <v>2203</v>
      </c>
      <c r="I2204" t="str">
        <f>IF(ISBLANK(Table1[[#This Row],[oid]]),"FALSE","TRUE")</f>
        <v>TRUE</v>
      </c>
      <c r="J2204" t="str" cm="1">
        <f t="array" ref="J2204">_xlfn.SWITCH(LEFT(Table1[[#This Row],[section]],1), "D", "Demographic", "S", "Social", "E", "Economic", "H", "Housing", "")</f>
        <v>Economic</v>
      </c>
      <c r="K2204" t="s">
        <v>7397</v>
      </c>
      <c r="L2204" t="s">
        <v>7398</v>
      </c>
      <c r="M2204" t="str">
        <f>IF(Table1[[#This Row],[used]], _xlfn.CONCAT("🆔 ", Table1[[#This Row],[variable]], ": ",Table1[[#This Row],[alias]]), "")</f>
        <v>🆔 B17017_039E: Income in the past 12 months at or above poverty level: Family households: Other family: Male householder no wife present</v>
      </c>
      <c r="O2204" t="s">
        <v>7567</v>
      </c>
      <c r="P2204" t="s">
        <v>7399</v>
      </c>
      <c r="Q2204" t="s">
        <v>41</v>
      </c>
      <c r="R2204" t="s">
        <v>7568</v>
      </c>
      <c r="S2204" t="b">
        <v>1</v>
      </c>
      <c r="T2204" t="b">
        <v>1</v>
      </c>
      <c r="U2204" t="b">
        <v>1</v>
      </c>
      <c r="V2204" t="b">
        <v>1</v>
      </c>
      <c r="W2204" t="b">
        <v>1</v>
      </c>
      <c r="X2204" t="b">
        <v>1</v>
      </c>
      <c r="Y2204" t="b">
        <v>1</v>
      </c>
      <c r="Z2204" t="b">
        <v>1</v>
      </c>
      <c r="AA2204" t="b">
        <v>1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</row>
    <row r="2205" spans="1:33" x14ac:dyDescent="0.25">
      <c r="A2205" t="s">
        <v>681</v>
      </c>
      <c r="B2205">
        <v>6</v>
      </c>
      <c r="C2205" t="b">
        <v>0</v>
      </c>
      <c r="D2205" t="s">
        <v>7228</v>
      </c>
      <c r="E2205" t="s">
        <v>7395</v>
      </c>
      <c r="F2205" t="s">
        <v>7565</v>
      </c>
      <c r="G2205" t="s">
        <v>7569</v>
      </c>
      <c r="H2205">
        <v>2204</v>
      </c>
      <c r="I2205" t="str">
        <f>IF(ISBLANK(Table1[[#This Row],[oid]]),"FALSE","TRUE")</f>
        <v>TRUE</v>
      </c>
      <c r="J2205" t="str" cm="1">
        <f t="array" ref="J2205">_xlfn.SWITCH(LEFT(Table1[[#This Row],[section]],1), "D", "Demographic", "S", "Social", "E", "Economic", "H", "Housing", "")</f>
        <v>Economic</v>
      </c>
      <c r="K2205" t="s">
        <v>7397</v>
      </c>
      <c r="L2205" t="s">
        <v>7398</v>
      </c>
      <c r="M2205" t="str">
        <f>IF(Table1[[#This Row],[used]], _xlfn.CONCAT("🆔 ", Table1[[#This Row],[variable]], ": ",Table1[[#This Row],[alias]]), "")</f>
        <v>🆔 B17017_039E: Income in the past 12 months at or above poverty level: Family households: Other family: Male householder no spouse present</v>
      </c>
      <c r="O2205" t="s">
        <v>7570</v>
      </c>
      <c r="P2205" t="s">
        <v>7399</v>
      </c>
      <c r="Q2205" t="s">
        <v>41</v>
      </c>
      <c r="R2205" t="s">
        <v>7568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1</v>
      </c>
      <c r="AC2205" t="b">
        <v>1</v>
      </c>
      <c r="AD2205" t="b">
        <v>1</v>
      </c>
      <c r="AE2205" t="b">
        <v>1</v>
      </c>
      <c r="AF2205" t="b">
        <v>1</v>
      </c>
      <c r="AG2205" t="b">
        <v>1</v>
      </c>
    </row>
    <row r="2206" spans="1:33" x14ac:dyDescent="0.25">
      <c r="A2206" t="s">
        <v>676</v>
      </c>
      <c r="B2206">
        <v>9</v>
      </c>
      <c r="C2206" t="b">
        <v>0</v>
      </c>
      <c r="D2206" t="s">
        <v>7228</v>
      </c>
      <c r="E2206" t="s">
        <v>7395</v>
      </c>
      <c r="F2206" t="s">
        <v>7571</v>
      </c>
      <c r="G2206" t="s">
        <v>7572</v>
      </c>
      <c r="H2206">
        <v>2205</v>
      </c>
      <c r="I2206" t="str">
        <f>IF(ISBLANK(Table1[[#This Row],[oid]]),"FALSE","TRUE")</f>
        <v>TRUE</v>
      </c>
      <c r="J2206" t="str" cm="1">
        <f t="array" ref="J2206">_xlfn.SWITCH(LEFT(Table1[[#This Row],[section]],1), "D", "Demographic", "S", "Social", "E", "Economic", "H", "Housing", "")</f>
        <v>Economic</v>
      </c>
      <c r="K2206" t="s">
        <v>7397</v>
      </c>
      <c r="L2206" t="s">
        <v>7398</v>
      </c>
      <c r="M2206" t="str">
        <f>IF(Table1[[#This Row],[used]], _xlfn.CONCAT("🆔 ", Table1[[#This Row],[variable]], ": ",Table1[[#This Row],[alias]]), "")</f>
        <v>🆔 B17017_040E: Income in the past 12 months at or above poverty level: Family households: Other family: Male householder no wife present: Householder under 25 years</v>
      </c>
      <c r="O2206" t="s">
        <v>7573</v>
      </c>
      <c r="P2206" t="s">
        <v>7399</v>
      </c>
      <c r="Q2206" t="s">
        <v>41</v>
      </c>
      <c r="R2206" t="s">
        <v>7574</v>
      </c>
      <c r="S2206" t="b">
        <v>1</v>
      </c>
      <c r="T2206" t="b">
        <v>1</v>
      </c>
      <c r="U2206" t="b">
        <v>1</v>
      </c>
      <c r="V2206" t="b">
        <v>1</v>
      </c>
      <c r="W2206" t="b">
        <v>1</v>
      </c>
      <c r="X2206" t="b">
        <v>1</v>
      </c>
      <c r="Y2206" t="b">
        <v>1</v>
      </c>
      <c r="Z2206" t="b">
        <v>1</v>
      </c>
      <c r="AA2206" t="b">
        <v>1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</row>
    <row r="2207" spans="1:33" x14ac:dyDescent="0.25">
      <c r="A2207" t="s">
        <v>681</v>
      </c>
      <c r="B2207">
        <v>6</v>
      </c>
      <c r="C2207" t="b">
        <v>0</v>
      </c>
      <c r="D2207" t="s">
        <v>7228</v>
      </c>
      <c r="E2207" t="s">
        <v>7395</v>
      </c>
      <c r="F2207" t="s">
        <v>7571</v>
      </c>
      <c r="G2207" t="s">
        <v>7575</v>
      </c>
      <c r="H2207">
        <v>2206</v>
      </c>
      <c r="I2207" t="str">
        <f>IF(ISBLANK(Table1[[#This Row],[oid]]),"FALSE","TRUE")</f>
        <v>TRUE</v>
      </c>
      <c r="J2207" t="str" cm="1">
        <f t="array" ref="J2207">_xlfn.SWITCH(LEFT(Table1[[#This Row],[section]],1), "D", "Demographic", "S", "Social", "E", "Economic", "H", "Housing", "")</f>
        <v>Economic</v>
      </c>
      <c r="K2207" t="s">
        <v>7397</v>
      </c>
      <c r="L2207" t="s">
        <v>7398</v>
      </c>
      <c r="M2207" t="str">
        <f>IF(Table1[[#This Row],[used]], _xlfn.CONCAT("🆔 ", Table1[[#This Row],[variable]], ": ",Table1[[#This Row],[alias]]), "")</f>
        <v>🆔 B17017_040E: Income in the past 12 months at or above poverty level: Family households: Other family: Male householder no spouse present: Householder under 25 years</v>
      </c>
      <c r="O2207" t="s">
        <v>7576</v>
      </c>
      <c r="P2207" t="s">
        <v>7399</v>
      </c>
      <c r="Q2207" t="s">
        <v>41</v>
      </c>
      <c r="R2207" t="s">
        <v>7574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1</v>
      </c>
      <c r="AC2207" t="b">
        <v>1</v>
      </c>
      <c r="AD2207" t="b">
        <v>1</v>
      </c>
      <c r="AE2207" t="b">
        <v>1</v>
      </c>
      <c r="AF2207" t="b">
        <v>1</v>
      </c>
      <c r="AG2207" t="b">
        <v>1</v>
      </c>
    </row>
    <row r="2208" spans="1:33" x14ac:dyDescent="0.25">
      <c r="A2208" t="s">
        <v>676</v>
      </c>
      <c r="B2208">
        <v>9</v>
      </c>
      <c r="C2208" t="b">
        <v>0</v>
      </c>
      <c r="D2208" t="s">
        <v>7228</v>
      </c>
      <c r="E2208" t="s">
        <v>7395</v>
      </c>
      <c r="F2208" t="s">
        <v>7577</v>
      </c>
      <c r="G2208" t="s">
        <v>7578</v>
      </c>
      <c r="H2208">
        <v>2207</v>
      </c>
      <c r="I2208" t="str">
        <f>IF(ISBLANK(Table1[[#This Row],[oid]]),"FALSE","TRUE")</f>
        <v>TRUE</v>
      </c>
      <c r="J2208" t="str" cm="1">
        <f t="array" ref="J2208">_xlfn.SWITCH(LEFT(Table1[[#This Row],[section]],1), "D", "Demographic", "S", "Social", "E", "Economic", "H", "Housing", "")</f>
        <v>Economic</v>
      </c>
      <c r="K2208" t="s">
        <v>7397</v>
      </c>
      <c r="L2208" t="s">
        <v>7398</v>
      </c>
      <c r="M2208" t="str">
        <f>IF(Table1[[#This Row],[used]], _xlfn.CONCAT("🆔 ", Table1[[#This Row],[variable]], ": ",Table1[[#This Row],[alias]]), "")</f>
        <v>🆔 B17017_041E: Income in the past 12 months at or above poverty level: Family households: Other family: Male householder no wife present: Householder 25 to 44 years</v>
      </c>
      <c r="O2208" t="s">
        <v>7579</v>
      </c>
      <c r="P2208" t="s">
        <v>7399</v>
      </c>
      <c r="Q2208" t="s">
        <v>41</v>
      </c>
      <c r="R2208" t="s">
        <v>7580</v>
      </c>
      <c r="S2208" t="b">
        <v>1</v>
      </c>
      <c r="T2208" t="b">
        <v>1</v>
      </c>
      <c r="U2208" t="b">
        <v>1</v>
      </c>
      <c r="V2208" t="b">
        <v>1</v>
      </c>
      <c r="W2208" t="b">
        <v>1</v>
      </c>
      <c r="X2208" t="b">
        <v>1</v>
      </c>
      <c r="Y2208" t="b">
        <v>1</v>
      </c>
      <c r="Z2208" t="b">
        <v>1</v>
      </c>
      <c r="AA2208" t="b">
        <v>1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</row>
    <row r="2209" spans="1:33" x14ac:dyDescent="0.25">
      <c r="A2209" t="s">
        <v>681</v>
      </c>
      <c r="B2209">
        <v>6</v>
      </c>
      <c r="C2209" t="b">
        <v>0</v>
      </c>
      <c r="D2209" t="s">
        <v>7228</v>
      </c>
      <c r="E2209" t="s">
        <v>7395</v>
      </c>
      <c r="F2209" t="s">
        <v>7577</v>
      </c>
      <c r="G2209" t="s">
        <v>7581</v>
      </c>
      <c r="H2209">
        <v>2208</v>
      </c>
      <c r="I2209" t="str">
        <f>IF(ISBLANK(Table1[[#This Row],[oid]]),"FALSE","TRUE")</f>
        <v>TRUE</v>
      </c>
      <c r="J2209" t="str" cm="1">
        <f t="array" ref="J2209">_xlfn.SWITCH(LEFT(Table1[[#This Row],[section]],1), "D", "Demographic", "S", "Social", "E", "Economic", "H", "Housing", "")</f>
        <v>Economic</v>
      </c>
      <c r="K2209" t="s">
        <v>7397</v>
      </c>
      <c r="L2209" t="s">
        <v>7398</v>
      </c>
      <c r="M2209" t="str">
        <f>IF(Table1[[#This Row],[used]], _xlfn.CONCAT("🆔 ", Table1[[#This Row],[variable]], ": ",Table1[[#This Row],[alias]]), "")</f>
        <v>🆔 B17017_041E: Income in the past 12 months at or above poverty level: Family households: Other family: Male householder no spouse present: Householder 25 to 44 years</v>
      </c>
      <c r="O2209" t="s">
        <v>7582</v>
      </c>
      <c r="P2209" t="s">
        <v>7399</v>
      </c>
      <c r="Q2209" t="s">
        <v>41</v>
      </c>
      <c r="R2209" t="s">
        <v>7580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1</v>
      </c>
      <c r="AC2209" t="b">
        <v>1</v>
      </c>
      <c r="AD2209" t="b">
        <v>1</v>
      </c>
      <c r="AE2209" t="b">
        <v>1</v>
      </c>
      <c r="AF2209" t="b">
        <v>1</v>
      </c>
      <c r="AG2209" t="b">
        <v>1</v>
      </c>
    </row>
    <row r="2210" spans="1:33" x14ac:dyDescent="0.25">
      <c r="A2210" t="s">
        <v>676</v>
      </c>
      <c r="B2210">
        <v>9</v>
      </c>
      <c r="C2210" t="b">
        <v>0</v>
      </c>
      <c r="D2210" t="s">
        <v>7228</v>
      </c>
      <c r="E2210" t="s">
        <v>7395</v>
      </c>
      <c r="F2210" t="s">
        <v>7583</v>
      </c>
      <c r="G2210" t="s">
        <v>7584</v>
      </c>
      <c r="H2210">
        <v>2209</v>
      </c>
      <c r="I2210" t="str">
        <f>IF(ISBLANK(Table1[[#This Row],[oid]]),"FALSE","TRUE")</f>
        <v>TRUE</v>
      </c>
      <c r="J2210" t="str" cm="1">
        <f t="array" ref="J2210">_xlfn.SWITCH(LEFT(Table1[[#This Row],[section]],1), "D", "Demographic", "S", "Social", "E", "Economic", "H", "Housing", "")</f>
        <v>Economic</v>
      </c>
      <c r="K2210" t="s">
        <v>7397</v>
      </c>
      <c r="L2210" t="s">
        <v>7398</v>
      </c>
      <c r="M2210" t="str">
        <f>IF(Table1[[#This Row],[used]], _xlfn.CONCAT("🆔 ", Table1[[#This Row],[variable]], ": ",Table1[[#This Row],[alias]]), "")</f>
        <v>🆔 B17017_042E: Income in the past 12 months at or above poverty level: Family households: Other family: Male householder no wife present: Householder 45 to 64 years</v>
      </c>
      <c r="O2210" t="s">
        <v>7585</v>
      </c>
      <c r="P2210" t="s">
        <v>7399</v>
      </c>
      <c r="Q2210" t="s">
        <v>41</v>
      </c>
      <c r="R2210" t="s">
        <v>7586</v>
      </c>
      <c r="S2210" t="b">
        <v>1</v>
      </c>
      <c r="T2210" t="b">
        <v>1</v>
      </c>
      <c r="U2210" t="b">
        <v>1</v>
      </c>
      <c r="V2210" t="b">
        <v>1</v>
      </c>
      <c r="W2210" t="b">
        <v>1</v>
      </c>
      <c r="X2210" t="b">
        <v>1</v>
      </c>
      <c r="Y2210" t="b">
        <v>1</v>
      </c>
      <c r="Z2210" t="b">
        <v>1</v>
      </c>
      <c r="AA2210" t="b">
        <v>1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</row>
    <row r="2211" spans="1:33" x14ac:dyDescent="0.25">
      <c r="A2211" t="s">
        <v>681</v>
      </c>
      <c r="B2211">
        <v>6</v>
      </c>
      <c r="C2211" t="b">
        <v>0</v>
      </c>
      <c r="D2211" t="s">
        <v>7228</v>
      </c>
      <c r="E2211" t="s">
        <v>7395</v>
      </c>
      <c r="F2211" t="s">
        <v>7583</v>
      </c>
      <c r="G2211" t="s">
        <v>7587</v>
      </c>
      <c r="H2211">
        <v>2210</v>
      </c>
      <c r="I2211" t="str">
        <f>IF(ISBLANK(Table1[[#This Row],[oid]]),"FALSE","TRUE")</f>
        <v>TRUE</v>
      </c>
      <c r="J2211" t="str" cm="1">
        <f t="array" ref="J2211">_xlfn.SWITCH(LEFT(Table1[[#This Row],[section]],1), "D", "Demographic", "S", "Social", "E", "Economic", "H", "Housing", "")</f>
        <v>Economic</v>
      </c>
      <c r="K2211" t="s">
        <v>7397</v>
      </c>
      <c r="L2211" t="s">
        <v>7398</v>
      </c>
      <c r="M2211" t="str">
        <f>IF(Table1[[#This Row],[used]], _xlfn.CONCAT("🆔 ", Table1[[#This Row],[variable]], ": ",Table1[[#This Row],[alias]]), "")</f>
        <v>🆔 B17017_042E: Income in the past 12 months at or above poverty level: Family households: Other family: Male householder no spouse present: Householder 45 to 64 years</v>
      </c>
      <c r="O2211" t="s">
        <v>7588</v>
      </c>
      <c r="P2211" t="s">
        <v>7399</v>
      </c>
      <c r="Q2211" t="s">
        <v>41</v>
      </c>
      <c r="R2211" t="s">
        <v>7586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1</v>
      </c>
      <c r="AC2211" t="b">
        <v>1</v>
      </c>
      <c r="AD2211" t="b">
        <v>1</v>
      </c>
      <c r="AE2211" t="b">
        <v>1</v>
      </c>
      <c r="AF2211" t="b">
        <v>1</v>
      </c>
      <c r="AG2211" t="b">
        <v>1</v>
      </c>
    </row>
    <row r="2212" spans="1:33" x14ac:dyDescent="0.25">
      <c r="A2212" t="s">
        <v>676</v>
      </c>
      <c r="B2212">
        <v>9</v>
      </c>
      <c r="C2212" t="b">
        <v>0</v>
      </c>
      <c r="D2212" t="s">
        <v>7228</v>
      </c>
      <c r="E2212" t="s">
        <v>7395</v>
      </c>
      <c r="F2212" t="s">
        <v>7589</v>
      </c>
      <c r="G2212" t="s">
        <v>7590</v>
      </c>
      <c r="H2212">
        <v>2211</v>
      </c>
      <c r="I2212" t="str">
        <f>IF(ISBLANK(Table1[[#This Row],[oid]]),"FALSE","TRUE")</f>
        <v>TRUE</v>
      </c>
      <c r="J2212" t="str" cm="1">
        <f t="array" ref="J2212">_xlfn.SWITCH(LEFT(Table1[[#This Row],[section]],1), "D", "Demographic", "S", "Social", "E", "Economic", "H", "Housing", "")</f>
        <v>Economic</v>
      </c>
      <c r="K2212" t="s">
        <v>7397</v>
      </c>
      <c r="L2212" t="s">
        <v>7398</v>
      </c>
      <c r="M2212" t="str">
        <f>IF(Table1[[#This Row],[used]], _xlfn.CONCAT("🆔 ", Table1[[#This Row],[variable]], ": ",Table1[[#This Row],[alias]]), "")</f>
        <v>🆔 B17017_043E: Income in the past 12 months at or above poverty level: Family households: Other family: Male householder no wife present: Householder 65 years and over</v>
      </c>
      <c r="O2212" t="s">
        <v>7591</v>
      </c>
      <c r="P2212" t="s">
        <v>7399</v>
      </c>
      <c r="Q2212" t="s">
        <v>41</v>
      </c>
      <c r="R2212" t="s">
        <v>7592</v>
      </c>
      <c r="S2212" t="b">
        <v>1</v>
      </c>
      <c r="T2212" t="b">
        <v>1</v>
      </c>
      <c r="U2212" t="b">
        <v>1</v>
      </c>
      <c r="V2212" t="b">
        <v>1</v>
      </c>
      <c r="W2212" t="b">
        <v>1</v>
      </c>
      <c r="X2212" t="b">
        <v>1</v>
      </c>
      <c r="Y2212" t="b">
        <v>1</v>
      </c>
      <c r="Z2212" t="b">
        <v>1</v>
      </c>
      <c r="AA2212" t="b">
        <v>1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G2212" t="b">
        <v>0</v>
      </c>
    </row>
    <row r="2213" spans="1:33" x14ac:dyDescent="0.25">
      <c r="A2213" t="s">
        <v>681</v>
      </c>
      <c r="B2213">
        <v>6</v>
      </c>
      <c r="C2213" t="b">
        <v>0</v>
      </c>
      <c r="D2213" t="s">
        <v>7228</v>
      </c>
      <c r="E2213" t="s">
        <v>7395</v>
      </c>
      <c r="F2213" t="s">
        <v>7589</v>
      </c>
      <c r="G2213" t="s">
        <v>7593</v>
      </c>
      <c r="H2213">
        <v>2212</v>
      </c>
      <c r="I2213" t="str">
        <f>IF(ISBLANK(Table1[[#This Row],[oid]]),"FALSE","TRUE")</f>
        <v>TRUE</v>
      </c>
      <c r="J2213" t="str" cm="1">
        <f t="array" ref="J2213">_xlfn.SWITCH(LEFT(Table1[[#This Row],[section]],1), "D", "Demographic", "S", "Social", "E", "Economic", "H", "Housing", "")</f>
        <v>Economic</v>
      </c>
      <c r="K2213" t="s">
        <v>7397</v>
      </c>
      <c r="L2213" t="s">
        <v>7398</v>
      </c>
      <c r="M2213" t="str">
        <f>IF(Table1[[#This Row],[used]], _xlfn.CONCAT("🆔 ", Table1[[#This Row],[variable]], ": ",Table1[[#This Row],[alias]]), "")</f>
        <v>🆔 B17017_043E: Income in the past 12 months at or above poverty level: Family households: Other family: Male householder no spouse present: Householder 65 years and over</v>
      </c>
      <c r="O2213" t="s">
        <v>7594</v>
      </c>
      <c r="P2213" t="s">
        <v>7399</v>
      </c>
      <c r="Q2213" t="s">
        <v>41</v>
      </c>
      <c r="R2213" t="s">
        <v>7592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1</v>
      </c>
      <c r="AC2213" t="b">
        <v>1</v>
      </c>
      <c r="AD2213" t="b">
        <v>1</v>
      </c>
      <c r="AE2213" t="b">
        <v>1</v>
      </c>
      <c r="AF2213" t="b">
        <v>1</v>
      </c>
      <c r="AG2213" t="b">
        <v>1</v>
      </c>
    </row>
    <row r="2214" spans="1:33" x14ac:dyDescent="0.25">
      <c r="A2214" t="s">
        <v>676</v>
      </c>
      <c r="B2214">
        <v>9</v>
      </c>
      <c r="C2214" t="b">
        <v>0</v>
      </c>
      <c r="D2214" t="s">
        <v>7228</v>
      </c>
      <c r="E2214" t="s">
        <v>7395</v>
      </c>
      <c r="F2214" t="s">
        <v>7595</v>
      </c>
      <c r="G2214" t="s">
        <v>7596</v>
      </c>
      <c r="H2214">
        <v>2213</v>
      </c>
      <c r="I2214" t="str">
        <f>IF(ISBLANK(Table1[[#This Row],[oid]]),"FALSE","TRUE")</f>
        <v>TRUE</v>
      </c>
      <c r="J2214" t="str" cm="1">
        <f t="array" ref="J2214">_xlfn.SWITCH(LEFT(Table1[[#This Row],[section]],1), "D", "Demographic", "S", "Social", "E", "Economic", "H", "Housing", "")</f>
        <v>Economic</v>
      </c>
      <c r="K2214" t="s">
        <v>7397</v>
      </c>
      <c r="L2214" t="s">
        <v>7398</v>
      </c>
      <c r="M2214" t="str">
        <f>IF(Table1[[#This Row],[used]], _xlfn.CONCAT("🆔 ", Table1[[#This Row],[variable]], ": ",Table1[[#This Row],[alias]]), "")</f>
        <v>🆔 B17017_044E: Income in the past 12 months at or above poverty level: Family households: Other family: Female householder no husband present</v>
      </c>
      <c r="O2214" t="s">
        <v>7597</v>
      </c>
      <c r="P2214" t="s">
        <v>7399</v>
      </c>
      <c r="Q2214" t="s">
        <v>41</v>
      </c>
      <c r="R2214" t="s">
        <v>7598</v>
      </c>
      <c r="S2214" t="b">
        <v>1</v>
      </c>
      <c r="T2214" t="b">
        <v>1</v>
      </c>
      <c r="U2214" t="b">
        <v>1</v>
      </c>
      <c r="V2214" t="b">
        <v>1</v>
      </c>
      <c r="W2214" t="b">
        <v>1</v>
      </c>
      <c r="X2214" t="b">
        <v>1</v>
      </c>
      <c r="Y2214" t="b">
        <v>1</v>
      </c>
      <c r="Z2214" t="b">
        <v>1</v>
      </c>
      <c r="AA2214" t="b">
        <v>1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</row>
    <row r="2215" spans="1:33" x14ac:dyDescent="0.25">
      <c r="A2215" t="s">
        <v>681</v>
      </c>
      <c r="B2215">
        <v>6</v>
      </c>
      <c r="C2215" t="b">
        <v>0</v>
      </c>
      <c r="D2215" t="s">
        <v>7228</v>
      </c>
      <c r="E2215" t="s">
        <v>7395</v>
      </c>
      <c r="F2215" t="s">
        <v>7595</v>
      </c>
      <c r="G2215" t="s">
        <v>7599</v>
      </c>
      <c r="H2215">
        <v>2214</v>
      </c>
      <c r="I2215" t="str">
        <f>IF(ISBLANK(Table1[[#This Row],[oid]]),"FALSE","TRUE")</f>
        <v>TRUE</v>
      </c>
      <c r="J2215" t="str" cm="1">
        <f t="array" ref="J2215">_xlfn.SWITCH(LEFT(Table1[[#This Row],[section]],1), "D", "Demographic", "S", "Social", "E", "Economic", "H", "Housing", "")</f>
        <v>Economic</v>
      </c>
      <c r="K2215" t="s">
        <v>7397</v>
      </c>
      <c r="L2215" t="s">
        <v>7398</v>
      </c>
      <c r="M2215" t="str">
        <f>IF(Table1[[#This Row],[used]], _xlfn.CONCAT("🆔 ", Table1[[#This Row],[variable]], ": ",Table1[[#This Row],[alias]]), "")</f>
        <v>🆔 B17017_044E: Income in the past 12 months at or above poverty level: Family households: Other family: Female householder no spouse present</v>
      </c>
      <c r="O2215" t="s">
        <v>7600</v>
      </c>
      <c r="P2215" t="s">
        <v>7399</v>
      </c>
      <c r="Q2215" t="s">
        <v>41</v>
      </c>
      <c r="R2215" t="s">
        <v>7598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1</v>
      </c>
      <c r="AC2215" t="b">
        <v>1</v>
      </c>
      <c r="AD2215" t="b">
        <v>1</v>
      </c>
      <c r="AE2215" t="b">
        <v>1</v>
      </c>
      <c r="AF2215" t="b">
        <v>1</v>
      </c>
      <c r="AG2215" t="b">
        <v>1</v>
      </c>
    </row>
    <row r="2216" spans="1:33" x14ac:dyDescent="0.25">
      <c r="A2216" t="s">
        <v>676</v>
      </c>
      <c r="B2216">
        <v>9</v>
      </c>
      <c r="C2216" t="b">
        <v>0</v>
      </c>
      <c r="D2216" t="s">
        <v>7228</v>
      </c>
      <c r="E2216" t="s">
        <v>7395</v>
      </c>
      <c r="F2216" t="s">
        <v>7601</v>
      </c>
      <c r="G2216" t="s">
        <v>7602</v>
      </c>
      <c r="H2216">
        <v>2215</v>
      </c>
      <c r="I2216" t="str">
        <f>IF(ISBLANK(Table1[[#This Row],[oid]]),"FALSE","TRUE")</f>
        <v>TRUE</v>
      </c>
      <c r="J2216" t="str" cm="1">
        <f t="array" ref="J2216">_xlfn.SWITCH(LEFT(Table1[[#This Row],[section]],1), "D", "Demographic", "S", "Social", "E", "Economic", "H", "Housing", "")</f>
        <v>Economic</v>
      </c>
      <c r="K2216" t="s">
        <v>7397</v>
      </c>
      <c r="L2216" t="s">
        <v>7398</v>
      </c>
      <c r="M2216" t="str">
        <f>IF(Table1[[#This Row],[used]], _xlfn.CONCAT("🆔 ", Table1[[#This Row],[variable]], ": ",Table1[[#This Row],[alias]]), "")</f>
        <v>🆔 B17017_045E: Income in the past 12 months at or above poverty level: Family households: Other family: Female householder no husband present: Householder under 25 years</v>
      </c>
      <c r="O2216" t="s">
        <v>7603</v>
      </c>
      <c r="P2216" t="s">
        <v>7399</v>
      </c>
      <c r="Q2216" t="s">
        <v>41</v>
      </c>
      <c r="R2216" t="s">
        <v>7604</v>
      </c>
      <c r="S2216" t="b">
        <v>1</v>
      </c>
      <c r="T2216" t="b">
        <v>1</v>
      </c>
      <c r="U2216" t="b">
        <v>1</v>
      </c>
      <c r="V2216" t="b">
        <v>1</v>
      </c>
      <c r="W2216" t="b">
        <v>1</v>
      </c>
      <c r="X2216" t="b">
        <v>1</v>
      </c>
      <c r="Y2216" t="b">
        <v>1</v>
      </c>
      <c r="Z2216" t="b">
        <v>1</v>
      </c>
      <c r="AA2216" t="b">
        <v>1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</row>
    <row r="2217" spans="1:33" x14ac:dyDescent="0.25">
      <c r="A2217" t="s">
        <v>681</v>
      </c>
      <c r="B2217">
        <v>6</v>
      </c>
      <c r="C2217" t="b">
        <v>0</v>
      </c>
      <c r="D2217" t="s">
        <v>7228</v>
      </c>
      <c r="E2217" t="s">
        <v>7395</v>
      </c>
      <c r="F2217" t="s">
        <v>7601</v>
      </c>
      <c r="G2217" t="s">
        <v>7605</v>
      </c>
      <c r="H2217">
        <v>2216</v>
      </c>
      <c r="I2217" t="str">
        <f>IF(ISBLANK(Table1[[#This Row],[oid]]),"FALSE","TRUE")</f>
        <v>TRUE</v>
      </c>
      <c r="J2217" t="str" cm="1">
        <f t="array" ref="J2217">_xlfn.SWITCH(LEFT(Table1[[#This Row],[section]],1), "D", "Demographic", "S", "Social", "E", "Economic", "H", "Housing", "")</f>
        <v>Economic</v>
      </c>
      <c r="K2217" t="s">
        <v>7397</v>
      </c>
      <c r="L2217" t="s">
        <v>7398</v>
      </c>
      <c r="M2217" t="str">
        <f>IF(Table1[[#This Row],[used]], _xlfn.CONCAT("🆔 ", Table1[[#This Row],[variable]], ": ",Table1[[#This Row],[alias]]), "")</f>
        <v>🆔 B17017_045E: Income in the past 12 months at or above poverty level: Family households: Other family: Female householder no spouse present: Householder under 25 years</v>
      </c>
      <c r="O2217" t="s">
        <v>7606</v>
      </c>
      <c r="P2217" t="s">
        <v>7399</v>
      </c>
      <c r="Q2217" t="s">
        <v>41</v>
      </c>
      <c r="R2217" t="s">
        <v>7604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b">
        <v>0</v>
      </c>
      <c r="AB2217" t="b">
        <v>1</v>
      </c>
      <c r="AC2217" t="b">
        <v>1</v>
      </c>
      <c r="AD2217" t="b">
        <v>1</v>
      </c>
      <c r="AE2217" t="b">
        <v>1</v>
      </c>
      <c r="AF2217" t="b">
        <v>1</v>
      </c>
      <c r="AG2217" t="b">
        <v>1</v>
      </c>
    </row>
    <row r="2218" spans="1:33" x14ac:dyDescent="0.25">
      <c r="A2218" t="s">
        <v>676</v>
      </c>
      <c r="B2218">
        <v>9</v>
      </c>
      <c r="C2218" t="b">
        <v>0</v>
      </c>
      <c r="D2218" t="s">
        <v>7228</v>
      </c>
      <c r="E2218" t="s">
        <v>7395</v>
      </c>
      <c r="F2218" t="s">
        <v>7607</v>
      </c>
      <c r="G2218" t="s">
        <v>7608</v>
      </c>
      <c r="H2218">
        <v>2217</v>
      </c>
      <c r="I2218" t="str">
        <f>IF(ISBLANK(Table1[[#This Row],[oid]]),"FALSE","TRUE")</f>
        <v>TRUE</v>
      </c>
      <c r="J2218" t="str" cm="1">
        <f t="array" ref="J2218">_xlfn.SWITCH(LEFT(Table1[[#This Row],[section]],1), "D", "Demographic", "S", "Social", "E", "Economic", "H", "Housing", "")</f>
        <v>Economic</v>
      </c>
      <c r="K2218" t="s">
        <v>7397</v>
      </c>
      <c r="L2218" t="s">
        <v>7398</v>
      </c>
      <c r="M2218" t="str">
        <f>IF(Table1[[#This Row],[used]], _xlfn.CONCAT("🆔 ", Table1[[#This Row],[variable]], ": ",Table1[[#This Row],[alias]]), "")</f>
        <v>🆔 B17017_046E: Income in the past 12 months at or above poverty level: Family households: Other family: Female householder no husband present: Householder 25 to 44 years</v>
      </c>
      <c r="O2218" t="s">
        <v>7609</v>
      </c>
      <c r="P2218" t="s">
        <v>7399</v>
      </c>
      <c r="Q2218" t="s">
        <v>41</v>
      </c>
      <c r="R2218" t="s">
        <v>7610</v>
      </c>
      <c r="S2218" t="b">
        <v>1</v>
      </c>
      <c r="T2218" t="b">
        <v>1</v>
      </c>
      <c r="U2218" t="b">
        <v>1</v>
      </c>
      <c r="V2218" t="b">
        <v>1</v>
      </c>
      <c r="W2218" t="b">
        <v>1</v>
      </c>
      <c r="X2218" t="b">
        <v>1</v>
      </c>
      <c r="Y2218" t="b">
        <v>1</v>
      </c>
      <c r="Z2218" t="b">
        <v>1</v>
      </c>
      <c r="AA2218" t="b">
        <v>1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</row>
    <row r="2219" spans="1:33" x14ac:dyDescent="0.25">
      <c r="A2219" t="s">
        <v>681</v>
      </c>
      <c r="B2219">
        <v>6</v>
      </c>
      <c r="C2219" t="b">
        <v>0</v>
      </c>
      <c r="D2219" t="s">
        <v>7228</v>
      </c>
      <c r="E2219" t="s">
        <v>7395</v>
      </c>
      <c r="F2219" t="s">
        <v>7607</v>
      </c>
      <c r="G2219" t="s">
        <v>7611</v>
      </c>
      <c r="H2219">
        <v>2218</v>
      </c>
      <c r="I2219" t="str">
        <f>IF(ISBLANK(Table1[[#This Row],[oid]]),"FALSE","TRUE")</f>
        <v>TRUE</v>
      </c>
      <c r="J2219" t="str" cm="1">
        <f t="array" ref="J2219">_xlfn.SWITCH(LEFT(Table1[[#This Row],[section]],1), "D", "Demographic", "S", "Social", "E", "Economic", "H", "Housing", "")</f>
        <v>Economic</v>
      </c>
      <c r="K2219" t="s">
        <v>7397</v>
      </c>
      <c r="L2219" t="s">
        <v>7398</v>
      </c>
      <c r="M2219" t="str">
        <f>IF(Table1[[#This Row],[used]], _xlfn.CONCAT("🆔 ", Table1[[#This Row],[variable]], ": ",Table1[[#This Row],[alias]]), "")</f>
        <v>🆔 B17017_046E: Income in the past 12 months at or above poverty level: Family households: Other family: Female householder no spouse present: Householder 25 to 44 years</v>
      </c>
      <c r="O2219" t="s">
        <v>7612</v>
      </c>
      <c r="P2219" t="s">
        <v>7399</v>
      </c>
      <c r="Q2219" t="s">
        <v>41</v>
      </c>
      <c r="R2219" t="s">
        <v>7610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1</v>
      </c>
      <c r="AC2219" t="b">
        <v>1</v>
      </c>
      <c r="AD2219" t="b">
        <v>1</v>
      </c>
      <c r="AE2219" t="b">
        <v>1</v>
      </c>
      <c r="AF2219" t="b">
        <v>1</v>
      </c>
      <c r="AG2219" t="b">
        <v>1</v>
      </c>
    </row>
    <row r="2220" spans="1:33" x14ac:dyDescent="0.25">
      <c r="A2220" t="s">
        <v>676</v>
      </c>
      <c r="B2220">
        <v>9</v>
      </c>
      <c r="C2220" t="b">
        <v>0</v>
      </c>
      <c r="D2220" t="s">
        <v>7228</v>
      </c>
      <c r="E2220" t="s">
        <v>7395</v>
      </c>
      <c r="F2220" t="s">
        <v>7613</v>
      </c>
      <c r="G2220" t="s">
        <v>7614</v>
      </c>
      <c r="H2220">
        <v>2219</v>
      </c>
      <c r="I2220" t="str">
        <f>IF(ISBLANK(Table1[[#This Row],[oid]]),"FALSE","TRUE")</f>
        <v>TRUE</v>
      </c>
      <c r="J2220" t="str" cm="1">
        <f t="array" ref="J2220">_xlfn.SWITCH(LEFT(Table1[[#This Row],[section]],1), "D", "Demographic", "S", "Social", "E", "Economic", "H", "Housing", "")</f>
        <v>Economic</v>
      </c>
      <c r="K2220" t="s">
        <v>7397</v>
      </c>
      <c r="L2220" t="s">
        <v>7398</v>
      </c>
      <c r="M2220" t="str">
        <f>IF(Table1[[#This Row],[used]], _xlfn.CONCAT("🆔 ", Table1[[#This Row],[variable]], ": ",Table1[[#This Row],[alias]]), "")</f>
        <v>🆔 B17017_047E: Income in the past 12 months at or above poverty level: Family households: Other family: Female householder no husband present: Householder 45 to 64 years</v>
      </c>
      <c r="O2220" t="s">
        <v>7615</v>
      </c>
      <c r="P2220" t="s">
        <v>7399</v>
      </c>
      <c r="Q2220" t="s">
        <v>41</v>
      </c>
      <c r="R2220" t="s">
        <v>7616</v>
      </c>
      <c r="S2220" t="b">
        <v>1</v>
      </c>
      <c r="T2220" t="b">
        <v>1</v>
      </c>
      <c r="U2220" t="b">
        <v>1</v>
      </c>
      <c r="V2220" t="b">
        <v>1</v>
      </c>
      <c r="W2220" t="b">
        <v>1</v>
      </c>
      <c r="X2220" t="b">
        <v>1</v>
      </c>
      <c r="Y2220" t="b">
        <v>1</v>
      </c>
      <c r="Z2220" t="b">
        <v>1</v>
      </c>
      <c r="AA2220" t="b">
        <v>1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</row>
    <row r="2221" spans="1:33" x14ac:dyDescent="0.25">
      <c r="A2221" t="s">
        <v>681</v>
      </c>
      <c r="B2221">
        <v>6</v>
      </c>
      <c r="C2221" t="b">
        <v>0</v>
      </c>
      <c r="D2221" t="s">
        <v>7228</v>
      </c>
      <c r="E2221" t="s">
        <v>7395</v>
      </c>
      <c r="F2221" t="s">
        <v>7613</v>
      </c>
      <c r="G2221" t="s">
        <v>7617</v>
      </c>
      <c r="H2221">
        <v>2220</v>
      </c>
      <c r="I2221" t="str">
        <f>IF(ISBLANK(Table1[[#This Row],[oid]]),"FALSE","TRUE")</f>
        <v>TRUE</v>
      </c>
      <c r="J2221" t="str" cm="1">
        <f t="array" ref="J2221">_xlfn.SWITCH(LEFT(Table1[[#This Row],[section]],1), "D", "Demographic", "S", "Social", "E", "Economic", "H", "Housing", "")</f>
        <v>Economic</v>
      </c>
      <c r="K2221" t="s">
        <v>7397</v>
      </c>
      <c r="L2221" t="s">
        <v>7398</v>
      </c>
      <c r="M2221" t="str">
        <f>IF(Table1[[#This Row],[used]], _xlfn.CONCAT("🆔 ", Table1[[#This Row],[variable]], ": ",Table1[[#This Row],[alias]]), "")</f>
        <v>🆔 B17017_047E: Income in the past 12 months at or above poverty level: Family households: Other family: Female householder no spouse present: Householder 45 to 64 years</v>
      </c>
      <c r="O2221" t="s">
        <v>7618</v>
      </c>
      <c r="P2221" t="s">
        <v>7399</v>
      </c>
      <c r="Q2221" t="s">
        <v>41</v>
      </c>
      <c r="R2221" t="s">
        <v>7616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1</v>
      </c>
      <c r="AC2221" t="b">
        <v>1</v>
      </c>
      <c r="AD2221" t="b">
        <v>1</v>
      </c>
      <c r="AE2221" t="b">
        <v>1</v>
      </c>
      <c r="AF2221" t="b">
        <v>1</v>
      </c>
      <c r="AG2221" t="b">
        <v>1</v>
      </c>
    </row>
    <row r="2222" spans="1:33" x14ac:dyDescent="0.25">
      <c r="A2222" t="s">
        <v>676</v>
      </c>
      <c r="B2222">
        <v>9</v>
      </c>
      <c r="C2222" t="b">
        <v>0</v>
      </c>
      <c r="D2222" t="s">
        <v>7228</v>
      </c>
      <c r="E2222" t="s">
        <v>7395</v>
      </c>
      <c r="F2222" t="s">
        <v>7619</v>
      </c>
      <c r="G2222" t="s">
        <v>7620</v>
      </c>
      <c r="H2222">
        <v>2221</v>
      </c>
      <c r="I2222" t="str">
        <f>IF(ISBLANK(Table1[[#This Row],[oid]]),"FALSE","TRUE")</f>
        <v>TRUE</v>
      </c>
      <c r="J2222" t="str" cm="1">
        <f t="array" ref="J2222">_xlfn.SWITCH(LEFT(Table1[[#This Row],[section]],1), "D", "Demographic", "S", "Social", "E", "Economic", "H", "Housing", "")</f>
        <v>Economic</v>
      </c>
      <c r="K2222" t="s">
        <v>7397</v>
      </c>
      <c r="L2222" t="s">
        <v>7398</v>
      </c>
      <c r="M2222" t="str">
        <f>IF(Table1[[#This Row],[used]], _xlfn.CONCAT("🆔 ", Table1[[#This Row],[variable]], ": ",Table1[[#This Row],[alias]]), "")</f>
        <v>🆔 B17017_048E: Income in the past 12 months at or above poverty level: Family households: Other family: Female householder no husband present: Householder 65 years and over</v>
      </c>
      <c r="O2222" t="s">
        <v>7621</v>
      </c>
      <c r="P2222" t="s">
        <v>7399</v>
      </c>
      <c r="Q2222" t="s">
        <v>41</v>
      </c>
      <c r="R2222" t="s">
        <v>7622</v>
      </c>
      <c r="S2222" t="b">
        <v>1</v>
      </c>
      <c r="T2222" t="b">
        <v>1</v>
      </c>
      <c r="U2222" t="b">
        <v>1</v>
      </c>
      <c r="V2222" t="b">
        <v>1</v>
      </c>
      <c r="W2222" t="b">
        <v>1</v>
      </c>
      <c r="X2222" t="b">
        <v>1</v>
      </c>
      <c r="Y2222" t="b">
        <v>1</v>
      </c>
      <c r="Z2222" t="b">
        <v>1</v>
      </c>
      <c r="AA2222" t="b">
        <v>1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</row>
    <row r="2223" spans="1:33" x14ac:dyDescent="0.25">
      <c r="A2223" t="s">
        <v>681</v>
      </c>
      <c r="B2223">
        <v>6</v>
      </c>
      <c r="C2223" t="b">
        <v>0</v>
      </c>
      <c r="D2223" t="s">
        <v>7228</v>
      </c>
      <c r="E2223" t="s">
        <v>7395</v>
      </c>
      <c r="F2223" t="s">
        <v>7619</v>
      </c>
      <c r="G2223" t="s">
        <v>7623</v>
      </c>
      <c r="H2223">
        <v>2222</v>
      </c>
      <c r="I2223" t="str">
        <f>IF(ISBLANK(Table1[[#This Row],[oid]]),"FALSE","TRUE")</f>
        <v>TRUE</v>
      </c>
      <c r="J2223" t="str" cm="1">
        <f t="array" ref="J2223">_xlfn.SWITCH(LEFT(Table1[[#This Row],[section]],1), "D", "Demographic", "S", "Social", "E", "Economic", "H", "Housing", "")</f>
        <v>Economic</v>
      </c>
      <c r="K2223" t="s">
        <v>7397</v>
      </c>
      <c r="L2223" t="s">
        <v>7398</v>
      </c>
      <c r="M2223" t="str">
        <f>IF(Table1[[#This Row],[used]], _xlfn.CONCAT("🆔 ", Table1[[#This Row],[variable]], ": ",Table1[[#This Row],[alias]]), "")</f>
        <v>🆔 B17017_048E: Income in the past 12 months at or above poverty level: Family households: Other family: Female householder no spouse present: Householder 65 years and over</v>
      </c>
      <c r="O2223" t="s">
        <v>7624</v>
      </c>
      <c r="P2223" t="s">
        <v>7399</v>
      </c>
      <c r="Q2223" t="s">
        <v>41</v>
      </c>
      <c r="R2223" t="s">
        <v>7622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1</v>
      </c>
      <c r="AC2223" t="b">
        <v>1</v>
      </c>
      <c r="AD2223" t="b">
        <v>1</v>
      </c>
      <c r="AE2223" t="b">
        <v>1</v>
      </c>
      <c r="AF2223" t="b">
        <v>1</v>
      </c>
      <c r="AG2223" t="b">
        <v>1</v>
      </c>
    </row>
    <row r="2224" spans="1:33" x14ac:dyDescent="0.25">
      <c r="A2224" t="s">
        <v>33</v>
      </c>
      <c r="B2224">
        <v>15</v>
      </c>
      <c r="C2224" t="b">
        <v>1</v>
      </c>
      <c r="D2224" t="s">
        <v>7228</v>
      </c>
      <c r="E2224" t="s">
        <v>7395</v>
      </c>
      <c r="F2224" t="s">
        <v>7625</v>
      </c>
      <c r="G2224" t="s">
        <v>7626</v>
      </c>
      <c r="H2224">
        <v>2223</v>
      </c>
      <c r="I2224" t="str">
        <f>IF(ISBLANK(Table1[[#This Row],[oid]]),"FALSE","TRUE")</f>
        <v>TRUE</v>
      </c>
      <c r="J2224" t="str" cm="1">
        <f t="array" ref="J2224">_xlfn.SWITCH(LEFT(Table1[[#This Row],[section]],1), "D", "Demographic", "S", "Social", "E", "Economic", "H", "Housing", "")</f>
        <v>Economic</v>
      </c>
      <c r="K2224" t="s">
        <v>7397</v>
      </c>
      <c r="L2224" t="s">
        <v>7398</v>
      </c>
      <c r="M2224" t="str">
        <f>IF(Table1[[#This Row],[used]], _xlfn.CONCAT("🆔 ", Table1[[#This Row],[variable]], ": ",Table1[[#This Row],[alias]]), "")</f>
        <v>🆔 B17017_049E: Income in the past 12 months at or above poverty level: Non-family households</v>
      </c>
      <c r="O2224" t="s">
        <v>7627</v>
      </c>
      <c r="P2224" t="s">
        <v>7399</v>
      </c>
      <c r="Q2224" t="s">
        <v>41</v>
      </c>
      <c r="R2224" t="s">
        <v>7628</v>
      </c>
      <c r="S2224" t="b">
        <v>1</v>
      </c>
      <c r="T2224" t="b">
        <v>1</v>
      </c>
      <c r="U2224" t="b">
        <v>1</v>
      </c>
      <c r="V2224" t="b">
        <v>1</v>
      </c>
      <c r="W2224" t="b">
        <v>1</v>
      </c>
      <c r="X2224" t="b">
        <v>1</v>
      </c>
      <c r="Y2224" t="b">
        <v>1</v>
      </c>
      <c r="Z2224" t="b">
        <v>1</v>
      </c>
      <c r="AA2224" t="b">
        <v>1</v>
      </c>
      <c r="AB2224" t="b">
        <v>1</v>
      </c>
      <c r="AC2224" t="b">
        <v>1</v>
      </c>
      <c r="AD2224" t="b">
        <v>1</v>
      </c>
      <c r="AE2224" t="b">
        <v>1</v>
      </c>
      <c r="AF2224" t="b">
        <v>1</v>
      </c>
      <c r="AG2224" t="b">
        <v>1</v>
      </c>
    </row>
    <row r="2225" spans="1:33" x14ac:dyDescent="0.25">
      <c r="A2225" t="s">
        <v>33</v>
      </c>
      <c r="B2225">
        <v>15</v>
      </c>
      <c r="C2225" t="b">
        <v>1</v>
      </c>
      <c r="D2225" t="s">
        <v>7228</v>
      </c>
      <c r="E2225" t="s">
        <v>7395</v>
      </c>
      <c r="F2225" t="s">
        <v>7629</v>
      </c>
      <c r="G2225" t="s">
        <v>7630</v>
      </c>
      <c r="H2225">
        <v>2224</v>
      </c>
      <c r="I2225" t="str">
        <f>IF(ISBLANK(Table1[[#This Row],[oid]]),"FALSE","TRUE")</f>
        <v>TRUE</v>
      </c>
      <c r="J2225" t="str" cm="1">
        <f t="array" ref="J2225">_xlfn.SWITCH(LEFT(Table1[[#This Row],[section]],1), "D", "Demographic", "S", "Social", "E", "Economic", "H", "Housing", "")</f>
        <v>Economic</v>
      </c>
      <c r="K2225" t="s">
        <v>7397</v>
      </c>
      <c r="L2225" t="s">
        <v>7398</v>
      </c>
      <c r="M2225" t="str">
        <f>IF(Table1[[#This Row],[used]], _xlfn.CONCAT("🆔 ", Table1[[#This Row],[variable]], ": ",Table1[[#This Row],[alias]]), "")</f>
        <v>🆔 B17017_050E: Income in the past 12 months at or above poverty level: Non-family households: Male householder</v>
      </c>
      <c r="O2225" t="s">
        <v>7631</v>
      </c>
      <c r="P2225" t="s">
        <v>7399</v>
      </c>
      <c r="Q2225" t="s">
        <v>41</v>
      </c>
      <c r="R2225" t="s">
        <v>7632</v>
      </c>
      <c r="S2225" t="b">
        <v>1</v>
      </c>
      <c r="T2225" t="b">
        <v>1</v>
      </c>
      <c r="U2225" t="b">
        <v>1</v>
      </c>
      <c r="V2225" t="b">
        <v>1</v>
      </c>
      <c r="W2225" t="b">
        <v>1</v>
      </c>
      <c r="X2225" t="b">
        <v>1</v>
      </c>
      <c r="Y2225" t="b">
        <v>1</v>
      </c>
      <c r="Z2225" t="b">
        <v>1</v>
      </c>
      <c r="AA2225" t="b">
        <v>1</v>
      </c>
      <c r="AB2225" t="b">
        <v>1</v>
      </c>
      <c r="AC2225" t="b">
        <v>1</v>
      </c>
      <c r="AD2225" t="b">
        <v>1</v>
      </c>
      <c r="AE2225" t="b">
        <v>1</v>
      </c>
      <c r="AF2225" t="b">
        <v>1</v>
      </c>
      <c r="AG2225" t="b">
        <v>1</v>
      </c>
    </row>
    <row r="2226" spans="1:33" x14ac:dyDescent="0.25">
      <c r="A2226" t="s">
        <v>33</v>
      </c>
      <c r="B2226">
        <v>15</v>
      </c>
      <c r="C2226" t="b">
        <v>1</v>
      </c>
      <c r="D2226" t="s">
        <v>7228</v>
      </c>
      <c r="E2226" t="s">
        <v>7395</v>
      </c>
      <c r="F2226" t="s">
        <v>7633</v>
      </c>
      <c r="G2226" t="s">
        <v>7634</v>
      </c>
      <c r="H2226">
        <v>2225</v>
      </c>
      <c r="I2226" t="str">
        <f>IF(ISBLANK(Table1[[#This Row],[oid]]),"FALSE","TRUE")</f>
        <v>TRUE</v>
      </c>
      <c r="J2226" t="str" cm="1">
        <f t="array" ref="J2226">_xlfn.SWITCH(LEFT(Table1[[#This Row],[section]],1), "D", "Demographic", "S", "Social", "E", "Economic", "H", "Housing", "")</f>
        <v>Economic</v>
      </c>
      <c r="K2226" t="s">
        <v>7397</v>
      </c>
      <c r="L2226" t="s">
        <v>7398</v>
      </c>
      <c r="M2226" t="str">
        <f>IF(Table1[[#This Row],[used]], _xlfn.CONCAT("🆔 ", Table1[[#This Row],[variable]], ": ",Table1[[#This Row],[alias]]), "")</f>
        <v>🆔 B17017_051E: Income in the past 12 months at or above poverty level: Non-family households: Male householder: Householder under 25 years</v>
      </c>
      <c r="O2226" t="s">
        <v>7635</v>
      </c>
      <c r="P2226" t="s">
        <v>7399</v>
      </c>
      <c r="Q2226" t="s">
        <v>41</v>
      </c>
      <c r="R2226" t="s">
        <v>7636</v>
      </c>
      <c r="S2226" t="b">
        <v>1</v>
      </c>
      <c r="T2226" t="b">
        <v>1</v>
      </c>
      <c r="U2226" t="b">
        <v>1</v>
      </c>
      <c r="V2226" t="b">
        <v>1</v>
      </c>
      <c r="W2226" t="b">
        <v>1</v>
      </c>
      <c r="X2226" t="b">
        <v>1</v>
      </c>
      <c r="Y2226" t="b">
        <v>1</v>
      </c>
      <c r="Z2226" t="b">
        <v>1</v>
      </c>
      <c r="AA2226" t="b">
        <v>1</v>
      </c>
      <c r="AB2226" t="b">
        <v>1</v>
      </c>
      <c r="AC2226" t="b">
        <v>1</v>
      </c>
      <c r="AD2226" t="b">
        <v>1</v>
      </c>
      <c r="AE2226" t="b">
        <v>1</v>
      </c>
      <c r="AF2226" t="b">
        <v>1</v>
      </c>
      <c r="AG2226" t="b">
        <v>1</v>
      </c>
    </row>
    <row r="2227" spans="1:33" x14ac:dyDescent="0.25">
      <c r="A2227" t="s">
        <v>33</v>
      </c>
      <c r="B2227">
        <v>15</v>
      </c>
      <c r="C2227" t="b">
        <v>1</v>
      </c>
      <c r="D2227" t="s">
        <v>7228</v>
      </c>
      <c r="E2227" t="s">
        <v>7395</v>
      </c>
      <c r="F2227" t="s">
        <v>7637</v>
      </c>
      <c r="G2227" t="s">
        <v>7638</v>
      </c>
      <c r="H2227">
        <v>2226</v>
      </c>
      <c r="I2227" t="str">
        <f>IF(ISBLANK(Table1[[#This Row],[oid]]),"FALSE","TRUE")</f>
        <v>TRUE</v>
      </c>
      <c r="J2227" t="str" cm="1">
        <f t="array" ref="J2227">_xlfn.SWITCH(LEFT(Table1[[#This Row],[section]],1), "D", "Demographic", "S", "Social", "E", "Economic", "H", "Housing", "")</f>
        <v>Economic</v>
      </c>
      <c r="K2227" t="s">
        <v>7397</v>
      </c>
      <c r="L2227" t="s">
        <v>7398</v>
      </c>
      <c r="M2227" t="str">
        <f>IF(Table1[[#This Row],[used]], _xlfn.CONCAT("🆔 ", Table1[[#This Row],[variable]], ": ",Table1[[#This Row],[alias]]), "")</f>
        <v>🆔 B17017_052E: Income in the past 12 months at or above poverty level: Non-family households: Male householder: Householder 25 to 44 years</v>
      </c>
      <c r="O2227" t="s">
        <v>7639</v>
      </c>
      <c r="P2227" t="s">
        <v>7399</v>
      </c>
      <c r="Q2227" t="s">
        <v>41</v>
      </c>
      <c r="R2227" t="s">
        <v>7640</v>
      </c>
      <c r="S2227" t="b">
        <v>1</v>
      </c>
      <c r="T2227" t="b">
        <v>1</v>
      </c>
      <c r="U2227" t="b">
        <v>1</v>
      </c>
      <c r="V2227" t="b">
        <v>1</v>
      </c>
      <c r="W2227" t="b">
        <v>1</v>
      </c>
      <c r="X2227" t="b">
        <v>1</v>
      </c>
      <c r="Y2227" t="b">
        <v>1</v>
      </c>
      <c r="Z2227" t="b">
        <v>1</v>
      </c>
      <c r="AA2227" t="b">
        <v>1</v>
      </c>
      <c r="AB2227" t="b">
        <v>1</v>
      </c>
      <c r="AC2227" t="b">
        <v>1</v>
      </c>
      <c r="AD2227" t="b">
        <v>1</v>
      </c>
      <c r="AE2227" t="b">
        <v>1</v>
      </c>
      <c r="AF2227" t="b">
        <v>1</v>
      </c>
      <c r="AG2227" t="b">
        <v>1</v>
      </c>
    </row>
    <row r="2228" spans="1:33" x14ac:dyDescent="0.25">
      <c r="A2228" t="s">
        <v>33</v>
      </c>
      <c r="B2228">
        <v>15</v>
      </c>
      <c r="C2228" t="b">
        <v>1</v>
      </c>
      <c r="D2228" t="s">
        <v>7228</v>
      </c>
      <c r="E2228" t="s">
        <v>7395</v>
      </c>
      <c r="F2228" t="s">
        <v>7641</v>
      </c>
      <c r="G2228" t="s">
        <v>7642</v>
      </c>
      <c r="H2228">
        <v>2227</v>
      </c>
      <c r="I2228" t="str">
        <f>IF(ISBLANK(Table1[[#This Row],[oid]]),"FALSE","TRUE")</f>
        <v>TRUE</v>
      </c>
      <c r="J2228" t="str" cm="1">
        <f t="array" ref="J2228">_xlfn.SWITCH(LEFT(Table1[[#This Row],[section]],1), "D", "Demographic", "S", "Social", "E", "Economic", "H", "Housing", "")</f>
        <v>Economic</v>
      </c>
      <c r="K2228" t="s">
        <v>7397</v>
      </c>
      <c r="L2228" t="s">
        <v>7398</v>
      </c>
      <c r="M2228" t="str">
        <f>IF(Table1[[#This Row],[used]], _xlfn.CONCAT("🆔 ", Table1[[#This Row],[variable]], ": ",Table1[[#This Row],[alias]]), "")</f>
        <v>🆔 B17017_053E: Income in the past 12 months at or above poverty level: Non-family households: Male householder: Householder 45 to 64 years</v>
      </c>
      <c r="O2228" t="s">
        <v>7643</v>
      </c>
      <c r="P2228" t="s">
        <v>7399</v>
      </c>
      <c r="Q2228" t="s">
        <v>41</v>
      </c>
      <c r="R2228" t="s">
        <v>7644</v>
      </c>
      <c r="S2228" t="b">
        <v>1</v>
      </c>
      <c r="T2228" t="b">
        <v>1</v>
      </c>
      <c r="U2228" t="b">
        <v>1</v>
      </c>
      <c r="V2228" t="b">
        <v>1</v>
      </c>
      <c r="W2228" t="b">
        <v>1</v>
      </c>
      <c r="X2228" t="b">
        <v>1</v>
      </c>
      <c r="Y2228" t="b">
        <v>1</v>
      </c>
      <c r="Z2228" t="b">
        <v>1</v>
      </c>
      <c r="AA2228" t="b">
        <v>1</v>
      </c>
      <c r="AB2228" t="b">
        <v>1</v>
      </c>
      <c r="AC2228" t="b">
        <v>1</v>
      </c>
      <c r="AD2228" t="b">
        <v>1</v>
      </c>
      <c r="AE2228" t="b">
        <v>1</v>
      </c>
      <c r="AF2228" t="b">
        <v>1</v>
      </c>
      <c r="AG2228" t="b">
        <v>1</v>
      </c>
    </row>
    <row r="2229" spans="1:33" x14ac:dyDescent="0.25">
      <c r="A2229" t="s">
        <v>33</v>
      </c>
      <c r="B2229">
        <v>15</v>
      </c>
      <c r="C2229" t="b">
        <v>1</v>
      </c>
      <c r="D2229" t="s">
        <v>7228</v>
      </c>
      <c r="E2229" t="s">
        <v>7395</v>
      </c>
      <c r="F2229" t="s">
        <v>7645</v>
      </c>
      <c r="G2229" t="s">
        <v>7646</v>
      </c>
      <c r="H2229">
        <v>2228</v>
      </c>
      <c r="I2229" t="str">
        <f>IF(ISBLANK(Table1[[#This Row],[oid]]),"FALSE","TRUE")</f>
        <v>TRUE</v>
      </c>
      <c r="J2229" t="str" cm="1">
        <f t="array" ref="J2229">_xlfn.SWITCH(LEFT(Table1[[#This Row],[section]],1), "D", "Demographic", "S", "Social", "E", "Economic", "H", "Housing", "")</f>
        <v>Economic</v>
      </c>
      <c r="K2229" t="s">
        <v>7397</v>
      </c>
      <c r="L2229" t="s">
        <v>7398</v>
      </c>
      <c r="M2229" t="str">
        <f>IF(Table1[[#This Row],[used]], _xlfn.CONCAT("🆔 ", Table1[[#This Row],[variable]], ": ",Table1[[#This Row],[alias]]), "")</f>
        <v>🆔 B17017_054E: Income in the past 12 months at or above poverty level: Non-family households: Male householder: Householder 65 years and over</v>
      </c>
      <c r="O2229" t="s">
        <v>7647</v>
      </c>
      <c r="P2229" t="s">
        <v>7399</v>
      </c>
      <c r="Q2229" t="s">
        <v>41</v>
      </c>
      <c r="R2229" t="s">
        <v>7648</v>
      </c>
      <c r="S2229" t="b">
        <v>1</v>
      </c>
      <c r="T2229" t="b">
        <v>1</v>
      </c>
      <c r="U2229" t="b">
        <v>1</v>
      </c>
      <c r="V2229" t="b">
        <v>1</v>
      </c>
      <c r="W2229" t="b">
        <v>1</v>
      </c>
      <c r="X2229" t="b">
        <v>1</v>
      </c>
      <c r="Y2229" t="b">
        <v>1</v>
      </c>
      <c r="Z2229" t="b">
        <v>1</v>
      </c>
      <c r="AA2229" t="b">
        <v>1</v>
      </c>
      <c r="AB2229" t="b">
        <v>1</v>
      </c>
      <c r="AC2229" t="b">
        <v>1</v>
      </c>
      <c r="AD2229" t="b">
        <v>1</v>
      </c>
      <c r="AE2229" t="b">
        <v>1</v>
      </c>
      <c r="AF2229" t="b">
        <v>1</v>
      </c>
      <c r="AG2229" t="b">
        <v>1</v>
      </c>
    </row>
    <row r="2230" spans="1:33" x14ac:dyDescent="0.25">
      <c r="A2230" t="s">
        <v>33</v>
      </c>
      <c r="B2230">
        <v>15</v>
      </c>
      <c r="C2230" t="b">
        <v>1</v>
      </c>
      <c r="D2230" t="s">
        <v>7228</v>
      </c>
      <c r="E2230" t="s">
        <v>7395</v>
      </c>
      <c r="F2230" t="s">
        <v>7649</v>
      </c>
      <c r="G2230" t="s">
        <v>7650</v>
      </c>
      <c r="H2230">
        <v>2229</v>
      </c>
      <c r="I2230" t="str">
        <f>IF(ISBLANK(Table1[[#This Row],[oid]]),"FALSE","TRUE")</f>
        <v>TRUE</v>
      </c>
      <c r="J2230" t="str" cm="1">
        <f t="array" ref="J2230">_xlfn.SWITCH(LEFT(Table1[[#This Row],[section]],1), "D", "Demographic", "S", "Social", "E", "Economic", "H", "Housing", "")</f>
        <v>Economic</v>
      </c>
      <c r="K2230" t="s">
        <v>7397</v>
      </c>
      <c r="L2230" t="s">
        <v>7398</v>
      </c>
      <c r="M2230" t="str">
        <f>IF(Table1[[#This Row],[used]], _xlfn.CONCAT("🆔 ", Table1[[#This Row],[variable]], ": ",Table1[[#This Row],[alias]]), "")</f>
        <v>🆔 B17017_055E: Income in the past 12 months at or above poverty level: Non-family households: Female householder</v>
      </c>
      <c r="O2230" t="s">
        <v>7651</v>
      </c>
      <c r="P2230" t="s">
        <v>7399</v>
      </c>
      <c r="Q2230" t="s">
        <v>41</v>
      </c>
      <c r="R2230" t="s">
        <v>7652</v>
      </c>
      <c r="S2230" t="b">
        <v>1</v>
      </c>
      <c r="T2230" t="b">
        <v>1</v>
      </c>
      <c r="U2230" t="b">
        <v>1</v>
      </c>
      <c r="V2230" t="b">
        <v>1</v>
      </c>
      <c r="W2230" t="b">
        <v>1</v>
      </c>
      <c r="X2230" t="b">
        <v>1</v>
      </c>
      <c r="Y2230" t="b">
        <v>1</v>
      </c>
      <c r="Z2230" t="b">
        <v>1</v>
      </c>
      <c r="AA2230" t="b">
        <v>1</v>
      </c>
      <c r="AB2230" t="b">
        <v>1</v>
      </c>
      <c r="AC2230" t="b">
        <v>1</v>
      </c>
      <c r="AD2230" t="b">
        <v>1</v>
      </c>
      <c r="AE2230" t="b">
        <v>1</v>
      </c>
      <c r="AF2230" t="b">
        <v>1</v>
      </c>
      <c r="AG2230" t="b">
        <v>1</v>
      </c>
    </row>
    <row r="2231" spans="1:33" x14ac:dyDescent="0.25">
      <c r="A2231" t="s">
        <v>33</v>
      </c>
      <c r="B2231">
        <v>15</v>
      </c>
      <c r="C2231" t="b">
        <v>1</v>
      </c>
      <c r="D2231" t="s">
        <v>7228</v>
      </c>
      <c r="E2231" t="s">
        <v>7395</v>
      </c>
      <c r="F2231" t="s">
        <v>7653</v>
      </c>
      <c r="G2231" t="s">
        <v>7654</v>
      </c>
      <c r="H2231">
        <v>2230</v>
      </c>
      <c r="I2231" t="str">
        <f>IF(ISBLANK(Table1[[#This Row],[oid]]),"FALSE","TRUE")</f>
        <v>TRUE</v>
      </c>
      <c r="J2231" t="str" cm="1">
        <f t="array" ref="J2231">_xlfn.SWITCH(LEFT(Table1[[#This Row],[section]],1), "D", "Demographic", "S", "Social", "E", "Economic", "H", "Housing", "")</f>
        <v>Economic</v>
      </c>
      <c r="K2231" t="s">
        <v>7397</v>
      </c>
      <c r="L2231" t="s">
        <v>7398</v>
      </c>
      <c r="M2231" t="str">
        <f>IF(Table1[[#This Row],[used]], _xlfn.CONCAT("🆔 ", Table1[[#This Row],[variable]], ": ",Table1[[#This Row],[alias]]), "")</f>
        <v>🆔 B17017_056E: Income in the past 12 months at or above poverty level: Non-family households: Female householder: Householder under 25 years</v>
      </c>
      <c r="O2231" t="s">
        <v>7655</v>
      </c>
      <c r="P2231" t="s">
        <v>7399</v>
      </c>
      <c r="Q2231" t="s">
        <v>41</v>
      </c>
      <c r="R2231" t="s">
        <v>7656</v>
      </c>
      <c r="S2231" t="b">
        <v>1</v>
      </c>
      <c r="T2231" t="b">
        <v>1</v>
      </c>
      <c r="U2231" t="b">
        <v>1</v>
      </c>
      <c r="V2231" t="b">
        <v>1</v>
      </c>
      <c r="W2231" t="b">
        <v>1</v>
      </c>
      <c r="X2231" t="b">
        <v>1</v>
      </c>
      <c r="Y2231" t="b">
        <v>1</v>
      </c>
      <c r="Z2231" t="b">
        <v>1</v>
      </c>
      <c r="AA2231" t="b">
        <v>1</v>
      </c>
      <c r="AB2231" t="b">
        <v>1</v>
      </c>
      <c r="AC2231" t="b">
        <v>1</v>
      </c>
      <c r="AD2231" t="b">
        <v>1</v>
      </c>
      <c r="AE2231" t="b">
        <v>1</v>
      </c>
      <c r="AF2231" t="b">
        <v>1</v>
      </c>
      <c r="AG2231" t="b">
        <v>1</v>
      </c>
    </row>
    <row r="2232" spans="1:33" x14ac:dyDescent="0.25">
      <c r="A2232" t="s">
        <v>33</v>
      </c>
      <c r="B2232">
        <v>15</v>
      </c>
      <c r="C2232" t="b">
        <v>1</v>
      </c>
      <c r="D2232" t="s">
        <v>7228</v>
      </c>
      <c r="E2232" t="s">
        <v>7395</v>
      </c>
      <c r="F2232" t="s">
        <v>7657</v>
      </c>
      <c r="G2232" t="s">
        <v>7658</v>
      </c>
      <c r="H2232">
        <v>2231</v>
      </c>
      <c r="I2232" t="str">
        <f>IF(ISBLANK(Table1[[#This Row],[oid]]),"FALSE","TRUE")</f>
        <v>TRUE</v>
      </c>
      <c r="J2232" t="str" cm="1">
        <f t="array" ref="J2232">_xlfn.SWITCH(LEFT(Table1[[#This Row],[section]],1), "D", "Demographic", "S", "Social", "E", "Economic", "H", "Housing", "")</f>
        <v>Economic</v>
      </c>
      <c r="K2232" t="s">
        <v>7397</v>
      </c>
      <c r="L2232" t="s">
        <v>7398</v>
      </c>
      <c r="M2232" t="str">
        <f>IF(Table1[[#This Row],[used]], _xlfn.CONCAT("🆔 ", Table1[[#This Row],[variable]], ": ",Table1[[#This Row],[alias]]), "")</f>
        <v>🆔 B17017_057E: Income in the past 12 months at or above poverty level: Non-family households: Female householder: Householder 25 to 44 years</v>
      </c>
      <c r="O2232" t="s">
        <v>7659</v>
      </c>
      <c r="P2232" t="s">
        <v>7399</v>
      </c>
      <c r="Q2232" t="s">
        <v>41</v>
      </c>
      <c r="R2232" t="s">
        <v>7660</v>
      </c>
      <c r="S2232" t="b">
        <v>1</v>
      </c>
      <c r="T2232" t="b">
        <v>1</v>
      </c>
      <c r="U2232" t="b">
        <v>1</v>
      </c>
      <c r="V2232" t="b">
        <v>1</v>
      </c>
      <c r="W2232" t="b">
        <v>1</v>
      </c>
      <c r="X2232" t="b">
        <v>1</v>
      </c>
      <c r="Y2232" t="b">
        <v>1</v>
      </c>
      <c r="Z2232" t="b">
        <v>1</v>
      </c>
      <c r="AA2232" t="b">
        <v>1</v>
      </c>
      <c r="AB2232" t="b">
        <v>1</v>
      </c>
      <c r="AC2232" t="b">
        <v>1</v>
      </c>
      <c r="AD2232" t="b">
        <v>1</v>
      </c>
      <c r="AE2232" t="b">
        <v>1</v>
      </c>
      <c r="AF2232" t="b">
        <v>1</v>
      </c>
      <c r="AG2232" t="b">
        <v>1</v>
      </c>
    </row>
    <row r="2233" spans="1:33" x14ac:dyDescent="0.25">
      <c r="A2233" t="s">
        <v>33</v>
      </c>
      <c r="B2233">
        <v>15</v>
      </c>
      <c r="C2233" t="b">
        <v>1</v>
      </c>
      <c r="D2233" t="s">
        <v>7228</v>
      </c>
      <c r="E2233" t="s">
        <v>7395</v>
      </c>
      <c r="F2233" t="s">
        <v>7661</v>
      </c>
      <c r="G2233" t="s">
        <v>7662</v>
      </c>
      <c r="H2233">
        <v>2232</v>
      </c>
      <c r="I2233" t="str">
        <f>IF(ISBLANK(Table1[[#This Row],[oid]]),"FALSE","TRUE")</f>
        <v>TRUE</v>
      </c>
      <c r="J2233" t="str" cm="1">
        <f t="array" ref="J2233">_xlfn.SWITCH(LEFT(Table1[[#This Row],[section]],1), "D", "Demographic", "S", "Social", "E", "Economic", "H", "Housing", "")</f>
        <v>Economic</v>
      </c>
      <c r="K2233" t="s">
        <v>7397</v>
      </c>
      <c r="L2233" t="s">
        <v>7398</v>
      </c>
      <c r="M2233" t="str">
        <f>IF(Table1[[#This Row],[used]], _xlfn.CONCAT("🆔 ", Table1[[#This Row],[variable]], ": ",Table1[[#This Row],[alias]]), "")</f>
        <v>🆔 B17017_058E: Income in the past 12 months at or above poverty level: Non-family households: Female householder: Householder 45 to 64 years</v>
      </c>
      <c r="O2233" t="s">
        <v>7663</v>
      </c>
      <c r="P2233" t="s">
        <v>7399</v>
      </c>
      <c r="Q2233" t="s">
        <v>41</v>
      </c>
      <c r="R2233" t="s">
        <v>7664</v>
      </c>
      <c r="S2233" t="b">
        <v>1</v>
      </c>
      <c r="T2233" t="b">
        <v>1</v>
      </c>
      <c r="U2233" t="b">
        <v>1</v>
      </c>
      <c r="V2233" t="b">
        <v>1</v>
      </c>
      <c r="W2233" t="b">
        <v>1</v>
      </c>
      <c r="X2233" t="b">
        <v>1</v>
      </c>
      <c r="Y2233" t="b">
        <v>1</v>
      </c>
      <c r="Z2233" t="b">
        <v>1</v>
      </c>
      <c r="AA2233" t="b">
        <v>1</v>
      </c>
      <c r="AB2233" t="b">
        <v>1</v>
      </c>
      <c r="AC2233" t="b">
        <v>1</v>
      </c>
      <c r="AD2233" t="b">
        <v>1</v>
      </c>
      <c r="AE2233" t="b">
        <v>1</v>
      </c>
      <c r="AF2233" t="b">
        <v>1</v>
      </c>
      <c r="AG2233" t="b">
        <v>1</v>
      </c>
    </row>
    <row r="2234" spans="1:33" x14ac:dyDescent="0.25">
      <c r="A2234" t="s">
        <v>33</v>
      </c>
      <c r="B2234">
        <v>15</v>
      </c>
      <c r="C2234" t="b">
        <v>1</v>
      </c>
      <c r="D2234" t="s">
        <v>7228</v>
      </c>
      <c r="E2234" t="s">
        <v>7395</v>
      </c>
      <c r="F2234" t="s">
        <v>7665</v>
      </c>
      <c r="G2234" t="s">
        <v>7666</v>
      </c>
      <c r="H2234">
        <v>2233</v>
      </c>
      <c r="I2234" t="str">
        <f>IF(ISBLANK(Table1[[#This Row],[oid]]),"FALSE","TRUE")</f>
        <v>TRUE</v>
      </c>
      <c r="J2234" t="str" cm="1">
        <f t="array" ref="J2234">_xlfn.SWITCH(LEFT(Table1[[#This Row],[section]],1), "D", "Demographic", "S", "Social", "E", "Economic", "H", "Housing", "")</f>
        <v>Economic</v>
      </c>
      <c r="K2234" t="s">
        <v>7397</v>
      </c>
      <c r="L2234" t="s">
        <v>7398</v>
      </c>
      <c r="M2234" t="str">
        <f>IF(Table1[[#This Row],[used]], _xlfn.CONCAT("🆔 ", Table1[[#This Row],[variable]], ": ",Table1[[#This Row],[alias]]), "")</f>
        <v>🆔 B17017_059E: Income in the past 12 months at or above poverty level: Non-family households: Female householder: Householder 65 years and over</v>
      </c>
      <c r="O2234" t="s">
        <v>7667</v>
      </c>
      <c r="P2234" t="s">
        <v>7399</v>
      </c>
      <c r="Q2234" t="s">
        <v>41</v>
      </c>
      <c r="R2234" t="s">
        <v>7668</v>
      </c>
      <c r="S2234" t="b">
        <v>1</v>
      </c>
      <c r="T2234" t="b">
        <v>1</v>
      </c>
      <c r="U2234" t="b">
        <v>1</v>
      </c>
      <c r="V2234" t="b">
        <v>1</v>
      </c>
      <c r="W2234" t="b">
        <v>1</v>
      </c>
      <c r="X2234" t="b">
        <v>1</v>
      </c>
      <c r="Y2234" t="b">
        <v>1</v>
      </c>
      <c r="Z2234" t="b">
        <v>1</v>
      </c>
      <c r="AA2234" t="b">
        <v>1</v>
      </c>
      <c r="AB2234" t="b">
        <v>1</v>
      </c>
      <c r="AC2234" t="b">
        <v>1</v>
      </c>
      <c r="AD2234" t="b">
        <v>1</v>
      </c>
      <c r="AE2234" t="b">
        <v>1</v>
      </c>
      <c r="AF2234" t="b">
        <v>1</v>
      </c>
      <c r="AG2234" t="b">
        <v>1</v>
      </c>
    </row>
    <row r="2235" spans="1:33" x14ac:dyDescent="0.25">
      <c r="A2235" t="s">
        <v>33</v>
      </c>
      <c r="B2235">
        <v>15</v>
      </c>
      <c r="C2235" t="b">
        <v>1</v>
      </c>
      <c r="D2235" t="s">
        <v>7228</v>
      </c>
      <c r="E2235" t="s">
        <v>7669</v>
      </c>
      <c r="F2235" t="s">
        <v>7670</v>
      </c>
      <c r="G2235" t="s">
        <v>7671</v>
      </c>
      <c r="H2235">
        <v>2234</v>
      </c>
      <c r="I2235" t="str">
        <f>IF(ISBLANK(Table1[[#This Row],[oid]]),"FALSE","TRUE")</f>
        <v>TRUE</v>
      </c>
      <c r="J2235" t="str" cm="1">
        <f t="array" ref="J2235">_xlfn.SWITCH(LEFT(Table1[[#This Row],[section]],1), "D", "Demographic", "S", "Social", "E", "Economic", "H", "Housing", "")</f>
        <v>Economic</v>
      </c>
      <c r="K2235" t="s">
        <v>7672</v>
      </c>
      <c r="L2235" t="s">
        <v>7673</v>
      </c>
      <c r="M2235" t="str">
        <f>IF(Table1[[#This Row],[used]], _xlfn.CONCAT("🆔 ", Table1[[#This Row],[variable]], ": ",Table1[[#This Row],[alias]]), "")</f>
        <v>🆔 B17010_001E: All Families</v>
      </c>
      <c r="O2235" t="s">
        <v>39</v>
      </c>
      <c r="P2235" t="s">
        <v>7674</v>
      </c>
      <c r="Q2235" t="s">
        <v>41</v>
      </c>
      <c r="R2235" t="s">
        <v>7675</v>
      </c>
      <c r="S2235" t="b">
        <v>1</v>
      </c>
      <c r="T2235" t="b">
        <v>1</v>
      </c>
      <c r="U2235" t="b">
        <v>1</v>
      </c>
      <c r="V2235" t="b">
        <v>1</v>
      </c>
      <c r="W2235" t="b">
        <v>1</v>
      </c>
      <c r="X2235" t="b">
        <v>1</v>
      </c>
      <c r="Y2235" t="b">
        <v>1</v>
      </c>
      <c r="Z2235" t="b">
        <v>1</v>
      </c>
      <c r="AA2235" t="b">
        <v>1</v>
      </c>
      <c r="AB2235" t="b">
        <v>1</v>
      </c>
      <c r="AC2235" t="b">
        <v>1</v>
      </c>
      <c r="AD2235" t="b">
        <v>1</v>
      </c>
      <c r="AE2235" t="b">
        <v>1</v>
      </c>
      <c r="AF2235" t="b">
        <v>1</v>
      </c>
      <c r="AG2235" t="b">
        <v>1</v>
      </c>
    </row>
    <row r="2236" spans="1:33" x14ac:dyDescent="0.25">
      <c r="A2236" t="s">
        <v>33</v>
      </c>
      <c r="B2236">
        <v>15</v>
      </c>
      <c r="C2236" t="b">
        <v>1</v>
      </c>
      <c r="D2236" t="s">
        <v>7228</v>
      </c>
      <c r="E2236" t="s">
        <v>7669</v>
      </c>
      <c r="F2236" t="s">
        <v>7676</v>
      </c>
      <c r="G2236" t="s">
        <v>7236</v>
      </c>
      <c r="H2236">
        <v>2235</v>
      </c>
      <c r="I2236" t="str">
        <f>IF(ISBLANK(Table1[[#This Row],[oid]]),"FALSE","TRUE")</f>
        <v>TRUE</v>
      </c>
      <c r="J2236" t="str" cm="1">
        <f t="array" ref="J2236">_xlfn.SWITCH(LEFT(Table1[[#This Row],[section]],1), "D", "Demographic", "S", "Social", "E", "Economic", "H", "Housing", "")</f>
        <v>Economic</v>
      </c>
      <c r="K2236" t="s">
        <v>7672</v>
      </c>
      <c r="L2236" t="s">
        <v>7673</v>
      </c>
      <c r="M2236" t="str">
        <f>IF(Table1[[#This Row],[used]], _xlfn.CONCAT("🆔 ", Table1[[#This Row],[variable]], ": ",Table1[[#This Row],[alias]]), "")</f>
        <v>🆔 B17010_002E: Income in the past 12 months below poverty level</v>
      </c>
      <c r="O2236" t="s">
        <v>7237</v>
      </c>
      <c r="P2236" t="s">
        <v>7674</v>
      </c>
      <c r="Q2236" t="s">
        <v>41</v>
      </c>
      <c r="R2236" t="s">
        <v>7677</v>
      </c>
      <c r="S2236" t="b">
        <v>1</v>
      </c>
      <c r="T2236" t="b">
        <v>1</v>
      </c>
      <c r="U2236" t="b">
        <v>1</v>
      </c>
      <c r="V2236" t="b">
        <v>1</v>
      </c>
      <c r="W2236" t="b">
        <v>1</v>
      </c>
      <c r="X2236" t="b">
        <v>1</v>
      </c>
      <c r="Y2236" t="b">
        <v>1</v>
      </c>
      <c r="Z2236" t="b">
        <v>1</v>
      </c>
      <c r="AA2236" t="b">
        <v>1</v>
      </c>
      <c r="AB2236" t="b">
        <v>1</v>
      </c>
      <c r="AC2236" t="b">
        <v>1</v>
      </c>
      <c r="AD2236" t="b">
        <v>1</v>
      </c>
      <c r="AE2236" t="b">
        <v>1</v>
      </c>
      <c r="AF2236" t="b">
        <v>1</v>
      </c>
      <c r="AG2236" t="b">
        <v>1</v>
      </c>
    </row>
    <row r="2237" spans="1:33" x14ac:dyDescent="0.25">
      <c r="A2237" t="s">
        <v>33</v>
      </c>
      <c r="B2237">
        <v>15</v>
      </c>
      <c r="C2237" t="b">
        <v>1</v>
      </c>
      <c r="D2237" t="s">
        <v>7228</v>
      </c>
      <c r="E2237" t="s">
        <v>7669</v>
      </c>
      <c r="F2237" t="s">
        <v>7678</v>
      </c>
      <c r="G2237" t="s">
        <v>7679</v>
      </c>
      <c r="H2237">
        <v>2236</v>
      </c>
      <c r="I2237" t="str">
        <f>IF(ISBLANK(Table1[[#This Row],[oid]]),"FALSE","TRUE")</f>
        <v>TRUE</v>
      </c>
      <c r="J2237" t="str" cm="1">
        <f t="array" ref="J2237">_xlfn.SWITCH(LEFT(Table1[[#This Row],[section]],1), "D", "Demographic", "S", "Social", "E", "Economic", "H", "Housing", "")</f>
        <v>Economic</v>
      </c>
      <c r="K2237" t="s">
        <v>7672</v>
      </c>
      <c r="L2237" t="s">
        <v>7673</v>
      </c>
      <c r="M2237" t="str">
        <f>IF(Table1[[#This Row],[used]], _xlfn.CONCAT("🆔 ", Table1[[#This Row],[variable]], ": ",Table1[[#This Row],[alias]]), "")</f>
        <v>🆔 B17010_003E: Income in the past 12 months below poverty level: Married-couple family</v>
      </c>
      <c r="O2237" t="s">
        <v>7680</v>
      </c>
      <c r="P2237" t="s">
        <v>7674</v>
      </c>
      <c r="Q2237" t="s">
        <v>41</v>
      </c>
      <c r="R2237" t="s">
        <v>7681</v>
      </c>
      <c r="S2237" t="b">
        <v>1</v>
      </c>
      <c r="T2237" t="b">
        <v>1</v>
      </c>
      <c r="U2237" t="b">
        <v>1</v>
      </c>
      <c r="V2237" t="b">
        <v>1</v>
      </c>
      <c r="W2237" t="b">
        <v>1</v>
      </c>
      <c r="X2237" t="b">
        <v>1</v>
      </c>
      <c r="Y2237" t="b">
        <v>1</v>
      </c>
      <c r="Z2237" t="b">
        <v>1</v>
      </c>
      <c r="AA2237" t="b">
        <v>1</v>
      </c>
      <c r="AB2237" t="b">
        <v>1</v>
      </c>
      <c r="AC2237" t="b">
        <v>1</v>
      </c>
      <c r="AD2237" t="b">
        <v>1</v>
      </c>
      <c r="AE2237" t="b">
        <v>1</v>
      </c>
      <c r="AF2237" t="b">
        <v>1</v>
      </c>
      <c r="AG2237" t="b">
        <v>1</v>
      </c>
    </row>
    <row r="2238" spans="1:33" x14ac:dyDescent="0.25">
      <c r="A2238" t="s">
        <v>709</v>
      </c>
      <c r="B2238">
        <v>5</v>
      </c>
      <c r="C2238" t="b">
        <v>0</v>
      </c>
      <c r="D2238" t="s">
        <v>7228</v>
      </c>
      <c r="E2238" t="s">
        <v>7669</v>
      </c>
      <c r="F2238" t="s">
        <v>7682</v>
      </c>
      <c r="G2238" t="s">
        <v>7683</v>
      </c>
      <c r="H2238">
        <v>2237</v>
      </c>
      <c r="I2238" t="str">
        <f>IF(ISBLANK(Table1[[#This Row],[oid]]),"FALSE","TRUE")</f>
        <v>TRUE</v>
      </c>
      <c r="J2238" t="str" cm="1">
        <f t="array" ref="J2238">_xlfn.SWITCH(LEFT(Table1[[#This Row],[section]],1), "D", "Demographic", "S", "Social", "E", "Economic", "H", "Housing", "")</f>
        <v>Economic</v>
      </c>
      <c r="K2238" t="s">
        <v>7672</v>
      </c>
      <c r="L2238" t="s">
        <v>7673</v>
      </c>
      <c r="M2238" t="str">
        <f>IF(Table1[[#This Row],[used]], _xlfn.CONCAT("🆔 ", Table1[[#This Row],[variable]], ": ",Table1[[#This Row],[alias]]), "")</f>
        <v>🆔 B17010_004E: Income in the past 12 months below poverty level: Married-couple family: With related children under 18 years</v>
      </c>
      <c r="O2238" t="s">
        <v>7684</v>
      </c>
      <c r="P2238" t="s">
        <v>7674</v>
      </c>
      <c r="Q2238" t="s">
        <v>41</v>
      </c>
      <c r="R2238" t="s">
        <v>7685</v>
      </c>
      <c r="S2238" t="b">
        <v>1</v>
      </c>
      <c r="T2238" t="b">
        <v>1</v>
      </c>
      <c r="U2238" t="b">
        <v>1</v>
      </c>
      <c r="V2238" t="b">
        <v>1</v>
      </c>
      <c r="W2238" t="b">
        <v>1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</row>
    <row r="2239" spans="1:33" x14ac:dyDescent="0.25">
      <c r="A2239" t="s">
        <v>714</v>
      </c>
      <c r="B2239">
        <v>10</v>
      </c>
      <c r="C2239" t="b">
        <v>0</v>
      </c>
      <c r="D2239" t="s">
        <v>7228</v>
      </c>
      <c r="E2239" t="s">
        <v>7669</v>
      </c>
      <c r="F2239" t="s">
        <v>7682</v>
      </c>
      <c r="G2239" t="s">
        <v>7686</v>
      </c>
      <c r="H2239">
        <v>2238</v>
      </c>
      <c r="I2239" t="str">
        <f>IF(ISBLANK(Table1[[#This Row],[oid]]),"FALSE","TRUE")</f>
        <v>TRUE</v>
      </c>
      <c r="J2239" t="str" cm="1">
        <f t="array" ref="J2239">_xlfn.SWITCH(LEFT(Table1[[#This Row],[section]],1), "D", "Demographic", "S", "Social", "E", "Economic", "H", "Housing", "")</f>
        <v>Economic</v>
      </c>
      <c r="K2239" t="s">
        <v>7672</v>
      </c>
      <c r="L2239" t="s">
        <v>7673</v>
      </c>
      <c r="M2239" t="str">
        <f>IF(Table1[[#This Row],[used]], _xlfn.CONCAT("🆔 ", Table1[[#This Row],[variable]], ": ",Table1[[#This Row],[alias]]), "")</f>
        <v>🆔 B17010_004E: Income in the past 12 months below poverty level: Married-couple family: With related children of the householder under 18 years</v>
      </c>
      <c r="O2239" t="s">
        <v>7687</v>
      </c>
      <c r="P2239" t="s">
        <v>7674</v>
      </c>
      <c r="Q2239" t="s">
        <v>41</v>
      </c>
      <c r="R2239" t="s">
        <v>7685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1</v>
      </c>
      <c r="Y2239" t="b">
        <v>1</v>
      </c>
      <c r="Z2239" t="b">
        <v>1</v>
      </c>
      <c r="AA2239" t="b">
        <v>1</v>
      </c>
      <c r="AB2239" t="b">
        <v>1</v>
      </c>
      <c r="AC2239" t="b">
        <v>1</v>
      </c>
      <c r="AD2239" t="b">
        <v>1</v>
      </c>
      <c r="AE2239" t="b">
        <v>1</v>
      </c>
      <c r="AF2239" t="b">
        <v>1</v>
      </c>
      <c r="AG2239" t="b">
        <v>1</v>
      </c>
    </row>
    <row r="2240" spans="1:33" x14ac:dyDescent="0.25">
      <c r="A2240" t="s">
        <v>709</v>
      </c>
      <c r="B2240">
        <v>5</v>
      </c>
      <c r="C2240" t="b">
        <v>0</v>
      </c>
      <c r="D2240" t="s">
        <v>7228</v>
      </c>
      <c r="E2240" t="s">
        <v>7669</v>
      </c>
      <c r="F2240" t="s">
        <v>7688</v>
      </c>
      <c r="G2240" t="s">
        <v>7689</v>
      </c>
      <c r="H2240">
        <v>2239</v>
      </c>
      <c r="I2240" t="str">
        <f>IF(ISBLANK(Table1[[#This Row],[oid]]),"FALSE","TRUE")</f>
        <v>TRUE</v>
      </c>
      <c r="J2240" t="str" cm="1">
        <f t="array" ref="J2240">_xlfn.SWITCH(LEFT(Table1[[#This Row],[section]],1), "D", "Demographic", "S", "Social", "E", "Economic", "H", "Housing", "")</f>
        <v>Economic</v>
      </c>
      <c r="K2240" t="s">
        <v>7672</v>
      </c>
      <c r="L2240" t="s">
        <v>7673</v>
      </c>
      <c r="M2240" t="str">
        <f>IF(Table1[[#This Row],[used]], _xlfn.CONCAT("🆔 ", Table1[[#This Row],[variable]], ": ",Table1[[#This Row],[alias]]), "")</f>
        <v>🆔 B17010_005E: Income in the past 12 months below poverty level: Married-couple family: With related children under 18 years: Under 5 years only</v>
      </c>
      <c r="O2240" t="s">
        <v>7690</v>
      </c>
      <c r="P2240" t="s">
        <v>7674</v>
      </c>
      <c r="Q2240" t="s">
        <v>41</v>
      </c>
      <c r="R2240" t="s">
        <v>7691</v>
      </c>
      <c r="S2240" t="b">
        <v>1</v>
      </c>
      <c r="T2240" t="b">
        <v>1</v>
      </c>
      <c r="U2240" t="b">
        <v>1</v>
      </c>
      <c r="V2240" t="b">
        <v>1</v>
      </c>
      <c r="W2240" t="b">
        <v>1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</row>
    <row r="2241" spans="1:33" x14ac:dyDescent="0.25">
      <c r="A2241" t="s">
        <v>714</v>
      </c>
      <c r="B2241">
        <v>10</v>
      </c>
      <c r="C2241" t="b">
        <v>0</v>
      </c>
      <c r="D2241" t="s">
        <v>7228</v>
      </c>
      <c r="E2241" t="s">
        <v>7669</v>
      </c>
      <c r="F2241" t="s">
        <v>7688</v>
      </c>
      <c r="G2241" t="s">
        <v>7692</v>
      </c>
      <c r="H2241">
        <v>2240</v>
      </c>
      <c r="I2241" t="str">
        <f>IF(ISBLANK(Table1[[#This Row],[oid]]),"FALSE","TRUE")</f>
        <v>TRUE</v>
      </c>
      <c r="J2241" t="str" cm="1">
        <f t="array" ref="J2241">_xlfn.SWITCH(LEFT(Table1[[#This Row],[section]],1), "D", "Demographic", "S", "Social", "E", "Economic", "H", "Housing", "")</f>
        <v>Economic</v>
      </c>
      <c r="K2241" t="s">
        <v>7672</v>
      </c>
      <c r="L2241" t="s">
        <v>7673</v>
      </c>
      <c r="M2241" t="str">
        <f>IF(Table1[[#This Row],[used]], _xlfn.CONCAT("🆔 ", Table1[[#This Row],[variable]], ": ",Table1[[#This Row],[alias]]), "")</f>
        <v>🆔 B17010_005E: Income in the past 12 months below poverty level: Married-couple family: With related children of the householder under 18 years: Under 5 years only</v>
      </c>
      <c r="O2241" t="s">
        <v>7693</v>
      </c>
      <c r="P2241" t="s">
        <v>7674</v>
      </c>
      <c r="Q2241" t="s">
        <v>41</v>
      </c>
      <c r="R2241" t="s">
        <v>7691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1</v>
      </c>
      <c r="Y2241" t="b">
        <v>1</v>
      </c>
      <c r="Z2241" t="b">
        <v>1</v>
      </c>
      <c r="AA2241" t="b">
        <v>1</v>
      </c>
      <c r="AB2241" t="b">
        <v>1</v>
      </c>
      <c r="AC2241" t="b">
        <v>1</v>
      </c>
      <c r="AD2241" t="b">
        <v>1</v>
      </c>
      <c r="AE2241" t="b">
        <v>1</v>
      </c>
      <c r="AF2241" t="b">
        <v>1</v>
      </c>
      <c r="AG2241" t="b">
        <v>1</v>
      </c>
    </row>
    <row r="2242" spans="1:33" x14ac:dyDescent="0.25">
      <c r="A2242" t="s">
        <v>709</v>
      </c>
      <c r="B2242">
        <v>5</v>
      </c>
      <c r="C2242" t="b">
        <v>0</v>
      </c>
      <c r="D2242" t="s">
        <v>7228</v>
      </c>
      <c r="E2242" t="s">
        <v>7669</v>
      </c>
      <c r="F2242" t="s">
        <v>7694</v>
      </c>
      <c r="G2242" t="s">
        <v>7695</v>
      </c>
      <c r="H2242">
        <v>2241</v>
      </c>
      <c r="I2242" t="str">
        <f>IF(ISBLANK(Table1[[#This Row],[oid]]),"FALSE","TRUE")</f>
        <v>TRUE</v>
      </c>
      <c r="J2242" t="str" cm="1">
        <f t="array" ref="J2242">_xlfn.SWITCH(LEFT(Table1[[#This Row],[section]],1), "D", "Demographic", "S", "Social", "E", "Economic", "H", "Housing", "")</f>
        <v>Economic</v>
      </c>
      <c r="K2242" t="s">
        <v>7672</v>
      </c>
      <c r="L2242" t="s">
        <v>7673</v>
      </c>
      <c r="M2242" t="str">
        <f>IF(Table1[[#This Row],[used]], _xlfn.CONCAT("🆔 ", Table1[[#This Row],[variable]], ": ",Table1[[#This Row],[alias]]), "")</f>
        <v>🆔 B17010_006E: Income in the past 12 months below poverty level: Married-couple family: With related children under 18 years: Under 5 years and 5 to 17 years</v>
      </c>
      <c r="O2242" t="s">
        <v>7696</v>
      </c>
      <c r="P2242" t="s">
        <v>7674</v>
      </c>
      <c r="Q2242" t="s">
        <v>41</v>
      </c>
      <c r="R2242" t="s">
        <v>7697</v>
      </c>
      <c r="S2242" t="b">
        <v>1</v>
      </c>
      <c r="T2242" t="b">
        <v>1</v>
      </c>
      <c r="U2242" t="b">
        <v>1</v>
      </c>
      <c r="V2242" t="b">
        <v>1</v>
      </c>
      <c r="W2242" t="b">
        <v>1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</row>
    <row r="2243" spans="1:33" x14ac:dyDescent="0.25">
      <c r="A2243" t="s">
        <v>714</v>
      </c>
      <c r="B2243">
        <v>10</v>
      </c>
      <c r="C2243" t="b">
        <v>0</v>
      </c>
      <c r="D2243" t="s">
        <v>7228</v>
      </c>
      <c r="E2243" t="s">
        <v>7669</v>
      </c>
      <c r="F2243" t="s">
        <v>7694</v>
      </c>
      <c r="G2243" t="s">
        <v>7698</v>
      </c>
      <c r="H2243">
        <v>2242</v>
      </c>
      <c r="I2243" t="str">
        <f>IF(ISBLANK(Table1[[#This Row],[oid]]),"FALSE","TRUE")</f>
        <v>TRUE</v>
      </c>
      <c r="J2243" t="str" cm="1">
        <f t="array" ref="J2243">_xlfn.SWITCH(LEFT(Table1[[#This Row],[section]],1), "D", "Demographic", "S", "Social", "E", "Economic", "H", "Housing", "")</f>
        <v>Economic</v>
      </c>
      <c r="K2243" t="s">
        <v>7672</v>
      </c>
      <c r="L2243" t="s">
        <v>7673</v>
      </c>
      <c r="M2243" t="str">
        <f>IF(Table1[[#This Row],[used]], _xlfn.CONCAT("🆔 ", Table1[[#This Row],[variable]], ": ",Table1[[#This Row],[alias]]), "")</f>
        <v>🆔 B17010_006E: Income in the past 12 months below poverty level: Married-couple family: With related children of the householder under 18 years: Under 5 years and 5 to 17 years</v>
      </c>
      <c r="O2243" t="s">
        <v>7699</v>
      </c>
      <c r="P2243" t="s">
        <v>7674</v>
      </c>
      <c r="Q2243" t="s">
        <v>41</v>
      </c>
      <c r="R2243" t="s">
        <v>7697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1</v>
      </c>
      <c r="Y2243" t="b">
        <v>1</v>
      </c>
      <c r="Z2243" t="b">
        <v>1</v>
      </c>
      <c r="AA2243" t="b">
        <v>1</v>
      </c>
      <c r="AB2243" t="b">
        <v>1</v>
      </c>
      <c r="AC2243" t="b">
        <v>1</v>
      </c>
      <c r="AD2243" t="b">
        <v>1</v>
      </c>
      <c r="AE2243" t="b">
        <v>1</v>
      </c>
      <c r="AF2243" t="b">
        <v>1</v>
      </c>
      <c r="AG2243" t="b">
        <v>1</v>
      </c>
    </row>
    <row r="2244" spans="1:33" x14ac:dyDescent="0.25">
      <c r="A2244" t="s">
        <v>709</v>
      </c>
      <c r="B2244">
        <v>5</v>
      </c>
      <c r="C2244" t="b">
        <v>0</v>
      </c>
      <c r="D2244" t="s">
        <v>7228</v>
      </c>
      <c r="E2244" t="s">
        <v>7669</v>
      </c>
      <c r="F2244" t="s">
        <v>7700</v>
      </c>
      <c r="G2244" t="s">
        <v>7701</v>
      </c>
      <c r="H2244">
        <v>2243</v>
      </c>
      <c r="I2244" t="str">
        <f>IF(ISBLANK(Table1[[#This Row],[oid]]),"FALSE","TRUE")</f>
        <v>TRUE</v>
      </c>
      <c r="J2244" t="str" cm="1">
        <f t="array" ref="J2244">_xlfn.SWITCH(LEFT(Table1[[#This Row],[section]],1), "D", "Demographic", "S", "Social", "E", "Economic", "H", "Housing", "")</f>
        <v>Economic</v>
      </c>
      <c r="K2244" t="s">
        <v>7672</v>
      </c>
      <c r="L2244" t="s">
        <v>7673</v>
      </c>
      <c r="M2244" t="str">
        <f>IF(Table1[[#This Row],[used]], _xlfn.CONCAT("🆔 ", Table1[[#This Row],[variable]], ": ",Table1[[#This Row],[alias]]), "")</f>
        <v>🆔 B17010_007E: Income in the past 12 months below poverty level: Married-couple family: With related children under 18 years: 5 to 17 years only</v>
      </c>
      <c r="O2244" t="s">
        <v>7702</v>
      </c>
      <c r="P2244" t="s">
        <v>7674</v>
      </c>
      <c r="Q2244" t="s">
        <v>41</v>
      </c>
      <c r="R2244" t="s">
        <v>7703</v>
      </c>
      <c r="S2244" t="b">
        <v>1</v>
      </c>
      <c r="T2244" t="b">
        <v>1</v>
      </c>
      <c r="U2244" t="b">
        <v>1</v>
      </c>
      <c r="V2244" t="b">
        <v>1</v>
      </c>
      <c r="W2244" t="b">
        <v>1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</row>
    <row r="2245" spans="1:33" x14ac:dyDescent="0.25">
      <c r="A2245" t="s">
        <v>714</v>
      </c>
      <c r="B2245">
        <v>10</v>
      </c>
      <c r="C2245" t="b">
        <v>0</v>
      </c>
      <c r="D2245" t="s">
        <v>7228</v>
      </c>
      <c r="E2245" t="s">
        <v>7669</v>
      </c>
      <c r="F2245" t="s">
        <v>7700</v>
      </c>
      <c r="G2245" t="s">
        <v>7704</v>
      </c>
      <c r="H2245">
        <v>2244</v>
      </c>
      <c r="I2245" t="str">
        <f>IF(ISBLANK(Table1[[#This Row],[oid]]),"FALSE","TRUE")</f>
        <v>TRUE</v>
      </c>
      <c r="J2245" t="str" cm="1">
        <f t="array" ref="J2245">_xlfn.SWITCH(LEFT(Table1[[#This Row],[section]],1), "D", "Demographic", "S", "Social", "E", "Economic", "H", "Housing", "")</f>
        <v>Economic</v>
      </c>
      <c r="K2245" t="s">
        <v>7672</v>
      </c>
      <c r="L2245" t="s">
        <v>7673</v>
      </c>
      <c r="M2245" t="str">
        <f>IF(Table1[[#This Row],[used]], _xlfn.CONCAT("🆔 ", Table1[[#This Row],[variable]], ": ",Table1[[#This Row],[alias]]), "")</f>
        <v>🆔 B17010_007E: Income in the past 12 months below poverty level: Married-couple family: With related children of the householder under 18 years: 5 to 17 years only</v>
      </c>
      <c r="O2245" t="s">
        <v>7705</v>
      </c>
      <c r="P2245" t="s">
        <v>7674</v>
      </c>
      <c r="Q2245" t="s">
        <v>41</v>
      </c>
      <c r="R2245" t="s">
        <v>7703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  <c r="X2245" t="b">
        <v>1</v>
      </c>
      <c r="Y2245" t="b">
        <v>1</v>
      </c>
      <c r="Z2245" t="b">
        <v>1</v>
      </c>
      <c r="AA2245" t="b">
        <v>1</v>
      </c>
      <c r="AB2245" t="b">
        <v>1</v>
      </c>
      <c r="AC2245" t="b">
        <v>1</v>
      </c>
      <c r="AD2245" t="b">
        <v>1</v>
      </c>
      <c r="AE2245" t="b">
        <v>1</v>
      </c>
      <c r="AF2245" t="b">
        <v>1</v>
      </c>
      <c r="AG2245" t="b">
        <v>1</v>
      </c>
    </row>
    <row r="2246" spans="1:33" x14ac:dyDescent="0.25">
      <c r="A2246" t="s">
        <v>709</v>
      </c>
      <c r="B2246">
        <v>5</v>
      </c>
      <c r="C2246" t="b">
        <v>0</v>
      </c>
      <c r="D2246" t="s">
        <v>7228</v>
      </c>
      <c r="E2246" t="s">
        <v>7669</v>
      </c>
      <c r="F2246" t="s">
        <v>7706</v>
      </c>
      <c r="G2246" t="s">
        <v>7707</v>
      </c>
      <c r="H2246">
        <v>2245</v>
      </c>
      <c r="I2246" t="str">
        <f>IF(ISBLANK(Table1[[#This Row],[oid]]),"FALSE","TRUE")</f>
        <v>TRUE</v>
      </c>
      <c r="J2246" t="str" cm="1">
        <f t="array" ref="J2246">_xlfn.SWITCH(LEFT(Table1[[#This Row],[section]],1), "D", "Demographic", "S", "Social", "E", "Economic", "H", "Housing", "")</f>
        <v>Economic</v>
      </c>
      <c r="K2246" t="s">
        <v>7672</v>
      </c>
      <c r="L2246" t="s">
        <v>7673</v>
      </c>
      <c r="M2246" t="str">
        <f>IF(Table1[[#This Row],[used]], _xlfn.CONCAT("🆔 ", Table1[[#This Row],[variable]], ": ",Table1[[#This Row],[alias]]), "")</f>
        <v>🆔 B17010_008E: Income in the past 12 months below poverty level: Married-couple family: No related children under 18 years</v>
      </c>
      <c r="O2246" t="s">
        <v>7708</v>
      </c>
      <c r="P2246" t="s">
        <v>7674</v>
      </c>
      <c r="Q2246" t="s">
        <v>41</v>
      </c>
      <c r="R2246" t="s">
        <v>7709</v>
      </c>
      <c r="S2246" t="b">
        <v>1</v>
      </c>
      <c r="T2246" t="b">
        <v>1</v>
      </c>
      <c r="U2246" t="b">
        <v>1</v>
      </c>
      <c r="V2246" t="b">
        <v>1</v>
      </c>
      <c r="W2246" t="b">
        <v>1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</row>
    <row r="2247" spans="1:33" x14ac:dyDescent="0.25">
      <c r="A2247" t="s">
        <v>714</v>
      </c>
      <c r="B2247">
        <v>10</v>
      </c>
      <c r="C2247" t="b">
        <v>0</v>
      </c>
      <c r="D2247" t="s">
        <v>7228</v>
      </c>
      <c r="E2247" t="s">
        <v>7669</v>
      </c>
      <c r="F2247" t="s">
        <v>7706</v>
      </c>
      <c r="G2247" t="s">
        <v>7710</v>
      </c>
      <c r="H2247">
        <v>2246</v>
      </c>
      <c r="I2247" t="str">
        <f>IF(ISBLANK(Table1[[#This Row],[oid]]),"FALSE","TRUE")</f>
        <v>TRUE</v>
      </c>
      <c r="J2247" t="str" cm="1">
        <f t="array" ref="J2247">_xlfn.SWITCH(LEFT(Table1[[#This Row],[section]],1), "D", "Demographic", "S", "Social", "E", "Economic", "H", "Housing", "")</f>
        <v>Economic</v>
      </c>
      <c r="K2247" t="s">
        <v>7672</v>
      </c>
      <c r="L2247" t="s">
        <v>7673</v>
      </c>
      <c r="M2247" t="str">
        <f>IF(Table1[[#This Row],[used]], _xlfn.CONCAT("🆔 ", Table1[[#This Row],[variable]], ": ",Table1[[#This Row],[alias]]), "")</f>
        <v>🆔 B17010_008E: Income in the past 12 months below poverty level: Married-couple family: No related children of the householder under 18 years</v>
      </c>
      <c r="O2247" t="s">
        <v>7711</v>
      </c>
      <c r="P2247" t="s">
        <v>7674</v>
      </c>
      <c r="Q2247" t="s">
        <v>41</v>
      </c>
      <c r="R2247" t="s">
        <v>7709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1</v>
      </c>
      <c r="Y2247" t="b">
        <v>1</v>
      </c>
      <c r="Z2247" t="b">
        <v>1</v>
      </c>
      <c r="AA2247" t="b">
        <v>1</v>
      </c>
      <c r="AB2247" t="b">
        <v>1</v>
      </c>
      <c r="AC2247" t="b">
        <v>1</v>
      </c>
      <c r="AD2247" t="b">
        <v>1</v>
      </c>
      <c r="AE2247" t="b">
        <v>1</v>
      </c>
      <c r="AF2247" t="b">
        <v>1</v>
      </c>
      <c r="AG2247" t="b">
        <v>1</v>
      </c>
    </row>
    <row r="2248" spans="1:33" x14ac:dyDescent="0.25">
      <c r="A2248" t="s">
        <v>33</v>
      </c>
      <c r="B2248">
        <v>15</v>
      </c>
      <c r="C2248" t="b">
        <v>1</v>
      </c>
      <c r="D2248" t="s">
        <v>7228</v>
      </c>
      <c r="E2248" t="s">
        <v>7669</v>
      </c>
      <c r="F2248" t="s">
        <v>7712</v>
      </c>
      <c r="G2248" t="s">
        <v>7713</v>
      </c>
      <c r="H2248">
        <v>2247</v>
      </c>
      <c r="I2248" t="str">
        <f>IF(ISBLANK(Table1[[#This Row],[oid]]),"FALSE","TRUE")</f>
        <v>TRUE</v>
      </c>
      <c r="J2248" t="str" cm="1">
        <f t="array" ref="J2248">_xlfn.SWITCH(LEFT(Table1[[#This Row],[section]],1), "D", "Demographic", "S", "Social", "E", "Economic", "H", "Housing", "")</f>
        <v>Economic</v>
      </c>
      <c r="K2248" t="s">
        <v>7672</v>
      </c>
      <c r="L2248" t="s">
        <v>7673</v>
      </c>
      <c r="M2248" t="str">
        <f>IF(Table1[[#This Row],[used]], _xlfn.CONCAT("🆔 ", Table1[[#This Row],[variable]], ": ",Table1[[#This Row],[alias]]), "")</f>
        <v>🆔 B17010_009E: Income in the past 12 months below poverty level: Other family</v>
      </c>
      <c r="O2248" t="s">
        <v>7714</v>
      </c>
      <c r="P2248" t="s">
        <v>7674</v>
      </c>
      <c r="Q2248" t="s">
        <v>41</v>
      </c>
      <c r="R2248" t="s">
        <v>7715</v>
      </c>
      <c r="S2248" t="b">
        <v>1</v>
      </c>
      <c r="T2248" t="b">
        <v>1</v>
      </c>
      <c r="U2248" t="b">
        <v>1</v>
      </c>
      <c r="V2248" t="b">
        <v>1</v>
      </c>
      <c r="W2248" t="b">
        <v>1</v>
      </c>
      <c r="X2248" t="b">
        <v>1</v>
      </c>
      <c r="Y2248" t="b">
        <v>1</v>
      </c>
      <c r="Z2248" t="b">
        <v>1</v>
      </c>
      <c r="AA2248" t="b">
        <v>1</v>
      </c>
      <c r="AB2248" t="b">
        <v>1</v>
      </c>
      <c r="AC2248" t="b">
        <v>1</v>
      </c>
      <c r="AD2248" t="b">
        <v>1</v>
      </c>
      <c r="AE2248" t="b">
        <v>1</v>
      </c>
      <c r="AF2248" t="b">
        <v>1</v>
      </c>
      <c r="AG2248" t="b">
        <v>1</v>
      </c>
    </row>
    <row r="2249" spans="1:33" x14ac:dyDescent="0.25">
      <c r="A2249" t="s">
        <v>676</v>
      </c>
      <c r="B2249">
        <v>9</v>
      </c>
      <c r="C2249" t="b">
        <v>0</v>
      </c>
      <c r="D2249" t="s">
        <v>7228</v>
      </c>
      <c r="E2249" t="s">
        <v>7669</v>
      </c>
      <c r="F2249" t="s">
        <v>7716</v>
      </c>
      <c r="G2249" t="s">
        <v>7717</v>
      </c>
      <c r="H2249">
        <v>2248</v>
      </c>
      <c r="I2249" t="str">
        <f>IF(ISBLANK(Table1[[#This Row],[oid]]),"FALSE","TRUE")</f>
        <v>TRUE</v>
      </c>
      <c r="J2249" t="str" cm="1">
        <f t="array" ref="J2249">_xlfn.SWITCH(LEFT(Table1[[#This Row],[section]],1), "D", "Demographic", "S", "Social", "E", "Economic", "H", "Housing", "")</f>
        <v>Economic</v>
      </c>
      <c r="K2249" t="s">
        <v>7672</v>
      </c>
      <c r="L2249" t="s">
        <v>7673</v>
      </c>
      <c r="M2249" t="str">
        <f>IF(Table1[[#This Row],[used]], _xlfn.CONCAT("🆔 ", Table1[[#This Row],[variable]], ": ",Table1[[#This Row],[alias]]), "")</f>
        <v>🆔 B17010_010E: Income in the past 12 months below poverty level: Other family: Male householder no wife present</v>
      </c>
      <c r="O2249" t="s">
        <v>7718</v>
      </c>
      <c r="P2249" t="s">
        <v>7674</v>
      </c>
      <c r="Q2249" t="s">
        <v>41</v>
      </c>
      <c r="R2249" t="s">
        <v>7719</v>
      </c>
      <c r="S2249" t="b">
        <v>1</v>
      </c>
      <c r="T2249" t="b">
        <v>1</v>
      </c>
      <c r="U2249" t="b">
        <v>1</v>
      </c>
      <c r="V2249" t="b">
        <v>1</v>
      </c>
      <c r="W2249" t="b">
        <v>1</v>
      </c>
      <c r="X2249" t="b">
        <v>1</v>
      </c>
      <c r="Y2249" t="b">
        <v>1</v>
      </c>
      <c r="Z2249" t="b">
        <v>1</v>
      </c>
      <c r="AA2249" t="b">
        <v>1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</row>
    <row r="2250" spans="1:33" x14ac:dyDescent="0.25">
      <c r="A2250" t="s">
        <v>681</v>
      </c>
      <c r="B2250">
        <v>6</v>
      </c>
      <c r="C2250" t="b">
        <v>0</v>
      </c>
      <c r="D2250" t="s">
        <v>7228</v>
      </c>
      <c r="E2250" t="s">
        <v>7669</v>
      </c>
      <c r="F2250" t="s">
        <v>7716</v>
      </c>
      <c r="G2250" t="s">
        <v>7720</v>
      </c>
      <c r="H2250">
        <v>2249</v>
      </c>
      <c r="I2250" t="str">
        <f>IF(ISBLANK(Table1[[#This Row],[oid]]),"FALSE","TRUE")</f>
        <v>TRUE</v>
      </c>
      <c r="J2250" t="str" cm="1">
        <f t="array" ref="J2250">_xlfn.SWITCH(LEFT(Table1[[#This Row],[section]],1), "D", "Demographic", "S", "Social", "E", "Economic", "H", "Housing", "")</f>
        <v>Economic</v>
      </c>
      <c r="K2250" t="s">
        <v>7672</v>
      </c>
      <c r="L2250" t="s">
        <v>7673</v>
      </c>
      <c r="M2250" t="str">
        <f>IF(Table1[[#This Row],[used]], _xlfn.CONCAT("🆔 ", Table1[[#This Row],[variable]], ": ",Table1[[#This Row],[alias]]), "")</f>
        <v>🆔 B17010_010E: Income in the past 12 months below poverty level: Other family: Male householder no spouse present</v>
      </c>
      <c r="O2250" t="s">
        <v>7721</v>
      </c>
      <c r="P2250" t="s">
        <v>7674</v>
      </c>
      <c r="Q2250" t="s">
        <v>41</v>
      </c>
      <c r="R2250" t="s">
        <v>7719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1</v>
      </c>
      <c r="AC2250" t="b">
        <v>1</v>
      </c>
      <c r="AD2250" t="b">
        <v>1</v>
      </c>
      <c r="AE2250" t="b">
        <v>1</v>
      </c>
      <c r="AF2250" t="b">
        <v>1</v>
      </c>
      <c r="AG2250" t="b">
        <v>1</v>
      </c>
    </row>
    <row r="2251" spans="1:33" x14ac:dyDescent="0.25">
      <c r="A2251" t="s">
        <v>709</v>
      </c>
      <c r="B2251">
        <v>5</v>
      </c>
      <c r="C2251" t="b">
        <v>0</v>
      </c>
      <c r="D2251" t="s">
        <v>7228</v>
      </c>
      <c r="E2251" t="s">
        <v>7669</v>
      </c>
      <c r="F2251" t="s">
        <v>7722</v>
      </c>
      <c r="G2251" t="s">
        <v>7723</v>
      </c>
      <c r="H2251">
        <v>2250</v>
      </c>
      <c r="I2251" t="str">
        <f>IF(ISBLANK(Table1[[#This Row],[oid]]),"FALSE","TRUE")</f>
        <v>TRUE</v>
      </c>
      <c r="J2251" t="str" cm="1">
        <f t="array" ref="J2251">_xlfn.SWITCH(LEFT(Table1[[#This Row],[section]],1), "D", "Demographic", "S", "Social", "E", "Economic", "H", "Housing", "")</f>
        <v>Economic</v>
      </c>
      <c r="K2251" t="s">
        <v>7672</v>
      </c>
      <c r="L2251" t="s">
        <v>7673</v>
      </c>
      <c r="M2251" t="str">
        <f>IF(Table1[[#This Row],[used]], _xlfn.CONCAT("🆔 ", Table1[[#This Row],[variable]], ": ",Table1[[#This Row],[alias]]), "")</f>
        <v>🆔 B17010_011E: Income in the past 12 months below poverty level: Other family: Male householder no wife present: With related children under 18 years</v>
      </c>
      <c r="O2251" t="s">
        <v>7724</v>
      </c>
      <c r="P2251" t="s">
        <v>7674</v>
      </c>
      <c r="Q2251" t="s">
        <v>41</v>
      </c>
      <c r="R2251" t="s">
        <v>7725</v>
      </c>
      <c r="S2251" t="b">
        <v>1</v>
      </c>
      <c r="T2251" t="b">
        <v>1</v>
      </c>
      <c r="U2251" t="b">
        <v>1</v>
      </c>
      <c r="V2251" t="b">
        <v>1</v>
      </c>
      <c r="W2251" t="b">
        <v>1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</row>
    <row r="2252" spans="1:33" x14ac:dyDescent="0.25">
      <c r="A2252" t="s">
        <v>755</v>
      </c>
      <c r="B2252">
        <v>4</v>
      </c>
      <c r="C2252" t="b">
        <v>0</v>
      </c>
      <c r="D2252" t="s">
        <v>7228</v>
      </c>
      <c r="E2252" t="s">
        <v>7669</v>
      </c>
      <c r="F2252" t="s">
        <v>7722</v>
      </c>
      <c r="G2252" t="s">
        <v>7726</v>
      </c>
      <c r="H2252">
        <v>2251</v>
      </c>
      <c r="I2252" t="str">
        <f>IF(ISBLANK(Table1[[#This Row],[oid]]),"FALSE","TRUE")</f>
        <v>TRUE</v>
      </c>
      <c r="J2252" t="str" cm="1">
        <f t="array" ref="J2252">_xlfn.SWITCH(LEFT(Table1[[#This Row],[section]],1), "D", "Demographic", "S", "Social", "E", "Economic", "H", "Housing", "")</f>
        <v>Economic</v>
      </c>
      <c r="K2252" t="s">
        <v>7672</v>
      </c>
      <c r="L2252" t="s">
        <v>7673</v>
      </c>
      <c r="M2252" t="str">
        <f>IF(Table1[[#This Row],[used]], _xlfn.CONCAT("🆔 ", Table1[[#This Row],[variable]], ": ",Table1[[#This Row],[alias]]), "")</f>
        <v>🆔 B17010_011E: Income in the past 12 months below poverty level: Other family: Male householder no wife present: With related children of the householder under 18 years</v>
      </c>
      <c r="O2252" t="s">
        <v>7727</v>
      </c>
      <c r="P2252" t="s">
        <v>7674</v>
      </c>
      <c r="Q2252" t="s">
        <v>41</v>
      </c>
      <c r="R2252" t="s">
        <v>7725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1</v>
      </c>
      <c r="Y2252" t="b">
        <v>1</v>
      </c>
      <c r="Z2252" t="b">
        <v>1</v>
      </c>
      <c r="AA2252" t="b">
        <v>1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</row>
    <row r="2253" spans="1:33" x14ac:dyDescent="0.25">
      <c r="A2253" t="s">
        <v>681</v>
      </c>
      <c r="B2253">
        <v>6</v>
      </c>
      <c r="C2253" t="b">
        <v>0</v>
      </c>
      <c r="D2253" t="s">
        <v>7228</v>
      </c>
      <c r="E2253" t="s">
        <v>7669</v>
      </c>
      <c r="F2253" t="s">
        <v>7722</v>
      </c>
      <c r="G2253" t="s">
        <v>7728</v>
      </c>
      <c r="H2253">
        <v>2252</v>
      </c>
      <c r="I2253" t="str">
        <f>IF(ISBLANK(Table1[[#This Row],[oid]]),"FALSE","TRUE")</f>
        <v>TRUE</v>
      </c>
      <c r="J2253" t="str" cm="1">
        <f t="array" ref="J2253">_xlfn.SWITCH(LEFT(Table1[[#This Row],[section]],1), "D", "Demographic", "S", "Social", "E", "Economic", "H", "Housing", "")</f>
        <v>Economic</v>
      </c>
      <c r="K2253" t="s">
        <v>7672</v>
      </c>
      <c r="L2253" t="s">
        <v>7673</v>
      </c>
      <c r="M2253" t="str">
        <f>IF(Table1[[#This Row],[used]], _xlfn.CONCAT("🆔 ", Table1[[#This Row],[variable]], ": ",Table1[[#This Row],[alias]]), "")</f>
        <v>🆔 B17010_011E: Income in the past 12 months below poverty level: Other family: Male householder no spouse present: With related children of the householder under 18 years</v>
      </c>
      <c r="O2253" t="s">
        <v>7729</v>
      </c>
      <c r="P2253" t="s">
        <v>7674</v>
      </c>
      <c r="Q2253" t="s">
        <v>41</v>
      </c>
      <c r="R2253" t="s">
        <v>7725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1</v>
      </c>
      <c r="AC2253" t="b">
        <v>1</v>
      </c>
      <c r="AD2253" t="b">
        <v>1</v>
      </c>
      <c r="AE2253" t="b">
        <v>1</v>
      </c>
      <c r="AF2253" t="b">
        <v>1</v>
      </c>
      <c r="AG2253" t="b">
        <v>1</v>
      </c>
    </row>
    <row r="2254" spans="1:33" x14ac:dyDescent="0.25">
      <c r="A2254" t="s">
        <v>709</v>
      </c>
      <c r="B2254">
        <v>5</v>
      </c>
      <c r="C2254" t="b">
        <v>0</v>
      </c>
      <c r="D2254" t="s">
        <v>7228</v>
      </c>
      <c r="E2254" t="s">
        <v>7669</v>
      </c>
      <c r="F2254" t="s">
        <v>7730</v>
      </c>
      <c r="G2254" t="s">
        <v>7731</v>
      </c>
      <c r="H2254">
        <v>2253</v>
      </c>
      <c r="I2254" t="str">
        <f>IF(ISBLANK(Table1[[#This Row],[oid]]),"FALSE","TRUE")</f>
        <v>TRUE</v>
      </c>
      <c r="J2254" t="str" cm="1">
        <f t="array" ref="J2254">_xlfn.SWITCH(LEFT(Table1[[#This Row],[section]],1), "D", "Demographic", "S", "Social", "E", "Economic", "H", "Housing", "")</f>
        <v>Economic</v>
      </c>
      <c r="K2254" t="s">
        <v>7672</v>
      </c>
      <c r="L2254" t="s">
        <v>7673</v>
      </c>
      <c r="M2254" t="str">
        <f>IF(Table1[[#This Row],[used]], _xlfn.CONCAT("🆔 ", Table1[[#This Row],[variable]], ": ",Table1[[#This Row],[alias]]), "")</f>
        <v>🆔 B17010_012E: Income in the past 12 months below poverty level: Other family: Male householder no wife present: With related children under 18 years: Under 5 years only</v>
      </c>
      <c r="O2254" t="s">
        <v>7732</v>
      </c>
      <c r="P2254" t="s">
        <v>7674</v>
      </c>
      <c r="Q2254" t="s">
        <v>41</v>
      </c>
      <c r="R2254" t="s">
        <v>7733</v>
      </c>
      <c r="S2254" t="b">
        <v>1</v>
      </c>
      <c r="T2254" t="b">
        <v>1</v>
      </c>
      <c r="U2254" t="b">
        <v>1</v>
      </c>
      <c r="V2254" t="b">
        <v>1</v>
      </c>
      <c r="W2254" t="b">
        <v>1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</row>
    <row r="2255" spans="1:33" x14ac:dyDescent="0.25">
      <c r="A2255" t="s">
        <v>755</v>
      </c>
      <c r="B2255">
        <v>4</v>
      </c>
      <c r="C2255" t="b">
        <v>0</v>
      </c>
      <c r="D2255" t="s">
        <v>7228</v>
      </c>
      <c r="E2255" t="s">
        <v>7669</v>
      </c>
      <c r="F2255" t="s">
        <v>7730</v>
      </c>
      <c r="G2255" t="s">
        <v>7734</v>
      </c>
      <c r="H2255">
        <v>2254</v>
      </c>
      <c r="I2255" t="str">
        <f>IF(ISBLANK(Table1[[#This Row],[oid]]),"FALSE","TRUE")</f>
        <v>TRUE</v>
      </c>
      <c r="J2255" t="str" cm="1">
        <f t="array" ref="J2255">_xlfn.SWITCH(LEFT(Table1[[#This Row],[section]],1), "D", "Demographic", "S", "Social", "E", "Economic", "H", "Housing", "")</f>
        <v>Economic</v>
      </c>
      <c r="K2255" t="s">
        <v>7672</v>
      </c>
      <c r="L2255" t="s">
        <v>7673</v>
      </c>
      <c r="M2255" t="str">
        <f>IF(Table1[[#This Row],[used]], _xlfn.CONCAT("🆔 ", Table1[[#This Row],[variable]], ": ",Table1[[#This Row],[alias]]), "")</f>
        <v>🆔 B17010_012E: Income in the past 12 months below poverty level: Other family: Male householder no wife present: With related children of the householder under 18 years: Under 5 years only</v>
      </c>
      <c r="O2255" t="s">
        <v>7735</v>
      </c>
      <c r="P2255" t="s">
        <v>7674</v>
      </c>
      <c r="Q2255" t="s">
        <v>41</v>
      </c>
      <c r="R2255" t="s">
        <v>7733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1</v>
      </c>
      <c r="Y2255" t="b">
        <v>1</v>
      </c>
      <c r="Z2255" t="b">
        <v>1</v>
      </c>
      <c r="AA2255" t="b">
        <v>1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</row>
    <row r="2256" spans="1:33" x14ac:dyDescent="0.25">
      <c r="A2256" t="s">
        <v>681</v>
      </c>
      <c r="B2256">
        <v>6</v>
      </c>
      <c r="C2256" t="b">
        <v>0</v>
      </c>
      <c r="D2256" t="s">
        <v>7228</v>
      </c>
      <c r="E2256" t="s">
        <v>7669</v>
      </c>
      <c r="F2256" t="s">
        <v>7730</v>
      </c>
      <c r="G2256" t="s">
        <v>7736</v>
      </c>
      <c r="H2256">
        <v>2255</v>
      </c>
      <c r="I2256" t="str">
        <f>IF(ISBLANK(Table1[[#This Row],[oid]]),"FALSE","TRUE")</f>
        <v>TRUE</v>
      </c>
      <c r="J2256" t="str" cm="1">
        <f t="array" ref="J2256">_xlfn.SWITCH(LEFT(Table1[[#This Row],[section]],1), "D", "Demographic", "S", "Social", "E", "Economic", "H", "Housing", "")</f>
        <v>Economic</v>
      </c>
      <c r="K2256" t="s">
        <v>7672</v>
      </c>
      <c r="L2256" t="s">
        <v>7673</v>
      </c>
      <c r="M2256" t="str">
        <f>IF(Table1[[#This Row],[used]], _xlfn.CONCAT("🆔 ", Table1[[#This Row],[variable]], ": ",Table1[[#This Row],[alias]]), "")</f>
        <v>🆔 B17010_012E: Income in the past 12 months below poverty level: Other family: Male householder no spouse present: With related children of the householder under 18 years: Under 5 years only</v>
      </c>
      <c r="O2256" t="s">
        <v>7737</v>
      </c>
      <c r="P2256" t="s">
        <v>7674</v>
      </c>
      <c r="Q2256" t="s">
        <v>41</v>
      </c>
      <c r="R2256" t="s">
        <v>7733</v>
      </c>
      <c r="S2256" t="b">
        <v>0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 t="b">
        <v>1</v>
      </c>
      <c r="AC2256" t="b">
        <v>1</v>
      </c>
      <c r="AD2256" t="b">
        <v>1</v>
      </c>
      <c r="AE2256" t="b">
        <v>1</v>
      </c>
      <c r="AF2256" t="b">
        <v>1</v>
      </c>
      <c r="AG2256" t="b">
        <v>1</v>
      </c>
    </row>
    <row r="2257" spans="1:33" x14ac:dyDescent="0.25">
      <c r="A2257" t="s">
        <v>709</v>
      </c>
      <c r="B2257">
        <v>5</v>
      </c>
      <c r="C2257" t="b">
        <v>0</v>
      </c>
      <c r="D2257" t="s">
        <v>7228</v>
      </c>
      <c r="E2257" t="s">
        <v>7669</v>
      </c>
      <c r="F2257" t="s">
        <v>7738</v>
      </c>
      <c r="G2257" t="s">
        <v>7739</v>
      </c>
      <c r="H2257">
        <v>2256</v>
      </c>
      <c r="I2257" t="str">
        <f>IF(ISBLANK(Table1[[#This Row],[oid]]),"FALSE","TRUE")</f>
        <v>TRUE</v>
      </c>
      <c r="J2257" t="str" cm="1">
        <f t="array" ref="J2257">_xlfn.SWITCH(LEFT(Table1[[#This Row],[section]],1), "D", "Demographic", "S", "Social", "E", "Economic", "H", "Housing", "")</f>
        <v>Economic</v>
      </c>
      <c r="K2257" t="s">
        <v>7672</v>
      </c>
      <c r="L2257" t="s">
        <v>7673</v>
      </c>
      <c r="M2257" t="str">
        <f>IF(Table1[[#This Row],[used]], _xlfn.CONCAT("🆔 ", Table1[[#This Row],[variable]], ": ",Table1[[#This Row],[alias]]), "")</f>
        <v>🆔 B17010_013E: Income in the past 12 months below poverty level: Other family: Male householder no wife present: With related children under 18 years: Under 5 years and 5 to 17 years</v>
      </c>
      <c r="O2257" t="s">
        <v>7740</v>
      </c>
      <c r="P2257" t="s">
        <v>7674</v>
      </c>
      <c r="Q2257" t="s">
        <v>41</v>
      </c>
      <c r="R2257" t="s">
        <v>7741</v>
      </c>
      <c r="S2257" t="b">
        <v>1</v>
      </c>
      <c r="T2257" t="b">
        <v>1</v>
      </c>
      <c r="U2257" t="b">
        <v>1</v>
      </c>
      <c r="V2257" t="b">
        <v>1</v>
      </c>
      <c r="W2257" t="b">
        <v>1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</row>
    <row r="2258" spans="1:33" x14ac:dyDescent="0.25">
      <c r="A2258" t="s">
        <v>755</v>
      </c>
      <c r="B2258">
        <v>4</v>
      </c>
      <c r="C2258" t="b">
        <v>0</v>
      </c>
      <c r="D2258" t="s">
        <v>7228</v>
      </c>
      <c r="E2258" t="s">
        <v>7669</v>
      </c>
      <c r="F2258" t="s">
        <v>7738</v>
      </c>
      <c r="G2258" t="s">
        <v>7742</v>
      </c>
      <c r="H2258">
        <v>2257</v>
      </c>
      <c r="I2258" t="str">
        <f>IF(ISBLANK(Table1[[#This Row],[oid]]),"FALSE","TRUE")</f>
        <v>TRUE</v>
      </c>
      <c r="J2258" t="str" cm="1">
        <f t="array" ref="J2258">_xlfn.SWITCH(LEFT(Table1[[#This Row],[section]],1), "D", "Demographic", "S", "Social", "E", "Economic", "H", "Housing", "")</f>
        <v>Economic</v>
      </c>
      <c r="K2258" t="s">
        <v>7672</v>
      </c>
      <c r="L2258" t="s">
        <v>7673</v>
      </c>
      <c r="M2258" t="str">
        <f>IF(Table1[[#This Row],[used]], _xlfn.CONCAT("🆔 ", Table1[[#This Row],[variable]], ": ",Table1[[#This Row],[alias]]), "")</f>
        <v>🆔 B17010_013E: Income in the past 12 months below poverty level: Other family: Male householder no wife present: With related children of the householder under 18 years: Under 5 years and 5 to 17 years</v>
      </c>
      <c r="O2258" t="s">
        <v>7743</v>
      </c>
      <c r="P2258" t="s">
        <v>7674</v>
      </c>
      <c r="Q2258" t="s">
        <v>41</v>
      </c>
      <c r="R2258" t="s">
        <v>7741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1</v>
      </c>
      <c r="Y2258" t="b">
        <v>1</v>
      </c>
      <c r="Z2258" t="b">
        <v>1</v>
      </c>
      <c r="AA2258" t="b">
        <v>1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</row>
    <row r="2259" spans="1:33" x14ac:dyDescent="0.25">
      <c r="A2259" t="s">
        <v>681</v>
      </c>
      <c r="B2259">
        <v>6</v>
      </c>
      <c r="C2259" t="b">
        <v>0</v>
      </c>
      <c r="D2259" t="s">
        <v>7228</v>
      </c>
      <c r="E2259" t="s">
        <v>7669</v>
      </c>
      <c r="F2259" t="s">
        <v>7738</v>
      </c>
      <c r="G2259" t="s">
        <v>7744</v>
      </c>
      <c r="H2259">
        <v>2258</v>
      </c>
      <c r="I2259" t="str">
        <f>IF(ISBLANK(Table1[[#This Row],[oid]]),"FALSE","TRUE")</f>
        <v>TRUE</v>
      </c>
      <c r="J2259" t="str" cm="1">
        <f t="array" ref="J2259">_xlfn.SWITCH(LEFT(Table1[[#This Row],[section]],1), "D", "Demographic", "S", "Social", "E", "Economic", "H", "Housing", "")</f>
        <v>Economic</v>
      </c>
      <c r="K2259" t="s">
        <v>7672</v>
      </c>
      <c r="L2259" t="s">
        <v>7673</v>
      </c>
      <c r="M2259" t="str">
        <f>IF(Table1[[#This Row],[used]], _xlfn.CONCAT("🆔 ", Table1[[#This Row],[variable]], ": ",Table1[[#This Row],[alias]]), "")</f>
        <v>🆔 B17010_013E: Income in the past 12 months below poverty level: Other family: Male householder no spouse present: With related children of the householder under 18 years: Under 5 years and 5 to 17 years</v>
      </c>
      <c r="O2259" t="s">
        <v>7745</v>
      </c>
      <c r="P2259" t="s">
        <v>7674</v>
      </c>
      <c r="Q2259" t="s">
        <v>41</v>
      </c>
      <c r="R2259" t="s">
        <v>7741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1</v>
      </c>
      <c r="AC2259" t="b">
        <v>1</v>
      </c>
      <c r="AD2259" t="b">
        <v>1</v>
      </c>
      <c r="AE2259" t="b">
        <v>1</v>
      </c>
      <c r="AF2259" t="b">
        <v>1</v>
      </c>
      <c r="AG2259" t="b">
        <v>1</v>
      </c>
    </row>
    <row r="2260" spans="1:33" x14ac:dyDescent="0.25">
      <c r="A2260" t="s">
        <v>709</v>
      </c>
      <c r="B2260">
        <v>5</v>
      </c>
      <c r="C2260" t="b">
        <v>0</v>
      </c>
      <c r="D2260" t="s">
        <v>7228</v>
      </c>
      <c r="E2260" t="s">
        <v>7669</v>
      </c>
      <c r="F2260" t="s">
        <v>7746</v>
      </c>
      <c r="G2260" t="s">
        <v>7747</v>
      </c>
      <c r="H2260">
        <v>2259</v>
      </c>
      <c r="I2260" t="str">
        <f>IF(ISBLANK(Table1[[#This Row],[oid]]),"FALSE","TRUE")</f>
        <v>TRUE</v>
      </c>
      <c r="J2260" t="str" cm="1">
        <f t="array" ref="J2260">_xlfn.SWITCH(LEFT(Table1[[#This Row],[section]],1), "D", "Demographic", "S", "Social", "E", "Economic", "H", "Housing", "")</f>
        <v>Economic</v>
      </c>
      <c r="K2260" t="s">
        <v>7672</v>
      </c>
      <c r="L2260" t="s">
        <v>7673</v>
      </c>
      <c r="M2260" t="str">
        <f>IF(Table1[[#This Row],[used]], _xlfn.CONCAT("🆔 ", Table1[[#This Row],[variable]], ": ",Table1[[#This Row],[alias]]), "")</f>
        <v>🆔 B17010_014E: Income in the past 12 months below poverty level: Other family: Male householder no wife present: With related children under 18 years: 5 to 17 years only</v>
      </c>
      <c r="O2260" t="s">
        <v>7748</v>
      </c>
      <c r="P2260" t="s">
        <v>7674</v>
      </c>
      <c r="Q2260" t="s">
        <v>41</v>
      </c>
      <c r="R2260" t="s">
        <v>7749</v>
      </c>
      <c r="S2260" t="b">
        <v>1</v>
      </c>
      <c r="T2260" t="b">
        <v>1</v>
      </c>
      <c r="U2260" t="b">
        <v>1</v>
      </c>
      <c r="V2260" t="b">
        <v>1</v>
      </c>
      <c r="W2260" t="b">
        <v>1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0</v>
      </c>
    </row>
    <row r="2261" spans="1:33" x14ac:dyDescent="0.25">
      <c r="A2261" t="s">
        <v>755</v>
      </c>
      <c r="B2261">
        <v>4</v>
      </c>
      <c r="C2261" t="b">
        <v>0</v>
      </c>
      <c r="D2261" t="s">
        <v>7228</v>
      </c>
      <c r="E2261" t="s">
        <v>7669</v>
      </c>
      <c r="F2261" t="s">
        <v>7746</v>
      </c>
      <c r="G2261" t="s">
        <v>7750</v>
      </c>
      <c r="H2261">
        <v>2260</v>
      </c>
      <c r="I2261" t="str">
        <f>IF(ISBLANK(Table1[[#This Row],[oid]]),"FALSE","TRUE")</f>
        <v>TRUE</v>
      </c>
      <c r="J2261" t="str" cm="1">
        <f t="array" ref="J2261">_xlfn.SWITCH(LEFT(Table1[[#This Row],[section]],1), "D", "Demographic", "S", "Social", "E", "Economic", "H", "Housing", "")</f>
        <v>Economic</v>
      </c>
      <c r="K2261" t="s">
        <v>7672</v>
      </c>
      <c r="L2261" t="s">
        <v>7673</v>
      </c>
      <c r="M2261" t="str">
        <f>IF(Table1[[#This Row],[used]], _xlfn.CONCAT("🆔 ", Table1[[#This Row],[variable]], ": ",Table1[[#This Row],[alias]]), "")</f>
        <v>🆔 B17010_014E: Income in the past 12 months below poverty level: Other family: Male householder no wife present: With related children of the householder under 18 years: 5 to 17 years only</v>
      </c>
      <c r="O2261" t="s">
        <v>7751</v>
      </c>
      <c r="P2261" t="s">
        <v>7674</v>
      </c>
      <c r="Q2261" t="s">
        <v>41</v>
      </c>
      <c r="R2261" t="s">
        <v>7749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1</v>
      </c>
      <c r="Y2261" t="b">
        <v>1</v>
      </c>
      <c r="Z2261" t="b">
        <v>1</v>
      </c>
      <c r="AA2261" t="b">
        <v>1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</row>
    <row r="2262" spans="1:33" x14ac:dyDescent="0.25">
      <c r="A2262" t="s">
        <v>681</v>
      </c>
      <c r="B2262">
        <v>6</v>
      </c>
      <c r="C2262" t="b">
        <v>0</v>
      </c>
      <c r="D2262" t="s">
        <v>7228</v>
      </c>
      <c r="E2262" t="s">
        <v>7669</v>
      </c>
      <c r="F2262" t="s">
        <v>7746</v>
      </c>
      <c r="G2262" t="s">
        <v>7752</v>
      </c>
      <c r="H2262">
        <v>2261</v>
      </c>
      <c r="I2262" t="str">
        <f>IF(ISBLANK(Table1[[#This Row],[oid]]),"FALSE","TRUE")</f>
        <v>TRUE</v>
      </c>
      <c r="J2262" t="str" cm="1">
        <f t="array" ref="J2262">_xlfn.SWITCH(LEFT(Table1[[#This Row],[section]],1), "D", "Demographic", "S", "Social", "E", "Economic", "H", "Housing", "")</f>
        <v>Economic</v>
      </c>
      <c r="K2262" t="s">
        <v>7672</v>
      </c>
      <c r="L2262" t="s">
        <v>7673</v>
      </c>
      <c r="M2262" t="str">
        <f>IF(Table1[[#This Row],[used]], _xlfn.CONCAT("🆔 ", Table1[[#This Row],[variable]], ": ",Table1[[#This Row],[alias]]), "")</f>
        <v>🆔 B17010_014E: Income in the past 12 months below poverty level: Other family: Male householder no spouse present: With related children of the householder under 18 years: 5 to 17 years only</v>
      </c>
      <c r="O2262" t="s">
        <v>7753</v>
      </c>
      <c r="P2262" t="s">
        <v>7674</v>
      </c>
      <c r="Q2262" t="s">
        <v>41</v>
      </c>
      <c r="R2262" t="s">
        <v>7749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1</v>
      </c>
      <c r="AC2262" t="b">
        <v>1</v>
      </c>
      <c r="AD2262" t="b">
        <v>1</v>
      </c>
      <c r="AE2262" t="b">
        <v>1</v>
      </c>
      <c r="AF2262" t="b">
        <v>1</v>
      </c>
      <c r="AG2262" t="b">
        <v>1</v>
      </c>
    </row>
    <row r="2263" spans="1:33" x14ac:dyDescent="0.25">
      <c r="A2263" t="s">
        <v>709</v>
      </c>
      <c r="B2263">
        <v>5</v>
      </c>
      <c r="C2263" t="b">
        <v>0</v>
      </c>
      <c r="D2263" t="s">
        <v>7228</v>
      </c>
      <c r="E2263" t="s">
        <v>7669</v>
      </c>
      <c r="F2263" t="s">
        <v>7754</v>
      </c>
      <c r="G2263" t="s">
        <v>7755</v>
      </c>
      <c r="H2263">
        <v>2262</v>
      </c>
      <c r="I2263" t="str">
        <f>IF(ISBLANK(Table1[[#This Row],[oid]]),"FALSE","TRUE")</f>
        <v>TRUE</v>
      </c>
      <c r="J2263" t="str" cm="1">
        <f t="array" ref="J2263">_xlfn.SWITCH(LEFT(Table1[[#This Row],[section]],1), "D", "Demographic", "S", "Social", "E", "Economic", "H", "Housing", "")</f>
        <v>Economic</v>
      </c>
      <c r="K2263" t="s">
        <v>7672</v>
      </c>
      <c r="L2263" t="s">
        <v>7673</v>
      </c>
      <c r="M2263" t="str">
        <f>IF(Table1[[#This Row],[used]], _xlfn.CONCAT("🆔 ", Table1[[#This Row],[variable]], ": ",Table1[[#This Row],[alias]]), "")</f>
        <v>🆔 B17010_015E: Income in the past 12 months below poverty level: Other family: Male householder no wife present: No related children under 18 years</v>
      </c>
      <c r="O2263" t="s">
        <v>7756</v>
      </c>
      <c r="P2263" t="s">
        <v>7674</v>
      </c>
      <c r="Q2263" t="s">
        <v>41</v>
      </c>
      <c r="R2263" t="s">
        <v>7757</v>
      </c>
      <c r="S2263" t="b">
        <v>1</v>
      </c>
      <c r="T2263" t="b">
        <v>1</v>
      </c>
      <c r="U2263" t="b">
        <v>1</v>
      </c>
      <c r="V2263" t="b">
        <v>1</v>
      </c>
      <c r="W2263" t="b">
        <v>1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</row>
    <row r="2264" spans="1:33" x14ac:dyDescent="0.25">
      <c r="A2264" t="s">
        <v>755</v>
      </c>
      <c r="B2264">
        <v>4</v>
      </c>
      <c r="C2264" t="b">
        <v>0</v>
      </c>
      <c r="D2264" t="s">
        <v>7228</v>
      </c>
      <c r="E2264" t="s">
        <v>7669</v>
      </c>
      <c r="F2264" t="s">
        <v>7754</v>
      </c>
      <c r="G2264" t="s">
        <v>7758</v>
      </c>
      <c r="H2264">
        <v>2263</v>
      </c>
      <c r="I2264" t="str">
        <f>IF(ISBLANK(Table1[[#This Row],[oid]]),"FALSE","TRUE")</f>
        <v>TRUE</v>
      </c>
      <c r="J2264" t="str" cm="1">
        <f t="array" ref="J2264">_xlfn.SWITCH(LEFT(Table1[[#This Row],[section]],1), "D", "Demographic", "S", "Social", "E", "Economic", "H", "Housing", "")</f>
        <v>Economic</v>
      </c>
      <c r="K2264" t="s">
        <v>7672</v>
      </c>
      <c r="L2264" t="s">
        <v>7673</v>
      </c>
      <c r="M2264" t="str">
        <f>IF(Table1[[#This Row],[used]], _xlfn.CONCAT("🆔 ", Table1[[#This Row],[variable]], ": ",Table1[[#This Row],[alias]]), "")</f>
        <v>🆔 B17010_015E: Income in the past 12 months below poverty level: Other family: Male householder no wife present: No related children of the householder under 18 years</v>
      </c>
      <c r="O2264" t="s">
        <v>7759</v>
      </c>
      <c r="P2264" t="s">
        <v>7674</v>
      </c>
      <c r="Q2264" t="s">
        <v>41</v>
      </c>
      <c r="R2264" t="s">
        <v>7757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1</v>
      </c>
      <c r="Y2264" t="b">
        <v>1</v>
      </c>
      <c r="Z2264" t="b">
        <v>1</v>
      </c>
      <c r="AA2264" t="b">
        <v>1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</row>
    <row r="2265" spans="1:33" x14ac:dyDescent="0.25">
      <c r="A2265" t="s">
        <v>681</v>
      </c>
      <c r="B2265">
        <v>6</v>
      </c>
      <c r="C2265" t="b">
        <v>0</v>
      </c>
      <c r="D2265" t="s">
        <v>7228</v>
      </c>
      <c r="E2265" t="s">
        <v>7669</v>
      </c>
      <c r="F2265" t="s">
        <v>7754</v>
      </c>
      <c r="G2265" t="s">
        <v>7760</v>
      </c>
      <c r="H2265">
        <v>2264</v>
      </c>
      <c r="I2265" t="str">
        <f>IF(ISBLANK(Table1[[#This Row],[oid]]),"FALSE","TRUE")</f>
        <v>TRUE</v>
      </c>
      <c r="J2265" t="str" cm="1">
        <f t="array" ref="J2265">_xlfn.SWITCH(LEFT(Table1[[#This Row],[section]],1), "D", "Demographic", "S", "Social", "E", "Economic", "H", "Housing", "")</f>
        <v>Economic</v>
      </c>
      <c r="K2265" t="s">
        <v>7672</v>
      </c>
      <c r="L2265" t="s">
        <v>7673</v>
      </c>
      <c r="M2265" t="str">
        <f>IF(Table1[[#This Row],[used]], _xlfn.CONCAT("🆔 ", Table1[[#This Row],[variable]], ": ",Table1[[#This Row],[alias]]), "")</f>
        <v>🆔 B17010_015E: Income in the past 12 months below poverty level: Other family: Male householder no spouse present: No related children of the householder under 18 years</v>
      </c>
      <c r="O2265" t="s">
        <v>7761</v>
      </c>
      <c r="P2265" t="s">
        <v>7674</v>
      </c>
      <c r="Q2265" t="s">
        <v>41</v>
      </c>
      <c r="R2265" t="s">
        <v>7757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1</v>
      </c>
      <c r="AC2265" t="b">
        <v>1</v>
      </c>
      <c r="AD2265" t="b">
        <v>1</v>
      </c>
      <c r="AE2265" t="b">
        <v>1</v>
      </c>
      <c r="AF2265" t="b">
        <v>1</v>
      </c>
      <c r="AG2265" t="b">
        <v>1</v>
      </c>
    </row>
    <row r="2266" spans="1:33" x14ac:dyDescent="0.25">
      <c r="A2266" t="s">
        <v>676</v>
      </c>
      <c r="B2266">
        <v>9</v>
      </c>
      <c r="C2266" t="b">
        <v>0</v>
      </c>
      <c r="D2266" t="s">
        <v>7228</v>
      </c>
      <c r="E2266" t="s">
        <v>7669</v>
      </c>
      <c r="F2266" t="s">
        <v>7762</v>
      </c>
      <c r="G2266" t="s">
        <v>7763</v>
      </c>
      <c r="H2266">
        <v>2265</v>
      </c>
      <c r="I2266" t="str">
        <f>IF(ISBLANK(Table1[[#This Row],[oid]]),"FALSE","TRUE")</f>
        <v>TRUE</v>
      </c>
      <c r="J2266" t="str" cm="1">
        <f t="array" ref="J2266">_xlfn.SWITCH(LEFT(Table1[[#This Row],[section]],1), "D", "Demographic", "S", "Social", "E", "Economic", "H", "Housing", "")</f>
        <v>Economic</v>
      </c>
      <c r="K2266" t="s">
        <v>7672</v>
      </c>
      <c r="L2266" t="s">
        <v>7673</v>
      </c>
      <c r="M2266" t="str">
        <f>IF(Table1[[#This Row],[used]], _xlfn.CONCAT("🆔 ", Table1[[#This Row],[variable]], ": ",Table1[[#This Row],[alias]]), "")</f>
        <v>🆔 B17010_016E: Income in the past 12 months below poverty level: Other family: Female householder no husband present</v>
      </c>
      <c r="O2266" t="s">
        <v>7764</v>
      </c>
      <c r="P2266" t="s">
        <v>7674</v>
      </c>
      <c r="Q2266" t="s">
        <v>41</v>
      </c>
      <c r="R2266" t="s">
        <v>7765</v>
      </c>
      <c r="S2266" t="b">
        <v>1</v>
      </c>
      <c r="T2266" t="b">
        <v>1</v>
      </c>
      <c r="U2266" t="b">
        <v>1</v>
      </c>
      <c r="V2266" t="b">
        <v>1</v>
      </c>
      <c r="W2266" t="b">
        <v>1</v>
      </c>
      <c r="X2266" t="b">
        <v>1</v>
      </c>
      <c r="Y2266" t="b">
        <v>1</v>
      </c>
      <c r="Z2266" t="b">
        <v>1</v>
      </c>
      <c r="AA2266" t="b">
        <v>1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</row>
    <row r="2267" spans="1:33" x14ac:dyDescent="0.25">
      <c r="A2267" t="s">
        <v>681</v>
      </c>
      <c r="B2267">
        <v>6</v>
      </c>
      <c r="C2267" t="b">
        <v>0</v>
      </c>
      <c r="D2267" t="s">
        <v>7228</v>
      </c>
      <c r="E2267" t="s">
        <v>7669</v>
      </c>
      <c r="F2267" t="s">
        <v>7762</v>
      </c>
      <c r="G2267" t="s">
        <v>7766</v>
      </c>
      <c r="H2267">
        <v>2266</v>
      </c>
      <c r="I2267" t="str">
        <f>IF(ISBLANK(Table1[[#This Row],[oid]]),"FALSE","TRUE")</f>
        <v>TRUE</v>
      </c>
      <c r="J2267" t="str" cm="1">
        <f t="array" ref="J2267">_xlfn.SWITCH(LEFT(Table1[[#This Row],[section]],1), "D", "Demographic", "S", "Social", "E", "Economic", "H", "Housing", "")</f>
        <v>Economic</v>
      </c>
      <c r="K2267" t="s">
        <v>7672</v>
      </c>
      <c r="L2267" t="s">
        <v>7673</v>
      </c>
      <c r="M2267" t="str">
        <f>IF(Table1[[#This Row],[used]], _xlfn.CONCAT("🆔 ", Table1[[#This Row],[variable]], ": ",Table1[[#This Row],[alias]]), "")</f>
        <v>🆔 B17010_016E: Income in the past 12 months below poverty level: Other family: Female householder no spouse present</v>
      </c>
      <c r="O2267" t="s">
        <v>7767</v>
      </c>
      <c r="P2267" t="s">
        <v>7674</v>
      </c>
      <c r="Q2267" t="s">
        <v>41</v>
      </c>
      <c r="R2267" t="s">
        <v>7765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1</v>
      </c>
      <c r="AC2267" t="b">
        <v>1</v>
      </c>
      <c r="AD2267" t="b">
        <v>1</v>
      </c>
      <c r="AE2267" t="b">
        <v>1</v>
      </c>
      <c r="AF2267" t="b">
        <v>1</v>
      </c>
      <c r="AG2267" t="b">
        <v>1</v>
      </c>
    </row>
    <row r="2268" spans="1:33" x14ac:dyDescent="0.25">
      <c r="A2268" t="s">
        <v>709</v>
      </c>
      <c r="B2268">
        <v>5</v>
      </c>
      <c r="C2268" t="b">
        <v>0</v>
      </c>
      <c r="D2268" t="s">
        <v>7228</v>
      </c>
      <c r="E2268" t="s">
        <v>7669</v>
      </c>
      <c r="F2268" t="s">
        <v>7768</v>
      </c>
      <c r="G2268" t="s">
        <v>7769</v>
      </c>
      <c r="H2268">
        <v>2267</v>
      </c>
      <c r="I2268" t="str">
        <f>IF(ISBLANK(Table1[[#This Row],[oid]]),"FALSE","TRUE")</f>
        <v>TRUE</v>
      </c>
      <c r="J2268" t="str" cm="1">
        <f t="array" ref="J2268">_xlfn.SWITCH(LEFT(Table1[[#This Row],[section]],1), "D", "Demographic", "S", "Social", "E", "Economic", "H", "Housing", "")</f>
        <v>Economic</v>
      </c>
      <c r="K2268" t="s">
        <v>7672</v>
      </c>
      <c r="L2268" t="s">
        <v>7673</v>
      </c>
      <c r="M2268" t="str">
        <f>IF(Table1[[#This Row],[used]], _xlfn.CONCAT("🆔 ", Table1[[#This Row],[variable]], ": ",Table1[[#This Row],[alias]]), "")</f>
        <v>🆔 B17010_017E: Income in the past 12 months below poverty level: Other family: Female householder no husband present: With related children under 18 years</v>
      </c>
      <c r="O2268" t="s">
        <v>7770</v>
      </c>
      <c r="P2268" t="s">
        <v>7674</v>
      </c>
      <c r="Q2268" t="s">
        <v>41</v>
      </c>
      <c r="R2268" t="s">
        <v>7771</v>
      </c>
      <c r="S2268" t="b">
        <v>1</v>
      </c>
      <c r="T2268" t="b">
        <v>1</v>
      </c>
      <c r="U2268" t="b">
        <v>1</v>
      </c>
      <c r="V2268" t="b">
        <v>1</v>
      </c>
      <c r="W2268" t="b">
        <v>1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</row>
    <row r="2269" spans="1:33" x14ac:dyDescent="0.25">
      <c r="A2269" t="s">
        <v>755</v>
      </c>
      <c r="B2269">
        <v>4</v>
      </c>
      <c r="C2269" t="b">
        <v>0</v>
      </c>
      <c r="D2269" t="s">
        <v>7228</v>
      </c>
      <c r="E2269" t="s">
        <v>7669</v>
      </c>
      <c r="F2269" t="s">
        <v>7768</v>
      </c>
      <c r="G2269" t="s">
        <v>7772</v>
      </c>
      <c r="H2269">
        <v>2268</v>
      </c>
      <c r="I2269" t="str">
        <f>IF(ISBLANK(Table1[[#This Row],[oid]]),"FALSE","TRUE")</f>
        <v>TRUE</v>
      </c>
      <c r="J2269" t="str" cm="1">
        <f t="array" ref="J2269">_xlfn.SWITCH(LEFT(Table1[[#This Row],[section]],1), "D", "Demographic", "S", "Social", "E", "Economic", "H", "Housing", "")</f>
        <v>Economic</v>
      </c>
      <c r="K2269" t="s">
        <v>7672</v>
      </c>
      <c r="L2269" t="s">
        <v>7673</v>
      </c>
      <c r="M2269" t="str">
        <f>IF(Table1[[#This Row],[used]], _xlfn.CONCAT("🆔 ", Table1[[#This Row],[variable]], ": ",Table1[[#This Row],[alias]]), "")</f>
        <v>🆔 B17010_017E: Income in the past 12 months below poverty level: Other family: Female householder no husband present: With related children of the householder under 18 years</v>
      </c>
      <c r="O2269" t="s">
        <v>7773</v>
      </c>
      <c r="P2269" t="s">
        <v>7674</v>
      </c>
      <c r="Q2269" t="s">
        <v>41</v>
      </c>
      <c r="R2269" t="s">
        <v>7771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1</v>
      </c>
      <c r="Y2269" t="b">
        <v>1</v>
      </c>
      <c r="Z2269" t="b">
        <v>1</v>
      </c>
      <c r="AA2269" t="b">
        <v>1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</row>
    <row r="2270" spans="1:33" x14ac:dyDescent="0.25">
      <c r="A2270" t="s">
        <v>681</v>
      </c>
      <c r="B2270">
        <v>6</v>
      </c>
      <c r="C2270" t="b">
        <v>0</v>
      </c>
      <c r="D2270" t="s">
        <v>7228</v>
      </c>
      <c r="E2270" t="s">
        <v>7669</v>
      </c>
      <c r="F2270" t="s">
        <v>7768</v>
      </c>
      <c r="G2270" t="s">
        <v>7774</v>
      </c>
      <c r="H2270">
        <v>2269</v>
      </c>
      <c r="I2270" t="str">
        <f>IF(ISBLANK(Table1[[#This Row],[oid]]),"FALSE","TRUE")</f>
        <v>TRUE</v>
      </c>
      <c r="J2270" t="str" cm="1">
        <f t="array" ref="J2270">_xlfn.SWITCH(LEFT(Table1[[#This Row],[section]],1), "D", "Demographic", "S", "Social", "E", "Economic", "H", "Housing", "")</f>
        <v>Economic</v>
      </c>
      <c r="K2270" t="s">
        <v>7672</v>
      </c>
      <c r="L2270" t="s">
        <v>7673</v>
      </c>
      <c r="M2270" t="str">
        <f>IF(Table1[[#This Row],[used]], _xlfn.CONCAT("🆔 ", Table1[[#This Row],[variable]], ": ",Table1[[#This Row],[alias]]), "")</f>
        <v>🆔 B17010_017E: Income in the past 12 months below poverty level: Other family: Female householder no spouse present: With related children of the householder under 18 years</v>
      </c>
      <c r="O2270" t="s">
        <v>7775</v>
      </c>
      <c r="P2270" t="s">
        <v>7674</v>
      </c>
      <c r="Q2270" t="s">
        <v>41</v>
      </c>
      <c r="R2270" t="s">
        <v>7771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1</v>
      </c>
      <c r="AC2270" t="b">
        <v>1</v>
      </c>
      <c r="AD2270" t="b">
        <v>1</v>
      </c>
      <c r="AE2270" t="b">
        <v>1</v>
      </c>
      <c r="AF2270" t="b">
        <v>1</v>
      </c>
      <c r="AG2270" t="b">
        <v>1</v>
      </c>
    </row>
    <row r="2271" spans="1:33" x14ac:dyDescent="0.25">
      <c r="A2271" t="s">
        <v>709</v>
      </c>
      <c r="B2271">
        <v>5</v>
      </c>
      <c r="C2271" t="b">
        <v>0</v>
      </c>
      <c r="D2271" t="s">
        <v>7228</v>
      </c>
      <c r="E2271" t="s">
        <v>7669</v>
      </c>
      <c r="F2271" t="s">
        <v>7776</v>
      </c>
      <c r="G2271" t="s">
        <v>7777</v>
      </c>
      <c r="H2271">
        <v>2270</v>
      </c>
      <c r="I2271" t="str">
        <f>IF(ISBLANK(Table1[[#This Row],[oid]]),"FALSE","TRUE")</f>
        <v>TRUE</v>
      </c>
      <c r="J2271" t="str" cm="1">
        <f t="array" ref="J2271">_xlfn.SWITCH(LEFT(Table1[[#This Row],[section]],1), "D", "Demographic", "S", "Social", "E", "Economic", "H", "Housing", "")</f>
        <v>Economic</v>
      </c>
      <c r="K2271" t="s">
        <v>7672</v>
      </c>
      <c r="L2271" t="s">
        <v>7673</v>
      </c>
      <c r="M2271" t="str">
        <f>IF(Table1[[#This Row],[used]], _xlfn.CONCAT("🆔 ", Table1[[#This Row],[variable]], ": ",Table1[[#This Row],[alias]]), "")</f>
        <v>🆔 B17010_018E: Income in the past 12 months below poverty level: Other family: Female householder no husband present: With related children under 18 years: Under 5 years only</v>
      </c>
      <c r="O2271" t="s">
        <v>7778</v>
      </c>
      <c r="P2271" t="s">
        <v>7674</v>
      </c>
      <c r="Q2271" t="s">
        <v>41</v>
      </c>
      <c r="R2271" t="s">
        <v>7779</v>
      </c>
      <c r="S2271" t="b">
        <v>1</v>
      </c>
      <c r="T2271" t="b">
        <v>1</v>
      </c>
      <c r="U2271" t="b">
        <v>1</v>
      </c>
      <c r="V2271" t="b">
        <v>1</v>
      </c>
      <c r="W2271" t="b">
        <v>1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</row>
    <row r="2272" spans="1:33" x14ac:dyDescent="0.25">
      <c r="A2272" t="s">
        <v>755</v>
      </c>
      <c r="B2272">
        <v>4</v>
      </c>
      <c r="C2272" t="b">
        <v>0</v>
      </c>
      <c r="D2272" t="s">
        <v>7228</v>
      </c>
      <c r="E2272" t="s">
        <v>7669</v>
      </c>
      <c r="F2272" t="s">
        <v>7776</v>
      </c>
      <c r="G2272" t="s">
        <v>7780</v>
      </c>
      <c r="H2272">
        <v>2271</v>
      </c>
      <c r="I2272" t="str">
        <f>IF(ISBLANK(Table1[[#This Row],[oid]]),"FALSE","TRUE")</f>
        <v>TRUE</v>
      </c>
      <c r="J2272" t="str" cm="1">
        <f t="array" ref="J2272">_xlfn.SWITCH(LEFT(Table1[[#This Row],[section]],1), "D", "Demographic", "S", "Social", "E", "Economic", "H", "Housing", "")</f>
        <v>Economic</v>
      </c>
      <c r="K2272" t="s">
        <v>7672</v>
      </c>
      <c r="L2272" t="s">
        <v>7673</v>
      </c>
      <c r="M2272" t="str">
        <f>IF(Table1[[#This Row],[used]], _xlfn.CONCAT("🆔 ", Table1[[#This Row],[variable]], ": ",Table1[[#This Row],[alias]]), "")</f>
        <v>🆔 B17010_018E: Income in the past 12 months below poverty level: Other family: Female householder no husband present: With related children of the householder under 18 years: Under 5 years only</v>
      </c>
      <c r="O2272" t="s">
        <v>7781</v>
      </c>
      <c r="P2272" t="s">
        <v>7674</v>
      </c>
      <c r="Q2272" t="s">
        <v>41</v>
      </c>
      <c r="R2272" t="s">
        <v>7779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1</v>
      </c>
      <c r="Y2272" t="b">
        <v>1</v>
      </c>
      <c r="Z2272" t="b">
        <v>1</v>
      </c>
      <c r="AA2272" t="b">
        <v>1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</row>
    <row r="2273" spans="1:33" x14ac:dyDescent="0.25">
      <c r="A2273" t="s">
        <v>681</v>
      </c>
      <c r="B2273">
        <v>6</v>
      </c>
      <c r="C2273" t="b">
        <v>0</v>
      </c>
      <c r="D2273" t="s">
        <v>7228</v>
      </c>
      <c r="E2273" t="s">
        <v>7669</v>
      </c>
      <c r="F2273" t="s">
        <v>7776</v>
      </c>
      <c r="G2273" t="s">
        <v>7782</v>
      </c>
      <c r="H2273">
        <v>2272</v>
      </c>
      <c r="I2273" t="str">
        <f>IF(ISBLANK(Table1[[#This Row],[oid]]),"FALSE","TRUE")</f>
        <v>TRUE</v>
      </c>
      <c r="J2273" t="str" cm="1">
        <f t="array" ref="J2273">_xlfn.SWITCH(LEFT(Table1[[#This Row],[section]],1), "D", "Demographic", "S", "Social", "E", "Economic", "H", "Housing", "")</f>
        <v>Economic</v>
      </c>
      <c r="K2273" t="s">
        <v>7672</v>
      </c>
      <c r="L2273" t="s">
        <v>7673</v>
      </c>
      <c r="M2273" t="str">
        <f>IF(Table1[[#This Row],[used]], _xlfn.CONCAT("🆔 ", Table1[[#This Row],[variable]], ": ",Table1[[#This Row],[alias]]), "")</f>
        <v>🆔 B17010_018E: Income in the past 12 months below poverty level: Other family: Female householder no spouse present: With related children of the householder under 18 years: Under 5 years only</v>
      </c>
      <c r="O2273" t="s">
        <v>7783</v>
      </c>
      <c r="P2273" t="s">
        <v>7674</v>
      </c>
      <c r="Q2273" t="s">
        <v>41</v>
      </c>
      <c r="R2273" t="s">
        <v>7779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1</v>
      </c>
      <c r="AC2273" t="b">
        <v>1</v>
      </c>
      <c r="AD2273" t="b">
        <v>1</v>
      </c>
      <c r="AE2273" t="b">
        <v>1</v>
      </c>
      <c r="AF2273" t="b">
        <v>1</v>
      </c>
      <c r="AG2273" t="b">
        <v>1</v>
      </c>
    </row>
    <row r="2274" spans="1:33" x14ac:dyDescent="0.25">
      <c r="A2274" t="s">
        <v>709</v>
      </c>
      <c r="B2274">
        <v>5</v>
      </c>
      <c r="C2274" t="b">
        <v>0</v>
      </c>
      <c r="D2274" t="s">
        <v>7228</v>
      </c>
      <c r="E2274" t="s">
        <v>7669</v>
      </c>
      <c r="F2274" t="s">
        <v>7784</v>
      </c>
      <c r="G2274" t="s">
        <v>7785</v>
      </c>
      <c r="H2274">
        <v>2273</v>
      </c>
      <c r="I2274" t="str">
        <f>IF(ISBLANK(Table1[[#This Row],[oid]]),"FALSE","TRUE")</f>
        <v>TRUE</v>
      </c>
      <c r="J2274" t="str" cm="1">
        <f t="array" ref="J2274">_xlfn.SWITCH(LEFT(Table1[[#This Row],[section]],1), "D", "Demographic", "S", "Social", "E", "Economic", "H", "Housing", "")</f>
        <v>Economic</v>
      </c>
      <c r="K2274" t="s">
        <v>7672</v>
      </c>
      <c r="L2274" t="s">
        <v>7673</v>
      </c>
      <c r="M2274" t="str">
        <f>IF(Table1[[#This Row],[used]], _xlfn.CONCAT("🆔 ", Table1[[#This Row],[variable]], ": ",Table1[[#This Row],[alias]]), "")</f>
        <v>🆔 B17010_019E: Income in the past 12 months below poverty level: Other family: Female householder no husband present: With related children under 18 years: Under 5 years and 5 to 17 years</v>
      </c>
      <c r="O2274" t="s">
        <v>7786</v>
      </c>
      <c r="P2274" t="s">
        <v>7674</v>
      </c>
      <c r="Q2274" t="s">
        <v>41</v>
      </c>
      <c r="R2274" t="s">
        <v>7787</v>
      </c>
      <c r="S2274" t="b">
        <v>1</v>
      </c>
      <c r="T2274" t="b">
        <v>1</v>
      </c>
      <c r="U2274" t="b">
        <v>1</v>
      </c>
      <c r="V2274" t="b">
        <v>1</v>
      </c>
      <c r="W2274" t="b">
        <v>1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</row>
    <row r="2275" spans="1:33" x14ac:dyDescent="0.25">
      <c r="A2275" t="s">
        <v>755</v>
      </c>
      <c r="B2275">
        <v>4</v>
      </c>
      <c r="C2275" t="b">
        <v>0</v>
      </c>
      <c r="D2275" t="s">
        <v>7228</v>
      </c>
      <c r="E2275" t="s">
        <v>7669</v>
      </c>
      <c r="F2275" t="s">
        <v>7784</v>
      </c>
      <c r="G2275" t="s">
        <v>7788</v>
      </c>
      <c r="H2275">
        <v>2274</v>
      </c>
      <c r="I2275" t="str">
        <f>IF(ISBLANK(Table1[[#This Row],[oid]]),"FALSE","TRUE")</f>
        <v>TRUE</v>
      </c>
      <c r="J2275" t="str" cm="1">
        <f t="array" ref="J2275">_xlfn.SWITCH(LEFT(Table1[[#This Row],[section]],1), "D", "Demographic", "S", "Social", "E", "Economic", "H", "Housing", "")</f>
        <v>Economic</v>
      </c>
      <c r="K2275" t="s">
        <v>7672</v>
      </c>
      <c r="L2275" t="s">
        <v>7673</v>
      </c>
      <c r="M2275" t="str">
        <f>IF(Table1[[#This Row],[used]], _xlfn.CONCAT("🆔 ", Table1[[#This Row],[variable]], ": ",Table1[[#This Row],[alias]]), "")</f>
        <v>🆔 B17010_019E: Income in the past 12 months below poverty level: Other family: Female householder no husband present: With related children of the householder under 18 years: Under 5 years and 5 to 17 years</v>
      </c>
      <c r="O2275" t="s">
        <v>7789</v>
      </c>
      <c r="P2275" t="s">
        <v>7674</v>
      </c>
      <c r="Q2275" t="s">
        <v>41</v>
      </c>
      <c r="R2275" t="s">
        <v>7787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1</v>
      </c>
      <c r="Y2275" t="b">
        <v>1</v>
      </c>
      <c r="Z2275" t="b">
        <v>1</v>
      </c>
      <c r="AA2275" t="b">
        <v>1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</row>
    <row r="2276" spans="1:33" x14ac:dyDescent="0.25">
      <c r="A2276" t="s">
        <v>681</v>
      </c>
      <c r="B2276">
        <v>6</v>
      </c>
      <c r="C2276" t="b">
        <v>0</v>
      </c>
      <c r="D2276" t="s">
        <v>7228</v>
      </c>
      <c r="E2276" t="s">
        <v>7669</v>
      </c>
      <c r="F2276" t="s">
        <v>7784</v>
      </c>
      <c r="G2276" t="s">
        <v>7790</v>
      </c>
      <c r="H2276">
        <v>2275</v>
      </c>
      <c r="I2276" t="str">
        <f>IF(ISBLANK(Table1[[#This Row],[oid]]),"FALSE","TRUE")</f>
        <v>TRUE</v>
      </c>
      <c r="J2276" t="str" cm="1">
        <f t="array" ref="J2276">_xlfn.SWITCH(LEFT(Table1[[#This Row],[section]],1), "D", "Demographic", "S", "Social", "E", "Economic", "H", "Housing", "")</f>
        <v>Economic</v>
      </c>
      <c r="K2276" t="s">
        <v>7672</v>
      </c>
      <c r="L2276" t="s">
        <v>7673</v>
      </c>
      <c r="M2276" t="str">
        <f>IF(Table1[[#This Row],[used]], _xlfn.CONCAT("🆔 ", Table1[[#This Row],[variable]], ": ",Table1[[#This Row],[alias]]), "")</f>
        <v>🆔 B17010_019E: Income in the past 12 months below poverty level: Other family: Female householder no spouse present: With related children of the householder under 18 years: Under 5 years and 5 to 17 years</v>
      </c>
      <c r="O2276" t="s">
        <v>7791</v>
      </c>
      <c r="P2276" t="s">
        <v>7674</v>
      </c>
      <c r="Q2276" t="s">
        <v>41</v>
      </c>
      <c r="R2276" t="s">
        <v>7787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1</v>
      </c>
      <c r="AC2276" t="b">
        <v>1</v>
      </c>
      <c r="AD2276" t="b">
        <v>1</v>
      </c>
      <c r="AE2276" t="b">
        <v>1</v>
      </c>
      <c r="AF2276" t="b">
        <v>1</v>
      </c>
      <c r="AG2276" t="b">
        <v>1</v>
      </c>
    </row>
    <row r="2277" spans="1:33" x14ac:dyDescent="0.25">
      <c r="A2277" t="s">
        <v>709</v>
      </c>
      <c r="B2277">
        <v>5</v>
      </c>
      <c r="C2277" t="b">
        <v>0</v>
      </c>
      <c r="D2277" t="s">
        <v>7228</v>
      </c>
      <c r="E2277" t="s">
        <v>7669</v>
      </c>
      <c r="F2277" t="s">
        <v>7792</v>
      </c>
      <c r="G2277" t="s">
        <v>7793</v>
      </c>
      <c r="H2277">
        <v>2276</v>
      </c>
      <c r="I2277" t="str">
        <f>IF(ISBLANK(Table1[[#This Row],[oid]]),"FALSE","TRUE")</f>
        <v>TRUE</v>
      </c>
      <c r="J2277" t="str" cm="1">
        <f t="array" ref="J2277">_xlfn.SWITCH(LEFT(Table1[[#This Row],[section]],1), "D", "Demographic", "S", "Social", "E", "Economic", "H", "Housing", "")</f>
        <v>Economic</v>
      </c>
      <c r="K2277" t="s">
        <v>7672</v>
      </c>
      <c r="L2277" t="s">
        <v>7673</v>
      </c>
      <c r="M2277" t="str">
        <f>IF(Table1[[#This Row],[used]], _xlfn.CONCAT("🆔 ", Table1[[#This Row],[variable]], ": ",Table1[[#This Row],[alias]]), "")</f>
        <v>🆔 B17010_020E: Income in the past 12 months below poverty level: Other family: Female householder no husband present: With related children under 18 years: 5 to 17 years only</v>
      </c>
      <c r="O2277" t="s">
        <v>7794</v>
      </c>
      <c r="P2277" t="s">
        <v>7674</v>
      </c>
      <c r="Q2277" t="s">
        <v>41</v>
      </c>
      <c r="R2277" t="s">
        <v>7795</v>
      </c>
      <c r="S2277" t="b">
        <v>1</v>
      </c>
      <c r="T2277" t="b">
        <v>1</v>
      </c>
      <c r="U2277" t="b">
        <v>1</v>
      </c>
      <c r="V2277" t="b">
        <v>1</v>
      </c>
      <c r="W2277" t="b">
        <v>1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</row>
    <row r="2278" spans="1:33" x14ac:dyDescent="0.25">
      <c r="A2278" t="s">
        <v>755</v>
      </c>
      <c r="B2278">
        <v>4</v>
      </c>
      <c r="C2278" t="b">
        <v>0</v>
      </c>
      <c r="D2278" t="s">
        <v>7228</v>
      </c>
      <c r="E2278" t="s">
        <v>7669</v>
      </c>
      <c r="F2278" t="s">
        <v>7792</v>
      </c>
      <c r="G2278" t="s">
        <v>7796</v>
      </c>
      <c r="H2278">
        <v>2277</v>
      </c>
      <c r="I2278" t="str">
        <f>IF(ISBLANK(Table1[[#This Row],[oid]]),"FALSE","TRUE")</f>
        <v>TRUE</v>
      </c>
      <c r="J2278" t="str" cm="1">
        <f t="array" ref="J2278">_xlfn.SWITCH(LEFT(Table1[[#This Row],[section]],1), "D", "Demographic", "S", "Social", "E", "Economic", "H", "Housing", "")</f>
        <v>Economic</v>
      </c>
      <c r="K2278" t="s">
        <v>7672</v>
      </c>
      <c r="L2278" t="s">
        <v>7673</v>
      </c>
      <c r="M2278" t="str">
        <f>IF(Table1[[#This Row],[used]], _xlfn.CONCAT("🆔 ", Table1[[#This Row],[variable]], ": ",Table1[[#This Row],[alias]]), "")</f>
        <v>🆔 B17010_020E: Income in the past 12 months below poverty level: Other family: Female householder no husband present: With related children of the householder under 18 years: 5 to 17 years only</v>
      </c>
      <c r="O2278" t="s">
        <v>7797</v>
      </c>
      <c r="P2278" t="s">
        <v>7674</v>
      </c>
      <c r="Q2278" t="s">
        <v>41</v>
      </c>
      <c r="R2278" t="s">
        <v>7795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1</v>
      </c>
      <c r="Y2278" t="b">
        <v>1</v>
      </c>
      <c r="Z2278" t="b">
        <v>1</v>
      </c>
      <c r="AA2278" t="b">
        <v>1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</row>
    <row r="2279" spans="1:33" x14ac:dyDescent="0.25">
      <c r="A2279" t="s">
        <v>681</v>
      </c>
      <c r="B2279">
        <v>6</v>
      </c>
      <c r="C2279" t="b">
        <v>0</v>
      </c>
      <c r="D2279" t="s">
        <v>7228</v>
      </c>
      <c r="E2279" t="s">
        <v>7669</v>
      </c>
      <c r="F2279" t="s">
        <v>7792</v>
      </c>
      <c r="G2279" t="s">
        <v>7798</v>
      </c>
      <c r="H2279">
        <v>2278</v>
      </c>
      <c r="I2279" t="str">
        <f>IF(ISBLANK(Table1[[#This Row],[oid]]),"FALSE","TRUE")</f>
        <v>TRUE</v>
      </c>
      <c r="J2279" t="str" cm="1">
        <f t="array" ref="J2279">_xlfn.SWITCH(LEFT(Table1[[#This Row],[section]],1), "D", "Demographic", "S", "Social", "E", "Economic", "H", "Housing", "")</f>
        <v>Economic</v>
      </c>
      <c r="K2279" t="s">
        <v>7672</v>
      </c>
      <c r="L2279" t="s">
        <v>7673</v>
      </c>
      <c r="M2279" t="str">
        <f>IF(Table1[[#This Row],[used]], _xlfn.CONCAT("🆔 ", Table1[[#This Row],[variable]], ": ",Table1[[#This Row],[alias]]), "")</f>
        <v>🆔 B17010_020E: Income in the past 12 months below poverty level: Other family: Female householder no spouse present: With related children of the householder under 18 years: 5 to 17 years only</v>
      </c>
      <c r="O2279" t="s">
        <v>7799</v>
      </c>
      <c r="P2279" t="s">
        <v>7674</v>
      </c>
      <c r="Q2279" t="s">
        <v>41</v>
      </c>
      <c r="R2279" t="s">
        <v>7795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b">
        <v>1</v>
      </c>
      <c r="AC2279" t="b">
        <v>1</v>
      </c>
      <c r="AD2279" t="b">
        <v>1</v>
      </c>
      <c r="AE2279" t="b">
        <v>1</v>
      </c>
      <c r="AF2279" t="b">
        <v>1</v>
      </c>
      <c r="AG2279" t="b">
        <v>1</v>
      </c>
    </row>
    <row r="2280" spans="1:33" x14ac:dyDescent="0.25">
      <c r="A2280" t="s">
        <v>709</v>
      </c>
      <c r="B2280">
        <v>5</v>
      </c>
      <c r="C2280" t="b">
        <v>0</v>
      </c>
      <c r="D2280" t="s">
        <v>7228</v>
      </c>
      <c r="E2280" t="s">
        <v>7669</v>
      </c>
      <c r="F2280" t="s">
        <v>7800</v>
      </c>
      <c r="G2280" t="s">
        <v>7801</v>
      </c>
      <c r="H2280">
        <v>2279</v>
      </c>
      <c r="I2280" t="str">
        <f>IF(ISBLANK(Table1[[#This Row],[oid]]),"FALSE","TRUE")</f>
        <v>TRUE</v>
      </c>
      <c r="J2280" t="str" cm="1">
        <f t="array" ref="J2280">_xlfn.SWITCH(LEFT(Table1[[#This Row],[section]],1), "D", "Demographic", "S", "Social", "E", "Economic", "H", "Housing", "")</f>
        <v>Economic</v>
      </c>
      <c r="K2280" t="s">
        <v>7672</v>
      </c>
      <c r="L2280" t="s">
        <v>7673</v>
      </c>
      <c r="M2280" t="str">
        <f>IF(Table1[[#This Row],[used]], _xlfn.CONCAT("🆔 ", Table1[[#This Row],[variable]], ": ",Table1[[#This Row],[alias]]), "")</f>
        <v>🆔 B17010_021E: Income in the past 12 months below poverty level: Other family: Female householder no husband present: No related children under 18 years</v>
      </c>
      <c r="O2280" t="s">
        <v>7802</v>
      </c>
      <c r="P2280" t="s">
        <v>7674</v>
      </c>
      <c r="Q2280" t="s">
        <v>41</v>
      </c>
      <c r="R2280" t="s">
        <v>7803</v>
      </c>
      <c r="S2280" t="b">
        <v>1</v>
      </c>
      <c r="T2280" t="b">
        <v>1</v>
      </c>
      <c r="U2280" t="b">
        <v>1</v>
      </c>
      <c r="V2280" t="b">
        <v>1</v>
      </c>
      <c r="W2280" t="b">
        <v>1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0</v>
      </c>
      <c r="AG2280" t="b">
        <v>0</v>
      </c>
    </row>
    <row r="2281" spans="1:33" x14ac:dyDescent="0.25">
      <c r="A2281" t="s">
        <v>755</v>
      </c>
      <c r="B2281">
        <v>4</v>
      </c>
      <c r="C2281" t="b">
        <v>0</v>
      </c>
      <c r="D2281" t="s">
        <v>7228</v>
      </c>
      <c r="E2281" t="s">
        <v>7669</v>
      </c>
      <c r="F2281" t="s">
        <v>7800</v>
      </c>
      <c r="G2281" t="s">
        <v>7804</v>
      </c>
      <c r="H2281">
        <v>2280</v>
      </c>
      <c r="I2281" t="str">
        <f>IF(ISBLANK(Table1[[#This Row],[oid]]),"FALSE","TRUE")</f>
        <v>TRUE</v>
      </c>
      <c r="J2281" t="str" cm="1">
        <f t="array" ref="J2281">_xlfn.SWITCH(LEFT(Table1[[#This Row],[section]],1), "D", "Demographic", "S", "Social", "E", "Economic", "H", "Housing", "")</f>
        <v>Economic</v>
      </c>
      <c r="K2281" t="s">
        <v>7672</v>
      </c>
      <c r="L2281" t="s">
        <v>7673</v>
      </c>
      <c r="M2281" t="str">
        <f>IF(Table1[[#This Row],[used]], _xlfn.CONCAT("🆔 ", Table1[[#This Row],[variable]], ": ",Table1[[#This Row],[alias]]), "")</f>
        <v>🆔 B17010_021E: Income in the past 12 months below poverty level: Other family: Female householder no husband present: No related children of the householder under 18 years</v>
      </c>
      <c r="O2281" t="s">
        <v>7805</v>
      </c>
      <c r="P2281" t="s">
        <v>7674</v>
      </c>
      <c r="Q2281" t="s">
        <v>41</v>
      </c>
      <c r="R2281" t="s">
        <v>7803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1</v>
      </c>
      <c r="Y2281" t="b">
        <v>1</v>
      </c>
      <c r="Z2281" t="b">
        <v>1</v>
      </c>
      <c r="AA2281" t="b">
        <v>1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</row>
    <row r="2282" spans="1:33" x14ac:dyDescent="0.25">
      <c r="A2282" t="s">
        <v>681</v>
      </c>
      <c r="B2282">
        <v>6</v>
      </c>
      <c r="C2282" t="b">
        <v>0</v>
      </c>
      <c r="D2282" t="s">
        <v>7228</v>
      </c>
      <c r="E2282" t="s">
        <v>7669</v>
      </c>
      <c r="F2282" t="s">
        <v>7800</v>
      </c>
      <c r="G2282" t="s">
        <v>7806</v>
      </c>
      <c r="H2282">
        <v>2281</v>
      </c>
      <c r="I2282" t="str">
        <f>IF(ISBLANK(Table1[[#This Row],[oid]]),"FALSE","TRUE")</f>
        <v>TRUE</v>
      </c>
      <c r="J2282" t="str" cm="1">
        <f t="array" ref="J2282">_xlfn.SWITCH(LEFT(Table1[[#This Row],[section]],1), "D", "Demographic", "S", "Social", "E", "Economic", "H", "Housing", "")</f>
        <v>Economic</v>
      </c>
      <c r="K2282" t="s">
        <v>7672</v>
      </c>
      <c r="L2282" t="s">
        <v>7673</v>
      </c>
      <c r="M2282" t="str">
        <f>IF(Table1[[#This Row],[used]], _xlfn.CONCAT("🆔 ", Table1[[#This Row],[variable]], ": ",Table1[[#This Row],[alias]]), "")</f>
        <v>🆔 B17010_021E: Income in the past 12 months below poverty level: Other family: Female householder no spouse present: No related children of the householder under 18 years</v>
      </c>
      <c r="O2282" t="s">
        <v>7807</v>
      </c>
      <c r="P2282" t="s">
        <v>7674</v>
      </c>
      <c r="Q2282" t="s">
        <v>41</v>
      </c>
      <c r="R2282" t="s">
        <v>7803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1</v>
      </c>
      <c r="AC2282" t="b">
        <v>1</v>
      </c>
      <c r="AD2282" t="b">
        <v>1</v>
      </c>
      <c r="AE2282" t="b">
        <v>1</v>
      </c>
      <c r="AF2282" t="b">
        <v>1</v>
      </c>
      <c r="AG2282" t="b">
        <v>1</v>
      </c>
    </row>
    <row r="2283" spans="1:33" x14ac:dyDescent="0.25">
      <c r="A2283" t="s">
        <v>33</v>
      </c>
      <c r="B2283">
        <v>15</v>
      </c>
      <c r="C2283" t="b">
        <v>1</v>
      </c>
      <c r="D2283" t="s">
        <v>7228</v>
      </c>
      <c r="E2283" t="s">
        <v>7669</v>
      </c>
      <c r="F2283" t="s">
        <v>7808</v>
      </c>
      <c r="G2283" t="s">
        <v>7316</v>
      </c>
      <c r="H2283">
        <v>2282</v>
      </c>
      <c r="I2283" t="str">
        <f>IF(ISBLANK(Table1[[#This Row],[oid]]),"FALSE","TRUE")</f>
        <v>TRUE</v>
      </c>
      <c r="J2283" t="str" cm="1">
        <f t="array" ref="J2283">_xlfn.SWITCH(LEFT(Table1[[#This Row],[section]],1), "D", "Demographic", "S", "Social", "E", "Economic", "H", "Housing", "")</f>
        <v>Economic</v>
      </c>
      <c r="K2283" t="s">
        <v>7672</v>
      </c>
      <c r="L2283" t="s">
        <v>7673</v>
      </c>
      <c r="M2283" t="str">
        <f>IF(Table1[[#This Row],[used]], _xlfn.CONCAT("🆔 ", Table1[[#This Row],[variable]], ": ",Table1[[#This Row],[alias]]), "")</f>
        <v>🆔 B17010_022E: Income in the past 12 months at or above poverty level</v>
      </c>
      <c r="O2283" t="s">
        <v>7317</v>
      </c>
      <c r="P2283" t="s">
        <v>7674</v>
      </c>
      <c r="Q2283" t="s">
        <v>41</v>
      </c>
      <c r="R2283" t="s">
        <v>7809</v>
      </c>
      <c r="S2283" t="b">
        <v>1</v>
      </c>
      <c r="T2283" t="b">
        <v>1</v>
      </c>
      <c r="U2283" t="b">
        <v>1</v>
      </c>
      <c r="V2283" t="b">
        <v>1</v>
      </c>
      <c r="W2283" t="b">
        <v>1</v>
      </c>
      <c r="X2283" t="b">
        <v>1</v>
      </c>
      <c r="Y2283" t="b">
        <v>1</v>
      </c>
      <c r="Z2283" t="b">
        <v>1</v>
      </c>
      <c r="AA2283" t="b">
        <v>1</v>
      </c>
      <c r="AB2283" t="b">
        <v>1</v>
      </c>
      <c r="AC2283" t="b">
        <v>1</v>
      </c>
      <c r="AD2283" t="b">
        <v>1</v>
      </c>
      <c r="AE2283" t="b">
        <v>1</v>
      </c>
      <c r="AF2283" t="b">
        <v>1</v>
      </c>
      <c r="AG2283" t="b">
        <v>1</v>
      </c>
    </row>
    <row r="2284" spans="1:33" x14ac:dyDescent="0.25">
      <c r="A2284" t="s">
        <v>33</v>
      </c>
      <c r="B2284">
        <v>15</v>
      </c>
      <c r="C2284" t="b">
        <v>1</v>
      </c>
      <c r="D2284" t="s">
        <v>7228</v>
      </c>
      <c r="E2284" t="s">
        <v>7669</v>
      </c>
      <c r="F2284" t="s">
        <v>7810</v>
      </c>
      <c r="G2284" t="s">
        <v>7811</v>
      </c>
      <c r="H2284">
        <v>2283</v>
      </c>
      <c r="I2284" t="str">
        <f>IF(ISBLANK(Table1[[#This Row],[oid]]),"FALSE","TRUE")</f>
        <v>TRUE</v>
      </c>
      <c r="J2284" t="str" cm="1">
        <f t="array" ref="J2284">_xlfn.SWITCH(LEFT(Table1[[#This Row],[section]],1), "D", "Demographic", "S", "Social", "E", "Economic", "H", "Housing", "")</f>
        <v>Economic</v>
      </c>
      <c r="K2284" t="s">
        <v>7672</v>
      </c>
      <c r="L2284" t="s">
        <v>7673</v>
      </c>
      <c r="M2284" t="str">
        <f>IF(Table1[[#This Row],[used]], _xlfn.CONCAT("🆔 ", Table1[[#This Row],[variable]], ": ",Table1[[#This Row],[alias]]), "")</f>
        <v>🆔 B17010_023E: Income in the past 12 months at or above poverty level: Married-couple family</v>
      </c>
      <c r="O2284" t="s">
        <v>7812</v>
      </c>
      <c r="P2284" t="s">
        <v>7674</v>
      </c>
      <c r="Q2284" t="s">
        <v>41</v>
      </c>
      <c r="R2284" t="s">
        <v>7813</v>
      </c>
      <c r="S2284" t="b">
        <v>1</v>
      </c>
      <c r="T2284" t="b">
        <v>1</v>
      </c>
      <c r="U2284" t="b">
        <v>1</v>
      </c>
      <c r="V2284" t="b">
        <v>1</v>
      </c>
      <c r="W2284" t="b">
        <v>1</v>
      </c>
      <c r="X2284" t="b">
        <v>1</v>
      </c>
      <c r="Y2284" t="b">
        <v>1</v>
      </c>
      <c r="Z2284" t="b">
        <v>1</v>
      </c>
      <c r="AA2284" t="b">
        <v>1</v>
      </c>
      <c r="AB2284" t="b">
        <v>1</v>
      </c>
      <c r="AC2284" t="b">
        <v>1</v>
      </c>
      <c r="AD2284" t="b">
        <v>1</v>
      </c>
      <c r="AE2284" t="b">
        <v>1</v>
      </c>
      <c r="AF2284" t="b">
        <v>1</v>
      </c>
      <c r="AG2284" t="b">
        <v>1</v>
      </c>
    </row>
    <row r="2285" spans="1:33" x14ac:dyDescent="0.25">
      <c r="A2285" t="s">
        <v>709</v>
      </c>
      <c r="B2285">
        <v>5</v>
      </c>
      <c r="C2285" t="b">
        <v>0</v>
      </c>
      <c r="D2285" t="s">
        <v>7228</v>
      </c>
      <c r="E2285" t="s">
        <v>7669</v>
      </c>
      <c r="F2285" t="s">
        <v>7814</v>
      </c>
      <c r="G2285" t="s">
        <v>7815</v>
      </c>
      <c r="H2285">
        <v>2284</v>
      </c>
      <c r="I2285" t="str">
        <f>IF(ISBLANK(Table1[[#This Row],[oid]]),"FALSE","TRUE")</f>
        <v>TRUE</v>
      </c>
      <c r="J2285" t="str" cm="1">
        <f t="array" ref="J2285">_xlfn.SWITCH(LEFT(Table1[[#This Row],[section]],1), "D", "Demographic", "S", "Social", "E", "Economic", "H", "Housing", "")</f>
        <v>Economic</v>
      </c>
      <c r="K2285" t="s">
        <v>7672</v>
      </c>
      <c r="L2285" t="s">
        <v>7673</v>
      </c>
      <c r="M2285" t="str">
        <f>IF(Table1[[#This Row],[used]], _xlfn.CONCAT("🆔 ", Table1[[#This Row],[variable]], ": ",Table1[[#This Row],[alias]]), "")</f>
        <v>🆔 B17010_024E: Income in the past 12 months at or above poverty level: Married-couple family: With related children under 18 years</v>
      </c>
      <c r="O2285" t="s">
        <v>7816</v>
      </c>
      <c r="P2285" t="s">
        <v>7674</v>
      </c>
      <c r="Q2285" t="s">
        <v>41</v>
      </c>
      <c r="R2285" t="s">
        <v>7817</v>
      </c>
      <c r="S2285" t="b">
        <v>1</v>
      </c>
      <c r="T2285" t="b">
        <v>1</v>
      </c>
      <c r="U2285" t="b">
        <v>1</v>
      </c>
      <c r="V2285" t="b">
        <v>1</v>
      </c>
      <c r="W2285" t="b">
        <v>1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</row>
    <row r="2286" spans="1:33" x14ac:dyDescent="0.25">
      <c r="A2286" t="s">
        <v>714</v>
      </c>
      <c r="B2286">
        <v>10</v>
      </c>
      <c r="C2286" t="b">
        <v>0</v>
      </c>
      <c r="D2286" t="s">
        <v>7228</v>
      </c>
      <c r="E2286" t="s">
        <v>7669</v>
      </c>
      <c r="F2286" t="s">
        <v>7814</v>
      </c>
      <c r="G2286" t="s">
        <v>7818</v>
      </c>
      <c r="H2286">
        <v>2285</v>
      </c>
      <c r="I2286" t="str">
        <f>IF(ISBLANK(Table1[[#This Row],[oid]]),"FALSE","TRUE")</f>
        <v>TRUE</v>
      </c>
      <c r="J2286" t="str" cm="1">
        <f t="array" ref="J2286">_xlfn.SWITCH(LEFT(Table1[[#This Row],[section]],1), "D", "Demographic", "S", "Social", "E", "Economic", "H", "Housing", "")</f>
        <v>Economic</v>
      </c>
      <c r="K2286" t="s">
        <v>7672</v>
      </c>
      <c r="L2286" t="s">
        <v>7673</v>
      </c>
      <c r="M2286" t="str">
        <f>IF(Table1[[#This Row],[used]], _xlfn.CONCAT("🆔 ", Table1[[#This Row],[variable]], ": ",Table1[[#This Row],[alias]]), "")</f>
        <v>🆔 B17010_024E: Income in the past 12 months at or above poverty level: Married-couple family: With related children of the householder under 18 years</v>
      </c>
      <c r="O2286" t="s">
        <v>7819</v>
      </c>
      <c r="P2286" t="s">
        <v>7674</v>
      </c>
      <c r="Q2286" t="s">
        <v>41</v>
      </c>
      <c r="R2286" t="s">
        <v>7817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1</v>
      </c>
      <c r="Y2286" t="b">
        <v>1</v>
      </c>
      <c r="Z2286" t="b">
        <v>1</v>
      </c>
      <c r="AA2286" t="b">
        <v>1</v>
      </c>
      <c r="AB2286" t="b">
        <v>1</v>
      </c>
      <c r="AC2286" t="b">
        <v>1</v>
      </c>
      <c r="AD2286" t="b">
        <v>1</v>
      </c>
      <c r="AE2286" t="b">
        <v>1</v>
      </c>
      <c r="AF2286" t="b">
        <v>1</v>
      </c>
      <c r="AG2286" t="b">
        <v>1</v>
      </c>
    </row>
    <row r="2287" spans="1:33" x14ac:dyDescent="0.25">
      <c r="A2287" t="s">
        <v>709</v>
      </c>
      <c r="B2287">
        <v>5</v>
      </c>
      <c r="C2287" t="b">
        <v>0</v>
      </c>
      <c r="D2287" t="s">
        <v>7228</v>
      </c>
      <c r="E2287" t="s">
        <v>7669</v>
      </c>
      <c r="F2287" t="s">
        <v>7820</v>
      </c>
      <c r="G2287" t="s">
        <v>7821</v>
      </c>
      <c r="H2287">
        <v>2286</v>
      </c>
      <c r="I2287" t="str">
        <f>IF(ISBLANK(Table1[[#This Row],[oid]]),"FALSE","TRUE")</f>
        <v>TRUE</v>
      </c>
      <c r="J2287" t="str" cm="1">
        <f t="array" ref="J2287">_xlfn.SWITCH(LEFT(Table1[[#This Row],[section]],1), "D", "Demographic", "S", "Social", "E", "Economic", "H", "Housing", "")</f>
        <v>Economic</v>
      </c>
      <c r="K2287" t="s">
        <v>7672</v>
      </c>
      <c r="L2287" t="s">
        <v>7673</v>
      </c>
      <c r="M2287" t="str">
        <f>IF(Table1[[#This Row],[used]], _xlfn.CONCAT("🆔 ", Table1[[#This Row],[variable]], ": ",Table1[[#This Row],[alias]]), "")</f>
        <v>🆔 B17010_025E: Income in the past 12 months at or above poverty level: Married-couple family: With related children under 18 years: Under 5 years only</v>
      </c>
      <c r="O2287" t="s">
        <v>7822</v>
      </c>
      <c r="P2287" t="s">
        <v>7674</v>
      </c>
      <c r="Q2287" t="s">
        <v>41</v>
      </c>
      <c r="R2287" t="s">
        <v>7823</v>
      </c>
      <c r="S2287" t="b">
        <v>1</v>
      </c>
      <c r="T2287" t="b">
        <v>1</v>
      </c>
      <c r="U2287" t="b">
        <v>1</v>
      </c>
      <c r="V2287" t="b">
        <v>1</v>
      </c>
      <c r="W2287" t="b">
        <v>1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</row>
    <row r="2288" spans="1:33" x14ac:dyDescent="0.25">
      <c r="A2288" t="s">
        <v>714</v>
      </c>
      <c r="B2288">
        <v>10</v>
      </c>
      <c r="C2288" t="b">
        <v>0</v>
      </c>
      <c r="D2288" t="s">
        <v>7228</v>
      </c>
      <c r="E2288" t="s">
        <v>7669</v>
      </c>
      <c r="F2288" t="s">
        <v>7820</v>
      </c>
      <c r="G2288" t="s">
        <v>7824</v>
      </c>
      <c r="H2288">
        <v>2287</v>
      </c>
      <c r="I2288" t="str">
        <f>IF(ISBLANK(Table1[[#This Row],[oid]]),"FALSE","TRUE")</f>
        <v>TRUE</v>
      </c>
      <c r="J2288" t="str" cm="1">
        <f t="array" ref="J2288">_xlfn.SWITCH(LEFT(Table1[[#This Row],[section]],1), "D", "Demographic", "S", "Social", "E", "Economic", "H", "Housing", "")</f>
        <v>Economic</v>
      </c>
      <c r="K2288" t="s">
        <v>7672</v>
      </c>
      <c r="L2288" t="s">
        <v>7673</v>
      </c>
      <c r="M2288" t="str">
        <f>IF(Table1[[#This Row],[used]], _xlfn.CONCAT("🆔 ", Table1[[#This Row],[variable]], ": ",Table1[[#This Row],[alias]]), "")</f>
        <v>🆔 B17010_025E: Income in the past 12 months at or above poverty level: Married-couple family: With related children of the householder under 18 years: Under 5 years only</v>
      </c>
      <c r="O2288" t="s">
        <v>7825</v>
      </c>
      <c r="P2288" t="s">
        <v>7674</v>
      </c>
      <c r="Q2288" t="s">
        <v>41</v>
      </c>
      <c r="R2288" t="s">
        <v>7823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1</v>
      </c>
      <c r="Y2288" t="b">
        <v>1</v>
      </c>
      <c r="Z2288" t="b">
        <v>1</v>
      </c>
      <c r="AA2288" t="b">
        <v>1</v>
      </c>
      <c r="AB2288" t="b">
        <v>1</v>
      </c>
      <c r="AC2288" t="b">
        <v>1</v>
      </c>
      <c r="AD2288" t="b">
        <v>1</v>
      </c>
      <c r="AE2288" t="b">
        <v>1</v>
      </c>
      <c r="AF2288" t="b">
        <v>1</v>
      </c>
      <c r="AG2288" t="b">
        <v>1</v>
      </c>
    </row>
    <row r="2289" spans="1:33" x14ac:dyDescent="0.25">
      <c r="A2289" t="s">
        <v>709</v>
      </c>
      <c r="B2289">
        <v>5</v>
      </c>
      <c r="C2289" t="b">
        <v>0</v>
      </c>
      <c r="D2289" t="s">
        <v>7228</v>
      </c>
      <c r="E2289" t="s">
        <v>7669</v>
      </c>
      <c r="F2289" t="s">
        <v>7826</v>
      </c>
      <c r="G2289" t="s">
        <v>7827</v>
      </c>
      <c r="H2289">
        <v>2288</v>
      </c>
      <c r="I2289" t="str">
        <f>IF(ISBLANK(Table1[[#This Row],[oid]]),"FALSE","TRUE")</f>
        <v>TRUE</v>
      </c>
      <c r="J2289" t="str" cm="1">
        <f t="array" ref="J2289">_xlfn.SWITCH(LEFT(Table1[[#This Row],[section]],1), "D", "Demographic", "S", "Social", "E", "Economic", "H", "Housing", "")</f>
        <v>Economic</v>
      </c>
      <c r="K2289" t="s">
        <v>7672</v>
      </c>
      <c r="L2289" t="s">
        <v>7673</v>
      </c>
      <c r="M2289" t="str">
        <f>IF(Table1[[#This Row],[used]], _xlfn.CONCAT("🆔 ", Table1[[#This Row],[variable]], ": ",Table1[[#This Row],[alias]]), "")</f>
        <v>🆔 B17010_026E: Income in the past 12 months at or above poverty level: Married-couple family: With related children under 18 years: Under 5 years and 5 to 17 years</v>
      </c>
      <c r="O2289" t="s">
        <v>7828</v>
      </c>
      <c r="P2289" t="s">
        <v>7674</v>
      </c>
      <c r="Q2289" t="s">
        <v>41</v>
      </c>
      <c r="R2289" t="s">
        <v>7829</v>
      </c>
      <c r="S2289" t="b">
        <v>1</v>
      </c>
      <c r="T2289" t="b">
        <v>1</v>
      </c>
      <c r="U2289" t="b">
        <v>1</v>
      </c>
      <c r="V2289" t="b">
        <v>1</v>
      </c>
      <c r="W2289" t="b">
        <v>1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</row>
    <row r="2290" spans="1:33" x14ac:dyDescent="0.25">
      <c r="A2290" t="s">
        <v>714</v>
      </c>
      <c r="B2290">
        <v>10</v>
      </c>
      <c r="C2290" t="b">
        <v>0</v>
      </c>
      <c r="D2290" t="s">
        <v>7228</v>
      </c>
      <c r="E2290" t="s">
        <v>7669</v>
      </c>
      <c r="F2290" t="s">
        <v>7826</v>
      </c>
      <c r="G2290" t="s">
        <v>7830</v>
      </c>
      <c r="H2290">
        <v>2289</v>
      </c>
      <c r="I2290" t="str">
        <f>IF(ISBLANK(Table1[[#This Row],[oid]]),"FALSE","TRUE")</f>
        <v>TRUE</v>
      </c>
      <c r="J2290" t="str" cm="1">
        <f t="array" ref="J2290">_xlfn.SWITCH(LEFT(Table1[[#This Row],[section]],1), "D", "Demographic", "S", "Social", "E", "Economic", "H", "Housing", "")</f>
        <v>Economic</v>
      </c>
      <c r="K2290" t="s">
        <v>7672</v>
      </c>
      <c r="L2290" t="s">
        <v>7673</v>
      </c>
      <c r="M2290" t="str">
        <f>IF(Table1[[#This Row],[used]], _xlfn.CONCAT("🆔 ", Table1[[#This Row],[variable]], ": ",Table1[[#This Row],[alias]]), "")</f>
        <v>🆔 B17010_026E: Income in the past 12 months at or above poverty level: Married-couple family: With related children of the householder under 18 years: Under 5 years and 5 to 17 years</v>
      </c>
      <c r="O2290" t="s">
        <v>7831</v>
      </c>
      <c r="P2290" t="s">
        <v>7674</v>
      </c>
      <c r="Q2290" t="s">
        <v>41</v>
      </c>
      <c r="R2290" t="s">
        <v>7829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1</v>
      </c>
      <c r="Y2290" t="b">
        <v>1</v>
      </c>
      <c r="Z2290" t="b">
        <v>1</v>
      </c>
      <c r="AA2290" t="b">
        <v>1</v>
      </c>
      <c r="AB2290" t="b">
        <v>1</v>
      </c>
      <c r="AC2290" t="b">
        <v>1</v>
      </c>
      <c r="AD2290" t="b">
        <v>1</v>
      </c>
      <c r="AE2290" t="b">
        <v>1</v>
      </c>
      <c r="AF2290" t="b">
        <v>1</v>
      </c>
      <c r="AG2290" t="b">
        <v>1</v>
      </c>
    </row>
    <row r="2291" spans="1:33" x14ac:dyDescent="0.25">
      <c r="A2291" t="s">
        <v>709</v>
      </c>
      <c r="B2291">
        <v>5</v>
      </c>
      <c r="C2291" t="b">
        <v>0</v>
      </c>
      <c r="D2291" t="s">
        <v>7228</v>
      </c>
      <c r="E2291" t="s">
        <v>7669</v>
      </c>
      <c r="F2291" t="s">
        <v>7832</v>
      </c>
      <c r="G2291" t="s">
        <v>7833</v>
      </c>
      <c r="H2291">
        <v>2290</v>
      </c>
      <c r="I2291" t="str">
        <f>IF(ISBLANK(Table1[[#This Row],[oid]]),"FALSE","TRUE")</f>
        <v>TRUE</v>
      </c>
      <c r="J2291" t="str" cm="1">
        <f t="array" ref="J2291">_xlfn.SWITCH(LEFT(Table1[[#This Row],[section]],1), "D", "Demographic", "S", "Social", "E", "Economic", "H", "Housing", "")</f>
        <v>Economic</v>
      </c>
      <c r="K2291" t="s">
        <v>7672</v>
      </c>
      <c r="L2291" t="s">
        <v>7673</v>
      </c>
      <c r="M2291" t="str">
        <f>IF(Table1[[#This Row],[used]], _xlfn.CONCAT("🆔 ", Table1[[#This Row],[variable]], ": ",Table1[[#This Row],[alias]]), "")</f>
        <v>🆔 B17010_027E: Income in the past 12 months at or above poverty level: Married-couple family: With related children under 18 years: 5 to 17 years only</v>
      </c>
      <c r="O2291" t="s">
        <v>7834</v>
      </c>
      <c r="P2291" t="s">
        <v>7674</v>
      </c>
      <c r="Q2291" t="s">
        <v>41</v>
      </c>
      <c r="R2291" t="s">
        <v>7835</v>
      </c>
      <c r="S2291" t="b">
        <v>1</v>
      </c>
      <c r="T2291" t="b">
        <v>1</v>
      </c>
      <c r="U2291" t="b">
        <v>1</v>
      </c>
      <c r="V2291" t="b">
        <v>1</v>
      </c>
      <c r="W2291" t="b">
        <v>1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</row>
    <row r="2292" spans="1:33" x14ac:dyDescent="0.25">
      <c r="A2292" t="s">
        <v>714</v>
      </c>
      <c r="B2292">
        <v>10</v>
      </c>
      <c r="C2292" t="b">
        <v>0</v>
      </c>
      <c r="D2292" t="s">
        <v>7228</v>
      </c>
      <c r="E2292" t="s">
        <v>7669</v>
      </c>
      <c r="F2292" t="s">
        <v>7832</v>
      </c>
      <c r="G2292" t="s">
        <v>7836</v>
      </c>
      <c r="H2292">
        <v>2291</v>
      </c>
      <c r="I2292" t="str">
        <f>IF(ISBLANK(Table1[[#This Row],[oid]]),"FALSE","TRUE")</f>
        <v>TRUE</v>
      </c>
      <c r="J2292" t="str" cm="1">
        <f t="array" ref="J2292">_xlfn.SWITCH(LEFT(Table1[[#This Row],[section]],1), "D", "Demographic", "S", "Social", "E", "Economic", "H", "Housing", "")</f>
        <v>Economic</v>
      </c>
      <c r="K2292" t="s">
        <v>7672</v>
      </c>
      <c r="L2292" t="s">
        <v>7673</v>
      </c>
      <c r="M2292" t="str">
        <f>IF(Table1[[#This Row],[used]], _xlfn.CONCAT("🆔 ", Table1[[#This Row],[variable]], ": ",Table1[[#This Row],[alias]]), "")</f>
        <v>🆔 B17010_027E: Income in the past 12 months at or above poverty level: Married-couple family: With related children of the householder under 18 years: 5 to 17 years only</v>
      </c>
      <c r="O2292" t="s">
        <v>7837</v>
      </c>
      <c r="P2292" t="s">
        <v>7674</v>
      </c>
      <c r="Q2292" t="s">
        <v>41</v>
      </c>
      <c r="R2292" t="s">
        <v>7835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1</v>
      </c>
      <c r="Y2292" t="b">
        <v>1</v>
      </c>
      <c r="Z2292" t="b">
        <v>1</v>
      </c>
      <c r="AA2292" t="b">
        <v>1</v>
      </c>
      <c r="AB2292" t="b">
        <v>1</v>
      </c>
      <c r="AC2292" t="b">
        <v>1</v>
      </c>
      <c r="AD2292" t="b">
        <v>1</v>
      </c>
      <c r="AE2292" t="b">
        <v>1</v>
      </c>
      <c r="AF2292" t="b">
        <v>1</v>
      </c>
      <c r="AG2292" t="b">
        <v>1</v>
      </c>
    </row>
    <row r="2293" spans="1:33" x14ac:dyDescent="0.25">
      <c r="A2293" t="s">
        <v>709</v>
      </c>
      <c r="B2293">
        <v>5</v>
      </c>
      <c r="C2293" t="b">
        <v>0</v>
      </c>
      <c r="D2293" t="s">
        <v>7228</v>
      </c>
      <c r="E2293" t="s">
        <v>7669</v>
      </c>
      <c r="F2293" t="s">
        <v>7838</v>
      </c>
      <c r="G2293" t="s">
        <v>7839</v>
      </c>
      <c r="H2293">
        <v>2292</v>
      </c>
      <c r="I2293" t="str">
        <f>IF(ISBLANK(Table1[[#This Row],[oid]]),"FALSE","TRUE")</f>
        <v>TRUE</v>
      </c>
      <c r="J2293" t="str" cm="1">
        <f t="array" ref="J2293">_xlfn.SWITCH(LEFT(Table1[[#This Row],[section]],1), "D", "Demographic", "S", "Social", "E", "Economic", "H", "Housing", "")</f>
        <v>Economic</v>
      </c>
      <c r="K2293" t="s">
        <v>7672</v>
      </c>
      <c r="L2293" t="s">
        <v>7673</v>
      </c>
      <c r="M2293" t="str">
        <f>IF(Table1[[#This Row],[used]], _xlfn.CONCAT("🆔 ", Table1[[#This Row],[variable]], ": ",Table1[[#This Row],[alias]]), "")</f>
        <v>🆔 B17010_028E: Income in the past 12 months at or above poverty level: Married-couple family: No related children under 18 years</v>
      </c>
      <c r="O2293" t="s">
        <v>7840</v>
      </c>
      <c r="P2293" t="s">
        <v>7674</v>
      </c>
      <c r="Q2293" t="s">
        <v>41</v>
      </c>
      <c r="R2293" t="s">
        <v>7841</v>
      </c>
      <c r="S2293" t="b">
        <v>1</v>
      </c>
      <c r="T2293" t="b">
        <v>1</v>
      </c>
      <c r="U2293" t="b">
        <v>1</v>
      </c>
      <c r="V2293" t="b">
        <v>1</v>
      </c>
      <c r="W2293" t="b">
        <v>1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</row>
    <row r="2294" spans="1:33" x14ac:dyDescent="0.25">
      <c r="A2294" t="s">
        <v>714</v>
      </c>
      <c r="B2294">
        <v>10</v>
      </c>
      <c r="C2294" t="b">
        <v>0</v>
      </c>
      <c r="D2294" t="s">
        <v>7228</v>
      </c>
      <c r="E2294" t="s">
        <v>7669</v>
      </c>
      <c r="F2294" t="s">
        <v>7838</v>
      </c>
      <c r="G2294" t="s">
        <v>7842</v>
      </c>
      <c r="H2294">
        <v>2293</v>
      </c>
      <c r="I2294" t="str">
        <f>IF(ISBLANK(Table1[[#This Row],[oid]]),"FALSE","TRUE")</f>
        <v>TRUE</v>
      </c>
      <c r="J2294" t="str" cm="1">
        <f t="array" ref="J2294">_xlfn.SWITCH(LEFT(Table1[[#This Row],[section]],1), "D", "Demographic", "S", "Social", "E", "Economic", "H", "Housing", "")</f>
        <v>Economic</v>
      </c>
      <c r="K2294" t="s">
        <v>7672</v>
      </c>
      <c r="L2294" t="s">
        <v>7673</v>
      </c>
      <c r="M2294" t="str">
        <f>IF(Table1[[#This Row],[used]], _xlfn.CONCAT("🆔 ", Table1[[#This Row],[variable]], ": ",Table1[[#This Row],[alias]]), "")</f>
        <v>🆔 B17010_028E: Income in the past 12 months at or above poverty level: Married-couple family: No related children of the householder under 18 years</v>
      </c>
      <c r="O2294" t="s">
        <v>7843</v>
      </c>
      <c r="P2294" t="s">
        <v>7674</v>
      </c>
      <c r="Q2294" t="s">
        <v>41</v>
      </c>
      <c r="R2294" t="s">
        <v>7841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1</v>
      </c>
      <c r="Y2294" t="b">
        <v>1</v>
      </c>
      <c r="Z2294" t="b">
        <v>1</v>
      </c>
      <c r="AA2294" t="b">
        <v>1</v>
      </c>
      <c r="AB2294" t="b">
        <v>1</v>
      </c>
      <c r="AC2294" t="b">
        <v>1</v>
      </c>
      <c r="AD2294" t="b">
        <v>1</v>
      </c>
      <c r="AE2294" t="b">
        <v>1</v>
      </c>
      <c r="AF2294" t="b">
        <v>1</v>
      </c>
      <c r="AG2294" t="b">
        <v>1</v>
      </c>
    </row>
    <row r="2295" spans="1:33" x14ac:dyDescent="0.25">
      <c r="A2295" t="s">
        <v>33</v>
      </c>
      <c r="B2295">
        <v>15</v>
      </c>
      <c r="C2295" t="b">
        <v>1</v>
      </c>
      <c r="D2295" t="s">
        <v>7228</v>
      </c>
      <c r="E2295" t="s">
        <v>7669</v>
      </c>
      <c r="F2295" t="s">
        <v>7844</v>
      </c>
      <c r="G2295" t="s">
        <v>7845</v>
      </c>
      <c r="H2295">
        <v>2294</v>
      </c>
      <c r="I2295" t="str">
        <f>IF(ISBLANK(Table1[[#This Row],[oid]]),"FALSE","TRUE")</f>
        <v>TRUE</v>
      </c>
      <c r="J2295" t="str" cm="1">
        <f t="array" ref="J2295">_xlfn.SWITCH(LEFT(Table1[[#This Row],[section]],1), "D", "Demographic", "S", "Social", "E", "Economic", "H", "Housing", "")</f>
        <v>Economic</v>
      </c>
      <c r="K2295" t="s">
        <v>7672</v>
      </c>
      <c r="L2295" t="s">
        <v>7673</v>
      </c>
      <c r="M2295" t="str">
        <f>IF(Table1[[#This Row],[used]], _xlfn.CONCAT("🆔 ", Table1[[#This Row],[variable]], ": ",Table1[[#This Row],[alias]]), "")</f>
        <v>🆔 B17010_029E: Income in the past 12 months at or above poverty level: Other family</v>
      </c>
      <c r="O2295" t="s">
        <v>7846</v>
      </c>
      <c r="P2295" t="s">
        <v>7674</v>
      </c>
      <c r="Q2295" t="s">
        <v>41</v>
      </c>
      <c r="R2295" t="s">
        <v>7847</v>
      </c>
      <c r="S2295" t="b">
        <v>1</v>
      </c>
      <c r="T2295" t="b">
        <v>1</v>
      </c>
      <c r="U2295" t="b">
        <v>1</v>
      </c>
      <c r="V2295" t="b">
        <v>1</v>
      </c>
      <c r="W2295" t="b">
        <v>1</v>
      </c>
      <c r="X2295" t="b">
        <v>1</v>
      </c>
      <c r="Y2295" t="b">
        <v>1</v>
      </c>
      <c r="Z2295" t="b">
        <v>1</v>
      </c>
      <c r="AA2295" t="b">
        <v>1</v>
      </c>
      <c r="AB2295" t="b">
        <v>1</v>
      </c>
      <c r="AC2295" t="b">
        <v>1</v>
      </c>
      <c r="AD2295" t="b">
        <v>1</v>
      </c>
      <c r="AE2295" t="b">
        <v>1</v>
      </c>
      <c r="AF2295" t="b">
        <v>1</v>
      </c>
      <c r="AG2295" t="b">
        <v>1</v>
      </c>
    </row>
    <row r="2296" spans="1:33" x14ac:dyDescent="0.25">
      <c r="A2296" t="s">
        <v>676</v>
      </c>
      <c r="B2296">
        <v>9</v>
      </c>
      <c r="C2296" t="b">
        <v>0</v>
      </c>
      <c r="D2296" t="s">
        <v>7228</v>
      </c>
      <c r="E2296" t="s">
        <v>7669</v>
      </c>
      <c r="F2296" t="s">
        <v>7848</v>
      </c>
      <c r="G2296" t="s">
        <v>7849</v>
      </c>
      <c r="H2296">
        <v>2295</v>
      </c>
      <c r="I2296" t="str">
        <f>IF(ISBLANK(Table1[[#This Row],[oid]]),"FALSE","TRUE")</f>
        <v>TRUE</v>
      </c>
      <c r="J2296" t="str" cm="1">
        <f t="array" ref="J2296">_xlfn.SWITCH(LEFT(Table1[[#This Row],[section]],1), "D", "Demographic", "S", "Social", "E", "Economic", "H", "Housing", "")</f>
        <v>Economic</v>
      </c>
      <c r="K2296" t="s">
        <v>7672</v>
      </c>
      <c r="L2296" t="s">
        <v>7673</v>
      </c>
      <c r="M2296" t="str">
        <f>IF(Table1[[#This Row],[used]], _xlfn.CONCAT("🆔 ", Table1[[#This Row],[variable]], ": ",Table1[[#This Row],[alias]]), "")</f>
        <v>🆔 B17010_030E: Income in the past 12 months at or above poverty level: Other family: Male householder no wife present</v>
      </c>
      <c r="O2296" t="s">
        <v>7850</v>
      </c>
      <c r="P2296" t="s">
        <v>7674</v>
      </c>
      <c r="Q2296" t="s">
        <v>41</v>
      </c>
      <c r="R2296" t="s">
        <v>7851</v>
      </c>
      <c r="S2296" t="b">
        <v>1</v>
      </c>
      <c r="T2296" t="b">
        <v>1</v>
      </c>
      <c r="U2296" t="b">
        <v>1</v>
      </c>
      <c r="V2296" t="b">
        <v>1</v>
      </c>
      <c r="W2296" t="b">
        <v>1</v>
      </c>
      <c r="X2296" t="b">
        <v>1</v>
      </c>
      <c r="Y2296" t="b">
        <v>1</v>
      </c>
      <c r="Z2296" t="b">
        <v>1</v>
      </c>
      <c r="AA2296" t="b">
        <v>1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</row>
    <row r="2297" spans="1:33" x14ac:dyDescent="0.25">
      <c r="A2297" t="s">
        <v>681</v>
      </c>
      <c r="B2297">
        <v>6</v>
      </c>
      <c r="C2297" t="b">
        <v>0</v>
      </c>
      <c r="D2297" t="s">
        <v>7228</v>
      </c>
      <c r="E2297" t="s">
        <v>7669</v>
      </c>
      <c r="F2297" t="s">
        <v>7848</v>
      </c>
      <c r="G2297" t="s">
        <v>7852</v>
      </c>
      <c r="H2297">
        <v>2296</v>
      </c>
      <c r="I2297" t="str">
        <f>IF(ISBLANK(Table1[[#This Row],[oid]]),"FALSE","TRUE")</f>
        <v>TRUE</v>
      </c>
      <c r="J2297" t="str" cm="1">
        <f t="array" ref="J2297">_xlfn.SWITCH(LEFT(Table1[[#This Row],[section]],1), "D", "Demographic", "S", "Social", "E", "Economic", "H", "Housing", "")</f>
        <v>Economic</v>
      </c>
      <c r="K2297" t="s">
        <v>7672</v>
      </c>
      <c r="L2297" t="s">
        <v>7673</v>
      </c>
      <c r="M2297" t="str">
        <f>IF(Table1[[#This Row],[used]], _xlfn.CONCAT("🆔 ", Table1[[#This Row],[variable]], ": ",Table1[[#This Row],[alias]]), "")</f>
        <v>🆔 B17010_030E: Income in the past 12 months at or above poverty level: Other family: Male householder no spouse present</v>
      </c>
      <c r="O2297" t="s">
        <v>7853</v>
      </c>
      <c r="P2297" t="s">
        <v>7674</v>
      </c>
      <c r="Q2297" t="s">
        <v>41</v>
      </c>
      <c r="R2297" t="s">
        <v>7851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1</v>
      </c>
      <c r="AC2297" t="b">
        <v>1</v>
      </c>
      <c r="AD2297" t="b">
        <v>1</v>
      </c>
      <c r="AE2297" t="b">
        <v>1</v>
      </c>
      <c r="AF2297" t="b">
        <v>1</v>
      </c>
      <c r="AG2297" t="b">
        <v>1</v>
      </c>
    </row>
    <row r="2298" spans="1:33" x14ac:dyDescent="0.25">
      <c r="A2298" t="s">
        <v>709</v>
      </c>
      <c r="B2298">
        <v>5</v>
      </c>
      <c r="C2298" t="b">
        <v>0</v>
      </c>
      <c r="D2298" t="s">
        <v>7228</v>
      </c>
      <c r="E2298" t="s">
        <v>7669</v>
      </c>
      <c r="F2298" t="s">
        <v>7854</v>
      </c>
      <c r="G2298" t="s">
        <v>7855</v>
      </c>
      <c r="H2298">
        <v>2297</v>
      </c>
      <c r="I2298" t="str">
        <f>IF(ISBLANK(Table1[[#This Row],[oid]]),"FALSE","TRUE")</f>
        <v>TRUE</v>
      </c>
      <c r="J2298" t="str" cm="1">
        <f t="array" ref="J2298">_xlfn.SWITCH(LEFT(Table1[[#This Row],[section]],1), "D", "Demographic", "S", "Social", "E", "Economic", "H", "Housing", "")</f>
        <v>Economic</v>
      </c>
      <c r="K2298" t="s">
        <v>7672</v>
      </c>
      <c r="L2298" t="s">
        <v>7673</v>
      </c>
      <c r="M2298" t="str">
        <f>IF(Table1[[#This Row],[used]], _xlfn.CONCAT("🆔 ", Table1[[#This Row],[variable]], ": ",Table1[[#This Row],[alias]]), "")</f>
        <v>🆔 B17010_031E: Income in the past 12 months at or above poverty level: Other family: Male householder no wife present: With related children under 18 years</v>
      </c>
      <c r="O2298" t="s">
        <v>7856</v>
      </c>
      <c r="P2298" t="s">
        <v>7674</v>
      </c>
      <c r="Q2298" t="s">
        <v>41</v>
      </c>
      <c r="R2298" t="s">
        <v>7857</v>
      </c>
      <c r="S2298" t="b">
        <v>1</v>
      </c>
      <c r="T2298" t="b">
        <v>1</v>
      </c>
      <c r="U2298" t="b">
        <v>1</v>
      </c>
      <c r="V2298" t="b">
        <v>1</v>
      </c>
      <c r="W2298" t="b">
        <v>1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</row>
    <row r="2299" spans="1:33" x14ac:dyDescent="0.25">
      <c r="A2299" t="s">
        <v>755</v>
      </c>
      <c r="B2299">
        <v>4</v>
      </c>
      <c r="C2299" t="b">
        <v>0</v>
      </c>
      <c r="D2299" t="s">
        <v>7228</v>
      </c>
      <c r="E2299" t="s">
        <v>7669</v>
      </c>
      <c r="F2299" t="s">
        <v>7854</v>
      </c>
      <c r="G2299" t="s">
        <v>7858</v>
      </c>
      <c r="H2299">
        <v>2298</v>
      </c>
      <c r="I2299" t="str">
        <f>IF(ISBLANK(Table1[[#This Row],[oid]]),"FALSE","TRUE")</f>
        <v>TRUE</v>
      </c>
      <c r="J2299" t="str" cm="1">
        <f t="array" ref="J2299">_xlfn.SWITCH(LEFT(Table1[[#This Row],[section]],1), "D", "Demographic", "S", "Social", "E", "Economic", "H", "Housing", "")</f>
        <v>Economic</v>
      </c>
      <c r="K2299" t="s">
        <v>7672</v>
      </c>
      <c r="L2299" t="s">
        <v>7673</v>
      </c>
      <c r="M2299" t="str">
        <f>IF(Table1[[#This Row],[used]], _xlfn.CONCAT("🆔 ", Table1[[#This Row],[variable]], ": ",Table1[[#This Row],[alias]]), "")</f>
        <v>🆔 B17010_031E: Income in the past 12 months at or above poverty level: Other family: Male householder no wife present: With related children of the householder under 18 years</v>
      </c>
      <c r="O2299" t="s">
        <v>7859</v>
      </c>
      <c r="P2299" t="s">
        <v>7674</v>
      </c>
      <c r="Q2299" t="s">
        <v>41</v>
      </c>
      <c r="R2299" t="s">
        <v>7857</v>
      </c>
      <c r="S2299" t="b">
        <v>0</v>
      </c>
      <c r="T2299" t="b">
        <v>0</v>
      </c>
      <c r="U2299" t="b">
        <v>0</v>
      </c>
      <c r="V2299" t="b">
        <v>0</v>
      </c>
      <c r="W2299" t="b">
        <v>0</v>
      </c>
      <c r="X2299" t="b">
        <v>1</v>
      </c>
      <c r="Y2299" t="b">
        <v>1</v>
      </c>
      <c r="Z2299" t="b">
        <v>1</v>
      </c>
      <c r="AA2299" t="b">
        <v>1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</row>
    <row r="2300" spans="1:33" x14ac:dyDescent="0.25">
      <c r="A2300" t="s">
        <v>681</v>
      </c>
      <c r="B2300">
        <v>6</v>
      </c>
      <c r="C2300" t="b">
        <v>0</v>
      </c>
      <c r="D2300" t="s">
        <v>7228</v>
      </c>
      <c r="E2300" t="s">
        <v>7669</v>
      </c>
      <c r="F2300" t="s">
        <v>7854</v>
      </c>
      <c r="G2300" t="s">
        <v>7860</v>
      </c>
      <c r="H2300">
        <v>2299</v>
      </c>
      <c r="I2300" t="str">
        <f>IF(ISBLANK(Table1[[#This Row],[oid]]),"FALSE","TRUE")</f>
        <v>TRUE</v>
      </c>
      <c r="J2300" t="str" cm="1">
        <f t="array" ref="J2300">_xlfn.SWITCH(LEFT(Table1[[#This Row],[section]],1), "D", "Demographic", "S", "Social", "E", "Economic", "H", "Housing", "")</f>
        <v>Economic</v>
      </c>
      <c r="K2300" t="s">
        <v>7672</v>
      </c>
      <c r="L2300" t="s">
        <v>7673</v>
      </c>
      <c r="M2300" t="str">
        <f>IF(Table1[[#This Row],[used]], _xlfn.CONCAT("🆔 ", Table1[[#This Row],[variable]], ": ",Table1[[#This Row],[alias]]), "")</f>
        <v>🆔 B17010_031E: Income in the past 12 months at or above poverty level: Other family: Male householder no spouse present: With related children of the householder under 18 years</v>
      </c>
      <c r="O2300" t="s">
        <v>7861</v>
      </c>
      <c r="P2300" t="s">
        <v>7674</v>
      </c>
      <c r="Q2300" t="s">
        <v>41</v>
      </c>
      <c r="R2300" t="s">
        <v>7857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1</v>
      </c>
      <c r="AC2300" t="b">
        <v>1</v>
      </c>
      <c r="AD2300" t="b">
        <v>1</v>
      </c>
      <c r="AE2300" t="b">
        <v>1</v>
      </c>
      <c r="AF2300" t="b">
        <v>1</v>
      </c>
      <c r="AG2300" t="b">
        <v>1</v>
      </c>
    </row>
    <row r="2301" spans="1:33" x14ac:dyDescent="0.25">
      <c r="A2301" t="s">
        <v>709</v>
      </c>
      <c r="B2301">
        <v>5</v>
      </c>
      <c r="C2301" t="b">
        <v>0</v>
      </c>
      <c r="D2301" t="s">
        <v>7228</v>
      </c>
      <c r="E2301" t="s">
        <v>7669</v>
      </c>
      <c r="F2301" t="s">
        <v>7862</v>
      </c>
      <c r="G2301" t="s">
        <v>7863</v>
      </c>
      <c r="H2301">
        <v>2300</v>
      </c>
      <c r="I2301" t="str">
        <f>IF(ISBLANK(Table1[[#This Row],[oid]]),"FALSE","TRUE")</f>
        <v>TRUE</v>
      </c>
      <c r="J2301" t="str" cm="1">
        <f t="array" ref="J2301">_xlfn.SWITCH(LEFT(Table1[[#This Row],[section]],1), "D", "Demographic", "S", "Social", "E", "Economic", "H", "Housing", "")</f>
        <v>Economic</v>
      </c>
      <c r="K2301" t="s">
        <v>7672</v>
      </c>
      <c r="L2301" t="s">
        <v>7673</v>
      </c>
      <c r="M2301" t="str">
        <f>IF(Table1[[#This Row],[used]], _xlfn.CONCAT("🆔 ", Table1[[#This Row],[variable]], ": ",Table1[[#This Row],[alias]]), "")</f>
        <v>🆔 B17010_032E: Income in the past 12 months at or above poverty level: Other family: Male householder no wife present: With related children under 18 years: Under 5 years only</v>
      </c>
      <c r="O2301" t="s">
        <v>7864</v>
      </c>
      <c r="P2301" t="s">
        <v>7674</v>
      </c>
      <c r="Q2301" t="s">
        <v>41</v>
      </c>
      <c r="R2301" t="s">
        <v>7865</v>
      </c>
      <c r="S2301" t="b">
        <v>1</v>
      </c>
      <c r="T2301" t="b">
        <v>1</v>
      </c>
      <c r="U2301" t="b">
        <v>1</v>
      </c>
      <c r="V2301" t="b">
        <v>1</v>
      </c>
      <c r="W2301" t="b">
        <v>1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</row>
    <row r="2302" spans="1:33" x14ac:dyDescent="0.25">
      <c r="A2302" t="s">
        <v>755</v>
      </c>
      <c r="B2302">
        <v>4</v>
      </c>
      <c r="C2302" t="b">
        <v>0</v>
      </c>
      <c r="D2302" t="s">
        <v>7228</v>
      </c>
      <c r="E2302" t="s">
        <v>7669</v>
      </c>
      <c r="F2302" t="s">
        <v>7862</v>
      </c>
      <c r="G2302" t="s">
        <v>7866</v>
      </c>
      <c r="H2302">
        <v>2301</v>
      </c>
      <c r="I2302" t="str">
        <f>IF(ISBLANK(Table1[[#This Row],[oid]]),"FALSE","TRUE")</f>
        <v>TRUE</v>
      </c>
      <c r="J2302" t="str" cm="1">
        <f t="array" ref="J2302">_xlfn.SWITCH(LEFT(Table1[[#This Row],[section]],1), "D", "Demographic", "S", "Social", "E", "Economic", "H", "Housing", "")</f>
        <v>Economic</v>
      </c>
      <c r="K2302" t="s">
        <v>7672</v>
      </c>
      <c r="L2302" t="s">
        <v>7673</v>
      </c>
      <c r="M2302" t="str">
        <f>IF(Table1[[#This Row],[used]], _xlfn.CONCAT("🆔 ", Table1[[#This Row],[variable]], ": ",Table1[[#This Row],[alias]]), "")</f>
        <v>🆔 B17010_032E: Income in the past 12 months at or above poverty level: Other family: Male householder no wife present: With related children of the householder under 18 years: Under 5 years only</v>
      </c>
      <c r="O2302" t="s">
        <v>7867</v>
      </c>
      <c r="P2302" t="s">
        <v>7674</v>
      </c>
      <c r="Q2302" t="s">
        <v>41</v>
      </c>
      <c r="R2302" t="s">
        <v>7865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1</v>
      </c>
      <c r="Y2302" t="b">
        <v>1</v>
      </c>
      <c r="Z2302" t="b">
        <v>1</v>
      </c>
      <c r="AA2302" t="b">
        <v>1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</row>
    <row r="2303" spans="1:33" x14ac:dyDescent="0.25">
      <c r="A2303" t="s">
        <v>681</v>
      </c>
      <c r="B2303">
        <v>6</v>
      </c>
      <c r="C2303" t="b">
        <v>0</v>
      </c>
      <c r="D2303" t="s">
        <v>7228</v>
      </c>
      <c r="E2303" t="s">
        <v>7669</v>
      </c>
      <c r="F2303" t="s">
        <v>7862</v>
      </c>
      <c r="G2303" t="s">
        <v>7868</v>
      </c>
      <c r="H2303">
        <v>2302</v>
      </c>
      <c r="I2303" t="str">
        <f>IF(ISBLANK(Table1[[#This Row],[oid]]),"FALSE","TRUE")</f>
        <v>TRUE</v>
      </c>
      <c r="J2303" t="str" cm="1">
        <f t="array" ref="J2303">_xlfn.SWITCH(LEFT(Table1[[#This Row],[section]],1), "D", "Demographic", "S", "Social", "E", "Economic", "H", "Housing", "")</f>
        <v>Economic</v>
      </c>
      <c r="K2303" t="s">
        <v>7672</v>
      </c>
      <c r="L2303" t="s">
        <v>7673</v>
      </c>
      <c r="M2303" t="str">
        <f>IF(Table1[[#This Row],[used]], _xlfn.CONCAT("🆔 ", Table1[[#This Row],[variable]], ": ",Table1[[#This Row],[alias]]), "")</f>
        <v>🆔 B17010_032E: Income in the past 12 months at or above poverty level: Other family: Male householder no spouse present: With related children of the householder under 18 years: Under 5 years only</v>
      </c>
      <c r="O2303" t="s">
        <v>7869</v>
      </c>
      <c r="P2303" t="s">
        <v>7674</v>
      </c>
      <c r="Q2303" t="s">
        <v>41</v>
      </c>
      <c r="R2303" t="s">
        <v>7865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1</v>
      </c>
      <c r="AC2303" t="b">
        <v>1</v>
      </c>
      <c r="AD2303" t="b">
        <v>1</v>
      </c>
      <c r="AE2303" t="b">
        <v>1</v>
      </c>
      <c r="AF2303" t="b">
        <v>1</v>
      </c>
      <c r="AG2303" t="b">
        <v>1</v>
      </c>
    </row>
    <row r="2304" spans="1:33" x14ac:dyDescent="0.25">
      <c r="A2304" t="s">
        <v>709</v>
      </c>
      <c r="B2304">
        <v>5</v>
      </c>
      <c r="C2304" t="b">
        <v>0</v>
      </c>
      <c r="D2304" t="s">
        <v>7228</v>
      </c>
      <c r="E2304" t="s">
        <v>7669</v>
      </c>
      <c r="F2304" t="s">
        <v>7870</v>
      </c>
      <c r="G2304" t="s">
        <v>7871</v>
      </c>
      <c r="H2304">
        <v>2303</v>
      </c>
      <c r="I2304" t="str">
        <f>IF(ISBLANK(Table1[[#This Row],[oid]]),"FALSE","TRUE")</f>
        <v>TRUE</v>
      </c>
      <c r="J2304" t="str" cm="1">
        <f t="array" ref="J2304">_xlfn.SWITCH(LEFT(Table1[[#This Row],[section]],1), "D", "Demographic", "S", "Social", "E", "Economic", "H", "Housing", "")</f>
        <v>Economic</v>
      </c>
      <c r="K2304" t="s">
        <v>7672</v>
      </c>
      <c r="L2304" t="s">
        <v>7673</v>
      </c>
      <c r="M2304" t="str">
        <f>IF(Table1[[#This Row],[used]], _xlfn.CONCAT("🆔 ", Table1[[#This Row],[variable]], ": ",Table1[[#This Row],[alias]]), "")</f>
        <v>🆔 B17010_033E: Income in the past 12 months at or above poverty level: Other family: Male householder no wife present: With related children under 18 years: Under 5 years and 5 to 17 years</v>
      </c>
      <c r="O2304" t="s">
        <v>7872</v>
      </c>
      <c r="P2304" t="s">
        <v>7674</v>
      </c>
      <c r="Q2304" t="s">
        <v>41</v>
      </c>
      <c r="R2304" t="s">
        <v>7873</v>
      </c>
      <c r="S2304" t="b">
        <v>1</v>
      </c>
      <c r="T2304" t="b">
        <v>1</v>
      </c>
      <c r="U2304" t="b">
        <v>1</v>
      </c>
      <c r="V2304" t="b">
        <v>1</v>
      </c>
      <c r="W2304" t="b">
        <v>1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</row>
    <row r="2305" spans="1:33" x14ac:dyDescent="0.25">
      <c r="A2305" t="s">
        <v>755</v>
      </c>
      <c r="B2305">
        <v>4</v>
      </c>
      <c r="C2305" t="b">
        <v>0</v>
      </c>
      <c r="D2305" t="s">
        <v>7228</v>
      </c>
      <c r="E2305" t="s">
        <v>7669</v>
      </c>
      <c r="F2305" t="s">
        <v>7870</v>
      </c>
      <c r="G2305" t="s">
        <v>7874</v>
      </c>
      <c r="H2305">
        <v>2304</v>
      </c>
      <c r="I2305" t="str">
        <f>IF(ISBLANK(Table1[[#This Row],[oid]]),"FALSE","TRUE")</f>
        <v>TRUE</v>
      </c>
      <c r="J2305" t="str" cm="1">
        <f t="array" ref="J2305">_xlfn.SWITCH(LEFT(Table1[[#This Row],[section]],1), "D", "Demographic", "S", "Social", "E", "Economic", "H", "Housing", "")</f>
        <v>Economic</v>
      </c>
      <c r="K2305" t="s">
        <v>7672</v>
      </c>
      <c r="L2305" t="s">
        <v>7673</v>
      </c>
      <c r="M2305" t="str">
        <f>IF(Table1[[#This Row],[used]], _xlfn.CONCAT("🆔 ", Table1[[#This Row],[variable]], ": ",Table1[[#This Row],[alias]]), "")</f>
        <v>🆔 B17010_033E: Income in the past 12 months at or above poverty level: Other family: Male householder no wife present: With related children of the householder under 18 years: Under 5 years and 5 to 17 years</v>
      </c>
      <c r="O2305" t="s">
        <v>7875</v>
      </c>
      <c r="P2305" t="s">
        <v>7674</v>
      </c>
      <c r="Q2305" t="s">
        <v>41</v>
      </c>
      <c r="R2305" t="s">
        <v>7873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1</v>
      </c>
      <c r="Y2305" t="b">
        <v>1</v>
      </c>
      <c r="Z2305" t="b">
        <v>1</v>
      </c>
      <c r="AA2305" t="b">
        <v>1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</row>
    <row r="2306" spans="1:33" x14ac:dyDescent="0.25">
      <c r="A2306" t="s">
        <v>681</v>
      </c>
      <c r="B2306">
        <v>6</v>
      </c>
      <c r="C2306" t="b">
        <v>0</v>
      </c>
      <c r="D2306" t="s">
        <v>7228</v>
      </c>
      <c r="E2306" t="s">
        <v>7669</v>
      </c>
      <c r="F2306" t="s">
        <v>7870</v>
      </c>
      <c r="G2306" t="s">
        <v>7876</v>
      </c>
      <c r="H2306">
        <v>2305</v>
      </c>
      <c r="I2306" t="str">
        <f>IF(ISBLANK(Table1[[#This Row],[oid]]),"FALSE","TRUE")</f>
        <v>TRUE</v>
      </c>
      <c r="J2306" t="str" cm="1">
        <f t="array" ref="J2306">_xlfn.SWITCH(LEFT(Table1[[#This Row],[section]],1), "D", "Demographic", "S", "Social", "E", "Economic", "H", "Housing", "")</f>
        <v>Economic</v>
      </c>
      <c r="K2306" t="s">
        <v>7672</v>
      </c>
      <c r="L2306" t="s">
        <v>7673</v>
      </c>
      <c r="M2306" t="str">
        <f>IF(Table1[[#This Row],[used]], _xlfn.CONCAT("🆔 ", Table1[[#This Row],[variable]], ": ",Table1[[#This Row],[alias]]), "")</f>
        <v>🆔 B17010_033E: Income in the past 12 months at or above poverty level: Other family: Male householder no spouse present: With related children of the householder under 18 years: Under 5 years and 5 to 17 years</v>
      </c>
      <c r="O2306" t="s">
        <v>7877</v>
      </c>
      <c r="P2306" t="s">
        <v>7674</v>
      </c>
      <c r="Q2306" t="s">
        <v>41</v>
      </c>
      <c r="R2306" t="s">
        <v>7873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1</v>
      </c>
      <c r="AC2306" t="b">
        <v>1</v>
      </c>
      <c r="AD2306" t="b">
        <v>1</v>
      </c>
      <c r="AE2306" t="b">
        <v>1</v>
      </c>
      <c r="AF2306" t="b">
        <v>1</v>
      </c>
      <c r="AG2306" t="b">
        <v>1</v>
      </c>
    </row>
    <row r="2307" spans="1:33" x14ac:dyDescent="0.25">
      <c r="A2307" t="s">
        <v>709</v>
      </c>
      <c r="B2307">
        <v>5</v>
      </c>
      <c r="C2307" t="b">
        <v>0</v>
      </c>
      <c r="D2307" t="s">
        <v>7228</v>
      </c>
      <c r="E2307" t="s">
        <v>7669</v>
      </c>
      <c r="F2307" t="s">
        <v>7878</v>
      </c>
      <c r="G2307" t="s">
        <v>7879</v>
      </c>
      <c r="H2307">
        <v>2306</v>
      </c>
      <c r="I2307" t="str">
        <f>IF(ISBLANK(Table1[[#This Row],[oid]]),"FALSE","TRUE")</f>
        <v>TRUE</v>
      </c>
      <c r="J2307" t="str" cm="1">
        <f t="array" ref="J2307">_xlfn.SWITCH(LEFT(Table1[[#This Row],[section]],1), "D", "Demographic", "S", "Social", "E", "Economic", "H", "Housing", "")</f>
        <v>Economic</v>
      </c>
      <c r="K2307" t="s">
        <v>7672</v>
      </c>
      <c r="L2307" t="s">
        <v>7673</v>
      </c>
      <c r="M2307" t="str">
        <f>IF(Table1[[#This Row],[used]], _xlfn.CONCAT("🆔 ", Table1[[#This Row],[variable]], ": ",Table1[[#This Row],[alias]]), "")</f>
        <v>🆔 B17010_034E: Income in the past 12 months at or above poverty level: Other family: Male householder no wife present: With related children under 18 years: 5 to 17 years only</v>
      </c>
      <c r="O2307" t="s">
        <v>7880</v>
      </c>
      <c r="P2307" t="s">
        <v>7674</v>
      </c>
      <c r="Q2307" t="s">
        <v>41</v>
      </c>
      <c r="R2307" t="s">
        <v>7881</v>
      </c>
      <c r="S2307" t="b">
        <v>1</v>
      </c>
      <c r="T2307" t="b">
        <v>1</v>
      </c>
      <c r="U2307" t="b">
        <v>1</v>
      </c>
      <c r="V2307" t="b">
        <v>1</v>
      </c>
      <c r="W2307" t="b">
        <v>1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</row>
    <row r="2308" spans="1:33" x14ac:dyDescent="0.25">
      <c r="A2308" t="s">
        <v>755</v>
      </c>
      <c r="B2308">
        <v>4</v>
      </c>
      <c r="C2308" t="b">
        <v>0</v>
      </c>
      <c r="D2308" t="s">
        <v>7228</v>
      </c>
      <c r="E2308" t="s">
        <v>7669</v>
      </c>
      <c r="F2308" t="s">
        <v>7878</v>
      </c>
      <c r="G2308" t="s">
        <v>7882</v>
      </c>
      <c r="H2308">
        <v>2307</v>
      </c>
      <c r="I2308" t="str">
        <f>IF(ISBLANK(Table1[[#This Row],[oid]]),"FALSE","TRUE")</f>
        <v>TRUE</v>
      </c>
      <c r="J2308" t="str" cm="1">
        <f t="array" ref="J2308">_xlfn.SWITCH(LEFT(Table1[[#This Row],[section]],1), "D", "Demographic", "S", "Social", "E", "Economic", "H", "Housing", "")</f>
        <v>Economic</v>
      </c>
      <c r="K2308" t="s">
        <v>7672</v>
      </c>
      <c r="L2308" t="s">
        <v>7673</v>
      </c>
      <c r="M2308" t="str">
        <f>IF(Table1[[#This Row],[used]], _xlfn.CONCAT("🆔 ", Table1[[#This Row],[variable]], ": ",Table1[[#This Row],[alias]]), "")</f>
        <v>🆔 B17010_034E: Income in the past 12 months at or above poverty level: Other family: Male householder no wife present: With related children of the householder under 18 years: 5 to 17 years only</v>
      </c>
      <c r="O2308" t="s">
        <v>7883</v>
      </c>
      <c r="P2308" t="s">
        <v>7674</v>
      </c>
      <c r="Q2308" t="s">
        <v>41</v>
      </c>
      <c r="R2308" t="s">
        <v>7881</v>
      </c>
      <c r="S2308" t="b">
        <v>0</v>
      </c>
      <c r="T2308" t="b">
        <v>0</v>
      </c>
      <c r="U2308" t="b">
        <v>0</v>
      </c>
      <c r="V2308" t="b">
        <v>0</v>
      </c>
      <c r="W2308" t="b">
        <v>0</v>
      </c>
      <c r="X2308" t="b">
        <v>1</v>
      </c>
      <c r="Y2308" t="b">
        <v>1</v>
      </c>
      <c r="Z2308" t="b">
        <v>1</v>
      </c>
      <c r="AA2308" t="b">
        <v>1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</row>
    <row r="2309" spans="1:33" x14ac:dyDescent="0.25">
      <c r="A2309" t="s">
        <v>681</v>
      </c>
      <c r="B2309">
        <v>6</v>
      </c>
      <c r="C2309" t="b">
        <v>0</v>
      </c>
      <c r="D2309" t="s">
        <v>7228</v>
      </c>
      <c r="E2309" t="s">
        <v>7669</v>
      </c>
      <c r="F2309" t="s">
        <v>7878</v>
      </c>
      <c r="G2309" t="s">
        <v>7884</v>
      </c>
      <c r="H2309">
        <v>2308</v>
      </c>
      <c r="I2309" t="str">
        <f>IF(ISBLANK(Table1[[#This Row],[oid]]),"FALSE","TRUE")</f>
        <v>TRUE</v>
      </c>
      <c r="J2309" t="str" cm="1">
        <f t="array" ref="J2309">_xlfn.SWITCH(LEFT(Table1[[#This Row],[section]],1), "D", "Demographic", "S", "Social", "E", "Economic", "H", "Housing", "")</f>
        <v>Economic</v>
      </c>
      <c r="K2309" t="s">
        <v>7672</v>
      </c>
      <c r="L2309" t="s">
        <v>7673</v>
      </c>
      <c r="M2309" t="str">
        <f>IF(Table1[[#This Row],[used]], _xlfn.CONCAT("🆔 ", Table1[[#This Row],[variable]], ": ",Table1[[#This Row],[alias]]), "")</f>
        <v>🆔 B17010_034E: Income in the past 12 months at or above poverty level: Other family: Male householder no spouse present: With related children of the householder under 18 years: 5 to 17 years only</v>
      </c>
      <c r="O2309" t="s">
        <v>7885</v>
      </c>
      <c r="P2309" t="s">
        <v>7674</v>
      </c>
      <c r="Q2309" t="s">
        <v>41</v>
      </c>
      <c r="R2309" t="s">
        <v>7881</v>
      </c>
      <c r="S2309" t="b">
        <v>0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1</v>
      </c>
      <c r="AC2309" t="b">
        <v>1</v>
      </c>
      <c r="AD2309" t="b">
        <v>1</v>
      </c>
      <c r="AE2309" t="b">
        <v>1</v>
      </c>
      <c r="AF2309" t="b">
        <v>1</v>
      </c>
      <c r="AG2309" t="b">
        <v>1</v>
      </c>
    </row>
    <row r="2310" spans="1:33" x14ac:dyDescent="0.25">
      <c r="A2310" t="s">
        <v>709</v>
      </c>
      <c r="B2310">
        <v>5</v>
      </c>
      <c r="C2310" t="b">
        <v>0</v>
      </c>
      <c r="D2310" t="s">
        <v>7228</v>
      </c>
      <c r="E2310" t="s">
        <v>7669</v>
      </c>
      <c r="F2310" t="s">
        <v>7886</v>
      </c>
      <c r="G2310" t="s">
        <v>7887</v>
      </c>
      <c r="H2310">
        <v>2309</v>
      </c>
      <c r="I2310" t="str">
        <f>IF(ISBLANK(Table1[[#This Row],[oid]]),"FALSE","TRUE")</f>
        <v>TRUE</v>
      </c>
      <c r="J2310" t="str" cm="1">
        <f t="array" ref="J2310">_xlfn.SWITCH(LEFT(Table1[[#This Row],[section]],1), "D", "Demographic", "S", "Social", "E", "Economic", "H", "Housing", "")</f>
        <v>Economic</v>
      </c>
      <c r="K2310" t="s">
        <v>7672</v>
      </c>
      <c r="L2310" t="s">
        <v>7673</v>
      </c>
      <c r="M2310" t="str">
        <f>IF(Table1[[#This Row],[used]], _xlfn.CONCAT("🆔 ", Table1[[#This Row],[variable]], ": ",Table1[[#This Row],[alias]]), "")</f>
        <v>🆔 B17010_035E: Income in the past 12 months at or above poverty level: Other family: Male householder no wife present: No related children under 18 years</v>
      </c>
      <c r="O2310" t="s">
        <v>7888</v>
      </c>
      <c r="P2310" t="s">
        <v>7674</v>
      </c>
      <c r="Q2310" t="s">
        <v>41</v>
      </c>
      <c r="R2310" t="s">
        <v>7889</v>
      </c>
      <c r="S2310" t="b">
        <v>1</v>
      </c>
      <c r="T2310" t="b">
        <v>1</v>
      </c>
      <c r="U2310" t="b">
        <v>1</v>
      </c>
      <c r="V2310" t="b">
        <v>1</v>
      </c>
      <c r="W2310" t="b">
        <v>1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</row>
    <row r="2311" spans="1:33" x14ac:dyDescent="0.25">
      <c r="A2311" t="s">
        <v>755</v>
      </c>
      <c r="B2311">
        <v>4</v>
      </c>
      <c r="C2311" t="b">
        <v>0</v>
      </c>
      <c r="D2311" t="s">
        <v>7228</v>
      </c>
      <c r="E2311" t="s">
        <v>7669</v>
      </c>
      <c r="F2311" t="s">
        <v>7886</v>
      </c>
      <c r="G2311" t="s">
        <v>7890</v>
      </c>
      <c r="H2311">
        <v>2310</v>
      </c>
      <c r="I2311" t="str">
        <f>IF(ISBLANK(Table1[[#This Row],[oid]]),"FALSE","TRUE")</f>
        <v>TRUE</v>
      </c>
      <c r="J2311" t="str" cm="1">
        <f t="array" ref="J2311">_xlfn.SWITCH(LEFT(Table1[[#This Row],[section]],1), "D", "Demographic", "S", "Social", "E", "Economic", "H", "Housing", "")</f>
        <v>Economic</v>
      </c>
      <c r="K2311" t="s">
        <v>7672</v>
      </c>
      <c r="L2311" t="s">
        <v>7673</v>
      </c>
      <c r="M2311" t="str">
        <f>IF(Table1[[#This Row],[used]], _xlfn.CONCAT("🆔 ", Table1[[#This Row],[variable]], ": ",Table1[[#This Row],[alias]]), "")</f>
        <v>🆔 B17010_035E: Income in the past 12 months at or above poverty level: Other family: Male householder no wife present: No related children of the householder under 18 years</v>
      </c>
      <c r="O2311" t="s">
        <v>7891</v>
      </c>
      <c r="P2311" t="s">
        <v>7674</v>
      </c>
      <c r="Q2311" t="s">
        <v>41</v>
      </c>
      <c r="R2311" t="s">
        <v>7889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1</v>
      </c>
      <c r="Y2311" t="b">
        <v>1</v>
      </c>
      <c r="Z2311" t="b">
        <v>1</v>
      </c>
      <c r="AA2311" t="b">
        <v>1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</row>
    <row r="2312" spans="1:33" x14ac:dyDescent="0.25">
      <c r="A2312" t="s">
        <v>681</v>
      </c>
      <c r="B2312">
        <v>6</v>
      </c>
      <c r="C2312" t="b">
        <v>0</v>
      </c>
      <c r="D2312" t="s">
        <v>7228</v>
      </c>
      <c r="E2312" t="s">
        <v>7669</v>
      </c>
      <c r="F2312" t="s">
        <v>7886</v>
      </c>
      <c r="G2312" t="s">
        <v>7892</v>
      </c>
      <c r="H2312">
        <v>2311</v>
      </c>
      <c r="I2312" t="str">
        <f>IF(ISBLANK(Table1[[#This Row],[oid]]),"FALSE","TRUE")</f>
        <v>TRUE</v>
      </c>
      <c r="J2312" t="str" cm="1">
        <f t="array" ref="J2312">_xlfn.SWITCH(LEFT(Table1[[#This Row],[section]],1), "D", "Demographic", "S", "Social", "E", "Economic", "H", "Housing", "")</f>
        <v>Economic</v>
      </c>
      <c r="K2312" t="s">
        <v>7672</v>
      </c>
      <c r="L2312" t="s">
        <v>7673</v>
      </c>
      <c r="M2312" t="str">
        <f>IF(Table1[[#This Row],[used]], _xlfn.CONCAT("🆔 ", Table1[[#This Row],[variable]], ": ",Table1[[#This Row],[alias]]), "")</f>
        <v>🆔 B17010_035E: Income in the past 12 months at or above poverty level: Other family: Male householder no spouse present: No related children of the householder under 18 years</v>
      </c>
      <c r="O2312" t="s">
        <v>7893</v>
      </c>
      <c r="P2312" t="s">
        <v>7674</v>
      </c>
      <c r="Q2312" t="s">
        <v>41</v>
      </c>
      <c r="R2312" t="s">
        <v>7889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1</v>
      </c>
      <c r="AC2312" t="b">
        <v>1</v>
      </c>
      <c r="AD2312" t="b">
        <v>1</v>
      </c>
      <c r="AE2312" t="b">
        <v>1</v>
      </c>
      <c r="AF2312" t="b">
        <v>1</v>
      </c>
      <c r="AG2312" t="b">
        <v>1</v>
      </c>
    </row>
    <row r="2313" spans="1:33" x14ac:dyDescent="0.25">
      <c r="A2313" t="s">
        <v>676</v>
      </c>
      <c r="B2313">
        <v>9</v>
      </c>
      <c r="C2313" t="b">
        <v>0</v>
      </c>
      <c r="D2313" t="s">
        <v>7228</v>
      </c>
      <c r="E2313" t="s">
        <v>7669</v>
      </c>
      <c r="F2313" t="s">
        <v>7894</v>
      </c>
      <c r="G2313" t="s">
        <v>7895</v>
      </c>
      <c r="H2313">
        <v>2312</v>
      </c>
      <c r="I2313" t="str">
        <f>IF(ISBLANK(Table1[[#This Row],[oid]]),"FALSE","TRUE")</f>
        <v>TRUE</v>
      </c>
      <c r="J2313" t="str" cm="1">
        <f t="array" ref="J2313">_xlfn.SWITCH(LEFT(Table1[[#This Row],[section]],1), "D", "Demographic", "S", "Social", "E", "Economic", "H", "Housing", "")</f>
        <v>Economic</v>
      </c>
      <c r="K2313" t="s">
        <v>7672</v>
      </c>
      <c r="L2313" t="s">
        <v>7673</v>
      </c>
      <c r="M2313" t="str">
        <f>IF(Table1[[#This Row],[used]], _xlfn.CONCAT("🆔 ", Table1[[#This Row],[variable]], ": ",Table1[[#This Row],[alias]]), "")</f>
        <v>🆔 B17010_036E: Income in the past 12 months at or above poverty level: Other family: Female householder no husband present</v>
      </c>
      <c r="O2313" t="s">
        <v>7896</v>
      </c>
      <c r="P2313" t="s">
        <v>7674</v>
      </c>
      <c r="Q2313" t="s">
        <v>41</v>
      </c>
      <c r="R2313" t="s">
        <v>7897</v>
      </c>
      <c r="S2313" t="b">
        <v>1</v>
      </c>
      <c r="T2313" t="b">
        <v>1</v>
      </c>
      <c r="U2313" t="b">
        <v>1</v>
      </c>
      <c r="V2313" t="b">
        <v>1</v>
      </c>
      <c r="W2313" t="b">
        <v>1</v>
      </c>
      <c r="X2313" t="b">
        <v>1</v>
      </c>
      <c r="Y2313" t="b">
        <v>1</v>
      </c>
      <c r="Z2313" t="b">
        <v>1</v>
      </c>
      <c r="AA2313" t="b">
        <v>1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</row>
    <row r="2314" spans="1:33" x14ac:dyDescent="0.25">
      <c r="A2314" t="s">
        <v>681</v>
      </c>
      <c r="B2314">
        <v>6</v>
      </c>
      <c r="C2314" t="b">
        <v>0</v>
      </c>
      <c r="D2314" t="s">
        <v>7228</v>
      </c>
      <c r="E2314" t="s">
        <v>7669</v>
      </c>
      <c r="F2314" t="s">
        <v>7894</v>
      </c>
      <c r="G2314" t="s">
        <v>7898</v>
      </c>
      <c r="H2314">
        <v>2313</v>
      </c>
      <c r="I2314" t="str">
        <f>IF(ISBLANK(Table1[[#This Row],[oid]]),"FALSE","TRUE")</f>
        <v>TRUE</v>
      </c>
      <c r="J2314" t="str" cm="1">
        <f t="array" ref="J2314">_xlfn.SWITCH(LEFT(Table1[[#This Row],[section]],1), "D", "Demographic", "S", "Social", "E", "Economic", "H", "Housing", "")</f>
        <v>Economic</v>
      </c>
      <c r="K2314" t="s">
        <v>7672</v>
      </c>
      <c r="L2314" t="s">
        <v>7673</v>
      </c>
      <c r="M2314" t="str">
        <f>IF(Table1[[#This Row],[used]], _xlfn.CONCAT("🆔 ", Table1[[#This Row],[variable]], ": ",Table1[[#This Row],[alias]]), "")</f>
        <v>🆔 B17010_036E: Income in the past 12 months at or above poverty level: Other family: Female householder no spouse present</v>
      </c>
      <c r="O2314" t="s">
        <v>7899</v>
      </c>
      <c r="P2314" t="s">
        <v>7674</v>
      </c>
      <c r="Q2314" t="s">
        <v>41</v>
      </c>
      <c r="R2314" t="s">
        <v>7897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1</v>
      </c>
      <c r="AC2314" t="b">
        <v>1</v>
      </c>
      <c r="AD2314" t="b">
        <v>1</v>
      </c>
      <c r="AE2314" t="b">
        <v>1</v>
      </c>
      <c r="AF2314" t="b">
        <v>1</v>
      </c>
      <c r="AG2314" t="b">
        <v>1</v>
      </c>
    </row>
    <row r="2315" spans="1:33" x14ac:dyDescent="0.25">
      <c r="A2315" t="s">
        <v>709</v>
      </c>
      <c r="B2315">
        <v>5</v>
      </c>
      <c r="C2315" t="b">
        <v>0</v>
      </c>
      <c r="D2315" t="s">
        <v>7228</v>
      </c>
      <c r="E2315" t="s">
        <v>7669</v>
      </c>
      <c r="F2315" t="s">
        <v>7900</v>
      </c>
      <c r="G2315" t="s">
        <v>7901</v>
      </c>
      <c r="H2315">
        <v>2314</v>
      </c>
      <c r="I2315" t="str">
        <f>IF(ISBLANK(Table1[[#This Row],[oid]]),"FALSE","TRUE")</f>
        <v>TRUE</v>
      </c>
      <c r="J2315" t="str" cm="1">
        <f t="array" ref="J2315">_xlfn.SWITCH(LEFT(Table1[[#This Row],[section]],1), "D", "Demographic", "S", "Social", "E", "Economic", "H", "Housing", "")</f>
        <v>Economic</v>
      </c>
      <c r="K2315" t="s">
        <v>7672</v>
      </c>
      <c r="L2315" t="s">
        <v>7673</v>
      </c>
      <c r="M2315" t="str">
        <f>IF(Table1[[#This Row],[used]], _xlfn.CONCAT("🆔 ", Table1[[#This Row],[variable]], ": ",Table1[[#This Row],[alias]]), "")</f>
        <v>🆔 B17010_037E: Income in the past 12 months at or above poverty level: Other family: Female householder no husband present: With related children under 18 years</v>
      </c>
      <c r="O2315" t="s">
        <v>7902</v>
      </c>
      <c r="P2315" t="s">
        <v>7674</v>
      </c>
      <c r="Q2315" t="s">
        <v>41</v>
      </c>
      <c r="R2315" t="s">
        <v>7903</v>
      </c>
      <c r="S2315" t="b">
        <v>1</v>
      </c>
      <c r="T2315" t="b">
        <v>1</v>
      </c>
      <c r="U2315" t="b">
        <v>1</v>
      </c>
      <c r="V2315" t="b">
        <v>1</v>
      </c>
      <c r="W2315" t="b">
        <v>1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</row>
    <row r="2316" spans="1:33" x14ac:dyDescent="0.25">
      <c r="A2316" t="s">
        <v>755</v>
      </c>
      <c r="B2316">
        <v>4</v>
      </c>
      <c r="C2316" t="b">
        <v>0</v>
      </c>
      <c r="D2316" t="s">
        <v>7228</v>
      </c>
      <c r="E2316" t="s">
        <v>7669</v>
      </c>
      <c r="F2316" t="s">
        <v>7900</v>
      </c>
      <c r="G2316" t="s">
        <v>7904</v>
      </c>
      <c r="H2316">
        <v>2315</v>
      </c>
      <c r="I2316" t="str">
        <f>IF(ISBLANK(Table1[[#This Row],[oid]]),"FALSE","TRUE")</f>
        <v>TRUE</v>
      </c>
      <c r="J2316" t="str" cm="1">
        <f t="array" ref="J2316">_xlfn.SWITCH(LEFT(Table1[[#This Row],[section]],1), "D", "Demographic", "S", "Social", "E", "Economic", "H", "Housing", "")</f>
        <v>Economic</v>
      </c>
      <c r="K2316" t="s">
        <v>7672</v>
      </c>
      <c r="L2316" t="s">
        <v>7673</v>
      </c>
      <c r="M2316" t="str">
        <f>IF(Table1[[#This Row],[used]], _xlfn.CONCAT("🆔 ", Table1[[#This Row],[variable]], ": ",Table1[[#This Row],[alias]]), "")</f>
        <v>🆔 B17010_037E: Income in the past 12 months at or above poverty level: Other family: Female householder no husband present: With related children of the householder under 18 years</v>
      </c>
      <c r="O2316" t="s">
        <v>7905</v>
      </c>
      <c r="P2316" t="s">
        <v>7674</v>
      </c>
      <c r="Q2316" t="s">
        <v>41</v>
      </c>
      <c r="R2316" t="s">
        <v>7903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1</v>
      </c>
      <c r="Y2316" t="b">
        <v>1</v>
      </c>
      <c r="Z2316" t="b">
        <v>1</v>
      </c>
      <c r="AA2316" t="b">
        <v>1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</row>
    <row r="2317" spans="1:33" x14ac:dyDescent="0.25">
      <c r="A2317" t="s">
        <v>681</v>
      </c>
      <c r="B2317">
        <v>6</v>
      </c>
      <c r="C2317" t="b">
        <v>0</v>
      </c>
      <c r="D2317" t="s">
        <v>7228</v>
      </c>
      <c r="E2317" t="s">
        <v>7669</v>
      </c>
      <c r="F2317" t="s">
        <v>7900</v>
      </c>
      <c r="G2317" t="s">
        <v>7906</v>
      </c>
      <c r="H2317">
        <v>2316</v>
      </c>
      <c r="I2317" t="str">
        <f>IF(ISBLANK(Table1[[#This Row],[oid]]),"FALSE","TRUE")</f>
        <v>TRUE</v>
      </c>
      <c r="J2317" t="str" cm="1">
        <f t="array" ref="J2317">_xlfn.SWITCH(LEFT(Table1[[#This Row],[section]],1), "D", "Demographic", "S", "Social", "E", "Economic", "H", "Housing", "")</f>
        <v>Economic</v>
      </c>
      <c r="K2317" t="s">
        <v>7672</v>
      </c>
      <c r="L2317" t="s">
        <v>7673</v>
      </c>
      <c r="M2317" t="str">
        <f>IF(Table1[[#This Row],[used]], _xlfn.CONCAT("🆔 ", Table1[[#This Row],[variable]], ": ",Table1[[#This Row],[alias]]), "")</f>
        <v>🆔 B17010_037E: Income in the past 12 months at or above poverty level: Other family: Female householder no spouse present: With related children of the householder under 18 years</v>
      </c>
      <c r="O2317" t="s">
        <v>7907</v>
      </c>
      <c r="P2317" t="s">
        <v>7674</v>
      </c>
      <c r="Q2317" t="s">
        <v>41</v>
      </c>
      <c r="R2317" t="s">
        <v>7903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1</v>
      </c>
      <c r="AC2317" t="b">
        <v>1</v>
      </c>
      <c r="AD2317" t="b">
        <v>1</v>
      </c>
      <c r="AE2317" t="b">
        <v>1</v>
      </c>
      <c r="AF2317" t="b">
        <v>1</v>
      </c>
      <c r="AG2317" t="b">
        <v>1</v>
      </c>
    </row>
    <row r="2318" spans="1:33" x14ac:dyDescent="0.25">
      <c r="A2318" t="s">
        <v>709</v>
      </c>
      <c r="B2318">
        <v>5</v>
      </c>
      <c r="C2318" t="b">
        <v>0</v>
      </c>
      <c r="D2318" t="s">
        <v>7228</v>
      </c>
      <c r="E2318" t="s">
        <v>7669</v>
      </c>
      <c r="F2318" t="s">
        <v>7908</v>
      </c>
      <c r="G2318" t="s">
        <v>7909</v>
      </c>
      <c r="H2318">
        <v>2317</v>
      </c>
      <c r="I2318" t="str">
        <f>IF(ISBLANK(Table1[[#This Row],[oid]]),"FALSE","TRUE")</f>
        <v>TRUE</v>
      </c>
      <c r="J2318" t="str" cm="1">
        <f t="array" ref="J2318">_xlfn.SWITCH(LEFT(Table1[[#This Row],[section]],1), "D", "Demographic", "S", "Social", "E", "Economic", "H", "Housing", "")</f>
        <v>Economic</v>
      </c>
      <c r="K2318" t="s">
        <v>7672</v>
      </c>
      <c r="L2318" t="s">
        <v>7673</v>
      </c>
      <c r="M2318" t="str">
        <f>IF(Table1[[#This Row],[used]], _xlfn.CONCAT("🆔 ", Table1[[#This Row],[variable]], ": ",Table1[[#This Row],[alias]]), "")</f>
        <v>🆔 B17010_038E: Income in the past 12 months at or above poverty level: Other family: Female householder no husband present: With related children under 18 years: Under 5 years only</v>
      </c>
      <c r="O2318" t="s">
        <v>7910</v>
      </c>
      <c r="P2318" t="s">
        <v>7674</v>
      </c>
      <c r="Q2318" t="s">
        <v>41</v>
      </c>
      <c r="R2318" t="s">
        <v>7911</v>
      </c>
      <c r="S2318" t="b">
        <v>1</v>
      </c>
      <c r="T2318" t="b">
        <v>1</v>
      </c>
      <c r="U2318" t="b">
        <v>1</v>
      </c>
      <c r="V2318" t="b">
        <v>1</v>
      </c>
      <c r="W2318" t="b">
        <v>1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</row>
    <row r="2319" spans="1:33" x14ac:dyDescent="0.25">
      <c r="A2319" t="s">
        <v>755</v>
      </c>
      <c r="B2319">
        <v>4</v>
      </c>
      <c r="C2319" t="b">
        <v>0</v>
      </c>
      <c r="D2319" t="s">
        <v>7228</v>
      </c>
      <c r="E2319" t="s">
        <v>7669</v>
      </c>
      <c r="F2319" t="s">
        <v>7908</v>
      </c>
      <c r="G2319" t="s">
        <v>7912</v>
      </c>
      <c r="H2319">
        <v>2318</v>
      </c>
      <c r="I2319" t="str">
        <f>IF(ISBLANK(Table1[[#This Row],[oid]]),"FALSE","TRUE")</f>
        <v>TRUE</v>
      </c>
      <c r="J2319" t="str" cm="1">
        <f t="array" ref="J2319">_xlfn.SWITCH(LEFT(Table1[[#This Row],[section]],1), "D", "Demographic", "S", "Social", "E", "Economic", "H", "Housing", "")</f>
        <v>Economic</v>
      </c>
      <c r="K2319" t="s">
        <v>7672</v>
      </c>
      <c r="L2319" t="s">
        <v>7673</v>
      </c>
      <c r="M2319" t="str">
        <f>IF(Table1[[#This Row],[used]], _xlfn.CONCAT("🆔 ", Table1[[#This Row],[variable]], ": ",Table1[[#This Row],[alias]]), "")</f>
        <v>🆔 B17010_038E: Income in the past 12 months at or above poverty level: Other family: Female householder no husband present: With related children of the householder under 18 years: Under 5 years only</v>
      </c>
      <c r="O2319" t="s">
        <v>7913</v>
      </c>
      <c r="P2319" t="s">
        <v>7674</v>
      </c>
      <c r="Q2319" t="s">
        <v>41</v>
      </c>
      <c r="R2319" t="s">
        <v>7911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1</v>
      </c>
      <c r="Y2319" t="b">
        <v>1</v>
      </c>
      <c r="Z2319" t="b">
        <v>1</v>
      </c>
      <c r="AA2319" t="b">
        <v>1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</row>
    <row r="2320" spans="1:33" x14ac:dyDescent="0.25">
      <c r="A2320" t="s">
        <v>681</v>
      </c>
      <c r="B2320">
        <v>6</v>
      </c>
      <c r="C2320" t="b">
        <v>0</v>
      </c>
      <c r="D2320" t="s">
        <v>7228</v>
      </c>
      <c r="E2320" t="s">
        <v>7669</v>
      </c>
      <c r="F2320" t="s">
        <v>7908</v>
      </c>
      <c r="G2320" t="s">
        <v>7914</v>
      </c>
      <c r="H2320">
        <v>2319</v>
      </c>
      <c r="I2320" t="str">
        <f>IF(ISBLANK(Table1[[#This Row],[oid]]),"FALSE","TRUE")</f>
        <v>TRUE</v>
      </c>
      <c r="J2320" t="str" cm="1">
        <f t="array" ref="J2320">_xlfn.SWITCH(LEFT(Table1[[#This Row],[section]],1), "D", "Demographic", "S", "Social", "E", "Economic", "H", "Housing", "")</f>
        <v>Economic</v>
      </c>
      <c r="K2320" t="s">
        <v>7672</v>
      </c>
      <c r="L2320" t="s">
        <v>7673</v>
      </c>
      <c r="M2320" t="str">
        <f>IF(Table1[[#This Row],[used]], _xlfn.CONCAT("🆔 ", Table1[[#This Row],[variable]], ": ",Table1[[#This Row],[alias]]), "")</f>
        <v>🆔 B17010_038E: Income in the past 12 months at or above poverty level: Other family: Female householder no spouse present: With related children of the householder under 18 years: Under 5 years only</v>
      </c>
      <c r="O2320" t="s">
        <v>7915</v>
      </c>
      <c r="P2320" t="s">
        <v>7674</v>
      </c>
      <c r="Q2320" t="s">
        <v>41</v>
      </c>
      <c r="R2320" t="s">
        <v>7911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1</v>
      </c>
      <c r="AC2320" t="b">
        <v>1</v>
      </c>
      <c r="AD2320" t="b">
        <v>1</v>
      </c>
      <c r="AE2320" t="b">
        <v>1</v>
      </c>
      <c r="AF2320" t="b">
        <v>1</v>
      </c>
      <c r="AG2320" t="b">
        <v>1</v>
      </c>
    </row>
    <row r="2321" spans="1:33" x14ac:dyDescent="0.25">
      <c r="A2321" t="s">
        <v>709</v>
      </c>
      <c r="B2321">
        <v>5</v>
      </c>
      <c r="C2321" t="b">
        <v>0</v>
      </c>
      <c r="D2321" t="s">
        <v>7228</v>
      </c>
      <c r="E2321" t="s">
        <v>7669</v>
      </c>
      <c r="F2321" t="s">
        <v>7916</v>
      </c>
      <c r="G2321" t="s">
        <v>7917</v>
      </c>
      <c r="H2321">
        <v>2320</v>
      </c>
      <c r="I2321" t="str">
        <f>IF(ISBLANK(Table1[[#This Row],[oid]]),"FALSE","TRUE")</f>
        <v>TRUE</v>
      </c>
      <c r="J2321" t="str" cm="1">
        <f t="array" ref="J2321">_xlfn.SWITCH(LEFT(Table1[[#This Row],[section]],1), "D", "Demographic", "S", "Social", "E", "Economic", "H", "Housing", "")</f>
        <v>Economic</v>
      </c>
      <c r="K2321" t="s">
        <v>7672</v>
      </c>
      <c r="L2321" t="s">
        <v>7673</v>
      </c>
      <c r="M2321" t="str">
        <f>IF(Table1[[#This Row],[used]], _xlfn.CONCAT("🆔 ", Table1[[#This Row],[variable]], ": ",Table1[[#This Row],[alias]]), "")</f>
        <v>🆔 B17010_039E: Income in the past 12 months at or above poverty level: Other family: Female householder no husband present: With related children under 18 years: Under 5 years and 5 to 17 years</v>
      </c>
      <c r="O2321" t="s">
        <v>7918</v>
      </c>
      <c r="P2321" t="s">
        <v>7674</v>
      </c>
      <c r="Q2321" t="s">
        <v>41</v>
      </c>
      <c r="R2321" t="s">
        <v>7919</v>
      </c>
      <c r="S2321" t="b">
        <v>1</v>
      </c>
      <c r="T2321" t="b">
        <v>1</v>
      </c>
      <c r="U2321" t="b">
        <v>1</v>
      </c>
      <c r="V2321" t="b">
        <v>1</v>
      </c>
      <c r="W2321" t="b">
        <v>1</v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</row>
    <row r="2322" spans="1:33" x14ac:dyDescent="0.25">
      <c r="A2322" t="s">
        <v>755</v>
      </c>
      <c r="B2322">
        <v>4</v>
      </c>
      <c r="C2322" t="b">
        <v>0</v>
      </c>
      <c r="D2322" t="s">
        <v>7228</v>
      </c>
      <c r="E2322" t="s">
        <v>7669</v>
      </c>
      <c r="F2322" t="s">
        <v>7916</v>
      </c>
      <c r="G2322" t="s">
        <v>7920</v>
      </c>
      <c r="H2322">
        <v>2321</v>
      </c>
      <c r="I2322" t="str">
        <f>IF(ISBLANK(Table1[[#This Row],[oid]]),"FALSE","TRUE")</f>
        <v>TRUE</v>
      </c>
      <c r="J2322" t="str" cm="1">
        <f t="array" ref="J2322">_xlfn.SWITCH(LEFT(Table1[[#This Row],[section]],1), "D", "Demographic", "S", "Social", "E", "Economic", "H", "Housing", "")</f>
        <v>Economic</v>
      </c>
      <c r="K2322" t="s">
        <v>7672</v>
      </c>
      <c r="L2322" t="s">
        <v>7673</v>
      </c>
      <c r="M2322" t="str">
        <f>IF(Table1[[#This Row],[used]], _xlfn.CONCAT("🆔 ", Table1[[#This Row],[variable]], ": ",Table1[[#This Row],[alias]]), "")</f>
        <v>🆔 B17010_039E: Income in the past 12 months at or above poverty level: Other family: Female householder no husband present: With related children of the householder under 18 years: Under 5 years and 5 to 17 years</v>
      </c>
      <c r="O2322" t="s">
        <v>7921</v>
      </c>
      <c r="P2322" t="s">
        <v>7674</v>
      </c>
      <c r="Q2322" t="s">
        <v>41</v>
      </c>
      <c r="R2322" t="s">
        <v>7919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1</v>
      </c>
      <c r="Y2322" t="b">
        <v>1</v>
      </c>
      <c r="Z2322" t="b">
        <v>1</v>
      </c>
      <c r="AA2322" t="b">
        <v>1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</row>
    <row r="2323" spans="1:33" x14ac:dyDescent="0.25">
      <c r="A2323" t="s">
        <v>681</v>
      </c>
      <c r="B2323">
        <v>6</v>
      </c>
      <c r="C2323" t="b">
        <v>0</v>
      </c>
      <c r="D2323" t="s">
        <v>7228</v>
      </c>
      <c r="E2323" t="s">
        <v>7669</v>
      </c>
      <c r="F2323" t="s">
        <v>7916</v>
      </c>
      <c r="G2323" t="s">
        <v>7922</v>
      </c>
      <c r="H2323">
        <v>2322</v>
      </c>
      <c r="I2323" t="str">
        <f>IF(ISBLANK(Table1[[#This Row],[oid]]),"FALSE","TRUE")</f>
        <v>TRUE</v>
      </c>
      <c r="J2323" t="str" cm="1">
        <f t="array" ref="J2323">_xlfn.SWITCH(LEFT(Table1[[#This Row],[section]],1), "D", "Demographic", "S", "Social", "E", "Economic", "H", "Housing", "")</f>
        <v>Economic</v>
      </c>
      <c r="K2323" t="s">
        <v>7672</v>
      </c>
      <c r="L2323" t="s">
        <v>7673</v>
      </c>
      <c r="M2323" t="str">
        <f>IF(Table1[[#This Row],[used]], _xlfn.CONCAT("🆔 ", Table1[[#This Row],[variable]], ": ",Table1[[#This Row],[alias]]), "")</f>
        <v>🆔 B17010_039E: Income in the past 12 months at or above poverty level: Other family: Female householder no spouse present: With related children of the householder under 18 years: Under 5 years and 5 to 17 years</v>
      </c>
      <c r="O2323" t="s">
        <v>7923</v>
      </c>
      <c r="P2323" t="s">
        <v>7674</v>
      </c>
      <c r="Q2323" t="s">
        <v>41</v>
      </c>
      <c r="R2323" t="s">
        <v>7919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1</v>
      </c>
      <c r="AC2323" t="b">
        <v>1</v>
      </c>
      <c r="AD2323" t="b">
        <v>1</v>
      </c>
      <c r="AE2323" t="b">
        <v>1</v>
      </c>
      <c r="AF2323" t="b">
        <v>1</v>
      </c>
      <c r="AG2323" t="b">
        <v>1</v>
      </c>
    </row>
    <row r="2324" spans="1:33" x14ac:dyDescent="0.25">
      <c r="A2324" t="s">
        <v>709</v>
      </c>
      <c r="B2324">
        <v>5</v>
      </c>
      <c r="C2324" t="b">
        <v>0</v>
      </c>
      <c r="D2324" t="s">
        <v>7228</v>
      </c>
      <c r="E2324" t="s">
        <v>7669</v>
      </c>
      <c r="F2324" t="s">
        <v>7924</v>
      </c>
      <c r="G2324" t="s">
        <v>7925</v>
      </c>
      <c r="H2324">
        <v>2323</v>
      </c>
      <c r="I2324" t="str">
        <f>IF(ISBLANK(Table1[[#This Row],[oid]]),"FALSE","TRUE")</f>
        <v>TRUE</v>
      </c>
      <c r="J2324" t="str" cm="1">
        <f t="array" ref="J2324">_xlfn.SWITCH(LEFT(Table1[[#This Row],[section]],1), "D", "Demographic", "S", "Social", "E", "Economic", "H", "Housing", "")</f>
        <v>Economic</v>
      </c>
      <c r="K2324" t="s">
        <v>7672</v>
      </c>
      <c r="L2324" t="s">
        <v>7673</v>
      </c>
      <c r="M2324" t="str">
        <f>IF(Table1[[#This Row],[used]], _xlfn.CONCAT("🆔 ", Table1[[#This Row],[variable]], ": ",Table1[[#This Row],[alias]]), "")</f>
        <v>🆔 B17010_040E: Income in the past 12 months at or above poverty level: Other family: Female householder no husband present: With related children under 18 years: 5 to 17 years only</v>
      </c>
      <c r="O2324" t="s">
        <v>7926</v>
      </c>
      <c r="P2324" t="s">
        <v>7674</v>
      </c>
      <c r="Q2324" t="s">
        <v>41</v>
      </c>
      <c r="R2324" t="s">
        <v>7927</v>
      </c>
      <c r="S2324" t="b">
        <v>1</v>
      </c>
      <c r="T2324" t="b">
        <v>1</v>
      </c>
      <c r="U2324" t="b">
        <v>1</v>
      </c>
      <c r="V2324" t="b">
        <v>1</v>
      </c>
      <c r="W2324" t="b">
        <v>1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</row>
    <row r="2325" spans="1:33" x14ac:dyDescent="0.25">
      <c r="A2325" t="s">
        <v>755</v>
      </c>
      <c r="B2325">
        <v>4</v>
      </c>
      <c r="C2325" t="b">
        <v>0</v>
      </c>
      <c r="D2325" t="s">
        <v>7228</v>
      </c>
      <c r="E2325" t="s">
        <v>7669</v>
      </c>
      <c r="F2325" t="s">
        <v>7924</v>
      </c>
      <c r="G2325" t="s">
        <v>7928</v>
      </c>
      <c r="H2325">
        <v>2324</v>
      </c>
      <c r="I2325" t="str">
        <f>IF(ISBLANK(Table1[[#This Row],[oid]]),"FALSE","TRUE")</f>
        <v>TRUE</v>
      </c>
      <c r="J2325" t="str" cm="1">
        <f t="array" ref="J2325">_xlfn.SWITCH(LEFT(Table1[[#This Row],[section]],1), "D", "Demographic", "S", "Social", "E", "Economic", "H", "Housing", "")</f>
        <v>Economic</v>
      </c>
      <c r="K2325" t="s">
        <v>7672</v>
      </c>
      <c r="L2325" t="s">
        <v>7673</v>
      </c>
      <c r="M2325" t="str">
        <f>IF(Table1[[#This Row],[used]], _xlfn.CONCAT("🆔 ", Table1[[#This Row],[variable]], ": ",Table1[[#This Row],[alias]]), "")</f>
        <v>🆔 B17010_040E: Income in the past 12 months at or above poverty level: Other family: Female householder no husband present: With related children of the householder under 18 years: 5 to 17 years only</v>
      </c>
      <c r="O2325" t="s">
        <v>7929</v>
      </c>
      <c r="P2325" t="s">
        <v>7674</v>
      </c>
      <c r="Q2325" t="s">
        <v>41</v>
      </c>
      <c r="R2325" t="s">
        <v>7927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1</v>
      </c>
      <c r="Y2325" t="b">
        <v>1</v>
      </c>
      <c r="Z2325" t="b">
        <v>1</v>
      </c>
      <c r="AA2325" t="b">
        <v>1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</row>
    <row r="2326" spans="1:33" x14ac:dyDescent="0.25">
      <c r="A2326" t="s">
        <v>681</v>
      </c>
      <c r="B2326">
        <v>6</v>
      </c>
      <c r="C2326" t="b">
        <v>0</v>
      </c>
      <c r="D2326" t="s">
        <v>7228</v>
      </c>
      <c r="E2326" t="s">
        <v>7669</v>
      </c>
      <c r="F2326" t="s">
        <v>7924</v>
      </c>
      <c r="G2326" t="s">
        <v>7930</v>
      </c>
      <c r="H2326">
        <v>2325</v>
      </c>
      <c r="I2326" t="str">
        <f>IF(ISBLANK(Table1[[#This Row],[oid]]),"FALSE","TRUE")</f>
        <v>TRUE</v>
      </c>
      <c r="J2326" t="str" cm="1">
        <f t="array" ref="J2326">_xlfn.SWITCH(LEFT(Table1[[#This Row],[section]],1), "D", "Demographic", "S", "Social", "E", "Economic", "H", "Housing", "")</f>
        <v>Economic</v>
      </c>
      <c r="K2326" t="s">
        <v>7672</v>
      </c>
      <c r="L2326" t="s">
        <v>7673</v>
      </c>
      <c r="M2326" t="str">
        <f>IF(Table1[[#This Row],[used]], _xlfn.CONCAT("🆔 ", Table1[[#This Row],[variable]], ": ",Table1[[#This Row],[alias]]), "")</f>
        <v>🆔 B17010_040E: Income in the past 12 months at or above poverty level: Other family: Female householder no spouse present: With related children of the householder under 18 years: 5 to 17 years only</v>
      </c>
      <c r="O2326" t="s">
        <v>7931</v>
      </c>
      <c r="P2326" t="s">
        <v>7674</v>
      </c>
      <c r="Q2326" t="s">
        <v>41</v>
      </c>
      <c r="R2326" t="s">
        <v>7927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1</v>
      </c>
      <c r="AC2326" t="b">
        <v>1</v>
      </c>
      <c r="AD2326" t="b">
        <v>1</v>
      </c>
      <c r="AE2326" t="b">
        <v>1</v>
      </c>
      <c r="AF2326" t="b">
        <v>1</v>
      </c>
      <c r="AG2326" t="b">
        <v>1</v>
      </c>
    </row>
    <row r="2327" spans="1:33" x14ac:dyDescent="0.25">
      <c r="A2327" t="s">
        <v>709</v>
      </c>
      <c r="B2327">
        <v>5</v>
      </c>
      <c r="C2327" t="b">
        <v>0</v>
      </c>
      <c r="D2327" t="s">
        <v>7228</v>
      </c>
      <c r="E2327" t="s">
        <v>7669</v>
      </c>
      <c r="F2327" t="s">
        <v>7932</v>
      </c>
      <c r="G2327" t="s">
        <v>7933</v>
      </c>
      <c r="H2327">
        <v>2326</v>
      </c>
      <c r="I2327" t="str">
        <f>IF(ISBLANK(Table1[[#This Row],[oid]]),"FALSE","TRUE")</f>
        <v>TRUE</v>
      </c>
      <c r="J2327" t="str" cm="1">
        <f t="array" ref="J2327">_xlfn.SWITCH(LEFT(Table1[[#This Row],[section]],1), "D", "Demographic", "S", "Social", "E", "Economic", "H", "Housing", "")</f>
        <v>Economic</v>
      </c>
      <c r="K2327" t="s">
        <v>7672</v>
      </c>
      <c r="L2327" t="s">
        <v>7673</v>
      </c>
      <c r="M2327" t="str">
        <f>IF(Table1[[#This Row],[used]], _xlfn.CONCAT("🆔 ", Table1[[#This Row],[variable]], ": ",Table1[[#This Row],[alias]]), "")</f>
        <v>🆔 B17010_041E: Income in the past 12 months at or above poverty level: Other family: Female householder no husband present: No related children under 18 years</v>
      </c>
      <c r="O2327" t="s">
        <v>7934</v>
      </c>
      <c r="P2327" t="s">
        <v>7674</v>
      </c>
      <c r="Q2327" t="s">
        <v>41</v>
      </c>
      <c r="R2327" t="s">
        <v>7935</v>
      </c>
      <c r="S2327" t="b">
        <v>1</v>
      </c>
      <c r="T2327" t="b">
        <v>1</v>
      </c>
      <c r="U2327" t="b">
        <v>1</v>
      </c>
      <c r="V2327" t="b">
        <v>1</v>
      </c>
      <c r="W2327" t="b">
        <v>1</v>
      </c>
      <c r="X2327" t="b">
        <v>0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</row>
    <row r="2328" spans="1:33" x14ac:dyDescent="0.25">
      <c r="A2328" t="s">
        <v>755</v>
      </c>
      <c r="B2328">
        <v>4</v>
      </c>
      <c r="C2328" t="b">
        <v>0</v>
      </c>
      <c r="D2328" t="s">
        <v>7228</v>
      </c>
      <c r="E2328" t="s">
        <v>7669</v>
      </c>
      <c r="F2328" t="s">
        <v>7932</v>
      </c>
      <c r="G2328" t="s">
        <v>7936</v>
      </c>
      <c r="H2328">
        <v>2327</v>
      </c>
      <c r="I2328" t="str">
        <f>IF(ISBLANK(Table1[[#This Row],[oid]]),"FALSE","TRUE")</f>
        <v>TRUE</v>
      </c>
      <c r="J2328" t="str" cm="1">
        <f t="array" ref="J2328">_xlfn.SWITCH(LEFT(Table1[[#This Row],[section]],1), "D", "Demographic", "S", "Social", "E", "Economic", "H", "Housing", "")</f>
        <v>Economic</v>
      </c>
      <c r="K2328" t="s">
        <v>7672</v>
      </c>
      <c r="L2328" t="s">
        <v>7673</v>
      </c>
      <c r="M2328" t="str">
        <f>IF(Table1[[#This Row],[used]], _xlfn.CONCAT("🆔 ", Table1[[#This Row],[variable]], ": ",Table1[[#This Row],[alias]]), "")</f>
        <v>🆔 B17010_041E: Income in the past 12 months at or above poverty level: Other family: Female householder no husband present: No related children of the householder under 18 years</v>
      </c>
      <c r="O2328" t="s">
        <v>7937</v>
      </c>
      <c r="P2328" t="s">
        <v>7674</v>
      </c>
      <c r="Q2328" t="s">
        <v>41</v>
      </c>
      <c r="R2328" t="s">
        <v>7935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1</v>
      </c>
      <c r="Y2328" t="b">
        <v>1</v>
      </c>
      <c r="Z2328" t="b">
        <v>1</v>
      </c>
      <c r="AA2328" t="b">
        <v>1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</row>
    <row r="2329" spans="1:33" x14ac:dyDescent="0.25">
      <c r="A2329" t="s">
        <v>681</v>
      </c>
      <c r="B2329">
        <v>6</v>
      </c>
      <c r="C2329" t="b">
        <v>0</v>
      </c>
      <c r="D2329" t="s">
        <v>7228</v>
      </c>
      <c r="E2329" t="s">
        <v>7669</v>
      </c>
      <c r="F2329" t="s">
        <v>7932</v>
      </c>
      <c r="G2329" t="s">
        <v>7938</v>
      </c>
      <c r="H2329">
        <v>2328</v>
      </c>
      <c r="I2329" t="str">
        <f>IF(ISBLANK(Table1[[#This Row],[oid]]),"FALSE","TRUE")</f>
        <v>TRUE</v>
      </c>
      <c r="J2329" t="str" cm="1">
        <f t="array" ref="J2329">_xlfn.SWITCH(LEFT(Table1[[#This Row],[section]],1), "D", "Demographic", "S", "Social", "E", "Economic", "H", "Housing", "")</f>
        <v>Economic</v>
      </c>
      <c r="K2329" t="s">
        <v>7672</v>
      </c>
      <c r="L2329" t="s">
        <v>7673</v>
      </c>
      <c r="M2329" t="str">
        <f>IF(Table1[[#This Row],[used]], _xlfn.CONCAT("🆔 ", Table1[[#This Row],[variable]], ": ",Table1[[#This Row],[alias]]), "")</f>
        <v>🆔 B17010_041E: Income in the past 12 months at or above poverty level: Other family: Female householder no spouse present: No related children of the householder under 18 years</v>
      </c>
      <c r="O2329" t="s">
        <v>7939</v>
      </c>
      <c r="P2329" t="s">
        <v>7674</v>
      </c>
      <c r="Q2329" t="s">
        <v>41</v>
      </c>
      <c r="R2329" t="s">
        <v>7935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1</v>
      </c>
      <c r="AC2329" t="b">
        <v>1</v>
      </c>
      <c r="AD2329" t="b">
        <v>1</v>
      </c>
      <c r="AE2329" t="b">
        <v>1</v>
      </c>
      <c r="AF2329" t="b">
        <v>1</v>
      </c>
      <c r="AG2329" t="b">
        <v>1</v>
      </c>
    </row>
    <row r="2330" spans="1:33" x14ac:dyDescent="0.25">
      <c r="A2330" t="s">
        <v>33</v>
      </c>
      <c r="B2330">
        <v>15</v>
      </c>
      <c r="C2330" t="b">
        <v>1</v>
      </c>
      <c r="D2330" t="s">
        <v>7228</v>
      </c>
      <c r="E2330" t="s">
        <v>7940</v>
      </c>
      <c r="F2330" t="s">
        <v>7941</v>
      </c>
      <c r="G2330" t="s">
        <v>7942</v>
      </c>
      <c r="H2330">
        <v>2329</v>
      </c>
      <c r="I2330" t="str">
        <f>IF(ISBLANK(Table1[[#This Row],[oid]]),"FALSE","TRUE")</f>
        <v>TRUE</v>
      </c>
      <c r="J2330" t="str" cm="1">
        <f t="array" ref="J2330">_xlfn.SWITCH(LEFT(Table1[[#This Row],[section]],1), "D", "Demographic", "S", "Social", "E", "Economic", "H", "Housing", "")</f>
        <v>Economic</v>
      </c>
      <c r="K2330" t="s">
        <v>7943</v>
      </c>
      <c r="L2330" t="s">
        <v>7944</v>
      </c>
      <c r="M2330" t="str">
        <f>IF(Table1[[#This Row],[used]], _xlfn.CONCAT("🆔 ", Table1[[#This Row],[variable]], ": ",Table1[[#This Row],[alias]]), "")</f>
        <v>🆔 B17011_001E: Aggregate income deficit in the past 12 months</v>
      </c>
      <c r="O2330" t="s">
        <v>7945</v>
      </c>
      <c r="P2330" t="s">
        <v>7946</v>
      </c>
      <c r="Q2330" t="s">
        <v>41</v>
      </c>
      <c r="R2330" t="s">
        <v>7947</v>
      </c>
      <c r="S2330" t="b">
        <v>1</v>
      </c>
      <c r="T2330" t="b">
        <v>1</v>
      </c>
      <c r="U2330" t="b">
        <v>1</v>
      </c>
      <c r="V2330" t="b">
        <v>1</v>
      </c>
      <c r="W2330" t="b">
        <v>1</v>
      </c>
      <c r="X2330" t="b">
        <v>1</v>
      </c>
      <c r="Y2330" t="b">
        <v>1</v>
      </c>
      <c r="Z2330" t="b">
        <v>1</v>
      </c>
      <c r="AA2330" t="b">
        <v>1</v>
      </c>
      <c r="AB2330" t="b">
        <v>1</v>
      </c>
      <c r="AC2330" t="b">
        <v>1</v>
      </c>
      <c r="AD2330" t="b">
        <v>1</v>
      </c>
      <c r="AE2330" t="b">
        <v>1</v>
      </c>
      <c r="AF2330" t="b">
        <v>1</v>
      </c>
      <c r="AG2330" t="b">
        <v>1</v>
      </c>
    </row>
    <row r="2331" spans="1:33" x14ac:dyDescent="0.25">
      <c r="A2331" t="s">
        <v>33</v>
      </c>
      <c r="B2331">
        <v>15</v>
      </c>
      <c r="C2331" t="b">
        <v>1</v>
      </c>
      <c r="D2331" t="s">
        <v>7228</v>
      </c>
      <c r="E2331" t="s">
        <v>7940</v>
      </c>
      <c r="F2331" t="s">
        <v>7948</v>
      </c>
      <c r="G2331" t="s">
        <v>7949</v>
      </c>
      <c r="H2331">
        <v>2330</v>
      </c>
      <c r="I2331" t="str">
        <f>IF(ISBLANK(Table1[[#This Row],[oid]]),"FALSE","TRUE")</f>
        <v>TRUE</v>
      </c>
      <c r="J2331" t="str" cm="1">
        <f t="array" ref="J2331">_xlfn.SWITCH(LEFT(Table1[[#This Row],[section]],1), "D", "Demographic", "S", "Social", "E", "Economic", "H", "Housing", "")</f>
        <v>Economic</v>
      </c>
      <c r="K2331" t="s">
        <v>7943</v>
      </c>
      <c r="L2331" t="s">
        <v>7944</v>
      </c>
      <c r="M2331" t="str">
        <f>IF(Table1[[#This Row],[used]], _xlfn.CONCAT("🆔 ", Table1[[#This Row],[variable]], ": ",Table1[[#This Row],[alias]]), "")</f>
        <v>🆔 B17011_002E: Aggregate income deficit in the past 12 months: Married-couple family</v>
      </c>
      <c r="O2331" t="s">
        <v>7950</v>
      </c>
      <c r="P2331" t="s">
        <v>7946</v>
      </c>
      <c r="Q2331" t="s">
        <v>41</v>
      </c>
      <c r="R2331" t="s">
        <v>7951</v>
      </c>
      <c r="S2331" t="b">
        <v>1</v>
      </c>
      <c r="T2331" t="b">
        <v>1</v>
      </c>
      <c r="U2331" t="b">
        <v>1</v>
      </c>
      <c r="V2331" t="b">
        <v>1</v>
      </c>
      <c r="W2331" t="b">
        <v>1</v>
      </c>
      <c r="X2331" t="b">
        <v>1</v>
      </c>
      <c r="Y2331" t="b">
        <v>1</v>
      </c>
      <c r="Z2331" t="b">
        <v>1</v>
      </c>
      <c r="AA2331" t="b">
        <v>1</v>
      </c>
      <c r="AB2331" t="b">
        <v>1</v>
      </c>
      <c r="AC2331" t="b">
        <v>1</v>
      </c>
      <c r="AD2331" t="b">
        <v>1</v>
      </c>
      <c r="AE2331" t="b">
        <v>1</v>
      </c>
      <c r="AF2331" t="b">
        <v>1</v>
      </c>
      <c r="AG2331" t="b">
        <v>1</v>
      </c>
    </row>
    <row r="2332" spans="1:33" x14ac:dyDescent="0.25">
      <c r="A2332" t="s">
        <v>33</v>
      </c>
      <c r="B2332">
        <v>15</v>
      </c>
      <c r="C2332" t="b">
        <v>1</v>
      </c>
      <c r="D2332" t="s">
        <v>7228</v>
      </c>
      <c r="E2332" t="s">
        <v>7940</v>
      </c>
      <c r="F2332" t="s">
        <v>7952</v>
      </c>
      <c r="G2332" t="s">
        <v>7953</v>
      </c>
      <c r="H2332">
        <v>2331</v>
      </c>
      <c r="I2332" t="str">
        <f>IF(ISBLANK(Table1[[#This Row],[oid]]),"FALSE","TRUE")</f>
        <v>TRUE</v>
      </c>
      <c r="J2332" t="str" cm="1">
        <f t="array" ref="J2332">_xlfn.SWITCH(LEFT(Table1[[#This Row],[section]],1), "D", "Demographic", "S", "Social", "E", "Economic", "H", "Housing", "")</f>
        <v>Economic</v>
      </c>
      <c r="K2332" t="s">
        <v>7943</v>
      </c>
      <c r="L2332" t="s">
        <v>7944</v>
      </c>
      <c r="M2332" t="str">
        <f>IF(Table1[[#This Row],[used]], _xlfn.CONCAT("🆔 ", Table1[[#This Row],[variable]], ": ",Table1[[#This Row],[alias]]), "")</f>
        <v>🆔 B17011_003E: Aggregate income deficit in the past 12 months: Other family</v>
      </c>
      <c r="O2332" t="s">
        <v>7954</v>
      </c>
      <c r="P2332" t="s">
        <v>7946</v>
      </c>
      <c r="Q2332" t="s">
        <v>41</v>
      </c>
      <c r="R2332" t="s">
        <v>7955</v>
      </c>
      <c r="S2332" t="b">
        <v>1</v>
      </c>
      <c r="T2332" t="b">
        <v>1</v>
      </c>
      <c r="U2332" t="b">
        <v>1</v>
      </c>
      <c r="V2332" t="b">
        <v>1</v>
      </c>
      <c r="W2332" t="b">
        <v>1</v>
      </c>
      <c r="X2332" t="b">
        <v>1</v>
      </c>
      <c r="Y2332" t="b">
        <v>1</v>
      </c>
      <c r="Z2332" t="b">
        <v>1</v>
      </c>
      <c r="AA2332" t="b">
        <v>1</v>
      </c>
      <c r="AB2332" t="b">
        <v>1</v>
      </c>
      <c r="AC2332" t="b">
        <v>1</v>
      </c>
      <c r="AD2332" t="b">
        <v>1</v>
      </c>
      <c r="AE2332" t="b">
        <v>1</v>
      </c>
      <c r="AF2332" t="b">
        <v>1</v>
      </c>
      <c r="AG2332" t="b">
        <v>1</v>
      </c>
    </row>
    <row r="2333" spans="1:33" x14ac:dyDescent="0.25">
      <c r="A2333" t="s">
        <v>676</v>
      </c>
      <c r="B2333">
        <v>9</v>
      </c>
      <c r="C2333" t="b">
        <v>0</v>
      </c>
      <c r="D2333" t="s">
        <v>7228</v>
      </c>
      <c r="E2333" t="s">
        <v>7940</v>
      </c>
      <c r="F2333" t="s">
        <v>7956</v>
      </c>
      <c r="G2333" t="s">
        <v>7957</v>
      </c>
      <c r="H2333">
        <v>2332</v>
      </c>
      <c r="I2333" t="str">
        <f>IF(ISBLANK(Table1[[#This Row],[oid]]),"FALSE","TRUE")</f>
        <v>TRUE</v>
      </c>
      <c r="J2333" t="str" cm="1">
        <f t="array" ref="J2333">_xlfn.SWITCH(LEFT(Table1[[#This Row],[section]],1), "D", "Demographic", "S", "Social", "E", "Economic", "H", "Housing", "")</f>
        <v>Economic</v>
      </c>
      <c r="K2333" t="s">
        <v>7943</v>
      </c>
      <c r="L2333" t="s">
        <v>7944</v>
      </c>
      <c r="M2333" t="str">
        <f>IF(Table1[[#This Row],[used]], _xlfn.CONCAT("🆔 ", Table1[[#This Row],[variable]], ": ",Table1[[#This Row],[alias]]), "")</f>
        <v>🆔 B17011_004E: Aggregate income deficit in the past 12 months: Other family: Male householder no wife present</v>
      </c>
      <c r="O2333" t="s">
        <v>7958</v>
      </c>
      <c r="P2333" t="s">
        <v>7946</v>
      </c>
      <c r="Q2333" t="s">
        <v>41</v>
      </c>
      <c r="R2333" t="s">
        <v>7959</v>
      </c>
      <c r="S2333" t="b">
        <v>1</v>
      </c>
      <c r="T2333" t="b">
        <v>1</v>
      </c>
      <c r="U2333" t="b">
        <v>1</v>
      </c>
      <c r="V2333" t="b">
        <v>1</v>
      </c>
      <c r="W2333" t="b">
        <v>1</v>
      </c>
      <c r="X2333" t="b">
        <v>1</v>
      </c>
      <c r="Y2333" t="b">
        <v>1</v>
      </c>
      <c r="Z2333" t="b">
        <v>1</v>
      </c>
      <c r="AA2333" t="b">
        <v>1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</row>
    <row r="2334" spans="1:33" x14ac:dyDescent="0.25">
      <c r="A2334" t="s">
        <v>681</v>
      </c>
      <c r="B2334">
        <v>6</v>
      </c>
      <c r="C2334" t="b">
        <v>0</v>
      </c>
      <c r="D2334" t="s">
        <v>7228</v>
      </c>
      <c r="E2334" t="s">
        <v>7940</v>
      </c>
      <c r="F2334" t="s">
        <v>7956</v>
      </c>
      <c r="G2334" t="s">
        <v>7960</v>
      </c>
      <c r="H2334">
        <v>2333</v>
      </c>
      <c r="I2334" t="str">
        <f>IF(ISBLANK(Table1[[#This Row],[oid]]),"FALSE","TRUE")</f>
        <v>TRUE</v>
      </c>
      <c r="J2334" t="str" cm="1">
        <f t="array" ref="J2334">_xlfn.SWITCH(LEFT(Table1[[#This Row],[section]],1), "D", "Demographic", "S", "Social", "E", "Economic", "H", "Housing", "")</f>
        <v>Economic</v>
      </c>
      <c r="K2334" t="s">
        <v>7943</v>
      </c>
      <c r="L2334" t="s">
        <v>7944</v>
      </c>
      <c r="M2334" t="str">
        <f>IF(Table1[[#This Row],[used]], _xlfn.CONCAT("🆔 ", Table1[[#This Row],[variable]], ": ",Table1[[#This Row],[alias]]), "")</f>
        <v>🆔 B17011_004E: Aggregate income deficit in the past 12 months: Other family: Male householder no spouse present</v>
      </c>
      <c r="O2334" t="s">
        <v>7961</v>
      </c>
      <c r="P2334" t="s">
        <v>7946</v>
      </c>
      <c r="Q2334" t="s">
        <v>41</v>
      </c>
      <c r="R2334" t="s">
        <v>7959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1</v>
      </c>
      <c r="AC2334" t="b">
        <v>1</v>
      </c>
      <c r="AD2334" t="b">
        <v>1</v>
      </c>
      <c r="AE2334" t="b">
        <v>1</v>
      </c>
      <c r="AF2334" t="b">
        <v>1</v>
      </c>
      <c r="AG2334" t="b">
        <v>1</v>
      </c>
    </row>
    <row r="2335" spans="1:33" x14ac:dyDescent="0.25">
      <c r="A2335" t="s">
        <v>676</v>
      </c>
      <c r="B2335">
        <v>9</v>
      </c>
      <c r="C2335" t="b">
        <v>0</v>
      </c>
      <c r="D2335" t="s">
        <v>7228</v>
      </c>
      <c r="E2335" t="s">
        <v>7940</v>
      </c>
      <c r="F2335" t="s">
        <v>7962</v>
      </c>
      <c r="G2335" t="s">
        <v>7963</v>
      </c>
      <c r="H2335">
        <v>2334</v>
      </c>
      <c r="I2335" t="str">
        <f>IF(ISBLANK(Table1[[#This Row],[oid]]),"FALSE","TRUE")</f>
        <v>TRUE</v>
      </c>
      <c r="J2335" t="str" cm="1">
        <f t="array" ref="J2335">_xlfn.SWITCH(LEFT(Table1[[#This Row],[section]],1), "D", "Demographic", "S", "Social", "E", "Economic", "H", "Housing", "")</f>
        <v>Economic</v>
      </c>
      <c r="K2335" t="s">
        <v>7943</v>
      </c>
      <c r="L2335" t="s">
        <v>7944</v>
      </c>
      <c r="M2335" t="str">
        <f>IF(Table1[[#This Row],[used]], _xlfn.CONCAT("🆔 ", Table1[[#This Row],[variable]], ": ",Table1[[#This Row],[alias]]), "")</f>
        <v>🆔 B17011_005E: Aggregate income deficit in the past 12 months: Other family: Female householder no husband present</v>
      </c>
      <c r="O2335" t="s">
        <v>7964</v>
      </c>
      <c r="P2335" t="s">
        <v>7946</v>
      </c>
      <c r="Q2335" t="s">
        <v>41</v>
      </c>
      <c r="R2335" t="s">
        <v>7965</v>
      </c>
      <c r="S2335" t="b">
        <v>1</v>
      </c>
      <c r="T2335" t="b">
        <v>1</v>
      </c>
      <c r="U2335" t="b">
        <v>1</v>
      </c>
      <c r="V2335" t="b">
        <v>1</v>
      </c>
      <c r="W2335" t="b">
        <v>1</v>
      </c>
      <c r="X2335" t="b">
        <v>1</v>
      </c>
      <c r="Y2335" t="b">
        <v>1</v>
      </c>
      <c r="Z2335" t="b">
        <v>1</v>
      </c>
      <c r="AA2335" t="b">
        <v>1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</row>
    <row r="2336" spans="1:33" x14ac:dyDescent="0.25">
      <c r="A2336" t="s">
        <v>681</v>
      </c>
      <c r="B2336">
        <v>6</v>
      </c>
      <c r="C2336" t="b">
        <v>0</v>
      </c>
      <c r="D2336" t="s">
        <v>7228</v>
      </c>
      <c r="E2336" t="s">
        <v>7940</v>
      </c>
      <c r="F2336" t="s">
        <v>7962</v>
      </c>
      <c r="G2336" t="s">
        <v>7966</v>
      </c>
      <c r="H2336">
        <v>2335</v>
      </c>
      <c r="I2336" t="str">
        <f>IF(ISBLANK(Table1[[#This Row],[oid]]),"FALSE","TRUE")</f>
        <v>TRUE</v>
      </c>
      <c r="J2336" t="str" cm="1">
        <f t="array" ref="J2336">_xlfn.SWITCH(LEFT(Table1[[#This Row],[section]],1), "D", "Demographic", "S", "Social", "E", "Economic", "H", "Housing", "")</f>
        <v>Economic</v>
      </c>
      <c r="K2336" t="s">
        <v>7943</v>
      </c>
      <c r="L2336" t="s">
        <v>7944</v>
      </c>
      <c r="M2336" t="str">
        <f>IF(Table1[[#This Row],[used]], _xlfn.CONCAT("🆔 ", Table1[[#This Row],[variable]], ": ",Table1[[#This Row],[alias]]), "")</f>
        <v>🆔 B17011_005E: Aggregate income deficit in the past 12 months: Other family: Female householder no spouse present</v>
      </c>
      <c r="O2336" t="s">
        <v>7967</v>
      </c>
      <c r="P2336" t="s">
        <v>7946</v>
      </c>
      <c r="Q2336" t="s">
        <v>41</v>
      </c>
      <c r="R2336" t="s">
        <v>7965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b">
        <v>1</v>
      </c>
      <c r="AC2336" t="b">
        <v>1</v>
      </c>
      <c r="AD2336" t="b">
        <v>1</v>
      </c>
      <c r="AE2336" t="b">
        <v>1</v>
      </c>
      <c r="AF2336" t="b">
        <v>1</v>
      </c>
      <c r="AG2336" t="b">
        <v>1</v>
      </c>
    </row>
    <row r="2337" spans="1:33" x14ac:dyDescent="0.25">
      <c r="A2337" t="s">
        <v>33</v>
      </c>
      <c r="B2337">
        <v>15</v>
      </c>
      <c r="C2337" t="b">
        <v>1</v>
      </c>
      <c r="D2337" t="s">
        <v>7968</v>
      </c>
      <c r="E2337" t="s">
        <v>7969</v>
      </c>
      <c r="F2337" t="s">
        <v>7970</v>
      </c>
      <c r="G2337" t="s">
        <v>7971</v>
      </c>
      <c r="H2337">
        <v>2336</v>
      </c>
      <c r="I2337" t="str">
        <f>IF(ISBLANK(Table1[[#This Row],[oid]]),"FALSE","TRUE")</f>
        <v>TRUE</v>
      </c>
      <c r="J2337" t="str" cm="1">
        <f t="array" ref="J2337">_xlfn.SWITCH(LEFT(Table1[[#This Row],[section]],1), "D", "Demographic", "S", "Social", "E", "Economic", "H", "Housing", "")</f>
        <v>Housing</v>
      </c>
      <c r="K2337" t="s">
        <v>7972</v>
      </c>
      <c r="L2337" t="s">
        <v>7973</v>
      </c>
      <c r="M2337" t="str">
        <f>IF(Table1[[#This Row],[used]], _xlfn.CONCAT("🆔 ", Table1[[#This Row],[variable]], ": ",Table1[[#This Row],[alias]]), "")</f>
        <v>🆔 B25002_001E: Total Housing Units</v>
      </c>
      <c r="O2337" t="s">
        <v>39</v>
      </c>
      <c r="P2337" t="s">
        <v>7974</v>
      </c>
      <c r="Q2337" t="s">
        <v>41</v>
      </c>
      <c r="R2337" t="s">
        <v>7975</v>
      </c>
      <c r="S2337" t="b">
        <v>1</v>
      </c>
      <c r="T2337" t="b">
        <v>1</v>
      </c>
      <c r="U2337" t="b">
        <v>1</v>
      </c>
      <c r="V2337" t="b">
        <v>1</v>
      </c>
      <c r="W2337" t="b">
        <v>1</v>
      </c>
      <c r="X2337" t="b">
        <v>1</v>
      </c>
      <c r="Y2337" t="b">
        <v>1</v>
      </c>
      <c r="Z2337" t="b">
        <v>1</v>
      </c>
      <c r="AA2337" t="b">
        <v>1</v>
      </c>
      <c r="AB2337" t="b">
        <v>1</v>
      </c>
      <c r="AC2337" t="b">
        <v>1</v>
      </c>
      <c r="AD2337" t="b">
        <v>1</v>
      </c>
      <c r="AE2337" t="b">
        <v>1</v>
      </c>
      <c r="AF2337" t="b">
        <v>1</v>
      </c>
      <c r="AG2337" t="b">
        <v>1</v>
      </c>
    </row>
    <row r="2338" spans="1:33" x14ac:dyDescent="0.25">
      <c r="A2338" t="s">
        <v>33</v>
      </c>
      <c r="B2338">
        <v>15</v>
      </c>
      <c r="C2338" t="b">
        <v>1</v>
      </c>
      <c r="D2338" t="s">
        <v>7968</v>
      </c>
      <c r="E2338" t="s">
        <v>7969</v>
      </c>
      <c r="F2338" t="s">
        <v>7976</v>
      </c>
      <c r="G2338" t="s">
        <v>7977</v>
      </c>
      <c r="H2338">
        <v>2337</v>
      </c>
      <c r="I2338" t="str">
        <f>IF(ISBLANK(Table1[[#This Row],[oid]]),"FALSE","TRUE")</f>
        <v>TRUE</v>
      </c>
      <c r="J2338" t="str" cm="1">
        <f t="array" ref="J2338">_xlfn.SWITCH(LEFT(Table1[[#This Row],[section]],1), "D", "Demographic", "S", "Social", "E", "Economic", "H", "Housing", "")</f>
        <v>Housing</v>
      </c>
      <c r="K2338" t="s">
        <v>7972</v>
      </c>
      <c r="L2338" t="s">
        <v>7973</v>
      </c>
      <c r="M2338" t="str">
        <f>IF(Table1[[#This Row],[used]], _xlfn.CONCAT("🆔 ", Table1[[#This Row],[variable]], ": ",Table1[[#This Row],[alias]]), "")</f>
        <v>🆔 B25002_002E: Occupied</v>
      </c>
      <c r="O2338" t="s">
        <v>7978</v>
      </c>
      <c r="P2338" t="s">
        <v>7974</v>
      </c>
      <c r="Q2338" t="s">
        <v>41</v>
      </c>
      <c r="R2338" t="s">
        <v>7979</v>
      </c>
      <c r="S2338" t="b">
        <v>1</v>
      </c>
      <c r="T2338" t="b">
        <v>1</v>
      </c>
      <c r="U2338" t="b">
        <v>1</v>
      </c>
      <c r="V2338" t="b">
        <v>1</v>
      </c>
      <c r="W2338" t="b">
        <v>1</v>
      </c>
      <c r="X2338" t="b">
        <v>1</v>
      </c>
      <c r="Y2338" t="b">
        <v>1</v>
      </c>
      <c r="Z2338" t="b">
        <v>1</v>
      </c>
      <c r="AA2338" t="b">
        <v>1</v>
      </c>
      <c r="AB2338" t="b">
        <v>1</v>
      </c>
      <c r="AC2338" t="b">
        <v>1</v>
      </c>
      <c r="AD2338" t="b">
        <v>1</v>
      </c>
      <c r="AE2338" t="b">
        <v>1</v>
      </c>
      <c r="AF2338" t="b">
        <v>1</v>
      </c>
      <c r="AG2338" t="b">
        <v>1</v>
      </c>
    </row>
    <row r="2339" spans="1:33" x14ac:dyDescent="0.25">
      <c r="A2339" t="s">
        <v>33</v>
      </c>
      <c r="B2339">
        <v>15</v>
      </c>
      <c r="C2339" t="b">
        <v>1</v>
      </c>
      <c r="D2339" t="s">
        <v>7968</v>
      </c>
      <c r="E2339" t="s">
        <v>7969</v>
      </c>
      <c r="F2339" t="s">
        <v>7980</v>
      </c>
      <c r="G2339" t="s">
        <v>7981</v>
      </c>
      <c r="H2339">
        <v>2338</v>
      </c>
      <c r="I2339" t="str">
        <f>IF(ISBLANK(Table1[[#This Row],[oid]]),"FALSE","TRUE")</f>
        <v>TRUE</v>
      </c>
      <c r="J2339" t="str" cm="1">
        <f t="array" ref="J2339">_xlfn.SWITCH(LEFT(Table1[[#This Row],[section]],1), "D", "Demographic", "S", "Social", "E", "Economic", "H", "Housing", "")</f>
        <v>Housing</v>
      </c>
      <c r="K2339" t="s">
        <v>7972</v>
      </c>
      <c r="L2339" t="s">
        <v>7973</v>
      </c>
      <c r="M2339" t="str">
        <f>IF(Table1[[#This Row],[used]], _xlfn.CONCAT("🆔 ", Table1[[#This Row],[variable]], ": ",Table1[[#This Row],[alias]]), "")</f>
        <v>🆔 B25002_003E: Vacant</v>
      </c>
      <c r="O2339" t="s">
        <v>7982</v>
      </c>
      <c r="P2339" t="s">
        <v>7974</v>
      </c>
      <c r="Q2339" t="s">
        <v>41</v>
      </c>
      <c r="R2339" t="s">
        <v>7983</v>
      </c>
      <c r="S2339" t="b">
        <v>1</v>
      </c>
      <c r="T2339" t="b">
        <v>1</v>
      </c>
      <c r="U2339" t="b">
        <v>1</v>
      </c>
      <c r="V2339" t="b">
        <v>1</v>
      </c>
      <c r="W2339" t="b">
        <v>1</v>
      </c>
      <c r="X2339" t="b">
        <v>1</v>
      </c>
      <c r="Y2339" t="b">
        <v>1</v>
      </c>
      <c r="Z2339" t="b">
        <v>1</v>
      </c>
      <c r="AA2339" t="b">
        <v>1</v>
      </c>
      <c r="AB2339" t="b">
        <v>1</v>
      </c>
      <c r="AC2339" t="b">
        <v>1</v>
      </c>
      <c r="AD2339" t="b">
        <v>1</v>
      </c>
      <c r="AE2339" t="b">
        <v>1</v>
      </c>
      <c r="AF2339" t="b">
        <v>1</v>
      </c>
      <c r="AG2339" t="b">
        <v>1</v>
      </c>
    </row>
    <row r="2340" spans="1:33" x14ac:dyDescent="0.25">
      <c r="A2340" t="s">
        <v>33</v>
      </c>
      <c r="B2340">
        <v>15</v>
      </c>
      <c r="C2340" t="b">
        <v>1</v>
      </c>
      <c r="D2340" t="s">
        <v>7968</v>
      </c>
      <c r="E2340" t="s">
        <v>7984</v>
      </c>
      <c r="F2340" t="s">
        <v>7985</v>
      </c>
      <c r="G2340" t="s">
        <v>7971</v>
      </c>
      <c r="H2340">
        <v>2339</v>
      </c>
      <c r="I2340" t="str">
        <f>IF(ISBLANK(Table1[[#This Row],[oid]]),"FALSE","TRUE")</f>
        <v>TRUE</v>
      </c>
      <c r="J2340" t="str" cm="1">
        <f t="array" ref="J2340">_xlfn.SWITCH(LEFT(Table1[[#This Row],[section]],1), "D", "Demographic", "S", "Social", "E", "Economic", "H", "Housing", "")</f>
        <v>Housing</v>
      </c>
      <c r="K2340" t="s">
        <v>7986</v>
      </c>
      <c r="L2340" t="s">
        <v>7987</v>
      </c>
      <c r="M2340" t="str">
        <f>IF(Table1[[#This Row],[used]], _xlfn.CONCAT("🆔 ", Table1[[#This Row],[variable]], ": ",Table1[[#This Row],[alias]]), "")</f>
        <v>🆔 B25003_001E: Total Housing Units</v>
      </c>
      <c r="O2340" t="s">
        <v>39</v>
      </c>
      <c r="P2340" t="s">
        <v>7988</v>
      </c>
      <c r="Q2340" t="s">
        <v>41</v>
      </c>
      <c r="R2340" t="s">
        <v>7989</v>
      </c>
      <c r="S2340" t="b">
        <v>1</v>
      </c>
      <c r="T2340" t="b">
        <v>1</v>
      </c>
      <c r="U2340" t="b">
        <v>1</v>
      </c>
      <c r="V2340" t="b">
        <v>1</v>
      </c>
      <c r="W2340" t="b">
        <v>1</v>
      </c>
      <c r="X2340" t="b">
        <v>1</v>
      </c>
      <c r="Y2340" t="b">
        <v>1</v>
      </c>
      <c r="Z2340" t="b">
        <v>1</v>
      </c>
      <c r="AA2340" t="b">
        <v>1</v>
      </c>
      <c r="AB2340" t="b">
        <v>1</v>
      </c>
      <c r="AC2340" t="b">
        <v>1</v>
      </c>
      <c r="AD2340" t="b">
        <v>1</v>
      </c>
      <c r="AE2340" t="b">
        <v>1</v>
      </c>
      <c r="AF2340" t="b">
        <v>1</v>
      </c>
      <c r="AG2340" t="b">
        <v>1</v>
      </c>
    </row>
    <row r="2341" spans="1:33" x14ac:dyDescent="0.25">
      <c r="A2341" t="s">
        <v>33</v>
      </c>
      <c r="B2341">
        <v>15</v>
      </c>
      <c r="C2341" t="b">
        <v>1</v>
      </c>
      <c r="D2341" t="s">
        <v>7968</v>
      </c>
      <c r="E2341" t="s">
        <v>7984</v>
      </c>
      <c r="F2341" t="s">
        <v>7990</v>
      </c>
      <c r="G2341" t="s">
        <v>7991</v>
      </c>
      <c r="H2341">
        <v>2340</v>
      </c>
      <c r="I2341" t="str">
        <f>IF(ISBLANK(Table1[[#This Row],[oid]]),"FALSE","TRUE")</f>
        <v>TRUE</v>
      </c>
      <c r="J2341" t="str" cm="1">
        <f t="array" ref="J2341">_xlfn.SWITCH(LEFT(Table1[[#This Row],[section]],1), "D", "Demographic", "S", "Social", "E", "Economic", "H", "Housing", "")</f>
        <v>Housing</v>
      </c>
      <c r="K2341" t="s">
        <v>7986</v>
      </c>
      <c r="L2341" t="s">
        <v>7987</v>
      </c>
      <c r="M2341" t="str">
        <f>IF(Table1[[#This Row],[used]], _xlfn.CONCAT("🆔 ", Table1[[#This Row],[variable]], ": ",Table1[[#This Row],[alias]]), "")</f>
        <v>🆔 B25003_002E: Owner occupied</v>
      </c>
      <c r="O2341" t="s">
        <v>7992</v>
      </c>
      <c r="P2341" t="s">
        <v>7988</v>
      </c>
      <c r="Q2341" t="s">
        <v>41</v>
      </c>
      <c r="R2341" t="s">
        <v>7993</v>
      </c>
      <c r="S2341" t="b">
        <v>1</v>
      </c>
      <c r="T2341" t="b">
        <v>1</v>
      </c>
      <c r="U2341" t="b">
        <v>1</v>
      </c>
      <c r="V2341" t="b">
        <v>1</v>
      </c>
      <c r="W2341" t="b">
        <v>1</v>
      </c>
      <c r="X2341" t="b">
        <v>1</v>
      </c>
      <c r="Y2341" t="b">
        <v>1</v>
      </c>
      <c r="Z2341" t="b">
        <v>1</v>
      </c>
      <c r="AA2341" t="b">
        <v>1</v>
      </c>
      <c r="AB2341" t="b">
        <v>1</v>
      </c>
      <c r="AC2341" t="b">
        <v>1</v>
      </c>
      <c r="AD2341" t="b">
        <v>1</v>
      </c>
      <c r="AE2341" t="b">
        <v>1</v>
      </c>
      <c r="AF2341" t="b">
        <v>1</v>
      </c>
      <c r="AG2341" t="b">
        <v>1</v>
      </c>
    </row>
    <row r="2342" spans="1:33" x14ac:dyDescent="0.25">
      <c r="A2342" t="s">
        <v>33</v>
      </c>
      <c r="B2342">
        <v>15</v>
      </c>
      <c r="C2342" t="b">
        <v>1</v>
      </c>
      <c r="D2342" t="s">
        <v>7968</v>
      </c>
      <c r="E2342" t="s">
        <v>7984</v>
      </c>
      <c r="F2342" t="s">
        <v>7994</v>
      </c>
      <c r="G2342" t="s">
        <v>7995</v>
      </c>
      <c r="H2342">
        <v>2341</v>
      </c>
      <c r="I2342" t="str">
        <f>IF(ISBLANK(Table1[[#This Row],[oid]]),"FALSE","TRUE")</f>
        <v>TRUE</v>
      </c>
      <c r="J2342" t="str" cm="1">
        <f t="array" ref="J2342">_xlfn.SWITCH(LEFT(Table1[[#This Row],[section]],1), "D", "Demographic", "S", "Social", "E", "Economic", "H", "Housing", "")</f>
        <v>Housing</v>
      </c>
      <c r="K2342" t="s">
        <v>7986</v>
      </c>
      <c r="L2342" t="s">
        <v>7987</v>
      </c>
      <c r="M2342" t="str">
        <f>IF(Table1[[#This Row],[used]], _xlfn.CONCAT("🆔 ", Table1[[#This Row],[variable]], ": ",Table1[[#This Row],[alias]]), "")</f>
        <v>🆔 B25003_003E: Renter occupied</v>
      </c>
      <c r="O2342" t="s">
        <v>7996</v>
      </c>
      <c r="P2342" t="s">
        <v>7988</v>
      </c>
      <c r="Q2342" t="s">
        <v>41</v>
      </c>
      <c r="R2342" t="s">
        <v>7997</v>
      </c>
      <c r="S2342" t="b">
        <v>1</v>
      </c>
      <c r="T2342" t="b">
        <v>1</v>
      </c>
      <c r="U2342" t="b">
        <v>1</v>
      </c>
      <c r="V2342" t="b">
        <v>1</v>
      </c>
      <c r="W2342" t="b">
        <v>1</v>
      </c>
      <c r="X2342" t="b">
        <v>1</v>
      </c>
      <c r="Y2342" t="b">
        <v>1</v>
      </c>
      <c r="Z2342" t="b">
        <v>1</v>
      </c>
      <c r="AA2342" t="b">
        <v>1</v>
      </c>
      <c r="AB2342" t="b">
        <v>1</v>
      </c>
      <c r="AC2342" t="b">
        <v>1</v>
      </c>
      <c r="AD2342" t="b">
        <v>1</v>
      </c>
      <c r="AE2342" t="b">
        <v>1</v>
      </c>
      <c r="AF2342" t="b">
        <v>1</v>
      </c>
      <c r="AG2342" t="b">
        <v>1</v>
      </c>
    </row>
    <row r="2343" spans="1:33" x14ac:dyDescent="0.25">
      <c r="A2343" t="s">
        <v>33</v>
      </c>
      <c r="B2343">
        <v>15</v>
      </c>
      <c r="C2343" t="b">
        <v>1</v>
      </c>
      <c r="D2343" t="s">
        <v>7968</v>
      </c>
      <c r="E2343" t="s">
        <v>7998</v>
      </c>
      <c r="F2343" t="s">
        <v>7999</v>
      </c>
      <c r="G2343" t="s">
        <v>7971</v>
      </c>
      <c r="H2343">
        <v>2342</v>
      </c>
      <c r="I2343" t="str">
        <f>IF(ISBLANK(Table1[[#This Row],[oid]]),"FALSE","TRUE")</f>
        <v>TRUE</v>
      </c>
      <c r="J2343" t="str" cm="1">
        <f t="array" ref="J2343">_xlfn.SWITCH(LEFT(Table1[[#This Row],[section]],1), "D", "Demographic", "S", "Social", "E", "Economic", "H", "Housing", "")</f>
        <v>Housing</v>
      </c>
      <c r="K2343" t="s">
        <v>8000</v>
      </c>
      <c r="L2343" t="s">
        <v>8001</v>
      </c>
      <c r="M2343" t="str">
        <f>IF(Table1[[#This Row],[used]], _xlfn.CONCAT("🆔 ", Table1[[#This Row],[variable]], ": ",Table1[[#This Row],[alias]]), "")</f>
        <v>🆔 B25024_001E: Total Housing Units</v>
      </c>
      <c r="O2343" t="s">
        <v>39</v>
      </c>
      <c r="P2343" t="s">
        <v>8002</v>
      </c>
      <c r="Q2343" t="s">
        <v>41</v>
      </c>
      <c r="R2343" t="s">
        <v>8003</v>
      </c>
      <c r="S2343" t="b">
        <v>1</v>
      </c>
      <c r="T2343" t="b">
        <v>1</v>
      </c>
      <c r="U2343" t="b">
        <v>1</v>
      </c>
      <c r="V2343" t="b">
        <v>1</v>
      </c>
      <c r="W2343" t="b">
        <v>1</v>
      </c>
      <c r="X2343" t="b">
        <v>1</v>
      </c>
      <c r="Y2343" t="b">
        <v>1</v>
      </c>
      <c r="Z2343" t="b">
        <v>1</v>
      </c>
      <c r="AA2343" t="b">
        <v>1</v>
      </c>
      <c r="AB2343" t="b">
        <v>1</v>
      </c>
      <c r="AC2343" t="b">
        <v>1</v>
      </c>
      <c r="AD2343" t="b">
        <v>1</v>
      </c>
      <c r="AE2343" t="b">
        <v>1</v>
      </c>
      <c r="AF2343" t="b">
        <v>1</v>
      </c>
      <c r="AG2343" t="b">
        <v>1</v>
      </c>
    </row>
    <row r="2344" spans="1:33" x14ac:dyDescent="0.25">
      <c r="A2344" t="s">
        <v>33</v>
      </c>
      <c r="B2344">
        <v>15</v>
      </c>
      <c r="C2344" t="b">
        <v>1</v>
      </c>
      <c r="D2344" t="s">
        <v>7968</v>
      </c>
      <c r="E2344" t="s">
        <v>7998</v>
      </c>
      <c r="F2344" t="s">
        <v>8004</v>
      </c>
      <c r="G2344" t="s">
        <v>8005</v>
      </c>
      <c r="H2344">
        <v>2343</v>
      </c>
      <c r="I2344" t="str">
        <f>IF(ISBLANK(Table1[[#This Row],[oid]]),"FALSE","TRUE")</f>
        <v>TRUE</v>
      </c>
      <c r="J2344" t="str" cm="1">
        <f t="array" ref="J2344">_xlfn.SWITCH(LEFT(Table1[[#This Row],[section]],1), "D", "Demographic", "S", "Social", "E", "Economic", "H", "Housing", "")</f>
        <v>Housing</v>
      </c>
      <c r="K2344" t="s">
        <v>8000</v>
      </c>
      <c r="L2344" t="s">
        <v>8001</v>
      </c>
      <c r="M2344" t="str">
        <f>IF(Table1[[#This Row],[used]], _xlfn.CONCAT("🆔 ", Table1[[#This Row],[variable]], ": ",Table1[[#This Row],[alias]]), "")</f>
        <v>🆔 B25024_002E: 1 unit detached</v>
      </c>
      <c r="O2344" t="s">
        <v>8006</v>
      </c>
      <c r="P2344" t="s">
        <v>8002</v>
      </c>
      <c r="Q2344" t="s">
        <v>41</v>
      </c>
      <c r="R2344" t="s">
        <v>8007</v>
      </c>
      <c r="S2344" t="b">
        <v>1</v>
      </c>
      <c r="T2344" t="b">
        <v>1</v>
      </c>
      <c r="U2344" t="b">
        <v>1</v>
      </c>
      <c r="V2344" t="b">
        <v>1</v>
      </c>
      <c r="W2344" t="b">
        <v>1</v>
      </c>
      <c r="X2344" t="b">
        <v>1</v>
      </c>
      <c r="Y2344" t="b">
        <v>1</v>
      </c>
      <c r="Z2344" t="b">
        <v>1</v>
      </c>
      <c r="AA2344" t="b">
        <v>1</v>
      </c>
      <c r="AB2344" t="b">
        <v>1</v>
      </c>
      <c r="AC2344" t="b">
        <v>1</v>
      </c>
      <c r="AD2344" t="b">
        <v>1</v>
      </c>
      <c r="AE2344" t="b">
        <v>1</v>
      </c>
      <c r="AF2344" t="b">
        <v>1</v>
      </c>
      <c r="AG2344" t="b">
        <v>1</v>
      </c>
    </row>
    <row r="2345" spans="1:33" x14ac:dyDescent="0.25">
      <c r="A2345" t="s">
        <v>33</v>
      </c>
      <c r="B2345">
        <v>15</v>
      </c>
      <c r="C2345" t="b">
        <v>1</v>
      </c>
      <c r="D2345" t="s">
        <v>7968</v>
      </c>
      <c r="E2345" t="s">
        <v>7998</v>
      </c>
      <c r="F2345" t="s">
        <v>8008</v>
      </c>
      <c r="G2345" t="s">
        <v>8009</v>
      </c>
      <c r="H2345">
        <v>2344</v>
      </c>
      <c r="I2345" t="str">
        <f>IF(ISBLANK(Table1[[#This Row],[oid]]),"FALSE","TRUE")</f>
        <v>TRUE</v>
      </c>
      <c r="J2345" t="str" cm="1">
        <f t="array" ref="J2345">_xlfn.SWITCH(LEFT(Table1[[#This Row],[section]],1), "D", "Demographic", "S", "Social", "E", "Economic", "H", "Housing", "")</f>
        <v>Housing</v>
      </c>
      <c r="K2345" t="s">
        <v>8000</v>
      </c>
      <c r="L2345" t="s">
        <v>8001</v>
      </c>
      <c r="M2345" t="str">
        <f>IF(Table1[[#This Row],[used]], _xlfn.CONCAT("🆔 ", Table1[[#This Row],[variable]], ": ",Table1[[#This Row],[alias]]), "")</f>
        <v>🆔 B25024_003E: 1 unit attached</v>
      </c>
      <c r="O2345" t="s">
        <v>8010</v>
      </c>
      <c r="P2345" t="s">
        <v>8002</v>
      </c>
      <c r="Q2345" t="s">
        <v>41</v>
      </c>
      <c r="R2345" t="s">
        <v>8011</v>
      </c>
      <c r="S2345" t="b">
        <v>1</v>
      </c>
      <c r="T2345" t="b">
        <v>1</v>
      </c>
      <c r="U2345" t="b">
        <v>1</v>
      </c>
      <c r="V2345" t="b">
        <v>1</v>
      </c>
      <c r="W2345" t="b">
        <v>1</v>
      </c>
      <c r="X2345" t="b">
        <v>1</v>
      </c>
      <c r="Y2345" t="b">
        <v>1</v>
      </c>
      <c r="Z2345" t="b">
        <v>1</v>
      </c>
      <c r="AA2345" t="b">
        <v>1</v>
      </c>
      <c r="AB2345" t="b">
        <v>1</v>
      </c>
      <c r="AC2345" t="b">
        <v>1</v>
      </c>
      <c r="AD2345" t="b">
        <v>1</v>
      </c>
      <c r="AE2345" t="b">
        <v>1</v>
      </c>
      <c r="AF2345" t="b">
        <v>1</v>
      </c>
      <c r="AG2345" t="b">
        <v>1</v>
      </c>
    </row>
    <row r="2346" spans="1:33" x14ac:dyDescent="0.25">
      <c r="A2346" t="s">
        <v>33</v>
      </c>
      <c r="B2346">
        <v>15</v>
      </c>
      <c r="C2346" t="b">
        <v>1</v>
      </c>
      <c r="D2346" t="s">
        <v>7968</v>
      </c>
      <c r="E2346" t="s">
        <v>7998</v>
      </c>
      <c r="F2346" t="s">
        <v>8012</v>
      </c>
      <c r="G2346" t="s">
        <v>8013</v>
      </c>
      <c r="H2346">
        <v>2345</v>
      </c>
      <c r="I2346" t="str">
        <f>IF(ISBLANK(Table1[[#This Row],[oid]]),"FALSE","TRUE")</f>
        <v>TRUE</v>
      </c>
      <c r="J2346" t="str" cm="1">
        <f t="array" ref="J2346">_xlfn.SWITCH(LEFT(Table1[[#This Row],[section]],1), "D", "Demographic", "S", "Social", "E", "Economic", "H", "Housing", "")</f>
        <v>Housing</v>
      </c>
      <c r="K2346" t="s">
        <v>8000</v>
      </c>
      <c r="L2346" t="s">
        <v>8001</v>
      </c>
      <c r="M2346" t="str">
        <f>IF(Table1[[#This Row],[used]], _xlfn.CONCAT("🆔 ", Table1[[#This Row],[variable]], ": ",Table1[[#This Row],[alias]]), "")</f>
        <v>🆔 B25024_004E: 2 units</v>
      </c>
      <c r="O2346" t="s">
        <v>8014</v>
      </c>
      <c r="P2346" t="s">
        <v>8002</v>
      </c>
      <c r="Q2346" t="s">
        <v>41</v>
      </c>
      <c r="R2346" t="s">
        <v>8015</v>
      </c>
      <c r="S2346" t="b">
        <v>1</v>
      </c>
      <c r="T2346" t="b">
        <v>1</v>
      </c>
      <c r="U2346" t="b">
        <v>1</v>
      </c>
      <c r="V2346" t="b">
        <v>1</v>
      </c>
      <c r="W2346" t="b">
        <v>1</v>
      </c>
      <c r="X2346" t="b">
        <v>1</v>
      </c>
      <c r="Y2346" t="b">
        <v>1</v>
      </c>
      <c r="Z2346" t="b">
        <v>1</v>
      </c>
      <c r="AA2346" t="b">
        <v>1</v>
      </c>
      <c r="AB2346" t="b">
        <v>1</v>
      </c>
      <c r="AC2346" t="b">
        <v>1</v>
      </c>
      <c r="AD2346" t="b">
        <v>1</v>
      </c>
      <c r="AE2346" t="b">
        <v>1</v>
      </c>
      <c r="AF2346" t="b">
        <v>1</v>
      </c>
      <c r="AG2346" t="b">
        <v>1</v>
      </c>
    </row>
    <row r="2347" spans="1:33" x14ac:dyDescent="0.25">
      <c r="A2347" t="s">
        <v>33</v>
      </c>
      <c r="B2347">
        <v>15</v>
      </c>
      <c r="C2347" t="b">
        <v>1</v>
      </c>
      <c r="D2347" t="s">
        <v>7968</v>
      </c>
      <c r="E2347" t="s">
        <v>7998</v>
      </c>
      <c r="F2347" t="s">
        <v>8016</v>
      </c>
      <c r="G2347" t="s">
        <v>8017</v>
      </c>
      <c r="H2347">
        <v>2346</v>
      </c>
      <c r="I2347" t="str">
        <f>IF(ISBLANK(Table1[[#This Row],[oid]]),"FALSE","TRUE")</f>
        <v>TRUE</v>
      </c>
      <c r="J2347" t="str" cm="1">
        <f t="array" ref="J2347">_xlfn.SWITCH(LEFT(Table1[[#This Row],[section]],1), "D", "Demographic", "S", "Social", "E", "Economic", "H", "Housing", "")</f>
        <v>Housing</v>
      </c>
      <c r="K2347" t="s">
        <v>8000</v>
      </c>
      <c r="L2347" t="s">
        <v>8001</v>
      </c>
      <c r="M2347" t="str">
        <f>IF(Table1[[#This Row],[used]], _xlfn.CONCAT("🆔 ", Table1[[#This Row],[variable]], ": ",Table1[[#This Row],[alias]]), "")</f>
        <v>🆔 B25024_005E: 3 or 4 units</v>
      </c>
      <c r="O2347" t="s">
        <v>8018</v>
      </c>
      <c r="P2347" t="s">
        <v>8002</v>
      </c>
      <c r="Q2347" t="s">
        <v>41</v>
      </c>
      <c r="R2347" t="s">
        <v>8019</v>
      </c>
      <c r="S2347" t="b">
        <v>1</v>
      </c>
      <c r="T2347" t="b">
        <v>1</v>
      </c>
      <c r="U2347" t="b">
        <v>1</v>
      </c>
      <c r="V2347" t="b">
        <v>1</v>
      </c>
      <c r="W2347" t="b">
        <v>1</v>
      </c>
      <c r="X2347" t="b">
        <v>1</v>
      </c>
      <c r="Y2347" t="b">
        <v>1</v>
      </c>
      <c r="Z2347" t="b">
        <v>1</v>
      </c>
      <c r="AA2347" t="b">
        <v>1</v>
      </c>
      <c r="AB2347" t="b">
        <v>1</v>
      </c>
      <c r="AC2347" t="b">
        <v>1</v>
      </c>
      <c r="AD2347" t="b">
        <v>1</v>
      </c>
      <c r="AE2347" t="b">
        <v>1</v>
      </c>
      <c r="AF2347" t="b">
        <v>1</v>
      </c>
      <c r="AG2347" t="b">
        <v>1</v>
      </c>
    </row>
    <row r="2348" spans="1:33" x14ac:dyDescent="0.25">
      <c r="A2348" t="s">
        <v>33</v>
      </c>
      <c r="B2348">
        <v>15</v>
      </c>
      <c r="C2348" t="b">
        <v>1</v>
      </c>
      <c r="D2348" t="s">
        <v>7968</v>
      </c>
      <c r="E2348" t="s">
        <v>7998</v>
      </c>
      <c r="F2348" t="s">
        <v>8020</v>
      </c>
      <c r="G2348" t="s">
        <v>8021</v>
      </c>
      <c r="H2348">
        <v>2347</v>
      </c>
      <c r="I2348" t="str">
        <f>IF(ISBLANK(Table1[[#This Row],[oid]]),"FALSE","TRUE")</f>
        <v>TRUE</v>
      </c>
      <c r="J2348" t="str" cm="1">
        <f t="array" ref="J2348">_xlfn.SWITCH(LEFT(Table1[[#This Row],[section]],1), "D", "Demographic", "S", "Social", "E", "Economic", "H", "Housing", "")</f>
        <v>Housing</v>
      </c>
      <c r="K2348" t="s">
        <v>8000</v>
      </c>
      <c r="L2348" t="s">
        <v>8001</v>
      </c>
      <c r="M2348" t="str">
        <f>IF(Table1[[#This Row],[used]], _xlfn.CONCAT("🆔 ", Table1[[#This Row],[variable]], ": ",Table1[[#This Row],[alias]]), "")</f>
        <v>🆔 B25024_006E: 5 to 9 units</v>
      </c>
      <c r="O2348" t="s">
        <v>8022</v>
      </c>
      <c r="P2348" t="s">
        <v>8002</v>
      </c>
      <c r="Q2348" t="s">
        <v>41</v>
      </c>
      <c r="R2348" t="s">
        <v>8023</v>
      </c>
      <c r="S2348" t="b">
        <v>1</v>
      </c>
      <c r="T2348" t="b">
        <v>1</v>
      </c>
      <c r="U2348" t="b">
        <v>1</v>
      </c>
      <c r="V2348" t="b">
        <v>1</v>
      </c>
      <c r="W2348" t="b">
        <v>1</v>
      </c>
      <c r="X2348" t="b">
        <v>1</v>
      </c>
      <c r="Y2348" t="b">
        <v>1</v>
      </c>
      <c r="Z2348" t="b">
        <v>1</v>
      </c>
      <c r="AA2348" t="b">
        <v>1</v>
      </c>
      <c r="AB2348" t="b">
        <v>1</v>
      </c>
      <c r="AC2348" t="b">
        <v>1</v>
      </c>
      <c r="AD2348" t="b">
        <v>1</v>
      </c>
      <c r="AE2348" t="b">
        <v>1</v>
      </c>
      <c r="AF2348" t="b">
        <v>1</v>
      </c>
      <c r="AG2348" t="b">
        <v>1</v>
      </c>
    </row>
    <row r="2349" spans="1:33" x14ac:dyDescent="0.25">
      <c r="A2349" t="s">
        <v>33</v>
      </c>
      <c r="B2349">
        <v>15</v>
      </c>
      <c r="C2349" t="b">
        <v>1</v>
      </c>
      <c r="D2349" t="s">
        <v>7968</v>
      </c>
      <c r="E2349" t="s">
        <v>7998</v>
      </c>
      <c r="F2349" t="s">
        <v>8024</v>
      </c>
      <c r="G2349" t="s">
        <v>8025</v>
      </c>
      <c r="H2349">
        <v>2348</v>
      </c>
      <c r="I2349" t="str">
        <f>IF(ISBLANK(Table1[[#This Row],[oid]]),"FALSE","TRUE")</f>
        <v>TRUE</v>
      </c>
      <c r="J2349" t="str" cm="1">
        <f t="array" ref="J2349">_xlfn.SWITCH(LEFT(Table1[[#This Row],[section]],1), "D", "Demographic", "S", "Social", "E", "Economic", "H", "Housing", "")</f>
        <v>Housing</v>
      </c>
      <c r="K2349" t="s">
        <v>8000</v>
      </c>
      <c r="L2349" t="s">
        <v>8001</v>
      </c>
      <c r="M2349" t="str">
        <f>IF(Table1[[#This Row],[used]], _xlfn.CONCAT("🆔 ", Table1[[#This Row],[variable]], ": ",Table1[[#This Row],[alias]]), "")</f>
        <v>🆔 B25024_007E: 10 to 19 units</v>
      </c>
      <c r="O2349" t="s">
        <v>8026</v>
      </c>
      <c r="P2349" t="s">
        <v>8002</v>
      </c>
      <c r="Q2349" t="s">
        <v>41</v>
      </c>
      <c r="R2349" t="s">
        <v>8027</v>
      </c>
      <c r="S2349" t="b">
        <v>1</v>
      </c>
      <c r="T2349" t="b">
        <v>1</v>
      </c>
      <c r="U2349" t="b">
        <v>1</v>
      </c>
      <c r="V2349" t="b">
        <v>1</v>
      </c>
      <c r="W2349" t="b">
        <v>1</v>
      </c>
      <c r="X2349" t="b">
        <v>1</v>
      </c>
      <c r="Y2349" t="b">
        <v>1</v>
      </c>
      <c r="Z2349" t="b">
        <v>1</v>
      </c>
      <c r="AA2349" t="b">
        <v>1</v>
      </c>
      <c r="AB2349" t="b">
        <v>1</v>
      </c>
      <c r="AC2349" t="b">
        <v>1</v>
      </c>
      <c r="AD2349" t="b">
        <v>1</v>
      </c>
      <c r="AE2349" t="b">
        <v>1</v>
      </c>
      <c r="AF2349" t="b">
        <v>1</v>
      </c>
      <c r="AG2349" t="b">
        <v>1</v>
      </c>
    </row>
    <row r="2350" spans="1:33" x14ac:dyDescent="0.25">
      <c r="A2350" t="s">
        <v>33</v>
      </c>
      <c r="B2350">
        <v>15</v>
      </c>
      <c r="C2350" t="b">
        <v>1</v>
      </c>
      <c r="D2350" t="s">
        <v>7968</v>
      </c>
      <c r="E2350" t="s">
        <v>7998</v>
      </c>
      <c r="F2350" t="s">
        <v>8028</v>
      </c>
      <c r="G2350" t="s">
        <v>8029</v>
      </c>
      <c r="H2350">
        <v>2349</v>
      </c>
      <c r="I2350" t="str">
        <f>IF(ISBLANK(Table1[[#This Row],[oid]]),"FALSE","TRUE")</f>
        <v>TRUE</v>
      </c>
      <c r="J2350" t="str" cm="1">
        <f t="array" ref="J2350">_xlfn.SWITCH(LEFT(Table1[[#This Row],[section]],1), "D", "Demographic", "S", "Social", "E", "Economic", "H", "Housing", "")</f>
        <v>Housing</v>
      </c>
      <c r="K2350" t="s">
        <v>8000</v>
      </c>
      <c r="L2350" t="s">
        <v>8001</v>
      </c>
      <c r="M2350" t="str">
        <f>IF(Table1[[#This Row],[used]], _xlfn.CONCAT("🆔 ", Table1[[#This Row],[variable]], ": ",Table1[[#This Row],[alias]]), "")</f>
        <v>🆔 B25024_008E: 20 to 49 units</v>
      </c>
      <c r="O2350" t="s">
        <v>8030</v>
      </c>
      <c r="P2350" t="s">
        <v>8002</v>
      </c>
      <c r="Q2350" t="s">
        <v>41</v>
      </c>
      <c r="R2350" t="s">
        <v>8031</v>
      </c>
      <c r="S2350" t="b">
        <v>1</v>
      </c>
      <c r="T2350" t="b">
        <v>1</v>
      </c>
      <c r="U2350" t="b">
        <v>1</v>
      </c>
      <c r="V2350" t="b">
        <v>1</v>
      </c>
      <c r="W2350" t="b">
        <v>1</v>
      </c>
      <c r="X2350" t="b">
        <v>1</v>
      </c>
      <c r="Y2350" t="b">
        <v>1</v>
      </c>
      <c r="Z2350" t="b">
        <v>1</v>
      </c>
      <c r="AA2350" t="b">
        <v>1</v>
      </c>
      <c r="AB2350" t="b">
        <v>1</v>
      </c>
      <c r="AC2350" t="b">
        <v>1</v>
      </c>
      <c r="AD2350" t="b">
        <v>1</v>
      </c>
      <c r="AE2350" t="b">
        <v>1</v>
      </c>
      <c r="AF2350" t="b">
        <v>1</v>
      </c>
      <c r="AG2350" t="b">
        <v>1</v>
      </c>
    </row>
    <row r="2351" spans="1:33" x14ac:dyDescent="0.25">
      <c r="A2351" t="s">
        <v>33</v>
      </c>
      <c r="B2351">
        <v>15</v>
      </c>
      <c r="C2351" t="b">
        <v>1</v>
      </c>
      <c r="D2351" t="s">
        <v>7968</v>
      </c>
      <c r="E2351" t="s">
        <v>7998</v>
      </c>
      <c r="F2351" t="s">
        <v>8032</v>
      </c>
      <c r="G2351" t="s">
        <v>8033</v>
      </c>
      <c r="H2351">
        <v>2350</v>
      </c>
      <c r="I2351" t="str">
        <f>IF(ISBLANK(Table1[[#This Row],[oid]]),"FALSE","TRUE")</f>
        <v>TRUE</v>
      </c>
      <c r="J2351" t="str" cm="1">
        <f t="array" ref="J2351">_xlfn.SWITCH(LEFT(Table1[[#This Row],[section]],1), "D", "Demographic", "S", "Social", "E", "Economic", "H", "Housing", "")</f>
        <v>Housing</v>
      </c>
      <c r="K2351" t="s">
        <v>8000</v>
      </c>
      <c r="L2351" t="s">
        <v>8001</v>
      </c>
      <c r="M2351" t="str">
        <f>IF(Table1[[#This Row],[used]], _xlfn.CONCAT("🆔 ", Table1[[#This Row],[variable]], ": ",Table1[[#This Row],[alias]]), "")</f>
        <v>🆔 B25024_009E: 50 or more units</v>
      </c>
      <c r="O2351" t="s">
        <v>8034</v>
      </c>
      <c r="P2351" t="s">
        <v>8002</v>
      </c>
      <c r="Q2351" t="s">
        <v>41</v>
      </c>
      <c r="R2351" t="s">
        <v>8035</v>
      </c>
      <c r="S2351" t="b">
        <v>1</v>
      </c>
      <c r="T2351" t="b">
        <v>1</v>
      </c>
      <c r="U2351" t="b">
        <v>1</v>
      </c>
      <c r="V2351" t="b">
        <v>1</v>
      </c>
      <c r="W2351" t="b">
        <v>1</v>
      </c>
      <c r="X2351" t="b">
        <v>1</v>
      </c>
      <c r="Y2351" t="b">
        <v>1</v>
      </c>
      <c r="Z2351" t="b">
        <v>1</v>
      </c>
      <c r="AA2351" t="b">
        <v>1</v>
      </c>
      <c r="AB2351" t="b">
        <v>1</v>
      </c>
      <c r="AC2351" t="b">
        <v>1</v>
      </c>
      <c r="AD2351" t="b">
        <v>1</v>
      </c>
      <c r="AE2351" t="b">
        <v>1</v>
      </c>
      <c r="AF2351" t="b">
        <v>1</v>
      </c>
      <c r="AG2351" t="b">
        <v>1</v>
      </c>
    </row>
    <row r="2352" spans="1:33" x14ac:dyDescent="0.25">
      <c r="A2352" t="s">
        <v>33</v>
      </c>
      <c r="B2352">
        <v>15</v>
      </c>
      <c r="C2352" t="b">
        <v>1</v>
      </c>
      <c r="D2352" t="s">
        <v>7968</v>
      </c>
      <c r="E2352" t="s">
        <v>7998</v>
      </c>
      <c r="F2352" t="s">
        <v>8036</v>
      </c>
      <c r="G2352" t="s">
        <v>8037</v>
      </c>
      <c r="H2352">
        <v>2351</v>
      </c>
      <c r="I2352" t="str">
        <f>IF(ISBLANK(Table1[[#This Row],[oid]]),"FALSE","TRUE")</f>
        <v>TRUE</v>
      </c>
      <c r="J2352" t="str" cm="1">
        <f t="array" ref="J2352">_xlfn.SWITCH(LEFT(Table1[[#This Row],[section]],1), "D", "Demographic", "S", "Social", "E", "Economic", "H", "Housing", "")</f>
        <v>Housing</v>
      </c>
      <c r="K2352" t="s">
        <v>8000</v>
      </c>
      <c r="L2352" t="s">
        <v>8001</v>
      </c>
      <c r="M2352" t="str">
        <f>IF(Table1[[#This Row],[used]], _xlfn.CONCAT("🆔 ", Table1[[#This Row],[variable]], ": ",Table1[[#This Row],[alias]]), "")</f>
        <v>🆔 B25024_010E: Mobile home</v>
      </c>
      <c r="O2352" t="s">
        <v>8038</v>
      </c>
      <c r="P2352" t="s">
        <v>8002</v>
      </c>
      <c r="Q2352" t="s">
        <v>41</v>
      </c>
      <c r="R2352" t="s">
        <v>8039</v>
      </c>
      <c r="S2352" t="b">
        <v>1</v>
      </c>
      <c r="T2352" t="b">
        <v>1</v>
      </c>
      <c r="U2352" t="b">
        <v>1</v>
      </c>
      <c r="V2352" t="b">
        <v>1</v>
      </c>
      <c r="W2352" t="b">
        <v>1</v>
      </c>
      <c r="X2352" t="b">
        <v>1</v>
      </c>
      <c r="Y2352" t="b">
        <v>1</v>
      </c>
      <c r="Z2352" t="b">
        <v>1</v>
      </c>
      <c r="AA2352" t="b">
        <v>1</v>
      </c>
      <c r="AB2352" t="b">
        <v>1</v>
      </c>
      <c r="AC2352" t="b">
        <v>1</v>
      </c>
      <c r="AD2352" t="b">
        <v>1</v>
      </c>
      <c r="AE2352" t="b">
        <v>1</v>
      </c>
      <c r="AF2352" t="b">
        <v>1</v>
      </c>
      <c r="AG2352" t="b">
        <v>1</v>
      </c>
    </row>
    <row r="2353" spans="1:33" x14ac:dyDescent="0.25">
      <c r="A2353" t="s">
        <v>33</v>
      </c>
      <c r="B2353">
        <v>15</v>
      </c>
      <c r="C2353" t="b">
        <v>1</v>
      </c>
      <c r="D2353" t="s">
        <v>7968</v>
      </c>
      <c r="E2353" t="s">
        <v>7998</v>
      </c>
      <c r="F2353" t="s">
        <v>8040</v>
      </c>
      <c r="G2353" t="s">
        <v>8041</v>
      </c>
      <c r="H2353">
        <v>2352</v>
      </c>
      <c r="I2353" t="str">
        <f>IF(ISBLANK(Table1[[#This Row],[oid]]),"FALSE","TRUE")</f>
        <v>TRUE</v>
      </c>
      <c r="J2353" t="str" cm="1">
        <f t="array" ref="J2353">_xlfn.SWITCH(LEFT(Table1[[#This Row],[section]],1), "D", "Demographic", "S", "Social", "E", "Economic", "H", "Housing", "")</f>
        <v>Housing</v>
      </c>
      <c r="K2353" t="s">
        <v>8000</v>
      </c>
      <c r="L2353" t="s">
        <v>8001</v>
      </c>
      <c r="M2353" t="str">
        <f>IF(Table1[[#This Row],[used]], _xlfn.CONCAT("🆔 ", Table1[[#This Row],[variable]], ": ",Table1[[#This Row],[alias]]), "")</f>
        <v>🆔 B25024_011E: Boat RV van etc</v>
      </c>
      <c r="O2353" t="s">
        <v>8042</v>
      </c>
      <c r="P2353" t="s">
        <v>8002</v>
      </c>
      <c r="Q2353" t="s">
        <v>41</v>
      </c>
      <c r="R2353" t="s">
        <v>8043</v>
      </c>
      <c r="S2353" t="b">
        <v>1</v>
      </c>
      <c r="T2353" t="b">
        <v>1</v>
      </c>
      <c r="U2353" t="b">
        <v>1</v>
      </c>
      <c r="V2353" t="b">
        <v>1</v>
      </c>
      <c r="W2353" t="b">
        <v>1</v>
      </c>
      <c r="X2353" t="b">
        <v>1</v>
      </c>
      <c r="Y2353" t="b">
        <v>1</v>
      </c>
      <c r="Z2353" t="b">
        <v>1</v>
      </c>
      <c r="AA2353" t="b">
        <v>1</v>
      </c>
      <c r="AB2353" t="b">
        <v>1</v>
      </c>
      <c r="AC2353" t="b">
        <v>1</v>
      </c>
      <c r="AD2353" t="b">
        <v>1</v>
      </c>
      <c r="AE2353" t="b">
        <v>1</v>
      </c>
      <c r="AF2353" t="b">
        <v>1</v>
      </c>
      <c r="AG2353" t="b">
        <v>1</v>
      </c>
    </row>
    <row r="2354" spans="1:33" x14ac:dyDescent="0.25">
      <c r="A2354" t="s">
        <v>33</v>
      </c>
      <c r="B2354">
        <v>15</v>
      </c>
      <c r="C2354" t="b">
        <v>1</v>
      </c>
      <c r="D2354" t="s">
        <v>7968</v>
      </c>
      <c r="E2354" t="s">
        <v>8044</v>
      </c>
      <c r="F2354" t="s">
        <v>8045</v>
      </c>
      <c r="G2354" t="s">
        <v>8046</v>
      </c>
      <c r="H2354">
        <v>2353</v>
      </c>
      <c r="I2354" t="str">
        <f>IF(ISBLANK(Table1[[#This Row],[oid]]),"FALSE","TRUE")</f>
        <v>TRUE</v>
      </c>
      <c r="J2354" t="str" cm="1">
        <f t="array" ref="J2354">_xlfn.SWITCH(LEFT(Table1[[#This Row],[section]],1), "D", "Demographic", "S", "Social", "E", "Economic", "H", "Housing", "")</f>
        <v>Housing</v>
      </c>
      <c r="K2354" t="s">
        <v>8047</v>
      </c>
      <c r="L2354" t="s">
        <v>8048</v>
      </c>
      <c r="M2354" t="str">
        <f>IF(Table1[[#This Row],[used]], _xlfn.CONCAT("🆔 ", Table1[[#This Row],[variable]], ": ",Table1[[#This Row],[alias]]), "")</f>
        <v>🆔 B25033_001E: Total population in occupied housing units</v>
      </c>
      <c r="O2354" t="s">
        <v>39</v>
      </c>
      <c r="P2354" t="s">
        <v>8049</v>
      </c>
      <c r="Q2354" t="s">
        <v>41</v>
      </c>
      <c r="R2354" t="s">
        <v>8050</v>
      </c>
      <c r="S2354" t="b">
        <v>1</v>
      </c>
      <c r="T2354" t="b">
        <v>1</v>
      </c>
      <c r="U2354" t="b">
        <v>1</v>
      </c>
      <c r="V2354" t="b">
        <v>1</v>
      </c>
      <c r="W2354" t="b">
        <v>1</v>
      </c>
      <c r="X2354" t="b">
        <v>1</v>
      </c>
      <c r="Y2354" t="b">
        <v>1</v>
      </c>
      <c r="Z2354" t="b">
        <v>1</v>
      </c>
      <c r="AA2354" t="b">
        <v>1</v>
      </c>
      <c r="AB2354" t="b">
        <v>1</v>
      </c>
      <c r="AC2354" t="b">
        <v>1</v>
      </c>
      <c r="AD2354" t="b">
        <v>1</v>
      </c>
      <c r="AE2354" t="b">
        <v>1</v>
      </c>
      <c r="AF2354" t="b">
        <v>1</v>
      </c>
      <c r="AG2354" t="b">
        <v>1</v>
      </c>
    </row>
    <row r="2355" spans="1:33" x14ac:dyDescent="0.25">
      <c r="A2355" t="s">
        <v>33</v>
      </c>
      <c r="B2355">
        <v>15</v>
      </c>
      <c r="C2355" t="b">
        <v>1</v>
      </c>
      <c r="D2355" t="s">
        <v>7968</v>
      </c>
      <c r="E2355" t="s">
        <v>8044</v>
      </c>
      <c r="F2355" t="s">
        <v>8051</v>
      </c>
      <c r="G2355" t="s">
        <v>7991</v>
      </c>
      <c r="H2355">
        <v>2354</v>
      </c>
      <c r="I2355" t="str">
        <f>IF(ISBLANK(Table1[[#This Row],[oid]]),"FALSE","TRUE")</f>
        <v>TRUE</v>
      </c>
      <c r="J2355" t="str" cm="1">
        <f t="array" ref="J2355">_xlfn.SWITCH(LEFT(Table1[[#This Row],[section]],1), "D", "Demographic", "S", "Social", "E", "Economic", "H", "Housing", "")</f>
        <v>Housing</v>
      </c>
      <c r="K2355" t="s">
        <v>8047</v>
      </c>
      <c r="L2355" t="s">
        <v>8048</v>
      </c>
      <c r="M2355" t="str">
        <f>IF(Table1[[#This Row],[used]], _xlfn.CONCAT("🆔 ", Table1[[#This Row],[variable]], ": ",Table1[[#This Row],[alias]]), "")</f>
        <v>🆔 B25033_002E: Owner occupied</v>
      </c>
      <c r="O2355" t="s">
        <v>7992</v>
      </c>
      <c r="P2355" t="s">
        <v>8049</v>
      </c>
      <c r="Q2355" t="s">
        <v>41</v>
      </c>
      <c r="R2355" t="s">
        <v>8052</v>
      </c>
      <c r="S2355" t="b">
        <v>1</v>
      </c>
      <c r="T2355" t="b">
        <v>1</v>
      </c>
      <c r="U2355" t="b">
        <v>1</v>
      </c>
      <c r="V2355" t="b">
        <v>1</v>
      </c>
      <c r="W2355" t="b">
        <v>1</v>
      </c>
      <c r="X2355" t="b">
        <v>1</v>
      </c>
      <c r="Y2355" t="b">
        <v>1</v>
      </c>
      <c r="Z2355" t="b">
        <v>1</v>
      </c>
      <c r="AA2355" t="b">
        <v>1</v>
      </c>
      <c r="AB2355" t="b">
        <v>1</v>
      </c>
      <c r="AC2355" t="b">
        <v>1</v>
      </c>
      <c r="AD2355" t="b">
        <v>1</v>
      </c>
      <c r="AE2355" t="b">
        <v>1</v>
      </c>
      <c r="AF2355" t="b">
        <v>1</v>
      </c>
      <c r="AG2355" t="b">
        <v>1</v>
      </c>
    </row>
    <row r="2356" spans="1:33" x14ac:dyDescent="0.25">
      <c r="A2356" t="s">
        <v>33</v>
      </c>
      <c r="B2356">
        <v>15</v>
      </c>
      <c r="C2356" t="b">
        <v>1</v>
      </c>
      <c r="D2356" t="s">
        <v>7968</v>
      </c>
      <c r="E2356" t="s">
        <v>8044</v>
      </c>
      <c r="F2356" t="s">
        <v>8053</v>
      </c>
      <c r="G2356" t="s">
        <v>8054</v>
      </c>
      <c r="H2356">
        <v>2355</v>
      </c>
      <c r="I2356" t="str">
        <f>IF(ISBLANK(Table1[[#This Row],[oid]]),"FALSE","TRUE")</f>
        <v>TRUE</v>
      </c>
      <c r="J2356" t="str" cm="1">
        <f t="array" ref="J2356">_xlfn.SWITCH(LEFT(Table1[[#This Row],[section]],1), "D", "Demographic", "S", "Social", "E", "Economic", "H", "Housing", "")</f>
        <v>Housing</v>
      </c>
      <c r="K2356" t="s">
        <v>8047</v>
      </c>
      <c r="L2356" t="s">
        <v>8048</v>
      </c>
      <c r="M2356" t="str">
        <f>IF(Table1[[#This Row],[used]], _xlfn.CONCAT("🆔 ", Table1[[#This Row],[variable]], ": ",Table1[[#This Row],[alias]]), "")</f>
        <v>🆔 B25033_003E: Owner occupied: 1 detached or attached</v>
      </c>
      <c r="O2356" t="s">
        <v>8055</v>
      </c>
      <c r="P2356" t="s">
        <v>8049</v>
      </c>
      <c r="Q2356" t="s">
        <v>41</v>
      </c>
      <c r="R2356" t="s">
        <v>8056</v>
      </c>
      <c r="S2356" t="b">
        <v>1</v>
      </c>
      <c r="T2356" t="b">
        <v>1</v>
      </c>
      <c r="U2356" t="b">
        <v>1</v>
      </c>
      <c r="V2356" t="b">
        <v>1</v>
      </c>
      <c r="W2356" t="b">
        <v>1</v>
      </c>
      <c r="X2356" t="b">
        <v>1</v>
      </c>
      <c r="Y2356" t="b">
        <v>1</v>
      </c>
      <c r="Z2356" t="b">
        <v>1</v>
      </c>
      <c r="AA2356" t="b">
        <v>1</v>
      </c>
      <c r="AB2356" t="b">
        <v>1</v>
      </c>
      <c r="AC2356" t="b">
        <v>1</v>
      </c>
      <c r="AD2356" t="b">
        <v>1</v>
      </c>
      <c r="AE2356" t="b">
        <v>1</v>
      </c>
      <c r="AF2356" t="b">
        <v>1</v>
      </c>
      <c r="AG2356" t="b">
        <v>1</v>
      </c>
    </row>
    <row r="2357" spans="1:33" x14ac:dyDescent="0.25">
      <c r="A2357" t="s">
        <v>33</v>
      </c>
      <c r="B2357">
        <v>15</v>
      </c>
      <c r="C2357" t="b">
        <v>1</v>
      </c>
      <c r="D2357" t="s">
        <v>7968</v>
      </c>
      <c r="E2357" t="s">
        <v>8044</v>
      </c>
      <c r="F2357" t="s">
        <v>8057</v>
      </c>
      <c r="G2357" t="s">
        <v>8058</v>
      </c>
      <c r="H2357">
        <v>2356</v>
      </c>
      <c r="I2357" t="str">
        <f>IF(ISBLANK(Table1[[#This Row],[oid]]),"FALSE","TRUE")</f>
        <v>TRUE</v>
      </c>
      <c r="J2357" t="str" cm="1">
        <f t="array" ref="J2357">_xlfn.SWITCH(LEFT(Table1[[#This Row],[section]],1), "D", "Demographic", "S", "Social", "E", "Economic", "H", "Housing", "")</f>
        <v>Housing</v>
      </c>
      <c r="K2357" t="s">
        <v>8047</v>
      </c>
      <c r="L2357" t="s">
        <v>8048</v>
      </c>
      <c r="M2357" t="str">
        <f>IF(Table1[[#This Row],[used]], _xlfn.CONCAT("🆔 ", Table1[[#This Row],[variable]], ": ",Table1[[#This Row],[alias]]), "")</f>
        <v>🆔 B25033_004E: Owner occupied: 2 to 4</v>
      </c>
      <c r="O2357" t="s">
        <v>8059</v>
      </c>
      <c r="P2357" t="s">
        <v>8049</v>
      </c>
      <c r="Q2357" t="s">
        <v>41</v>
      </c>
      <c r="R2357" t="s">
        <v>8060</v>
      </c>
      <c r="S2357" t="b">
        <v>1</v>
      </c>
      <c r="T2357" t="b">
        <v>1</v>
      </c>
      <c r="U2357" t="b">
        <v>1</v>
      </c>
      <c r="V2357" t="b">
        <v>1</v>
      </c>
      <c r="W2357" t="b">
        <v>1</v>
      </c>
      <c r="X2357" t="b">
        <v>1</v>
      </c>
      <c r="Y2357" t="b">
        <v>1</v>
      </c>
      <c r="Z2357" t="b">
        <v>1</v>
      </c>
      <c r="AA2357" t="b">
        <v>1</v>
      </c>
      <c r="AB2357" t="b">
        <v>1</v>
      </c>
      <c r="AC2357" t="b">
        <v>1</v>
      </c>
      <c r="AD2357" t="b">
        <v>1</v>
      </c>
      <c r="AE2357" t="b">
        <v>1</v>
      </c>
      <c r="AF2357" t="b">
        <v>1</v>
      </c>
      <c r="AG2357" t="b">
        <v>1</v>
      </c>
    </row>
    <row r="2358" spans="1:33" x14ac:dyDescent="0.25">
      <c r="A2358" t="s">
        <v>33</v>
      </c>
      <c r="B2358">
        <v>15</v>
      </c>
      <c r="C2358" t="b">
        <v>1</v>
      </c>
      <c r="D2358" t="s">
        <v>7968</v>
      </c>
      <c r="E2358" t="s">
        <v>8044</v>
      </c>
      <c r="F2358" t="s">
        <v>8061</v>
      </c>
      <c r="G2358" t="s">
        <v>8062</v>
      </c>
      <c r="H2358">
        <v>2357</v>
      </c>
      <c r="I2358" t="str">
        <f>IF(ISBLANK(Table1[[#This Row],[oid]]),"FALSE","TRUE")</f>
        <v>TRUE</v>
      </c>
      <c r="J2358" t="str" cm="1">
        <f t="array" ref="J2358">_xlfn.SWITCH(LEFT(Table1[[#This Row],[section]],1), "D", "Demographic", "S", "Social", "E", "Economic", "H", "Housing", "")</f>
        <v>Housing</v>
      </c>
      <c r="K2358" t="s">
        <v>8047</v>
      </c>
      <c r="L2358" t="s">
        <v>8048</v>
      </c>
      <c r="M2358" t="str">
        <f>IF(Table1[[#This Row],[used]], _xlfn.CONCAT("🆔 ", Table1[[#This Row],[variable]], ": ",Table1[[#This Row],[alias]]), "")</f>
        <v>🆔 B25033_005E: Owner occupied: 5 or more</v>
      </c>
      <c r="O2358" t="s">
        <v>8063</v>
      </c>
      <c r="P2358" t="s">
        <v>8049</v>
      </c>
      <c r="Q2358" t="s">
        <v>41</v>
      </c>
      <c r="R2358" t="s">
        <v>8064</v>
      </c>
      <c r="S2358" t="b">
        <v>1</v>
      </c>
      <c r="T2358" t="b">
        <v>1</v>
      </c>
      <c r="U2358" t="b">
        <v>1</v>
      </c>
      <c r="V2358" t="b">
        <v>1</v>
      </c>
      <c r="W2358" t="b">
        <v>1</v>
      </c>
      <c r="X2358" t="b">
        <v>1</v>
      </c>
      <c r="Y2358" t="b">
        <v>1</v>
      </c>
      <c r="Z2358" t="b">
        <v>1</v>
      </c>
      <c r="AA2358" t="b">
        <v>1</v>
      </c>
      <c r="AB2358" t="b">
        <v>1</v>
      </c>
      <c r="AC2358" t="b">
        <v>1</v>
      </c>
      <c r="AD2358" t="b">
        <v>1</v>
      </c>
      <c r="AE2358" t="b">
        <v>1</v>
      </c>
      <c r="AF2358" t="b">
        <v>1</v>
      </c>
      <c r="AG2358" t="b">
        <v>1</v>
      </c>
    </row>
    <row r="2359" spans="1:33" x14ac:dyDescent="0.25">
      <c r="A2359" t="s">
        <v>33</v>
      </c>
      <c r="B2359">
        <v>15</v>
      </c>
      <c r="C2359" t="b">
        <v>1</v>
      </c>
      <c r="D2359" t="s">
        <v>7968</v>
      </c>
      <c r="E2359" t="s">
        <v>8044</v>
      </c>
      <c r="F2359" t="s">
        <v>8065</v>
      </c>
      <c r="G2359" t="s">
        <v>8066</v>
      </c>
      <c r="H2359">
        <v>2358</v>
      </c>
      <c r="I2359" t="str">
        <f>IF(ISBLANK(Table1[[#This Row],[oid]]),"FALSE","TRUE")</f>
        <v>TRUE</v>
      </c>
      <c r="J2359" t="str" cm="1">
        <f t="array" ref="J2359">_xlfn.SWITCH(LEFT(Table1[[#This Row],[section]],1), "D", "Demographic", "S", "Social", "E", "Economic", "H", "Housing", "")</f>
        <v>Housing</v>
      </c>
      <c r="K2359" t="s">
        <v>8047</v>
      </c>
      <c r="L2359" t="s">
        <v>8048</v>
      </c>
      <c r="M2359" t="str">
        <f>IF(Table1[[#This Row],[used]], _xlfn.CONCAT("🆔 ", Table1[[#This Row],[variable]], ": ",Table1[[#This Row],[alias]]), "")</f>
        <v>🆔 B25033_006E: Owner occupied: Mobile home</v>
      </c>
      <c r="O2359" t="s">
        <v>8067</v>
      </c>
      <c r="P2359" t="s">
        <v>8049</v>
      </c>
      <c r="Q2359" t="s">
        <v>41</v>
      </c>
      <c r="R2359" t="s">
        <v>8068</v>
      </c>
      <c r="S2359" t="b">
        <v>1</v>
      </c>
      <c r="T2359" t="b">
        <v>1</v>
      </c>
      <c r="U2359" t="b">
        <v>1</v>
      </c>
      <c r="V2359" t="b">
        <v>1</v>
      </c>
      <c r="W2359" t="b">
        <v>1</v>
      </c>
      <c r="X2359" t="b">
        <v>1</v>
      </c>
      <c r="Y2359" t="b">
        <v>1</v>
      </c>
      <c r="Z2359" t="b">
        <v>1</v>
      </c>
      <c r="AA2359" t="b">
        <v>1</v>
      </c>
      <c r="AB2359" t="b">
        <v>1</v>
      </c>
      <c r="AC2359" t="b">
        <v>1</v>
      </c>
      <c r="AD2359" t="b">
        <v>1</v>
      </c>
      <c r="AE2359" t="b">
        <v>1</v>
      </c>
      <c r="AF2359" t="b">
        <v>1</v>
      </c>
      <c r="AG2359" t="b">
        <v>1</v>
      </c>
    </row>
    <row r="2360" spans="1:33" x14ac:dyDescent="0.25">
      <c r="A2360" t="s">
        <v>33</v>
      </c>
      <c r="B2360">
        <v>15</v>
      </c>
      <c r="C2360" t="b">
        <v>1</v>
      </c>
      <c r="D2360" t="s">
        <v>7968</v>
      </c>
      <c r="E2360" t="s">
        <v>8044</v>
      </c>
      <c r="F2360" t="s">
        <v>8069</v>
      </c>
      <c r="G2360" t="s">
        <v>8070</v>
      </c>
      <c r="H2360">
        <v>2359</v>
      </c>
      <c r="I2360" t="str">
        <f>IF(ISBLANK(Table1[[#This Row],[oid]]),"FALSE","TRUE")</f>
        <v>TRUE</v>
      </c>
      <c r="J2360" t="str" cm="1">
        <f t="array" ref="J2360">_xlfn.SWITCH(LEFT(Table1[[#This Row],[section]],1), "D", "Demographic", "S", "Social", "E", "Economic", "H", "Housing", "")</f>
        <v>Housing</v>
      </c>
      <c r="K2360" t="s">
        <v>8047</v>
      </c>
      <c r="L2360" t="s">
        <v>8048</v>
      </c>
      <c r="M2360" t="str">
        <f>IF(Table1[[#This Row],[used]], _xlfn.CONCAT("🆔 ", Table1[[#This Row],[variable]], ": ",Table1[[#This Row],[alias]]), "")</f>
        <v>🆔 B25033_007E: Owner occupied: Boat RV van etc</v>
      </c>
      <c r="O2360" t="s">
        <v>8071</v>
      </c>
      <c r="P2360" t="s">
        <v>8049</v>
      </c>
      <c r="Q2360" t="s">
        <v>41</v>
      </c>
      <c r="R2360" t="s">
        <v>8072</v>
      </c>
      <c r="S2360" t="b">
        <v>1</v>
      </c>
      <c r="T2360" t="b">
        <v>1</v>
      </c>
      <c r="U2360" t="b">
        <v>1</v>
      </c>
      <c r="V2360" t="b">
        <v>1</v>
      </c>
      <c r="W2360" t="b">
        <v>1</v>
      </c>
      <c r="X2360" t="b">
        <v>1</v>
      </c>
      <c r="Y2360" t="b">
        <v>1</v>
      </c>
      <c r="Z2360" t="b">
        <v>1</v>
      </c>
      <c r="AA2360" t="b">
        <v>1</v>
      </c>
      <c r="AB2360" t="b">
        <v>1</v>
      </c>
      <c r="AC2360" t="b">
        <v>1</v>
      </c>
      <c r="AD2360" t="b">
        <v>1</v>
      </c>
      <c r="AE2360" t="b">
        <v>1</v>
      </c>
      <c r="AF2360" t="b">
        <v>1</v>
      </c>
      <c r="AG2360" t="b">
        <v>1</v>
      </c>
    </row>
    <row r="2361" spans="1:33" x14ac:dyDescent="0.25">
      <c r="A2361" t="s">
        <v>33</v>
      </c>
      <c r="B2361">
        <v>15</v>
      </c>
      <c r="C2361" t="b">
        <v>1</v>
      </c>
      <c r="D2361" t="s">
        <v>7968</v>
      </c>
      <c r="E2361" t="s">
        <v>8044</v>
      </c>
      <c r="F2361" t="s">
        <v>8073</v>
      </c>
      <c r="G2361" t="s">
        <v>7995</v>
      </c>
      <c r="H2361">
        <v>2360</v>
      </c>
      <c r="I2361" t="str">
        <f>IF(ISBLANK(Table1[[#This Row],[oid]]),"FALSE","TRUE")</f>
        <v>TRUE</v>
      </c>
      <c r="J2361" t="str" cm="1">
        <f t="array" ref="J2361">_xlfn.SWITCH(LEFT(Table1[[#This Row],[section]],1), "D", "Demographic", "S", "Social", "E", "Economic", "H", "Housing", "")</f>
        <v>Housing</v>
      </c>
      <c r="K2361" t="s">
        <v>8047</v>
      </c>
      <c r="L2361" t="s">
        <v>8048</v>
      </c>
      <c r="M2361" t="str">
        <f>IF(Table1[[#This Row],[used]], _xlfn.CONCAT("🆔 ", Table1[[#This Row],[variable]], ": ",Table1[[#This Row],[alias]]), "")</f>
        <v>🆔 B25033_008E: Renter occupied</v>
      </c>
      <c r="O2361" t="s">
        <v>7996</v>
      </c>
      <c r="P2361" t="s">
        <v>8049</v>
      </c>
      <c r="Q2361" t="s">
        <v>41</v>
      </c>
      <c r="R2361" t="s">
        <v>8074</v>
      </c>
      <c r="S2361" t="b">
        <v>1</v>
      </c>
      <c r="T2361" t="b">
        <v>1</v>
      </c>
      <c r="U2361" t="b">
        <v>1</v>
      </c>
      <c r="V2361" t="b">
        <v>1</v>
      </c>
      <c r="W2361" t="b">
        <v>1</v>
      </c>
      <c r="X2361" t="b">
        <v>1</v>
      </c>
      <c r="Y2361" t="b">
        <v>1</v>
      </c>
      <c r="Z2361" t="b">
        <v>1</v>
      </c>
      <c r="AA2361" t="b">
        <v>1</v>
      </c>
      <c r="AB2361" t="b">
        <v>1</v>
      </c>
      <c r="AC2361" t="b">
        <v>1</v>
      </c>
      <c r="AD2361" t="b">
        <v>1</v>
      </c>
      <c r="AE2361" t="b">
        <v>1</v>
      </c>
      <c r="AF2361" t="b">
        <v>1</v>
      </c>
      <c r="AG2361" t="b">
        <v>1</v>
      </c>
    </row>
    <row r="2362" spans="1:33" x14ac:dyDescent="0.25">
      <c r="A2362" t="s">
        <v>33</v>
      </c>
      <c r="B2362">
        <v>15</v>
      </c>
      <c r="C2362" t="b">
        <v>1</v>
      </c>
      <c r="D2362" t="s">
        <v>7968</v>
      </c>
      <c r="E2362" t="s">
        <v>8044</v>
      </c>
      <c r="F2362" t="s">
        <v>8075</v>
      </c>
      <c r="G2362" t="s">
        <v>8076</v>
      </c>
      <c r="H2362">
        <v>2361</v>
      </c>
      <c r="I2362" t="str">
        <f>IF(ISBLANK(Table1[[#This Row],[oid]]),"FALSE","TRUE")</f>
        <v>TRUE</v>
      </c>
      <c r="J2362" t="str" cm="1">
        <f t="array" ref="J2362">_xlfn.SWITCH(LEFT(Table1[[#This Row],[section]],1), "D", "Demographic", "S", "Social", "E", "Economic", "H", "Housing", "")</f>
        <v>Housing</v>
      </c>
      <c r="K2362" t="s">
        <v>8047</v>
      </c>
      <c r="L2362" t="s">
        <v>8048</v>
      </c>
      <c r="M2362" t="str">
        <f>IF(Table1[[#This Row],[used]], _xlfn.CONCAT("🆔 ", Table1[[#This Row],[variable]], ": ",Table1[[#This Row],[alias]]), "")</f>
        <v>🆔 B25033_009E: Renter occupied: 1 detached or attached</v>
      </c>
      <c r="O2362" t="s">
        <v>8077</v>
      </c>
      <c r="P2362" t="s">
        <v>8049</v>
      </c>
      <c r="Q2362" t="s">
        <v>41</v>
      </c>
      <c r="R2362" t="s">
        <v>8078</v>
      </c>
      <c r="S2362" t="b">
        <v>1</v>
      </c>
      <c r="T2362" t="b">
        <v>1</v>
      </c>
      <c r="U2362" t="b">
        <v>1</v>
      </c>
      <c r="V2362" t="b">
        <v>1</v>
      </c>
      <c r="W2362" t="b">
        <v>1</v>
      </c>
      <c r="X2362" t="b">
        <v>1</v>
      </c>
      <c r="Y2362" t="b">
        <v>1</v>
      </c>
      <c r="Z2362" t="b">
        <v>1</v>
      </c>
      <c r="AA2362" t="b">
        <v>1</v>
      </c>
      <c r="AB2362" t="b">
        <v>1</v>
      </c>
      <c r="AC2362" t="b">
        <v>1</v>
      </c>
      <c r="AD2362" t="b">
        <v>1</v>
      </c>
      <c r="AE2362" t="b">
        <v>1</v>
      </c>
      <c r="AF2362" t="b">
        <v>1</v>
      </c>
      <c r="AG2362" t="b">
        <v>1</v>
      </c>
    </row>
    <row r="2363" spans="1:33" x14ac:dyDescent="0.25">
      <c r="A2363" t="s">
        <v>33</v>
      </c>
      <c r="B2363">
        <v>15</v>
      </c>
      <c r="C2363" t="b">
        <v>1</v>
      </c>
      <c r="D2363" t="s">
        <v>7968</v>
      </c>
      <c r="E2363" t="s">
        <v>8044</v>
      </c>
      <c r="F2363" t="s">
        <v>8079</v>
      </c>
      <c r="G2363" t="s">
        <v>8080</v>
      </c>
      <c r="H2363">
        <v>2362</v>
      </c>
      <c r="I2363" t="str">
        <f>IF(ISBLANK(Table1[[#This Row],[oid]]),"FALSE","TRUE")</f>
        <v>TRUE</v>
      </c>
      <c r="J2363" t="str" cm="1">
        <f t="array" ref="J2363">_xlfn.SWITCH(LEFT(Table1[[#This Row],[section]],1), "D", "Demographic", "S", "Social", "E", "Economic", "H", "Housing", "")</f>
        <v>Housing</v>
      </c>
      <c r="K2363" t="s">
        <v>8047</v>
      </c>
      <c r="L2363" t="s">
        <v>8048</v>
      </c>
      <c r="M2363" t="str">
        <f>IF(Table1[[#This Row],[used]], _xlfn.CONCAT("🆔 ", Table1[[#This Row],[variable]], ": ",Table1[[#This Row],[alias]]), "")</f>
        <v>🆔 B25033_010E: Renter occupied: 2 to 4</v>
      </c>
      <c r="O2363" t="s">
        <v>8081</v>
      </c>
      <c r="P2363" t="s">
        <v>8049</v>
      </c>
      <c r="Q2363" t="s">
        <v>41</v>
      </c>
      <c r="R2363" t="s">
        <v>8082</v>
      </c>
      <c r="S2363" t="b">
        <v>1</v>
      </c>
      <c r="T2363" t="b">
        <v>1</v>
      </c>
      <c r="U2363" t="b">
        <v>1</v>
      </c>
      <c r="V2363" t="b">
        <v>1</v>
      </c>
      <c r="W2363" t="b">
        <v>1</v>
      </c>
      <c r="X2363" t="b">
        <v>1</v>
      </c>
      <c r="Y2363" t="b">
        <v>1</v>
      </c>
      <c r="Z2363" t="b">
        <v>1</v>
      </c>
      <c r="AA2363" t="b">
        <v>1</v>
      </c>
      <c r="AB2363" t="b">
        <v>1</v>
      </c>
      <c r="AC2363" t="b">
        <v>1</v>
      </c>
      <c r="AD2363" t="b">
        <v>1</v>
      </c>
      <c r="AE2363" t="b">
        <v>1</v>
      </c>
      <c r="AF2363" t="b">
        <v>1</v>
      </c>
      <c r="AG2363" t="b">
        <v>1</v>
      </c>
    </row>
    <row r="2364" spans="1:33" x14ac:dyDescent="0.25">
      <c r="A2364" t="s">
        <v>33</v>
      </c>
      <c r="B2364">
        <v>15</v>
      </c>
      <c r="C2364" t="b">
        <v>1</v>
      </c>
      <c r="D2364" t="s">
        <v>7968</v>
      </c>
      <c r="E2364" t="s">
        <v>8044</v>
      </c>
      <c r="F2364" t="s">
        <v>8083</v>
      </c>
      <c r="G2364" t="s">
        <v>8084</v>
      </c>
      <c r="H2364">
        <v>2363</v>
      </c>
      <c r="I2364" t="str">
        <f>IF(ISBLANK(Table1[[#This Row],[oid]]),"FALSE","TRUE")</f>
        <v>TRUE</v>
      </c>
      <c r="J2364" t="str" cm="1">
        <f t="array" ref="J2364">_xlfn.SWITCH(LEFT(Table1[[#This Row],[section]],1), "D", "Demographic", "S", "Social", "E", "Economic", "H", "Housing", "")</f>
        <v>Housing</v>
      </c>
      <c r="K2364" t="s">
        <v>8047</v>
      </c>
      <c r="L2364" t="s">
        <v>8048</v>
      </c>
      <c r="M2364" t="str">
        <f>IF(Table1[[#This Row],[used]], _xlfn.CONCAT("🆔 ", Table1[[#This Row],[variable]], ": ",Table1[[#This Row],[alias]]), "")</f>
        <v>🆔 B25033_011E: Renter occupied: 5 or more</v>
      </c>
      <c r="O2364" t="s">
        <v>8085</v>
      </c>
      <c r="P2364" t="s">
        <v>8049</v>
      </c>
      <c r="Q2364" t="s">
        <v>41</v>
      </c>
      <c r="R2364" t="s">
        <v>8086</v>
      </c>
      <c r="S2364" t="b">
        <v>1</v>
      </c>
      <c r="T2364" t="b">
        <v>1</v>
      </c>
      <c r="U2364" t="b">
        <v>1</v>
      </c>
      <c r="V2364" t="b">
        <v>1</v>
      </c>
      <c r="W2364" t="b">
        <v>1</v>
      </c>
      <c r="X2364" t="b">
        <v>1</v>
      </c>
      <c r="Y2364" t="b">
        <v>1</v>
      </c>
      <c r="Z2364" t="b">
        <v>1</v>
      </c>
      <c r="AA2364" t="b">
        <v>1</v>
      </c>
      <c r="AB2364" t="b">
        <v>1</v>
      </c>
      <c r="AC2364" t="b">
        <v>1</v>
      </c>
      <c r="AD2364" t="b">
        <v>1</v>
      </c>
      <c r="AE2364" t="b">
        <v>1</v>
      </c>
      <c r="AF2364" t="b">
        <v>1</v>
      </c>
      <c r="AG2364" t="b">
        <v>1</v>
      </c>
    </row>
    <row r="2365" spans="1:33" x14ac:dyDescent="0.25">
      <c r="A2365" t="s">
        <v>33</v>
      </c>
      <c r="B2365">
        <v>15</v>
      </c>
      <c r="C2365" t="b">
        <v>1</v>
      </c>
      <c r="D2365" t="s">
        <v>7968</v>
      </c>
      <c r="E2365" t="s">
        <v>8044</v>
      </c>
      <c r="F2365" t="s">
        <v>8087</v>
      </c>
      <c r="G2365" t="s">
        <v>8088</v>
      </c>
      <c r="H2365">
        <v>2364</v>
      </c>
      <c r="I2365" t="str">
        <f>IF(ISBLANK(Table1[[#This Row],[oid]]),"FALSE","TRUE")</f>
        <v>TRUE</v>
      </c>
      <c r="J2365" t="str" cm="1">
        <f t="array" ref="J2365">_xlfn.SWITCH(LEFT(Table1[[#This Row],[section]],1), "D", "Demographic", "S", "Social", "E", "Economic", "H", "Housing", "")</f>
        <v>Housing</v>
      </c>
      <c r="K2365" t="s">
        <v>8047</v>
      </c>
      <c r="L2365" t="s">
        <v>8048</v>
      </c>
      <c r="M2365" t="str">
        <f>IF(Table1[[#This Row],[used]], _xlfn.CONCAT("🆔 ", Table1[[#This Row],[variable]], ": ",Table1[[#This Row],[alias]]), "")</f>
        <v>🆔 B25033_012E: Renter occupied: Mobile home</v>
      </c>
      <c r="O2365" t="s">
        <v>8089</v>
      </c>
      <c r="P2365" t="s">
        <v>8049</v>
      </c>
      <c r="Q2365" t="s">
        <v>41</v>
      </c>
      <c r="R2365" t="s">
        <v>8090</v>
      </c>
      <c r="S2365" t="b">
        <v>1</v>
      </c>
      <c r="T2365" t="b">
        <v>1</v>
      </c>
      <c r="U2365" t="b">
        <v>1</v>
      </c>
      <c r="V2365" t="b">
        <v>1</v>
      </c>
      <c r="W2365" t="b">
        <v>1</v>
      </c>
      <c r="X2365" t="b">
        <v>1</v>
      </c>
      <c r="Y2365" t="b">
        <v>1</v>
      </c>
      <c r="Z2365" t="b">
        <v>1</v>
      </c>
      <c r="AA2365" t="b">
        <v>1</v>
      </c>
      <c r="AB2365" t="b">
        <v>1</v>
      </c>
      <c r="AC2365" t="b">
        <v>1</v>
      </c>
      <c r="AD2365" t="b">
        <v>1</v>
      </c>
      <c r="AE2365" t="b">
        <v>1</v>
      </c>
      <c r="AF2365" t="b">
        <v>1</v>
      </c>
      <c r="AG2365" t="b">
        <v>1</v>
      </c>
    </row>
    <row r="2366" spans="1:33" x14ac:dyDescent="0.25">
      <c r="A2366" t="s">
        <v>33</v>
      </c>
      <c r="B2366">
        <v>15</v>
      </c>
      <c r="C2366" t="b">
        <v>1</v>
      </c>
      <c r="D2366" t="s">
        <v>7968</v>
      </c>
      <c r="E2366" t="s">
        <v>8044</v>
      </c>
      <c r="F2366" t="s">
        <v>8091</v>
      </c>
      <c r="G2366" t="s">
        <v>8092</v>
      </c>
      <c r="H2366">
        <v>2365</v>
      </c>
      <c r="I2366" t="str">
        <f>IF(ISBLANK(Table1[[#This Row],[oid]]),"FALSE","TRUE")</f>
        <v>TRUE</v>
      </c>
      <c r="J2366" t="str" cm="1">
        <f t="array" ref="J2366">_xlfn.SWITCH(LEFT(Table1[[#This Row],[section]],1), "D", "Demographic", "S", "Social", "E", "Economic", "H", "Housing", "")</f>
        <v>Housing</v>
      </c>
      <c r="K2366" t="s">
        <v>8047</v>
      </c>
      <c r="L2366" t="s">
        <v>8048</v>
      </c>
      <c r="M2366" t="str">
        <f>IF(Table1[[#This Row],[used]], _xlfn.CONCAT("🆔 ", Table1[[#This Row],[variable]], ": ",Table1[[#This Row],[alias]]), "")</f>
        <v>🆔 B25033_013E: Renter occupied: Boat RV van etc</v>
      </c>
      <c r="O2366" t="s">
        <v>8093</v>
      </c>
      <c r="P2366" t="s">
        <v>8049</v>
      </c>
      <c r="Q2366" t="s">
        <v>41</v>
      </c>
      <c r="R2366" t="s">
        <v>8094</v>
      </c>
      <c r="S2366" t="b">
        <v>1</v>
      </c>
      <c r="T2366" t="b">
        <v>1</v>
      </c>
      <c r="U2366" t="b">
        <v>1</v>
      </c>
      <c r="V2366" t="b">
        <v>1</v>
      </c>
      <c r="W2366" t="b">
        <v>1</v>
      </c>
      <c r="X2366" t="b">
        <v>1</v>
      </c>
      <c r="Y2366" t="b">
        <v>1</v>
      </c>
      <c r="Z2366" t="b">
        <v>1</v>
      </c>
      <c r="AA2366" t="b">
        <v>1</v>
      </c>
      <c r="AB2366" t="b">
        <v>1</v>
      </c>
      <c r="AC2366" t="b">
        <v>1</v>
      </c>
      <c r="AD2366" t="b">
        <v>1</v>
      </c>
      <c r="AE2366" t="b">
        <v>1</v>
      </c>
      <c r="AF2366" t="b">
        <v>1</v>
      </c>
      <c r="AG2366" t="b">
        <v>1</v>
      </c>
    </row>
    <row r="2367" spans="1:33" x14ac:dyDescent="0.25">
      <c r="A2367" t="s">
        <v>33</v>
      </c>
      <c r="B2367">
        <v>15</v>
      </c>
      <c r="C2367" t="b">
        <v>1</v>
      </c>
      <c r="D2367" t="s">
        <v>7968</v>
      </c>
      <c r="E2367" t="s">
        <v>8095</v>
      </c>
      <c r="F2367" t="s">
        <v>8096</v>
      </c>
      <c r="G2367" t="s">
        <v>3999</v>
      </c>
      <c r="H2367">
        <v>2366</v>
      </c>
      <c r="I2367" t="str">
        <f>IF(ISBLANK(Table1[[#This Row],[oid]]),"FALSE","TRUE")</f>
        <v>TRUE</v>
      </c>
      <c r="J2367" t="str" cm="1">
        <f t="array" ref="J2367">_xlfn.SWITCH(LEFT(Table1[[#This Row],[section]],1), "D", "Demographic", "S", "Social", "E", "Economic", "H", "Housing", "")</f>
        <v>Housing</v>
      </c>
      <c r="K2367" t="s">
        <v>8097</v>
      </c>
      <c r="L2367" t="s">
        <v>8098</v>
      </c>
      <c r="M2367" t="str">
        <f>IF(Table1[[#This Row],[used]], _xlfn.CONCAT("🆔 ", Table1[[#This Row],[variable]], ": ",Table1[[#This Row],[alias]]), "")</f>
        <v>🆔 B25034_001E: Total</v>
      </c>
      <c r="O2367" t="s">
        <v>39</v>
      </c>
      <c r="P2367" t="s">
        <v>8099</v>
      </c>
      <c r="Q2367" t="s">
        <v>41</v>
      </c>
      <c r="R2367" t="s">
        <v>8100</v>
      </c>
      <c r="S2367" t="b">
        <v>1</v>
      </c>
      <c r="T2367" t="b">
        <v>1</v>
      </c>
      <c r="U2367" t="b">
        <v>1</v>
      </c>
      <c r="V2367" t="b">
        <v>1</v>
      </c>
      <c r="W2367" t="b">
        <v>1</v>
      </c>
      <c r="X2367" t="b">
        <v>1</v>
      </c>
      <c r="Y2367" t="b">
        <v>1</v>
      </c>
      <c r="Z2367" t="b">
        <v>1</v>
      </c>
      <c r="AA2367" t="b">
        <v>1</v>
      </c>
      <c r="AB2367" t="b">
        <v>1</v>
      </c>
      <c r="AC2367" t="b">
        <v>1</v>
      </c>
      <c r="AD2367" t="b">
        <v>1</v>
      </c>
      <c r="AE2367" t="b">
        <v>1</v>
      </c>
      <c r="AF2367" t="b">
        <v>1</v>
      </c>
      <c r="AG2367" t="b">
        <v>1</v>
      </c>
    </row>
    <row r="2368" spans="1:33" x14ac:dyDescent="0.25">
      <c r="A2368" t="s">
        <v>838</v>
      </c>
      <c r="B2368">
        <v>2</v>
      </c>
      <c r="C2368" t="b">
        <v>0</v>
      </c>
      <c r="D2368" t="s">
        <v>7968</v>
      </c>
      <c r="E2368" t="s">
        <v>8095</v>
      </c>
      <c r="F2368" t="s">
        <v>8101</v>
      </c>
      <c r="G2368" t="s">
        <v>8102</v>
      </c>
      <c r="H2368">
        <v>2367</v>
      </c>
      <c r="I2368" t="str">
        <f>IF(ISBLANK(Table1[[#This Row],[oid]]),"FALSE","TRUE")</f>
        <v>TRUE</v>
      </c>
      <c r="J2368" t="str" cm="1">
        <f t="array" ref="J2368">_xlfn.SWITCH(LEFT(Table1[[#This Row],[section]],1), "D", "Demographic", "S", "Social", "E", "Economic", "H", "Housing", "")</f>
        <v>Housing</v>
      </c>
      <c r="K2368" t="s">
        <v>8097</v>
      </c>
      <c r="L2368" t="s">
        <v>8098</v>
      </c>
      <c r="M2368" t="str">
        <f>IF(Table1[[#This Row],[used]], _xlfn.CONCAT("🆔 ", Table1[[#This Row],[variable]], ": ",Table1[[#This Row],[alias]]), "")</f>
        <v>🆔 B25034_002E: Built 2005 or later</v>
      </c>
      <c r="O2368" t="s">
        <v>8103</v>
      </c>
      <c r="P2368" t="s">
        <v>8099</v>
      </c>
      <c r="Q2368" t="s">
        <v>41</v>
      </c>
      <c r="R2368" t="s">
        <v>8104</v>
      </c>
      <c r="S2368" t="b">
        <v>1</v>
      </c>
      <c r="T2368" t="b">
        <v>1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</row>
    <row r="2369" spans="1:33" x14ac:dyDescent="0.25">
      <c r="A2369" t="s">
        <v>8105</v>
      </c>
      <c r="B2369">
        <v>3</v>
      </c>
      <c r="C2369" t="b">
        <v>0</v>
      </c>
      <c r="D2369" t="s">
        <v>7968</v>
      </c>
      <c r="E2369" t="s">
        <v>8095</v>
      </c>
      <c r="F2369" t="s">
        <v>8101</v>
      </c>
      <c r="G2369" t="s">
        <v>8106</v>
      </c>
      <c r="H2369">
        <v>2368</v>
      </c>
      <c r="I2369" t="str">
        <f>IF(ISBLANK(Table1[[#This Row],[oid]]),"FALSE","TRUE")</f>
        <v>TRUE</v>
      </c>
      <c r="J2369" t="str" cm="1">
        <f t="array" ref="J2369">_xlfn.SWITCH(LEFT(Table1[[#This Row],[section]],1), "D", "Demographic", "S", "Social", "E", "Economic", "H", "Housing", "")</f>
        <v>Housing</v>
      </c>
      <c r="K2369" t="s">
        <v>8097</v>
      </c>
      <c r="L2369" t="s">
        <v>8098</v>
      </c>
      <c r="M2369" t="str">
        <f>IF(Table1[[#This Row],[used]], _xlfn.CONCAT("🆔 ", Table1[[#This Row],[variable]], ": ",Table1[[#This Row],[alias]]), "")</f>
        <v>🆔 B25034_002E: Built 2010 or later</v>
      </c>
      <c r="O2369" t="s">
        <v>8107</v>
      </c>
      <c r="P2369" t="s">
        <v>8099</v>
      </c>
      <c r="Q2369" t="s">
        <v>41</v>
      </c>
      <c r="R2369" t="s">
        <v>8104</v>
      </c>
      <c r="S2369" t="b">
        <v>0</v>
      </c>
      <c r="T2369" t="b">
        <v>0</v>
      </c>
      <c r="U2369" t="b">
        <v>1</v>
      </c>
      <c r="V2369" t="b">
        <v>1</v>
      </c>
      <c r="W2369" t="b">
        <v>1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0</v>
      </c>
    </row>
    <row r="2370" spans="1:33" x14ac:dyDescent="0.25">
      <c r="A2370" t="s">
        <v>8108</v>
      </c>
      <c r="B2370">
        <v>6</v>
      </c>
      <c r="C2370" t="b">
        <v>0</v>
      </c>
      <c r="D2370" t="s">
        <v>7968</v>
      </c>
      <c r="E2370" t="s">
        <v>8095</v>
      </c>
      <c r="F2370" t="s">
        <v>8101</v>
      </c>
      <c r="G2370" t="s">
        <v>8109</v>
      </c>
      <c r="H2370">
        <v>2369</v>
      </c>
      <c r="I2370" t="str">
        <f>IF(ISBLANK(Table1[[#This Row],[oid]]),"FALSE","TRUE")</f>
        <v>TRUE</v>
      </c>
      <c r="J2370" t="str" cm="1">
        <f t="array" ref="J2370">_xlfn.SWITCH(LEFT(Table1[[#This Row],[section]],1), "D", "Demographic", "S", "Social", "E", "Economic", "H", "Housing", "")</f>
        <v>Housing</v>
      </c>
      <c r="K2370" t="s">
        <v>8097</v>
      </c>
      <c r="L2370" t="s">
        <v>8098</v>
      </c>
      <c r="M2370" t="str">
        <f>IF(Table1[[#This Row],[used]], _xlfn.CONCAT("🆔 ", Table1[[#This Row],[variable]], ": ",Table1[[#This Row],[alias]]), "")</f>
        <v>🆔 B25034_002E: Built 2014 or later</v>
      </c>
      <c r="O2370" t="s">
        <v>8110</v>
      </c>
      <c r="P2370" t="s">
        <v>8099</v>
      </c>
      <c r="Q2370" t="s">
        <v>41</v>
      </c>
      <c r="R2370" t="s">
        <v>8104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1</v>
      </c>
      <c r="Y2370" t="b">
        <v>1</v>
      </c>
      <c r="Z2370" t="b">
        <v>1</v>
      </c>
      <c r="AA2370" t="b">
        <v>1</v>
      </c>
      <c r="AB2370" t="b">
        <v>1</v>
      </c>
      <c r="AC2370" t="b">
        <v>1</v>
      </c>
      <c r="AD2370" t="b">
        <v>0</v>
      </c>
      <c r="AE2370" t="b">
        <v>0</v>
      </c>
      <c r="AF2370" t="b">
        <v>0</v>
      </c>
      <c r="AG2370" t="b">
        <v>0</v>
      </c>
    </row>
    <row r="2371" spans="1:33" x14ac:dyDescent="0.25">
      <c r="A2371" t="s">
        <v>8111</v>
      </c>
      <c r="B2371">
        <v>4</v>
      </c>
      <c r="C2371" t="b">
        <v>0</v>
      </c>
      <c r="D2371" t="s">
        <v>7968</v>
      </c>
      <c r="E2371" t="s">
        <v>8095</v>
      </c>
      <c r="F2371" t="s">
        <v>8101</v>
      </c>
      <c r="G2371" t="s">
        <v>8112</v>
      </c>
      <c r="H2371">
        <v>2370</v>
      </c>
      <c r="I2371" t="str">
        <f>IF(ISBLANK(Table1[[#This Row],[oid]]),"FALSE","TRUE")</f>
        <v>TRUE</v>
      </c>
      <c r="J2371" t="str" cm="1">
        <f t="array" ref="J2371">_xlfn.SWITCH(LEFT(Table1[[#This Row],[section]],1), "D", "Demographic", "S", "Social", "E", "Economic", "H", "Housing", "")</f>
        <v>Housing</v>
      </c>
      <c r="K2371" t="s">
        <v>8097</v>
      </c>
      <c r="L2371" t="s">
        <v>8098</v>
      </c>
      <c r="M2371" t="str">
        <f>IF(Table1[[#This Row],[used]], _xlfn.CONCAT("🆔 ", Table1[[#This Row],[variable]], ": ",Table1[[#This Row],[alias]]), "")</f>
        <v>🆔 B25034_002E: Built 2020 or later</v>
      </c>
      <c r="O2371" t="s">
        <v>8113</v>
      </c>
      <c r="P2371" t="s">
        <v>8099</v>
      </c>
      <c r="Q2371" t="s">
        <v>41</v>
      </c>
      <c r="R2371" t="s">
        <v>8104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1</v>
      </c>
      <c r="AE2371" t="b">
        <v>1</v>
      </c>
      <c r="AF2371" t="b">
        <v>1</v>
      </c>
      <c r="AG2371" t="b">
        <v>1</v>
      </c>
    </row>
    <row r="2372" spans="1:33" x14ac:dyDescent="0.25">
      <c r="A2372" t="s">
        <v>838</v>
      </c>
      <c r="B2372">
        <v>2</v>
      </c>
      <c r="C2372" t="b">
        <v>0</v>
      </c>
      <c r="D2372" t="s">
        <v>7968</v>
      </c>
      <c r="E2372" t="s">
        <v>8095</v>
      </c>
      <c r="F2372" t="s">
        <v>8114</v>
      </c>
      <c r="G2372" t="s">
        <v>8115</v>
      </c>
      <c r="H2372">
        <v>2371</v>
      </c>
      <c r="I2372" t="str">
        <f>IF(ISBLANK(Table1[[#This Row],[oid]]),"FALSE","TRUE")</f>
        <v>TRUE</v>
      </c>
      <c r="J2372" t="str" cm="1">
        <f t="array" ref="J2372">_xlfn.SWITCH(LEFT(Table1[[#This Row],[section]],1), "D", "Demographic", "S", "Social", "E", "Economic", "H", "Housing", "")</f>
        <v>Housing</v>
      </c>
      <c r="K2372" t="s">
        <v>8097</v>
      </c>
      <c r="L2372" t="s">
        <v>8098</v>
      </c>
      <c r="M2372" t="str">
        <f>IF(Table1[[#This Row],[used]], _xlfn.CONCAT("🆔 ", Table1[[#This Row],[variable]], ": ",Table1[[#This Row],[alias]]), "")</f>
        <v>🆔 B25034_003E: Built 2000 to 2004</v>
      </c>
      <c r="O2372" t="s">
        <v>8116</v>
      </c>
      <c r="P2372" t="s">
        <v>8099</v>
      </c>
      <c r="Q2372" t="s">
        <v>41</v>
      </c>
      <c r="R2372" t="s">
        <v>8117</v>
      </c>
      <c r="S2372" t="b">
        <v>1</v>
      </c>
      <c r="T2372" t="b">
        <v>1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</row>
    <row r="2373" spans="1:33" x14ac:dyDescent="0.25">
      <c r="A2373" t="s">
        <v>8105</v>
      </c>
      <c r="B2373">
        <v>3</v>
      </c>
      <c r="C2373" t="b">
        <v>0</v>
      </c>
      <c r="D2373" t="s">
        <v>7968</v>
      </c>
      <c r="E2373" t="s">
        <v>8095</v>
      </c>
      <c r="F2373" t="s">
        <v>8114</v>
      </c>
      <c r="G2373" t="s">
        <v>8118</v>
      </c>
      <c r="H2373">
        <v>2372</v>
      </c>
      <c r="I2373" t="str">
        <f>IF(ISBLANK(Table1[[#This Row],[oid]]),"FALSE","TRUE")</f>
        <v>TRUE</v>
      </c>
      <c r="J2373" t="str" cm="1">
        <f t="array" ref="J2373">_xlfn.SWITCH(LEFT(Table1[[#This Row],[section]],1), "D", "Demographic", "S", "Social", "E", "Economic", "H", "Housing", "")</f>
        <v>Housing</v>
      </c>
      <c r="K2373" t="s">
        <v>8097</v>
      </c>
      <c r="L2373" t="s">
        <v>8098</v>
      </c>
      <c r="M2373" t="str">
        <f>IF(Table1[[#This Row],[used]], _xlfn.CONCAT("🆔 ", Table1[[#This Row],[variable]], ": ",Table1[[#This Row],[alias]]), "")</f>
        <v>🆔 B25034_003E: Built 2000 to 2009</v>
      </c>
      <c r="O2373" t="s">
        <v>8119</v>
      </c>
      <c r="P2373" t="s">
        <v>8099</v>
      </c>
      <c r="Q2373" t="s">
        <v>41</v>
      </c>
      <c r="R2373" t="s">
        <v>8117</v>
      </c>
      <c r="S2373" t="b">
        <v>0</v>
      </c>
      <c r="T2373" t="b">
        <v>0</v>
      </c>
      <c r="U2373" t="b">
        <v>1</v>
      </c>
      <c r="V2373" t="b">
        <v>1</v>
      </c>
      <c r="W2373" t="b">
        <v>1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G2373" t="b">
        <v>0</v>
      </c>
    </row>
    <row r="2374" spans="1:33" x14ac:dyDescent="0.25">
      <c r="A2374" t="s">
        <v>8108</v>
      </c>
      <c r="B2374">
        <v>6</v>
      </c>
      <c r="C2374" t="b">
        <v>0</v>
      </c>
      <c r="D2374" t="s">
        <v>7968</v>
      </c>
      <c r="E2374" t="s">
        <v>8095</v>
      </c>
      <c r="F2374" t="s">
        <v>8114</v>
      </c>
      <c r="G2374" t="s">
        <v>8120</v>
      </c>
      <c r="H2374">
        <v>2373</v>
      </c>
      <c r="I2374" t="str">
        <f>IF(ISBLANK(Table1[[#This Row],[oid]]),"FALSE","TRUE")</f>
        <v>TRUE</v>
      </c>
      <c r="J2374" t="str" cm="1">
        <f t="array" ref="J2374">_xlfn.SWITCH(LEFT(Table1[[#This Row],[section]],1), "D", "Demographic", "S", "Social", "E", "Economic", "H", "Housing", "")</f>
        <v>Housing</v>
      </c>
      <c r="K2374" t="s">
        <v>8097</v>
      </c>
      <c r="L2374" t="s">
        <v>8098</v>
      </c>
      <c r="M2374" t="str">
        <f>IF(Table1[[#This Row],[used]], _xlfn.CONCAT("🆔 ", Table1[[#This Row],[variable]], ": ",Table1[[#This Row],[alias]]), "")</f>
        <v>🆔 B25034_003E: Built 2010 to 2013</v>
      </c>
      <c r="O2374" t="s">
        <v>8121</v>
      </c>
      <c r="P2374" t="s">
        <v>8099</v>
      </c>
      <c r="Q2374" t="s">
        <v>41</v>
      </c>
      <c r="R2374" t="s">
        <v>8117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1</v>
      </c>
      <c r="Y2374" t="b">
        <v>1</v>
      </c>
      <c r="Z2374" t="b">
        <v>1</v>
      </c>
      <c r="AA2374" t="b">
        <v>1</v>
      </c>
      <c r="AB2374" t="b">
        <v>1</v>
      </c>
      <c r="AC2374" t="b">
        <v>1</v>
      </c>
      <c r="AD2374" t="b">
        <v>0</v>
      </c>
      <c r="AE2374" t="b">
        <v>0</v>
      </c>
      <c r="AF2374" t="b">
        <v>0</v>
      </c>
      <c r="AG2374" t="b">
        <v>0</v>
      </c>
    </row>
    <row r="2375" spans="1:33" x14ac:dyDescent="0.25">
      <c r="A2375" t="s">
        <v>8111</v>
      </c>
      <c r="B2375">
        <v>4</v>
      </c>
      <c r="C2375" t="b">
        <v>0</v>
      </c>
      <c r="D2375" t="s">
        <v>7968</v>
      </c>
      <c r="E2375" t="s">
        <v>8095</v>
      </c>
      <c r="F2375" t="s">
        <v>8114</v>
      </c>
      <c r="G2375" t="s">
        <v>8122</v>
      </c>
      <c r="H2375">
        <v>2374</v>
      </c>
      <c r="I2375" t="str">
        <f>IF(ISBLANK(Table1[[#This Row],[oid]]),"FALSE","TRUE")</f>
        <v>TRUE</v>
      </c>
      <c r="J2375" t="str" cm="1">
        <f t="array" ref="J2375">_xlfn.SWITCH(LEFT(Table1[[#This Row],[section]],1), "D", "Demographic", "S", "Social", "E", "Economic", "H", "Housing", "")</f>
        <v>Housing</v>
      </c>
      <c r="K2375" t="s">
        <v>8097</v>
      </c>
      <c r="L2375" t="s">
        <v>8098</v>
      </c>
      <c r="M2375" t="str">
        <f>IF(Table1[[#This Row],[used]], _xlfn.CONCAT("🆔 ", Table1[[#This Row],[variable]], ": ",Table1[[#This Row],[alias]]), "")</f>
        <v>🆔 B25034_003E: Built 2010 to 2019</v>
      </c>
      <c r="O2375" t="s">
        <v>8123</v>
      </c>
      <c r="P2375" t="s">
        <v>8099</v>
      </c>
      <c r="Q2375" t="s">
        <v>41</v>
      </c>
      <c r="R2375" t="s">
        <v>8117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1</v>
      </c>
      <c r="AE2375" t="b">
        <v>1</v>
      </c>
      <c r="AF2375" t="b">
        <v>1</v>
      </c>
      <c r="AG2375" t="b">
        <v>1</v>
      </c>
    </row>
    <row r="2376" spans="1:33" x14ac:dyDescent="0.25">
      <c r="A2376" t="s">
        <v>709</v>
      </c>
      <c r="B2376">
        <v>5</v>
      </c>
      <c r="C2376" t="b">
        <v>0</v>
      </c>
      <c r="D2376" t="s">
        <v>7968</v>
      </c>
      <c r="E2376" t="s">
        <v>8095</v>
      </c>
      <c r="F2376" t="s">
        <v>8124</v>
      </c>
      <c r="G2376" t="s">
        <v>8125</v>
      </c>
      <c r="H2376">
        <v>2375</v>
      </c>
      <c r="I2376" t="str">
        <f>IF(ISBLANK(Table1[[#This Row],[oid]]),"FALSE","TRUE")</f>
        <v>TRUE</v>
      </c>
      <c r="J2376" t="str" cm="1">
        <f t="array" ref="J2376">_xlfn.SWITCH(LEFT(Table1[[#This Row],[section]],1), "D", "Demographic", "S", "Social", "E", "Economic", "H", "Housing", "")</f>
        <v>Housing</v>
      </c>
      <c r="K2376" t="s">
        <v>8097</v>
      </c>
      <c r="L2376" t="s">
        <v>8098</v>
      </c>
      <c r="M2376" t="str">
        <f>IF(Table1[[#This Row],[used]], _xlfn.CONCAT("🆔 ", Table1[[#This Row],[variable]], ": ",Table1[[#This Row],[alias]]), "")</f>
        <v>🆔 B25034_004E: Built 1990 to 1999</v>
      </c>
      <c r="O2376" t="s">
        <v>8126</v>
      </c>
      <c r="P2376" t="s">
        <v>8099</v>
      </c>
      <c r="Q2376" t="s">
        <v>41</v>
      </c>
      <c r="R2376" t="s">
        <v>8127</v>
      </c>
      <c r="S2376" t="b">
        <v>1</v>
      </c>
      <c r="T2376" t="b">
        <v>1</v>
      </c>
      <c r="U2376" t="b">
        <v>1</v>
      </c>
      <c r="V2376" t="b">
        <v>1</v>
      </c>
      <c r="W2376" t="b">
        <v>1</v>
      </c>
      <c r="X2376" t="b">
        <v>0</v>
      </c>
      <c r="Y2376" t="b">
        <v>0</v>
      </c>
      <c r="Z2376" t="b">
        <v>0</v>
      </c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G2376" t="b">
        <v>0</v>
      </c>
    </row>
    <row r="2377" spans="1:33" x14ac:dyDescent="0.25">
      <c r="A2377" t="s">
        <v>714</v>
      </c>
      <c r="B2377">
        <v>10</v>
      </c>
      <c r="C2377" t="b">
        <v>0</v>
      </c>
      <c r="D2377" t="s">
        <v>7968</v>
      </c>
      <c r="E2377" t="s">
        <v>8095</v>
      </c>
      <c r="F2377" t="s">
        <v>8124</v>
      </c>
      <c r="G2377" t="s">
        <v>8118</v>
      </c>
      <c r="H2377">
        <v>2376</v>
      </c>
      <c r="I2377" t="str">
        <f>IF(ISBLANK(Table1[[#This Row],[oid]]),"FALSE","TRUE")</f>
        <v>TRUE</v>
      </c>
      <c r="J2377" t="str" cm="1">
        <f t="array" ref="J2377">_xlfn.SWITCH(LEFT(Table1[[#This Row],[section]],1), "D", "Demographic", "S", "Social", "E", "Economic", "H", "Housing", "")</f>
        <v>Housing</v>
      </c>
      <c r="K2377" t="s">
        <v>8097</v>
      </c>
      <c r="L2377" t="s">
        <v>8098</v>
      </c>
      <c r="M2377" t="str">
        <f>IF(Table1[[#This Row],[used]], _xlfn.CONCAT("🆔 ", Table1[[#This Row],[variable]], ": ",Table1[[#This Row],[alias]]), "")</f>
        <v>🆔 B25034_004E: Built 2000 to 2009</v>
      </c>
      <c r="O2377" t="s">
        <v>8119</v>
      </c>
      <c r="P2377" t="s">
        <v>8099</v>
      </c>
      <c r="Q2377" t="s">
        <v>41</v>
      </c>
      <c r="R2377" t="s">
        <v>8127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1</v>
      </c>
      <c r="Y2377" t="b">
        <v>1</v>
      </c>
      <c r="Z2377" t="b">
        <v>1</v>
      </c>
      <c r="AA2377" t="b">
        <v>1</v>
      </c>
      <c r="AB2377" t="b">
        <v>1</v>
      </c>
      <c r="AC2377" t="b">
        <v>1</v>
      </c>
      <c r="AD2377" t="b">
        <v>1</v>
      </c>
      <c r="AE2377" t="b">
        <v>1</v>
      </c>
      <c r="AF2377" t="b">
        <v>1</v>
      </c>
      <c r="AG2377" t="b">
        <v>1</v>
      </c>
    </row>
    <row r="2378" spans="1:33" x14ac:dyDescent="0.25">
      <c r="A2378" t="s">
        <v>709</v>
      </c>
      <c r="B2378">
        <v>5</v>
      </c>
      <c r="C2378" t="b">
        <v>0</v>
      </c>
      <c r="D2378" t="s">
        <v>7968</v>
      </c>
      <c r="E2378" t="s">
        <v>8095</v>
      </c>
      <c r="F2378" t="s">
        <v>8128</v>
      </c>
      <c r="G2378" t="s">
        <v>8129</v>
      </c>
      <c r="H2378">
        <v>2377</v>
      </c>
      <c r="I2378" t="str">
        <f>IF(ISBLANK(Table1[[#This Row],[oid]]),"FALSE","TRUE")</f>
        <v>TRUE</v>
      </c>
      <c r="J2378" t="str" cm="1">
        <f t="array" ref="J2378">_xlfn.SWITCH(LEFT(Table1[[#This Row],[section]],1), "D", "Demographic", "S", "Social", "E", "Economic", "H", "Housing", "")</f>
        <v>Housing</v>
      </c>
      <c r="K2378" t="s">
        <v>8097</v>
      </c>
      <c r="L2378" t="s">
        <v>8098</v>
      </c>
      <c r="M2378" t="str">
        <f>IF(Table1[[#This Row],[used]], _xlfn.CONCAT("🆔 ", Table1[[#This Row],[variable]], ": ",Table1[[#This Row],[alias]]), "")</f>
        <v>🆔 B25034_005E: Built 1980 to 1989</v>
      </c>
      <c r="O2378" t="s">
        <v>8130</v>
      </c>
      <c r="P2378" t="s">
        <v>8099</v>
      </c>
      <c r="Q2378" t="s">
        <v>41</v>
      </c>
      <c r="R2378" t="s">
        <v>8131</v>
      </c>
      <c r="S2378" t="b">
        <v>1</v>
      </c>
      <c r="T2378" t="b">
        <v>1</v>
      </c>
      <c r="U2378" t="b">
        <v>1</v>
      </c>
      <c r="V2378" t="b">
        <v>1</v>
      </c>
      <c r="W2378" t="b">
        <v>1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</row>
    <row r="2379" spans="1:33" x14ac:dyDescent="0.25">
      <c r="A2379" t="s">
        <v>714</v>
      </c>
      <c r="B2379">
        <v>10</v>
      </c>
      <c r="C2379" t="b">
        <v>0</v>
      </c>
      <c r="D2379" t="s">
        <v>7968</v>
      </c>
      <c r="E2379" t="s">
        <v>8095</v>
      </c>
      <c r="F2379" t="s">
        <v>8128</v>
      </c>
      <c r="G2379" t="s">
        <v>8125</v>
      </c>
      <c r="H2379">
        <v>2378</v>
      </c>
      <c r="I2379" t="str">
        <f>IF(ISBLANK(Table1[[#This Row],[oid]]),"FALSE","TRUE")</f>
        <v>TRUE</v>
      </c>
      <c r="J2379" t="str" cm="1">
        <f t="array" ref="J2379">_xlfn.SWITCH(LEFT(Table1[[#This Row],[section]],1), "D", "Demographic", "S", "Social", "E", "Economic", "H", "Housing", "")</f>
        <v>Housing</v>
      </c>
      <c r="K2379" t="s">
        <v>8097</v>
      </c>
      <c r="L2379" t="s">
        <v>8098</v>
      </c>
      <c r="M2379" t="str">
        <f>IF(Table1[[#This Row],[used]], _xlfn.CONCAT("🆔 ", Table1[[#This Row],[variable]], ": ",Table1[[#This Row],[alias]]), "")</f>
        <v>🆔 B25034_005E: Built 1990 to 1999</v>
      </c>
      <c r="O2379" t="s">
        <v>8126</v>
      </c>
      <c r="P2379" t="s">
        <v>8099</v>
      </c>
      <c r="Q2379" t="s">
        <v>41</v>
      </c>
      <c r="R2379" t="s">
        <v>8131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1</v>
      </c>
      <c r="Y2379" t="b">
        <v>1</v>
      </c>
      <c r="Z2379" t="b">
        <v>1</v>
      </c>
      <c r="AA2379" t="b">
        <v>1</v>
      </c>
      <c r="AB2379" t="b">
        <v>1</v>
      </c>
      <c r="AC2379" t="b">
        <v>1</v>
      </c>
      <c r="AD2379" t="b">
        <v>1</v>
      </c>
      <c r="AE2379" t="b">
        <v>1</v>
      </c>
      <c r="AF2379" t="b">
        <v>1</v>
      </c>
      <c r="AG2379" t="b">
        <v>1</v>
      </c>
    </row>
    <row r="2380" spans="1:33" x14ac:dyDescent="0.25">
      <c r="A2380" t="s">
        <v>709</v>
      </c>
      <c r="B2380">
        <v>5</v>
      </c>
      <c r="C2380" t="b">
        <v>0</v>
      </c>
      <c r="D2380" t="s">
        <v>7968</v>
      </c>
      <c r="E2380" t="s">
        <v>8095</v>
      </c>
      <c r="F2380" t="s">
        <v>8132</v>
      </c>
      <c r="G2380" t="s">
        <v>8133</v>
      </c>
      <c r="H2380">
        <v>2379</v>
      </c>
      <c r="I2380" t="str">
        <f>IF(ISBLANK(Table1[[#This Row],[oid]]),"FALSE","TRUE")</f>
        <v>TRUE</v>
      </c>
      <c r="J2380" t="str" cm="1">
        <f t="array" ref="J2380">_xlfn.SWITCH(LEFT(Table1[[#This Row],[section]],1), "D", "Demographic", "S", "Social", "E", "Economic", "H", "Housing", "")</f>
        <v>Housing</v>
      </c>
      <c r="K2380" t="s">
        <v>8097</v>
      </c>
      <c r="L2380" t="s">
        <v>8098</v>
      </c>
      <c r="M2380" t="str">
        <f>IF(Table1[[#This Row],[used]], _xlfn.CONCAT("🆔 ", Table1[[#This Row],[variable]], ": ",Table1[[#This Row],[alias]]), "")</f>
        <v>🆔 B25034_006E: Built 1970 to 1979</v>
      </c>
      <c r="O2380" t="s">
        <v>8134</v>
      </c>
      <c r="P2380" t="s">
        <v>8099</v>
      </c>
      <c r="Q2380" t="s">
        <v>41</v>
      </c>
      <c r="R2380" t="s">
        <v>8135</v>
      </c>
      <c r="S2380" t="b">
        <v>1</v>
      </c>
      <c r="T2380" t="b">
        <v>1</v>
      </c>
      <c r="U2380" t="b">
        <v>1</v>
      </c>
      <c r="V2380" t="b">
        <v>1</v>
      </c>
      <c r="W2380" t="b">
        <v>1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0</v>
      </c>
    </row>
    <row r="2381" spans="1:33" x14ac:dyDescent="0.25">
      <c r="A2381" t="s">
        <v>714</v>
      </c>
      <c r="B2381">
        <v>10</v>
      </c>
      <c r="C2381" t="b">
        <v>0</v>
      </c>
      <c r="D2381" t="s">
        <v>7968</v>
      </c>
      <c r="E2381" t="s">
        <v>8095</v>
      </c>
      <c r="F2381" t="s">
        <v>8132</v>
      </c>
      <c r="G2381" t="s">
        <v>8129</v>
      </c>
      <c r="H2381">
        <v>2380</v>
      </c>
      <c r="I2381" t="str">
        <f>IF(ISBLANK(Table1[[#This Row],[oid]]),"FALSE","TRUE")</f>
        <v>TRUE</v>
      </c>
      <c r="J2381" t="str" cm="1">
        <f t="array" ref="J2381">_xlfn.SWITCH(LEFT(Table1[[#This Row],[section]],1), "D", "Demographic", "S", "Social", "E", "Economic", "H", "Housing", "")</f>
        <v>Housing</v>
      </c>
      <c r="K2381" t="s">
        <v>8097</v>
      </c>
      <c r="L2381" t="s">
        <v>8098</v>
      </c>
      <c r="M2381" t="str">
        <f>IF(Table1[[#This Row],[used]], _xlfn.CONCAT("🆔 ", Table1[[#This Row],[variable]], ": ",Table1[[#This Row],[alias]]), "")</f>
        <v>🆔 B25034_006E: Built 1980 to 1989</v>
      </c>
      <c r="O2381" t="s">
        <v>8130</v>
      </c>
      <c r="P2381" t="s">
        <v>8099</v>
      </c>
      <c r="Q2381" t="s">
        <v>41</v>
      </c>
      <c r="R2381" t="s">
        <v>8135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1</v>
      </c>
      <c r="Y2381" t="b">
        <v>1</v>
      </c>
      <c r="Z2381" t="b">
        <v>1</v>
      </c>
      <c r="AA2381" t="b">
        <v>1</v>
      </c>
      <c r="AB2381" t="b">
        <v>1</v>
      </c>
      <c r="AC2381" t="b">
        <v>1</v>
      </c>
      <c r="AD2381" t="b">
        <v>1</v>
      </c>
      <c r="AE2381" t="b">
        <v>1</v>
      </c>
      <c r="AF2381" t="b">
        <v>1</v>
      </c>
      <c r="AG2381" t="b">
        <v>1</v>
      </c>
    </row>
    <row r="2382" spans="1:33" x14ac:dyDescent="0.25">
      <c r="A2382" t="s">
        <v>709</v>
      </c>
      <c r="B2382">
        <v>5</v>
      </c>
      <c r="C2382" t="b">
        <v>0</v>
      </c>
      <c r="D2382" t="s">
        <v>7968</v>
      </c>
      <c r="E2382" t="s">
        <v>8095</v>
      </c>
      <c r="F2382" t="s">
        <v>8136</v>
      </c>
      <c r="G2382" t="s">
        <v>8137</v>
      </c>
      <c r="H2382">
        <v>2381</v>
      </c>
      <c r="I2382" t="str">
        <f>IF(ISBLANK(Table1[[#This Row],[oid]]),"FALSE","TRUE")</f>
        <v>TRUE</v>
      </c>
      <c r="J2382" t="str" cm="1">
        <f t="array" ref="J2382">_xlfn.SWITCH(LEFT(Table1[[#This Row],[section]],1), "D", "Demographic", "S", "Social", "E", "Economic", "H", "Housing", "")</f>
        <v>Housing</v>
      </c>
      <c r="K2382" t="s">
        <v>8097</v>
      </c>
      <c r="L2382" t="s">
        <v>8098</v>
      </c>
      <c r="M2382" t="str">
        <f>IF(Table1[[#This Row],[used]], _xlfn.CONCAT("🆔 ", Table1[[#This Row],[variable]], ": ",Table1[[#This Row],[alias]]), "")</f>
        <v>🆔 B25034_007E: Built 1960 to 1969</v>
      </c>
      <c r="O2382" t="s">
        <v>8138</v>
      </c>
      <c r="P2382" t="s">
        <v>8099</v>
      </c>
      <c r="Q2382" t="s">
        <v>41</v>
      </c>
      <c r="R2382" t="s">
        <v>8139</v>
      </c>
      <c r="S2382" t="b">
        <v>1</v>
      </c>
      <c r="T2382" t="b">
        <v>1</v>
      </c>
      <c r="U2382" t="b">
        <v>1</v>
      </c>
      <c r="V2382" t="b">
        <v>1</v>
      </c>
      <c r="W2382" t="b">
        <v>1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</row>
    <row r="2383" spans="1:33" x14ac:dyDescent="0.25">
      <c r="A2383" t="s">
        <v>714</v>
      </c>
      <c r="B2383">
        <v>10</v>
      </c>
      <c r="C2383" t="b">
        <v>0</v>
      </c>
      <c r="D2383" t="s">
        <v>7968</v>
      </c>
      <c r="E2383" t="s">
        <v>8095</v>
      </c>
      <c r="F2383" t="s">
        <v>8136</v>
      </c>
      <c r="G2383" t="s">
        <v>8133</v>
      </c>
      <c r="H2383">
        <v>2382</v>
      </c>
      <c r="I2383" t="str">
        <f>IF(ISBLANK(Table1[[#This Row],[oid]]),"FALSE","TRUE")</f>
        <v>TRUE</v>
      </c>
      <c r="J2383" t="str" cm="1">
        <f t="array" ref="J2383">_xlfn.SWITCH(LEFT(Table1[[#This Row],[section]],1), "D", "Demographic", "S", "Social", "E", "Economic", "H", "Housing", "")</f>
        <v>Housing</v>
      </c>
      <c r="K2383" t="s">
        <v>8097</v>
      </c>
      <c r="L2383" t="s">
        <v>8098</v>
      </c>
      <c r="M2383" t="str">
        <f>IF(Table1[[#This Row],[used]], _xlfn.CONCAT("🆔 ", Table1[[#This Row],[variable]], ": ",Table1[[#This Row],[alias]]), "")</f>
        <v>🆔 B25034_007E: Built 1970 to 1979</v>
      </c>
      <c r="O2383" t="s">
        <v>8134</v>
      </c>
      <c r="P2383" t="s">
        <v>8099</v>
      </c>
      <c r="Q2383" t="s">
        <v>41</v>
      </c>
      <c r="R2383" t="s">
        <v>8139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1</v>
      </c>
      <c r="Y2383" t="b">
        <v>1</v>
      </c>
      <c r="Z2383" t="b">
        <v>1</v>
      </c>
      <c r="AA2383" t="b">
        <v>1</v>
      </c>
      <c r="AB2383" t="b">
        <v>1</v>
      </c>
      <c r="AC2383" t="b">
        <v>1</v>
      </c>
      <c r="AD2383" t="b">
        <v>1</v>
      </c>
      <c r="AE2383" t="b">
        <v>1</v>
      </c>
      <c r="AF2383" t="b">
        <v>1</v>
      </c>
      <c r="AG2383" t="b">
        <v>1</v>
      </c>
    </row>
    <row r="2384" spans="1:33" x14ac:dyDescent="0.25">
      <c r="A2384" t="s">
        <v>709</v>
      </c>
      <c r="B2384">
        <v>5</v>
      </c>
      <c r="C2384" t="b">
        <v>0</v>
      </c>
      <c r="D2384" t="s">
        <v>7968</v>
      </c>
      <c r="E2384" t="s">
        <v>8095</v>
      </c>
      <c r="F2384" t="s">
        <v>8140</v>
      </c>
      <c r="G2384" t="s">
        <v>8141</v>
      </c>
      <c r="H2384">
        <v>2383</v>
      </c>
      <c r="I2384" t="str">
        <f>IF(ISBLANK(Table1[[#This Row],[oid]]),"FALSE","TRUE")</f>
        <v>TRUE</v>
      </c>
      <c r="J2384" t="str" cm="1">
        <f t="array" ref="J2384">_xlfn.SWITCH(LEFT(Table1[[#This Row],[section]],1), "D", "Demographic", "S", "Social", "E", "Economic", "H", "Housing", "")</f>
        <v>Housing</v>
      </c>
      <c r="K2384" t="s">
        <v>8097</v>
      </c>
      <c r="L2384" t="s">
        <v>8098</v>
      </c>
      <c r="M2384" t="str">
        <f>IF(Table1[[#This Row],[used]], _xlfn.CONCAT("🆔 ", Table1[[#This Row],[variable]], ": ",Table1[[#This Row],[alias]]), "")</f>
        <v>🆔 B25034_008E: Built 1950 to 1959</v>
      </c>
      <c r="O2384" t="s">
        <v>8142</v>
      </c>
      <c r="P2384" t="s">
        <v>8099</v>
      </c>
      <c r="Q2384" t="s">
        <v>41</v>
      </c>
      <c r="R2384" t="s">
        <v>8143</v>
      </c>
      <c r="S2384" t="b">
        <v>1</v>
      </c>
      <c r="T2384" t="b">
        <v>1</v>
      </c>
      <c r="U2384" t="b">
        <v>1</v>
      </c>
      <c r="V2384" t="b">
        <v>1</v>
      </c>
      <c r="W2384" t="b">
        <v>1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</row>
    <row r="2385" spans="1:33" x14ac:dyDescent="0.25">
      <c r="A2385" t="s">
        <v>714</v>
      </c>
      <c r="B2385">
        <v>10</v>
      </c>
      <c r="C2385" t="b">
        <v>0</v>
      </c>
      <c r="D2385" t="s">
        <v>7968</v>
      </c>
      <c r="E2385" t="s">
        <v>8095</v>
      </c>
      <c r="F2385" t="s">
        <v>8140</v>
      </c>
      <c r="G2385" t="s">
        <v>8137</v>
      </c>
      <c r="H2385">
        <v>2384</v>
      </c>
      <c r="I2385" t="str">
        <f>IF(ISBLANK(Table1[[#This Row],[oid]]),"FALSE","TRUE")</f>
        <v>TRUE</v>
      </c>
      <c r="J2385" t="str" cm="1">
        <f t="array" ref="J2385">_xlfn.SWITCH(LEFT(Table1[[#This Row],[section]],1), "D", "Demographic", "S", "Social", "E", "Economic", "H", "Housing", "")</f>
        <v>Housing</v>
      </c>
      <c r="K2385" t="s">
        <v>8097</v>
      </c>
      <c r="L2385" t="s">
        <v>8098</v>
      </c>
      <c r="M2385" t="str">
        <f>IF(Table1[[#This Row],[used]], _xlfn.CONCAT("🆔 ", Table1[[#This Row],[variable]], ": ",Table1[[#This Row],[alias]]), "")</f>
        <v>🆔 B25034_008E: Built 1960 to 1969</v>
      </c>
      <c r="O2385" t="s">
        <v>8138</v>
      </c>
      <c r="P2385" t="s">
        <v>8099</v>
      </c>
      <c r="Q2385" t="s">
        <v>41</v>
      </c>
      <c r="R2385" t="s">
        <v>8143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1</v>
      </c>
      <c r="Y2385" t="b">
        <v>1</v>
      </c>
      <c r="Z2385" t="b">
        <v>1</v>
      </c>
      <c r="AA2385" t="b">
        <v>1</v>
      </c>
      <c r="AB2385" t="b">
        <v>1</v>
      </c>
      <c r="AC2385" t="b">
        <v>1</v>
      </c>
      <c r="AD2385" t="b">
        <v>1</v>
      </c>
      <c r="AE2385" t="b">
        <v>1</v>
      </c>
      <c r="AF2385" t="b">
        <v>1</v>
      </c>
      <c r="AG2385" t="b">
        <v>1</v>
      </c>
    </row>
    <row r="2386" spans="1:33" x14ac:dyDescent="0.25">
      <c r="A2386" t="s">
        <v>709</v>
      </c>
      <c r="B2386">
        <v>5</v>
      </c>
      <c r="C2386" t="b">
        <v>0</v>
      </c>
      <c r="D2386" t="s">
        <v>7968</v>
      </c>
      <c r="E2386" t="s">
        <v>8095</v>
      </c>
      <c r="F2386" t="s">
        <v>8144</v>
      </c>
      <c r="G2386" t="s">
        <v>8145</v>
      </c>
      <c r="H2386">
        <v>2385</v>
      </c>
      <c r="I2386" t="str">
        <f>IF(ISBLANK(Table1[[#This Row],[oid]]),"FALSE","TRUE")</f>
        <v>TRUE</v>
      </c>
      <c r="J2386" t="str" cm="1">
        <f t="array" ref="J2386">_xlfn.SWITCH(LEFT(Table1[[#This Row],[section]],1), "D", "Demographic", "S", "Social", "E", "Economic", "H", "Housing", "")</f>
        <v>Housing</v>
      </c>
      <c r="K2386" t="s">
        <v>8097</v>
      </c>
      <c r="L2386" t="s">
        <v>8098</v>
      </c>
      <c r="M2386" t="str">
        <f>IF(Table1[[#This Row],[used]], _xlfn.CONCAT("🆔 ", Table1[[#This Row],[variable]], ": ",Table1[[#This Row],[alias]]), "")</f>
        <v>🆔 B25034_009E: Built 1940 to 1949</v>
      </c>
      <c r="O2386" t="s">
        <v>8146</v>
      </c>
      <c r="P2386" t="s">
        <v>8099</v>
      </c>
      <c r="Q2386" t="s">
        <v>41</v>
      </c>
      <c r="R2386" t="s">
        <v>8147</v>
      </c>
      <c r="S2386" t="b">
        <v>1</v>
      </c>
      <c r="T2386" t="b">
        <v>1</v>
      </c>
      <c r="U2386" t="b">
        <v>1</v>
      </c>
      <c r="V2386" t="b">
        <v>1</v>
      </c>
      <c r="W2386" t="b">
        <v>1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0</v>
      </c>
      <c r="AF2386" t="b">
        <v>0</v>
      </c>
      <c r="AG2386" t="b">
        <v>0</v>
      </c>
    </row>
    <row r="2387" spans="1:33" x14ac:dyDescent="0.25">
      <c r="A2387" t="s">
        <v>714</v>
      </c>
      <c r="B2387">
        <v>10</v>
      </c>
      <c r="C2387" t="b">
        <v>0</v>
      </c>
      <c r="D2387" t="s">
        <v>7968</v>
      </c>
      <c r="E2387" t="s">
        <v>8095</v>
      </c>
      <c r="F2387" t="s">
        <v>8144</v>
      </c>
      <c r="G2387" t="s">
        <v>8141</v>
      </c>
      <c r="H2387">
        <v>2386</v>
      </c>
      <c r="I2387" t="str">
        <f>IF(ISBLANK(Table1[[#This Row],[oid]]),"FALSE","TRUE")</f>
        <v>TRUE</v>
      </c>
      <c r="J2387" t="str" cm="1">
        <f t="array" ref="J2387">_xlfn.SWITCH(LEFT(Table1[[#This Row],[section]],1), "D", "Demographic", "S", "Social", "E", "Economic", "H", "Housing", "")</f>
        <v>Housing</v>
      </c>
      <c r="K2387" t="s">
        <v>8097</v>
      </c>
      <c r="L2387" t="s">
        <v>8098</v>
      </c>
      <c r="M2387" t="str">
        <f>IF(Table1[[#This Row],[used]], _xlfn.CONCAT("🆔 ", Table1[[#This Row],[variable]], ": ",Table1[[#This Row],[alias]]), "")</f>
        <v>🆔 B25034_009E: Built 1950 to 1959</v>
      </c>
      <c r="O2387" t="s">
        <v>8142</v>
      </c>
      <c r="P2387" t="s">
        <v>8099</v>
      </c>
      <c r="Q2387" t="s">
        <v>41</v>
      </c>
      <c r="R2387" t="s">
        <v>8147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1</v>
      </c>
      <c r="Y2387" t="b">
        <v>1</v>
      </c>
      <c r="Z2387" t="b">
        <v>1</v>
      </c>
      <c r="AA2387" t="b">
        <v>1</v>
      </c>
      <c r="AB2387" t="b">
        <v>1</v>
      </c>
      <c r="AC2387" t="b">
        <v>1</v>
      </c>
      <c r="AD2387" t="b">
        <v>1</v>
      </c>
      <c r="AE2387" t="b">
        <v>1</v>
      </c>
      <c r="AF2387" t="b">
        <v>1</v>
      </c>
      <c r="AG2387" t="b">
        <v>1</v>
      </c>
    </row>
    <row r="2388" spans="1:33" x14ac:dyDescent="0.25">
      <c r="A2388" t="s">
        <v>709</v>
      </c>
      <c r="B2388">
        <v>5</v>
      </c>
      <c r="C2388" t="b">
        <v>0</v>
      </c>
      <c r="D2388" t="s">
        <v>7968</v>
      </c>
      <c r="E2388" t="s">
        <v>8095</v>
      </c>
      <c r="F2388" t="s">
        <v>8148</v>
      </c>
      <c r="G2388" t="s">
        <v>8149</v>
      </c>
      <c r="H2388">
        <v>2387</v>
      </c>
      <c r="I2388" t="str">
        <f>IF(ISBLANK(Table1[[#This Row],[oid]]),"FALSE","TRUE")</f>
        <v>TRUE</v>
      </c>
      <c r="J2388" t="str" cm="1">
        <f t="array" ref="J2388">_xlfn.SWITCH(LEFT(Table1[[#This Row],[section]],1), "D", "Demographic", "S", "Social", "E", "Economic", "H", "Housing", "")</f>
        <v>Housing</v>
      </c>
      <c r="K2388" t="s">
        <v>8097</v>
      </c>
      <c r="L2388" t="s">
        <v>8098</v>
      </c>
      <c r="M2388" t="str">
        <f>IF(Table1[[#This Row],[used]], _xlfn.CONCAT("🆔 ", Table1[[#This Row],[variable]], ": ",Table1[[#This Row],[alias]]), "")</f>
        <v>🆔 B25034_010E: Built 1939 or earlier</v>
      </c>
      <c r="O2388" t="s">
        <v>8150</v>
      </c>
      <c r="P2388" t="s">
        <v>8099</v>
      </c>
      <c r="Q2388" t="s">
        <v>41</v>
      </c>
      <c r="R2388" t="s">
        <v>8151</v>
      </c>
      <c r="S2388" t="b">
        <v>1</v>
      </c>
      <c r="T2388" t="b">
        <v>1</v>
      </c>
      <c r="U2388" t="b">
        <v>1</v>
      </c>
      <c r="V2388" t="b">
        <v>1</v>
      </c>
      <c r="W2388" t="b">
        <v>1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</row>
    <row r="2389" spans="1:33" x14ac:dyDescent="0.25">
      <c r="A2389" t="s">
        <v>714</v>
      </c>
      <c r="B2389">
        <v>10</v>
      </c>
      <c r="C2389" t="b">
        <v>0</v>
      </c>
      <c r="D2389" t="s">
        <v>7968</v>
      </c>
      <c r="E2389" t="s">
        <v>8095</v>
      </c>
      <c r="F2389" t="s">
        <v>8148</v>
      </c>
      <c r="G2389" t="s">
        <v>8145</v>
      </c>
      <c r="H2389">
        <v>2388</v>
      </c>
      <c r="I2389" t="str">
        <f>IF(ISBLANK(Table1[[#This Row],[oid]]),"FALSE","TRUE")</f>
        <v>TRUE</v>
      </c>
      <c r="J2389" t="str" cm="1">
        <f t="array" ref="J2389">_xlfn.SWITCH(LEFT(Table1[[#This Row],[section]],1), "D", "Demographic", "S", "Social", "E", "Economic", "H", "Housing", "")</f>
        <v>Housing</v>
      </c>
      <c r="K2389" t="s">
        <v>8097</v>
      </c>
      <c r="L2389" t="s">
        <v>8098</v>
      </c>
      <c r="M2389" t="str">
        <f>IF(Table1[[#This Row],[used]], _xlfn.CONCAT("🆔 ", Table1[[#This Row],[variable]], ": ",Table1[[#This Row],[alias]]), "")</f>
        <v>🆔 B25034_010E: Built 1940 to 1949</v>
      </c>
      <c r="O2389" t="s">
        <v>8146</v>
      </c>
      <c r="P2389" t="s">
        <v>8099</v>
      </c>
      <c r="Q2389" t="s">
        <v>41</v>
      </c>
      <c r="R2389" t="s">
        <v>8151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1</v>
      </c>
      <c r="Y2389" t="b">
        <v>1</v>
      </c>
      <c r="Z2389" t="b">
        <v>1</v>
      </c>
      <c r="AA2389" t="b">
        <v>1</v>
      </c>
      <c r="AB2389" t="b">
        <v>1</v>
      </c>
      <c r="AC2389" t="b">
        <v>1</v>
      </c>
      <c r="AD2389" t="b">
        <v>1</v>
      </c>
      <c r="AE2389" t="b">
        <v>1</v>
      </c>
      <c r="AF2389" t="b">
        <v>1</v>
      </c>
      <c r="AG2389" t="b">
        <v>1</v>
      </c>
    </row>
    <row r="2390" spans="1:33" x14ac:dyDescent="0.25">
      <c r="A2390" t="s">
        <v>714</v>
      </c>
      <c r="B2390">
        <v>10</v>
      </c>
      <c r="C2390" t="b">
        <v>0</v>
      </c>
      <c r="D2390" t="s">
        <v>7968</v>
      </c>
      <c r="E2390" t="s">
        <v>8095</v>
      </c>
      <c r="F2390" t="s">
        <v>8152</v>
      </c>
      <c r="G2390" t="s">
        <v>8149</v>
      </c>
      <c r="H2390">
        <v>2389</v>
      </c>
      <c r="I2390" t="str">
        <f>IF(ISBLANK(Table1[[#This Row],[oid]]),"FALSE","TRUE")</f>
        <v>TRUE</v>
      </c>
      <c r="J2390" t="str" cm="1">
        <f t="array" ref="J2390">_xlfn.SWITCH(LEFT(Table1[[#This Row],[section]],1), "D", "Demographic", "S", "Social", "E", "Economic", "H", "Housing", "")</f>
        <v>Housing</v>
      </c>
      <c r="K2390" t="s">
        <v>8097</v>
      </c>
      <c r="L2390" t="s">
        <v>8098</v>
      </c>
      <c r="M2390" t="str">
        <f>IF(Table1[[#This Row],[used]], _xlfn.CONCAT("🆔 ", Table1[[#This Row],[variable]], ": ",Table1[[#This Row],[alias]]), "")</f>
        <v>🆔 B25034_011E: Built 1939 or earlier</v>
      </c>
      <c r="O2390" t="s">
        <v>8150</v>
      </c>
      <c r="P2390" t="s">
        <v>8099</v>
      </c>
      <c r="Q2390" t="s">
        <v>41</v>
      </c>
      <c r="R2390" t="s">
        <v>8153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1</v>
      </c>
      <c r="Y2390" t="b">
        <v>1</v>
      </c>
      <c r="Z2390" t="b">
        <v>1</v>
      </c>
      <c r="AA2390" t="b">
        <v>1</v>
      </c>
      <c r="AB2390" t="b">
        <v>1</v>
      </c>
      <c r="AC2390" t="b">
        <v>1</v>
      </c>
      <c r="AD2390" t="b">
        <v>1</v>
      </c>
      <c r="AE2390" t="b">
        <v>1</v>
      </c>
      <c r="AF2390" t="b">
        <v>1</v>
      </c>
      <c r="AG2390" t="b">
        <v>1</v>
      </c>
    </row>
    <row r="2391" spans="1:33" x14ac:dyDescent="0.25">
      <c r="A2391" t="s">
        <v>33</v>
      </c>
      <c r="B2391">
        <v>15</v>
      </c>
      <c r="C2391" t="b">
        <v>1</v>
      </c>
      <c r="D2391" t="s">
        <v>7968</v>
      </c>
      <c r="E2391" t="s">
        <v>8154</v>
      </c>
      <c r="F2391" t="s">
        <v>8155</v>
      </c>
      <c r="G2391" t="s">
        <v>8156</v>
      </c>
      <c r="H2391">
        <v>2390</v>
      </c>
      <c r="I2391" t="str">
        <f>IF(ISBLANK(Table1[[#This Row],[oid]]),"FALSE","TRUE")</f>
        <v>TRUE</v>
      </c>
      <c r="J2391" t="str" cm="1">
        <f t="array" ref="J2391">_xlfn.SWITCH(LEFT(Table1[[#This Row],[section]],1), "D", "Demographic", "S", "Social", "E", "Economic", "H", "Housing", "")</f>
        <v>Housing</v>
      </c>
      <c r="K2391" t="s">
        <v>8097</v>
      </c>
      <c r="L2391" t="s">
        <v>8098</v>
      </c>
      <c r="M2391" t="str">
        <f>IF(Table1[[#This Row],[used]], _xlfn.CONCAT("🆔 ", Table1[[#This Row],[variable]], ": ",Table1[[#This Row],[alias]]), "")</f>
        <v>🆔 B25035_001E: Median year structure built</v>
      </c>
      <c r="O2391" t="s">
        <v>8157</v>
      </c>
      <c r="P2391" t="s">
        <v>8158</v>
      </c>
      <c r="Q2391" t="s">
        <v>8159</v>
      </c>
      <c r="R2391" t="s">
        <v>8160</v>
      </c>
      <c r="S2391" t="b">
        <v>1</v>
      </c>
      <c r="T2391" t="b">
        <v>1</v>
      </c>
      <c r="U2391" t="b">
        <v>1</v>
      </c>
      <c r="V2391" t="b">
        <v>1</v>
      </c>
      <c r="W2391" t="b">
        <v>1</v>
      </c>
      <c r="X2391" t="b">
        <v>1</v>
      </c>
      <c r="Y2391" t="b">
        <v>1</v>
      </c>
      <c r="Z2391" t="b">
        <v>1</v>
      </c>
      <c r="AA2391" t="b">
        <v>1</v>
      </c>
      <c r="AB2391" t="b">
        <v>1</v>
      </c>
      <c r="AC2391" t="b">
        <v>1</v>
      </c>
      <c r="AD2391" t="b">
        <v>1</v>
      </c>
      <c r="AE2391" t="b">
        <v>1</v>
      </c>
      <c r="AF2391" t="b">
        <v>1</v>
      </c>
      <c r="AG2391" t="b">
        <v>1</v>
      </c>
    </row>
    <row r="2392" spans="1:33" x14ac:dyDescent="0.25">
      <c r="A2392" t="s">
        <v>33</v>
      </c>
      <c r="B2392">
        <v>15</v>
      </c>
      <c r="C2392" t="b">
        <v>1</v>
      </c>
      <c r="D2392" t="s">
        <v>7968</v>
      </c>
      <c r="E2392" t="s">
        <v>8161</v>
      </c>
      <c r="F2392" t="s">
        <v>8162</v>
      </c>
      <c r="G2392" t="s">
        <v>7971</v>
      </c>
      <c r="H2392">
        <v>2391</v>
      </c>
      <c r="I2392" t="str">
        <f>IF(ISBLANK(Table1[[#This Row],[oid]]),"FALSE","TRUE")</f>
        <v>TRUE</v>
      </c>
      <c r="J2392" t="str" cm="1">
        <f t="array" ref="J2392">_xlfn.SWITCH(LEFT(Table1[[#This Row],[section]],1), "D", "Demographic", "S", "Social", "E", "Economic", "H", "Housing", "")</f>
        <v>Housing</v>
      </c>
      <c r="K2392" t="s">
        <v>8163</v>
      </c>
      <c r="L2392" t="s">
        <v>8164</v>
      </c>
      <c r="M2392" t="str">
        <f>IF(Table1[[#This Row],[used]], _xlfn.CONCAT("🆔 ", Table1[[#This Row],[variable]], ": ",Table1[[#This Row],[alias]]), "")</f>
        <v>🆔 B25017_001E: Total Housing Units</v>
      </c>
      <c r="O2392" t="s">
        <v>39</v>
      </c>
      <c r="P2392" t="s">
        <v>8165</v>
      </c>
      <c r="Q2392" t="s">
        <v>41</v>
      </c>
      <c r="R2392" t="s">
        <v>8166</v>
      </c>
      <c r="S2392" t="b">
        <v>1</v>
      </c>
      <c r="T2392" t="b">
        <v>1</v>
      </c>
      <c r="U2392" t="b">
        <v>1</v>
      </c>
      <c r="V2392" t="b">
        <v>1</v>
      </c>
      <c r="W2392" t="b">
        <v>1</v>
      </c>
      <c r="X2392" t="b">
        <v>1</v>
      </c>
      <c r="Y2392" t="b">
        <v>1</v>
      </c>
      <c r="Z2392" t="b">
        <v>1</v>
      </c>
      <c r="AA2392" t="b">
        <v>1</v>
      </c>
      <c r="AB2392" t="b">
        <v>1</v>
      </c>
      <c r="AC2392" t="b">
        <v>1</v>
      </c>
      <c r="AD2392" t="b">
        <v>1</v>
      </c>
      <c r="AE2392" t="b">
        <v>1</v>
      </c>
      <c r="AF2392" t="b">
        <v>1</v>
      </c>
      <c r="AG2392" t="b">
        <v>1</v>
      </c>
    </row>
    <row r="2393" spans="1:33" x14ac:dyDescent="0.25">
      <c r="A2393" t="s">
        <v>33</v>
      </c>
      <c r="B2393">
        <v>15</v>
      </c>
      <c r="C2393" t="b">
        <v>1</v>
      </c>
      <c r="D2393" t="s">
        <v>7968</v>
      </c>
      <c r="E2393" t="s">
        <v>8161</v>
      </c>
      <c r="F2393" t="s">
        <v>8167</v>
      </c>
      <c r="G2393" t="s">
        <v>8168</v>
      </c>
      <c r="H2393">
        <v>2392</v>
      </c>
      <c r="I2393" t="str">
        <f>IF(ISBLANK(Table1[[#This Row],[oid]]),"FALSE","TRUE")</f>
        <v>TRUE</v>
      </c>
      <c r="J2393" t="str" cm="1">
        <f t="array" ref="J2393">_xlfn.SWITCH(LEFT(Table1[[#This Row],[section]],1), "D", "Demographic", "S", "Social", "E", "Economic", "H", "Housing", "")</f>
        <v>Housing</v>
      </c>
      <c r="K2393" t="s">
        <v>8163</v>
      </c>
      <c r="L2393" t="s">
        <v>8164</v>
      </c>
      <c r="M2393" t="str">
        <f>IF(Table1[[#This Row],[used]], _xlfn.CONCAT("🆔 ", Table1[[#This Row],[variable]], ": ",Table1[[#This Row],[alias]]), "")</f>
        <v>🆔 B25017_002E: 1 room</v>
      </c>
      <c r="O2393" t="s">
        <v>8169</v>
      </c>
      <c r="P2393" t="s">
        <v>8165</v>
      </c>
      <c r="Q2393" t="s">
        <v>41</v>
      </c>
      <c r="R2393" t="s">
        <v>8170</v>
      </c>
      <c r="S2393" t="b">
        <v>1</v>
      </c>
      <c r="T2393" t="b">
        <v>1</v>
      </c>
      <c r="U2393" t="b">
        <v>1</v>
      </c>
      <c r="V2393" t="b">
        <v>1</v>
      </c>
      <c r="W2393" t="b">
        <v>1</v>
      </c>
      <c r="X2393" t="b">
        <v>1</v>
      </c>
      <c r="Y2393" t="b">
        <v>1</v>
      </c>
      <c r="Z2393" t="b">
        <v>1</v>
      </c>
      <c r="AA2393" t="b">
        <v>1</v>
      </c>
      <c r="AB2393" t="b">
        <v>1</v>
      </c>
      <c r="AC2393" t="b">
        <v>1</v>
      </c>
      <c r="AD2393" t="b">
        <v>1</v>
      </c>
      <c r="AE2393" t="b">
        <v>1</v>
      </c>
      <c r="AF2393" t="b">
        <v>1</v>
      </c>
      <c r="AG2393" t="b">
        <v>1</v>
      </c>
    </row>
    <row r="2394" spans="1:33" x14ac:dyDescent="0.25">
      <c r="A2394" t="s">
        <v>33</v>
      </c>
      <c r="B2394">
        <v>15</v>
      </c>
      <c r="C2394" t="b">
        <v>1</v>
      </c>
      <c r="D2394" t="s">
        <v>7968</v>
      </c>
      <c r="E2394" t="s">
        <v>8161</v>
      </c>
      <c r="F2394" t="s">
        <v>8171</v>
      </c>
      <c r="G2394" t="s">
        <v>8172</v>
      </c>
      <c r="H2394">
        <v>2393</v>
      </c>
      <c r="I2394" t="str">
        <f>IF(ISBLANK(Table1[[#This Row],[oid]]),"FALSE","TRUE")</f>
        <v>TRUE</v>
      </c>
      <c r="J2394" t="str" cm="1">
        <f t="array" ref="J2394">_xlfn.SWITCH(LEFT(Table1[[#This Row],[section]],1), "D", "Demographic", "S", "Social", "E", "Economic", "H", "Housing", "")</f>
        <v>Housing</v>
      </c>
      <c r="K2394" t="s">
        <v>8163</v>
      </c>
      <c r="L2394" t="s">
        <v>8164</v>
      </c>
      <c r="M2394" t="str">
        <f>IF(Table1[[#This Row],[used]], _xlfn.CONCAT("🆔 ", Table1[[#This Row],[variable]], ": ",Table1[[#This Row],[alias]]), "")</f>
        <v>🆔 B25017_003E: 2 rooms</v>
      </c>
      <c r="O2394" t="s">
        <v>8173</v>
      </c>
      <c r="P2394" t="s">
        <v>8165</v>
      </c>
      <c r="Q2394" t="s">
        <v>41</v>
      </c>
      <c r="R2394" t="s">
        <v>8174</v>
      </c>
      <c r="S2394" t="b">
        <v>1</v>
      </c>
      <c r="T2394" t="b">
        <v>1</v>
      </c>
      <c r="U2394" t="b">
        <v>1</v>
      </c>
      <c r="V2394" t="b">
        <v>1</v>
      </c>
      <c r="W2394" t="b">
        <v>1</v>
      </c>
      <c r="X2394" t="b">
        <v>1</v>
      </c>
      <c r="Y2394" t="b">
        <v>1</v>
      </c>
      <c r="Z2394" t="b">
        <v>1</v>
      </c>
      <c r="AA2394" t="b">
        <v>1</v>
      </c>
      <c r="AB2394" t="b">
        <v>1</v>
      </c>
      <c r="AC2394" t="b">
        <v>1</v>
      </c>
      <c r="AD2394" t="b">
        <v>1</v>
      </c>
      <c r="AE2394" t="b">
        <v>1</v>
      </c>
      <c r="AF2394" t="b">
        <v>1</v>
      </c>
      <c r="AG2394" t="b">
        <v>1</v>
      </c>
    </row>
    <row r="2395" spans="1:33" x14ac:dyDescent="0.25">
      <c r="A2395" t="s">
        <v>33</v>
      </c>
      <c r="B2395">
        <v>15</v>
      </c>
      <c r="C2395" t="b">
        <v>1</v>
      </c>
      <c r="D2395" t="s">
        <v>7968</v>
      </c>
      <c r="E2395" t="s">
        <v>8161</v>
      </c>
      <c r="F2395" t="s">
        <v>8175</v>
      </c>
      <c r="G2395" t="s">
        <v>8176</v>
      </c>
      <c r="H2395">
        <v>2394</v>
      </c>
      <c r="I2395" t="str">
        <f>IF(ISBLANK(Table1[[#This Row],[oid]]),"FALSE","TRUE")</f>
        <v>TRUE</v>
      </c>
      <c r="J2395" t="str" cm="1">
        <f t="array" ref="J2395">_xlfn.SWITCH(LEFT(Table1[[#This Row],[section]],1), "D", "Demographic", "S", "Social", "E", "Economic", "H", "Housing", "")</f>
        <v>Housing</v>
      </c>
      <c r="K2395" t="s">
        <v>8163</v>
      </c>
      <c r="L2395" t="s">
        <v>8164</v>
      </c>
      <c r="M2395" t="str">
        <f>IF(Table1[[#This Row],[used]], _xlfn.CONCAT("🆔 ", Table1[[#This Row],[variable]], ": ",Table1[[#This Row],[alias]]), "")</f>
        <v>🆔 B25017_004E: 3 rooms</v>
      </c>
      <c r="O2395" t="s">
        <v>8177</v>
      </c>
      <c r="P2395" t="s">
        <v>8165</v>
      </c>
      <c r="Q2395" t="s">
        <v>41</v>
      </c>
      <c r="R2395" t="s">
        <v>8178</v>
      </c>
      <c r="S2395" t="b">
        <v>1</v>
      </c>
      <c r="T2395" t="b">
        <v>1</v>
      </c>
      <c r="U2395" t="b">
        <v>1</v>
      </c>
      <c r="V2395" t="b">
        <v>1</v>
      </c>
      <c r="W2395" t="b">
        <v>1</v>
      </c>
      <c r="X2395" t="b">
        <v>1</v>
      </c>
      <c r="Y2395" t="b">
        <v>1</v>
      </c>
      <c r="Z2395" t="b">
        <v>1</v>
      </c>
      <c r="AA2395" t="b">
        <v>1</v>
      </c>
      <c r="AB2395" t="b">
        <v>1</v>
      </c>
      <c r="AC2395" t="b">
        <v>1</v>
      </c>
      <c r="AD2395" t="b">
        <v>1</v>
      </c>
      <c r="AE2395" t="b">
        <v>1</v>
      </c>
      <c r="AF2395" t="b">
        <v>1</v>
      </c>
      <c r="AG2395" t="b">
        <v>1</v>
      </c>
    </row>
    <row r="2396" spans="1:33" x14ac:dyDescent="0.25">
      <c r="A2396" t="s">
        <v>33</v>
      </c>
      <c r="B2396">
        <v>15</v>
      </c>
      <c r="C2396" t="b">
        <v>1</v>
      </c>
      <c r="D2396" t="s">
        <v>7968</v>
      </c>
      <c r="E2396" t="s">
        <v>8161</v>
      </c>
      <c r="F2396" t="s">
        <v>8179</v>
      </c>
      <c r="G2396" t="s">
        <v>8180</v>
      </c>
      <c r="H2396">
        <v>2395</v>
      </c>
      <c r="I2396" t="str">
        <f>IF(ISBLANK(Table1[[#This Row],[oid]]),"FALSE","TRUE")</f>
        <v>TRUE</v>
      </c>
      <c r="J2396" t="str" cm="1">
        <f t="array" ref="J2396">_xlfn.SWITCH(LEFT(Table1[[#This Row],[section]],1), "D", "Demographic", "S", "Social", "E", "Economic", "H", "Housing", "")</f>
        <v>Housing</v>
      </c>
      <c r="K2396" t="s">
        <v>8163</v>
      </c>
      <c r="L2396" t="s">
        <v>8164</v>
      </c>
      <c r="M2396" t="str">
        <f>IF(Table1[[#This Row],[used]], _xlfn.CONCAT("🆔 ", Table1[[#This Row],[variable]], ": ",Table1[[#This Row],[alias]]), "")</f>
        <v>🆔 B25017_005E: 4 rooms</v>
      </c>
      <c r="O2396" t="s">
        <v>8181</v>
      </c>
      <c r="P2396" t="s">
        <v>8165</v>
      </c>
      <c r="Q2396" t="s">
        <v>41</v>
      </c>
      <c r="R2396" t="s">
        <v>8182</v>
      </c>
      <c r="S2396" t="b">
        <v>1</v>
      </c>
      <c r="T2396" t="b">
        <v>1</v>
      </c>
      <c r="U2396" t="b">
        <v>1</v>
      </c>
      <c r="V2396" t="b">
        <v>1</v>
      </c>
      <c r="W2396" t="b">
        <v>1</v>
      </c>
      <c r="X2396" t="b">
        <v>1</v>
      </c>
      <c r="Y2396" t="b">
        <v>1</v>
      </c>
      <c r="Z2396" t="b">
        <v>1</v>
      </c>
      <c r="AA2396" t="b">
        <v>1</v>
      </c>
      <c r="AB2396" t="b">
        <v>1</v>
      </c>
      <c r="AC2396" t="b">
        <v>1</v>
      </c>
      <c r="AD2396" t="b">
        <v>1</v>
      </c>
      <c r="AE2396" t="b">
        <v>1</v>
      </c>
      <c r="AF2396" t="b">
        <v>1</v>
      </c>
      <c r="AG2396" t="b">
        <v>1</v>
      </c>
    </row>
    <row r="2397" spans="1:33" x14ac:dyDescent="0.25">
      <c r="A2397" t="s">
        <v>33</v>
      </c>
      <c r="B2397">
        <v>15</v>
      </c>
      <c r="C2397" t="b">
        <v>1</v>
      </c>
      <c r="D2397" t="s">
        <v>7968</v>
      </c>
      <c r="E2397" t="s">
        <v>8161</v>
      </c>
      <c r="F2397" t="s">
        <v>8183</v>
      </c>
      <c r="G2397" t="s">
        <v>8184</v>
      </c>
      <c r="H2397">
        <v>2396</v>
      </c>
      <c r="I2397" t="str">
        <f>IF(ISBLANK(Table1[[#This Row],[oid]]),"FALSE","TRUE")</f>
        <v>TRUE</v>
      </c>
      <c r="J2397" t="str" cm="1">
        <f t="array" ref="J2397">_xlfn.SWITCH(LEFT(Table1[[#This Row],[section]],1), "D", "Demographic", "S", "Social", "E", "Economic", "H", "Housing", "")</f>
        <v>Housing</v>
      </c>
      <c r="K2397" t="s">
        <v>8163</v>
      </c>
      <c r="L2397" t="s">
        <v>8164</v>
      </c>
      <c r="M2397" t="str">
        <f>IF(Table1[[#This Row],[used]], _xlfn.CONCAT("🆔 ", Table1[[#This Row],[variable]], ": ",Table1[[#This Row],[alias]]), "")</f>
        <v>🆔 B25017_006E: 5 rooms</v>
      </c>
      <c r="O2397" t="s">
        <v>8185</v>
      </c>
      <c r="P2397" t="s">
        <v>8165</v>
      </c>
      <c r="Q2397" t="s">
        <v>41</v>
      </c>
      <c r="R2397" t="s">
        <v>8186</v>
      </c>
      <c r="S2397" t="b">
        <v>1</v>
      </c>
      <c r="T2397" t="b">
        <v>1</v>
      </c>
      <c r="U2397" t="b">
        <v>1</v>
      </c>
      <c r="V2397" t="b">
        <v>1</v>
      </c>
      <c r="W2397" t="b">
        <v>1</v>
      </c>
      <c r="X2397" t="b">
        <v>1</v>
      </c>
      <c r="Y2397" t="b">
        <v>1</v>
      </c>
      <c r="Z2397" t="b">
        <v>1</v>
      </c>
      <c r="AA2397" t="b">
        <v>1</v>
      </c>
      <c r="AB2397" t="b">
        <v>1</v>
      </c>
      <c r="AC2397" t="b">
        <v>1</v>
      </c>
      <c r="AD2397" t="b">
        <v>1</v>
      </c>
      <c r="AE2397" t="b">
        <v>1</v>
      </c>
      <c r="AF2397" t="b">
        <v>1</v>
      </c>
      <c r="AG2397" t="b">
        <v>1</v>
      </c>
    </row>
    <row r="2398" spans="1:33" x14ac:dyDescent="0.25">
      <c r="A2398" t="s">
        <v>33</v>
      </c>
      <c r="B2398">
        <v>15</v>
      </c>
      <c r="C2398" t="b">
        <v>1</v>
      </c>
      <c r="D2398" t="s">
        <v>7968</v>
      </c>
      <c r="E2398" t="s">
        <v>8161</v>
      </c>
      <c r="F2398" t="s">
        <v>8187</v>
      </c>
      <c r="G2398" t="s">
        <v>8188</v>
      </c>
      <c r="H2398">
        <v>2397</v>
      </c>
      <c r="I2398" t="str">
        <f>IF(ISBLANK(Table1[[#This Row],[oid]]),"FALSE","TRUE")</f>
        <v>TRUE</v>
      </c>
      <c r="J2398" t="str" cm="1">
        <f t="array" ref="J2398">_xlfn.SWITCH(LEFT(Table1[[#This Row],[section]],1), "D", "Demographic", "S", "Social", "E", "Economic", "H", "Housing", "")</f>
        <v>Housing</v>
      </c>
      <c r="K2398" t="s">
        <v>8163</v>
      </c>
      <c r="L2398" t="s">
        <v>8164</v>
      </c>
      <c r="M2398" t="str">
        <f>IF(Table1[[#This Row],[used]], _xlfn.CONCAT("🆔 ", Table1[[#This Row],[variable]], ": ",Table1[[#This Row],[alias]]), "")</f>
        <v>🆔 B25017_007E: 6 rooms</v>
      </c>
      <c r="O2398" t="s">
        <v>8189</v>
      </c>
      <c r="P2398" t="s">
        <v>8165</v>
      </c>
      <c r="Q2398" t="s">
        <v>41</v>
      </c>
      <c r="R2398" t="s">
        <v>8190</v>
      </c>
      <c r="S2398" t="b">
        <v>1</v>
      </c>
      <c r="T2398" t="b">
        <v>1</v>
      </c>
      <c r="U2398" t="b">
        <v>1</v>
      </c>
      <c r="V2398" t="b">
        <v>1</v>
      </c>
      <c r="W2398" t="b">
        <v>1</v>
      </c>
      <c r="X2398" t="b">
        <v>1</v>
      </c>
      <c r="Y2398" t="b">
        <v>1</v>
      </c>
      <c r="Z2398" t="b">
        <v>1</v>
      </c>
      <c r="AA2398" t="b">
        <v>1</v>
      </c>
      <c r="AB2398" t="b">
        <v>1</v>
      </c>
      <c r="AC2398" t="b">
        <v>1</v>
      </c>
      <c r="AD2398" t="b">
        <v>1</v>
      </c>
      <c r="AE2398" t="b">
        <v>1</v>
      </c>
      <c r="AF2398" t="b">
        <v>1</v>
      </c>
      <c r="AG2398" t="b">
        <v>1</v>
      </c>
    </row>
    <row r="2399" spans="1:33" x14ac:dyDescent="0.25">
      <c r="A2399" t="s">
        <v>33</v>
      </c>
      <c r="B2399">
        <v>15</v>
      </c>
      <c r="C2399" t="b">
        <v>1</v>
      </c>
      <c r="D2399" t="s">
        <v>7968</v>
      </c>
      <c r="E2399" t="s">
        <v>8161</v>
      </c>
      <c r="F2399" t="s">
        <v>8191</v>
      </c>
      <c r="G2399" t="s">
        <v>8192</v>
      </c>
      <c r="H2399">
        <v>2398</v>
      </c>
      <c r="I2399" t="str">
        <f>IF(ISBLANK(Table1[[#This Row],[oid]]),"FALSE","TRUE")</f>
        <v>TRUE</v>
      </c>
      <c r="J2399" t="str" cm="1">
        <f t="array" ref="J2399">_xlfn.SWITCH(LEFT(Table1[[#This Row],[section]],1), "D", "Demographic", "S", "Social", "E", "Economic", "H", "Housing", "")</f>
        <v>Housing</v>
      </c>
      <c r="K2399" t="s">
        <v>8163</v>
      </c>
      <c r="L2399" t="s">
        <v>8164</v>
      </c>
      <c r="M2399" t="str">
        <f>IF(Table1[[#This Row],[used]], _xlfn.CONCAT("🆔 ", Table1[[#This Row],[variable]], ": ",Table1[[#This Row],[alias]]), "")</f>
        <v>🆔 B25017_008E: 7 rooms</v>
      </c>
      <c r="O2399" t="s">
        <v>8193</v>
      </c>
      <c r="P2399" t="s">
        <v>8165</v>
      </c>
      <c r="Q2399" t="s">
        <v>41</v>
      </c>
      <c r="R2399" t="s">
        <v>8194</v>
      </c>
      <c r="S2399" t="b">
        <v>1</v>
      </c>
      <c r="T2399" t="b">
        <v>1</v>
      </c>
      <c r="U2399" t="b">
        <v>1</v>
      </c>
      <c r="V2399" t="b">
        <v>1</v>
      </c>
      <c r="W2399" t="b">
        <v>1</v>
      </c>
      <c r="X2399" t="b">
        <v>1</v>
      </c>
      <c r="Y2399" t="b">
        <v>1</v>
      </c>
      <c r="Z2399" t="b">
        <v>1</v>
      </c>
      <c r="AA2399" t="b">
        <v>1</v>
      </c>
      <c r="AB2399" t="b">
        <v>1</v>
      </c>
      <c r="AC2399" t="b">
        <v>1</v>
      </c>
      <c r="AD2399" t="b">
        <v>1</v>
      </c>
      <c r="AE2399" t="b">
        <v>1</v>
      </c>
      <c r="AF2399" t="b">
        <v>1</v>
      </c>
      <c r="AG2399" t="b">
        <v>1</v>
      </c>
    </row>
    <row r="2400" spans="1:33" x14ac:dyDescent="0.25">
      <c r="A2400" t="s">
        <v>33</v>
      </c>
      <c r="B2400">
        <v>15</v>
      </c>
      <c r="C2400" t="b">
        <v>1</v>
      </c>
      <c r="D2400" t="s">
        <v>7968</v>
      </c>
      <c r="E2400" t="s">
        <v>8161</v>
      </c>
      <c r="F2400" t="s">
        <v>8195</v>
      </c>
      <c r="G2400" t="s">
        <v>8196</v>
      </c>
      <c r="H2400">
        <v>2399</v>
      </c>
      <c r="I2400" t="str">
        <f>IF(ISBLANK(Table1[[#This Row],[oid]]),"FALSE","TRUE")</f>
        <v>TRUE</v>
      </c>
      <c r="J2400" t="str" cm="1">
        <f t="array" ref="J2400">_xlfn.SWITCH(LEFT(Table1[[#This Row],[section]],1), "D", "Demographic", "S", "Social", "E", "Economic", "H", "Housing", "")</f>
        <v>Housing</v>
      </c>
      <c r="K2400" t="s">
        <v>8163</v>
      </c>
      <c r="L2400" t="s">
        <v>8164</v>
      </c>
      <c r="M2400" t="str">
        <f>IF(Table1[[#This Row],[used]], _xlfn.CONCAT("🆔 ", Table1[[#This Row],[variable]], ": ",Table1[[#This Row],[alias]]), "")</f>
        <v>🆔 B25017_009E: 8 rooms</v>
      </c>
      <c r="O2400" t="s">
        <v>8197</v>
      </c>
      <c r="P2400" t="s">
        <v>8165</v>
      </c>
      <c r="Q2400" t="s">
        <v>41</v>
      </c>
      <c r="R2400" t="s">
        <v>8198</v>
      </c>
      <c r="S2400" t="b">
        <v>1</v>
      </c>
      <c r="T2400" t="b">
        <v>1</v>
      </c>
      <c r="U2400" t="b">
        <v>1</v>
      </c>
      <c r="V2400" t="b">
        <v>1</v>
      </c>
      <c r="W2400" t="b">
        <v>1</v>
      </c>
      <c r="X2400" t="b">
        <v>1</v>
      </c>
      <c r="Y2400" t="b">
        <v>1</v>
      </c>
      <c r="Z2400" t="b">
        <v>1</v>
      </c>
      <c r="AA2400" t="b">
        <v>1</v>
      </c>
      <c r="AB2400" t="b">
        <v>1</v>
      </c>
      <c r="AC2400" t="b">
        <v>1</v>
      </c>
      <c r="AD2400" t="b">
        <v>1</v>
      </c>
      <c r="AE2400" t="b">
        <v>1</v>
      </c>
      <c r="AF2400" t="b">
        <v>1</v>
      </c>
      <c r="AG2400" t="b">
        <v>1</v>
      </c>
    </row>
    <row r="2401" spans="1:33" x14ac:dyDescent="0.25">
      <c r="A2401" t="s">
        <v>33</v>
      </c>
      <c r="B2401">
        <v>15</v>
      </c>
      <c r="C2401" t="b">
        <v>1</v>
      </c>
      <c r="D2401" t="s">
        <v>7968</v>
      </c>
      <c r="E2401" t="s">
        <v>8161</v>
      </c>
      <c r="F2401" t="s">
        <v>8199</v>
      </c>
      <c r="G2401" t="s">
        <v>8200</v>
      </c>
      <c r="H2401">
        <v>2400</v>
      </c>
      <c r="I2401" t="str">
        <f>IF(ISBLANK(Table1[[#This Row],[oid]]),"FALSE","TRUE")</f>
        <v>TRUE</v>
      </c>
      <c r="J2401" t="str" cm="1">
        <f t="array" ref="J2401">_xlfn.SWITCH(LEFT(Table1[[#This Row],[section]],1), "D", "Demographic", "S", "Social", "E", "Economic", "H", "Housing", "")</f>
        <v>Housing</v>
      </c>
      <c r="K2401" t="s">
        <v>8163</v>
      </c>
      <c r="L2401" t="s">
        <v>8164</v>
      </c>
      <c r="M2401" t="str">
        <f>IF(Table1[[#This Row],[used]], _xlfn.CONCAT("🆔 ", Table1[[#This Row],[variable]], ": ",Table1[[#This Row],[alias]]), "")</f>
        <v>🆔 B25017_010E: 9 or more rooms</v>
      </c>
      <c r="O2401" t="s">
        <v>8201</v>
      </c>
      <c r="P2401" t="s">
        <v>8165</v>
      </c>
      <c r="Q2401" t="s">
        <v>41</v>
      </c>
      <c r="R2401" t="s">
        <v>8202</v>
      </c>
      <c r="S2401" t="b">
        <v>1</v>
      </c>
      <c r="T2401" t="b">
        <v>1</v>
      </c>
      <c r="U2401" t="b">
        <v>1</v>
      </c>
      <c r="V2401" t="b">
        <v>1</v>
      </c>
      <c r="W2401" t="b">
        <v>1</v>
      </c>
      <c r="X2401" t="b">
        <v>1</v>
      </c>
      <c r="Y2401" t="b">
        <v>1</v>
      </c>
      <c r="Z2401" t="b">
        <v>1</v>
      </c>
      <c r="AA2401" t="b">
        <v>1</v>
      </c>
      <c r="AB2401" t="b">
        <v>1</v>
      </c>
      <c r="AC2401" t="b">
        <v>1</v>
      </c>
      <c r="AD2401" t="b">
        <v>1</v>
      </c>
      <c r="AE2401" t="b">
        <v>1</v>
      </c>
      <c r="AF2401" t="b">
        <v>1</v>
      </c>
      <c r="AG2401" t="b">
        <v>1</v>
      </c>
    </row>
    <row r="2402" spans="1:33" x14ac:dyDescent="0.25">
      <c r="A2402" t="s">
        <v>33</v>
      </c>
      <c r="B2402">
        <v>15</v>
      </c>
      <c r="C2402" t="b">
        <v>1</v>
      </c>
      <c r="D2402" t="s">
        <v>7968</v>
      </c>
      <c r="E2402" t="s">
        <v>8203</v>
      </c>
      <c r="F2402" t="s">
        <v>8204</v>
      </c>
      <c r="G2402" t="s">
        <v>8205</v>
      </c>
      <c r="H2402">
        <v>2401</v>
      </c>
      <c r="I2402" t="str">
        <f>IF(ISBLANK(Table1[[#This Row],[oid]]),"FALSE","TRUE")</f>
        <v>TRUE</v>
      </c>
      <c r="J2402" t="str" cm="1">
        <f t="array" ref="J2402">_xlfn.SWITCH(LEFT(Table1[[#This Row],[section]],1), "D", "Demographic", "S", "Social", "E", "Economic", "H", "Housing", "")</f>
        <v>Housing</v>
      </c>
      <c r="K2402" t="s">
        <v>8163</v>
      </c>
      <c r="L2402" t="s">
        <v>8164</v>
      </c>
      <c r="M2402" t="str">
        <f>IF(Table1[[#This Row],[used]], _xlfn.CONCAT("🆔 ", Table1[[#This Row],[variable]], ": ",Table1[[#This Row],[alias]]), "")</f>
        <v>🆔 B25018_001E: Median number of rooms</v>
      </c>
      <c r="O2402" t="s">
        <v>8206</v>
      </c>
      <c r="P2402" t="s">
        <v>8207</v>
      </c>
      <c r="Q2402" t="s">
        <v>249</v>
      </c>
      <c r="R2402" t="s">
        <v>8208</v>
      </c>
      <c r="S2402" t="b">
        <v>1</v>
      </c>
      <c r="T2402" t="b">
        <v>1</v>
      </c>
      <c r="U2402" t="b">
        <v>1</v>
      </c>
      <c r="V2402" t="b">
        <v>1</v>
      </c>
      <c r="W2402" t="b">
        <v>1</v>
      </c>
      <c r="X2402" t="b">
        <v>1</v>
      </c>
      <c r="Y2402" t="b">
        <v>1</v>
      </c>
      <c r="Z2402" t="b">
        <v>1</v>
      </c>
      <c r="AA2402" t="b">
        <v>1</v>
      </c>
      <c r="AB2402" t="b">
        <v>1</v>
      </c>
      <c r="AC2402" t="b">
        <v>1</v>
      </c>
      <c r="AD2402" t="b">
        <v>1</v>
      </c>
      <c r="AE2402" t="b">
        <v>1</v>
      </c>
      <c r="AF2402" t="b">
        <v>1</v>
      </c>
      <c r="AG2402" t="b">
        <v>1</v>
      </c>
    </row>
    <row r="2403" spans="1:33" x14ac:dyDescent="0.25">
      <c r="A2403" t="s">
        <v>33</v>
      </c>
      <c r="B2403">
        <v>15</v>
      </c>
      <c r="C2403" t="b">
        <v>1</v>
      </c>
      <c r="D2403" t="s">
        <v>7968</v>
      </c>
      <c r="E2403" t="s">
        <v>8209</v>
      </c>
      <c r="F2403" t="s">
        <v>8210</v>
      </c>
      <c r="G2403" t="s">
        <v>8211</v>
      </c>
      <c r="H2403">
        <v>2402</v>
      </c>
      <c r="I2403" t="str">
        <f>IF(ISBLANK(Table1[[#This Row],[oid]]),"FALSE","TRUE")</f>
        <v>TRUE</v>
      </c>
      <c r="J2403" t="str" cm="1">
        <f t="array" ref="J2403">_xlfn.SWITCH(LEFT(Table1[[#This Row],[section]],1), "D", "Demographic", "S", "Social", "E", "Economic", "H", "Housing", "")</f>
        <v>Housing</v>
      </c>
      <c r="K2403" t="s">
        <v>8163</v>
      </c>
      <c r="L2403" t="s">
        <v>8164</v>
      </c>
      <c r="M2403" t="str">
        <f>IF(Table1[[#This Row],[used]], _xlfn.CONCAT("🆔 ", Table1[[#This Row],[variable]], ": ",Table1[[#This Row],[alias]]), "")</f>
        <v>🆔 B25019_001E: Aggregate number of rooms</v>
      </c>
      <c r="O2403" t="s">
        <v>8212</v>
      </c>
      <c r="P2403" t="s">
        <v>8213</v>
      </c>
      <c r="Q2403" t="s">
        <v>41</v>
      </c>
      <c r="R2403" t="s">
        <v>8214</v>
      </c>
      <c r="S2403" t="b">
        <v>1</v>
      </c>
      <c r="T2403" t="b">
        <v>1</v>
      </c>
      <c r="U2403" t="b">
        <v>1</v>
      </c>
      <c r="V2403" t="b">
        <v>1</v>
      </c>
      <c r="W2403" t="b">
        <v>1</v>
      </c>
      <c r="X2403" t="b">
        <v>1</v>
      </c>
      <c r="Y2403" t="b">
        <v>1</v>
      </c>
      <c r="Z2403" t="b">
        <v>1</v>
      </c>
      <c r="AA2403" t="b">
        <v>1</v>
      </c>
      <c r="AB2403" t="b">
        <v>1</v>
      </c>
      <c r="AC2403" t="b">
        <v>1</v>
      </c>
      <c r="AD2403" t="b">
        <v>1</v>
      </c>
      <c r="AE2403" t="b">
        <v>1</v>
      </c>
      <c r="AF2403" t="b">
        <v>1</v>
      </c>
      <c r="AG2403" t="b">
        <v>1</v>
      </c>
    </row>
    <row r="2404" spans="1:33" x14ac:dyDescent="0.25">
      <c r="A2404" t="s">
        <v>33</v>
      </c>
      <c r="B2404">
        <v>15</v>
      </c>
      <c r="C2404" t="b">
        <v>1</v>
      </c>
      <c r="D2404" t="s">
        <v>7968</v>
      </c>
      <c r="E2404" t="s">
        <v>8215</v>
      </c>
      <c r="F2404" t="s">
        <v>8216</v>
      </c>
      <c r="G2404" t="s">
        <v>7971</v>
      </c>
      <c r="H2404">
        <v>2403</v>
      </c>
      <c r="I2404" t="str">
        <f>IF(ISBLANK(Table1[[#This Row],[oid]]),"FALSE","TRUE")</f>
        <v>TRUE</v>
      </c>
      <c r="J2404" t="str" cm="1">
        <f t="array" ref="J2404">_xlfn.SWITCH(LEFT(Table1[[#This Row],[section]],1), "D", "Demographic", "S", "Social", "E", "Economic", "H", "Housing", "")</f>
        <v>Housing</v>
      </c>
      <c r="K2404" t="s">
        <v>8217</v>
      </c>
      <c r="L2404" t="s">
        <v>8218</v>
      </c>
      <c r="M2404" t="str">
        <f>IF(Table1[[#This Row],[used]], _xlfn.CONCAT("🆔 ", Table1[[#This Row],[variable]], ": ",Table1[[#This Row],[alias]]), "")</f>
        <v>🆔 B25041_001E: Total Housing Units</v>
      </c>
      <c r="O2404" t="s">
        <v>39</v>
      </c>
      <c r="P2404" t="s">
        <v>8219</v>
      </c>
      <c r="Q2404" t="s">
        <v>41</v>
      </c>
      <c r="R2404" t="s">
        <v>8220</v>
      </c>
      <c r="S2404" t="b">
        <v>1</v>
      </c>
      <c r="T2404" t="b">
        <v>1</v>
      </c>
      <c r="U2404" t="b">
        <v>1</v>
      </c>
      <c r="V2404" t="b">
        <v>1</v>
      </c>
      <c r="W2404" t="b">
        <v>1</v>
      </c>
      <c r="X2404" t="b">
        <v>1</v>
      </c>
      <c r="Y2404" t="b">
        <v>1</v>
      </c>
      <c r="Z2404" t="b">
        <v>1</v>
      </c>
      <c r="AA2404" t="b">
        <v>1</v>
      </c>
      <c r="AB2404" t="b">
        <v>1</v>
      </c>
      <c r="AC2404" t="b">
        <v>1</v>
      </c>
      <c r="AD2404" t="b">
        <v>1</v>
      </c>
      <c r="AE2404" t="b">
        <v>1</v>
      </c>
      <c r="AF2404" t="b">
        <v>1</v>
      </c>
      <c r="AG2404" t="b">
        <v>1</v>
      </c>
    </row>
    <row r="2405" spans="1:33" x14ac:dyDescent="0.25">
      <c r="A2405" t="s">
        <v>33</v>
      </c>
      <c r="B2405">
        <v>15</v>
      </c>
      <c r="C2405" t="b">
        <v>1</v>
      </c>
      <c r="D2405" t="s">
        <v>7968</v>
      </c>
      <c r="E2405" t="s">
        <v>8215</v>
      </c>
      <c r="F2405" t="s">
        <v>8221</v>
      </c>
      <c r="G2405" t="s">
        <v>8222</v>
      </c>
      <c r="H2405">
        <v>2404</v>
      </c>
      <c r="I2405" t="str">
        <f>IF(ISBLANK(Table1[[#This Row],[oid]]),"FALSE","TRUE")</f>
        <v>TRUE</v>
      </c>
      <c r="J2405" t="str" cm="1">
        <f t="array" ref="J2405">_xlfn.SWITCH(LEFT(Table1[[#This Row],[section]],1), "D", "Demographic", "S", "Social", "E", "Economic", "H", "Housing", "")</f>
        <v>Housing</v>
      </c>
      <c r="K2405" t="s">
        <v>8217</v>
      </c>
      <c r="L2405" t="s">
        <v>8218</v>
      </c>
      <c r="M2405" t="str">
        <f>IF(Table1[[#This Row],[used]], _xlfn.CONCAT("🆔 ", Table1[[#This Row],[variable]], ": ",Table1[[#This Row],[alias]]), "")</f>
        <v>🆔 B25041_002E: No bedroom</v>
      </c>
      <c r="O2405" t="s">
        <v>8223</v>
      </c>
      <c r="P2405" t="s">
        <v>8219</v>
      </c>
      <c r="Q2405" t="s">
        <v>41</v>
      </c>
      <c r="R2405" t="s">
        <v>8224</v>
      </c>
      <c r="S2405" t="b">
        <v>1</v>
      </c>
      <c r="T2405" t="b">
        <v>1</v>
      </c>
      <c r="U2405" t="b">
        <v>1</v>
      </c>
      <c r="V2405" t="b">
        <v>1</v>
      </c>
      <c r="W2405" t="b">
        <v>1</v>
      </c>
      <c r="X2405" t="b">
        <v>1</v>
      </c>
      <c r="Y2405" t="b">
        <v>1</v>
      </c>
      <c r="Z2405" t="b">
        <v>1</v>
      </c>
      <c r="AA2405" t="b">
        <v>1</v>
      </c>
      <c r="AB2405" t="b">
        <v>1</v>
      </c>
      <c r="AC2405" t="b">
        <v>1</v>
      </c>
      <c r="AD2405" t="b">
        <v>1</v>
      </c>
      <c r="AE2405" t="b">
        <v>1</v>
      </c>
      <c r="AF2405" t="b">
        <v>1</v>
      </c>
      <c r="AG2405" t="b">
        <v>1</v>
      </c>
    </row>
    <row r="2406" spans="1:33" x14ac:dyDescent="0.25">
      <c r="A2406" t="s">
        <v>33</v>
      </c>
      <c r="B2406">
        <v>15</v>
      </c>
      <c r="C2406" t="b">
        <v>1</v>
      </c>
      <c r="D2406" t="s">
        <v>7968</v>
      </c>
      <c r="E2406" t="s">
        <v>8215</v>
      </c>
      <c r="F2406" t="s">
        <v>8225</v>
      </c>
      <c r="G2406" t="s">
        <v>8226</v>
      </c>
      <c r="H2406">
        <v>2405</v>
      </c>
      <c r="I2406" t="str">
        <f>IF(ISBLANK(Table1[[#This Row],[oid]]),"FALSE","TRUE")</f>
        <v>TRUE</v>
      </c>
      <c r="J2406" t="str" cm="1">
        <f t="array" ref="J2406">_xlfn.SWITCH(LEFT(Table1[[#This Row],[section]],1), "D", "Demographic", "S", "Social", "E", "Economic", "H", "Housing", "")</f>
        <v>Housing</v>
      </c>
      <c r="K2406" t="s">
        <v>8217</v>
      </c>
      <c r="L2406" t="s">
        <v>8218</v>
      </c>
      <c r="M2406" t="str">
        <f>IF(Table1[[#This Row],[used]], _xlfn.CONCAT("🆔 ", Table1[[#This Row],[variable]], ": ",Table1[[#This Row],[alias]]), "")</f>
        <v>🆔 B25041_003E: 1 bedroom</v>
      </c>
      <c r="O2406" t="s">
        <v>8227</v>
      </c>
      <c r="P2406" t="s">
        <v>8219</v>
      </c>
      <c r="Q2406" t="s">
        <v>41</v>
      </c>
      <c r="R2406" t="s">
        <v>8228</v>
      </c>
      <c r="S2406" t="b">
        <v>1</v>
      </c>
      <c r="T2406" t="b">
        <v>1</v>
      </c>
      <c r="U2406" t="b">
        <v>1</v>
      </c>
      <c r="V2406" t="b">
        <v>1</v>
      </c>
      <c r="W2406" t="b">
        <v>1</v>
      </c>
      <c r="X2406" t="b">
        <v>1</v>
      </c>
      <c r="Y2406" t="b">
        <v>1</v>
      </c>
      <c r="Z2406" t="b">
        <v>1</v>
      </c>
      <c r="AA2406" t="b">
        <v>1</v>
      </c>
      <c r="AB2406" t="b">
        <v>1</v>
      </c>
      <c r="AC2406" t="b">
        <v>1</v>
      </c>
      <c r="AD2406" t="b">
        <v>1</v>
      </c>
      <c r="AE2406" t="b">
        <v>1</v>
      </c>
      <c r="AF2406" t="b">
        <v>1</v>
      </c>
      <c r="AG2406" t="b">
        <v>1</v>
      </c>
    </row>
    <row r="2407" spans="1:33" x14ac:dyDescent="0.25">
      <c r="A2407" t="s">
        <v>33</v>
      </c>
      <c r="B2407">
        <v>15</v>
      </c>
      <c r="C2407" t="b">
        <v>1</v>
      </c>
      <c r="D2407" t="s">
        <v>7968</v>
      </c>
      <c r="E2407" t="s">
        <v>8215</v>
      </c>
      <c r="F2407" t="s">
        <v>8229</v>
      </c>
      <c r="G2407" t="s">
        <v>8230</v>
      </c>
      <c r="H2407">
        <v>2406</v>
      </c>
      <c r="I2407" t="str">
        <f>IF(ISBLANK(Table1[[#This Row],[oid]]),"FALSE","TRUE")</f>
        <v>TRUE</v>
      </c>
      <c r="J2407" t="str" cm="1">
        <f t="array" ref="J2407">_xlfn.SWITCH(LEFT(Table1[[#This Row],[section]],1), "D", "Demographic", "S", "Social", "E", "Economic", "H", "Housing", "")</f>
        <v>Housing</v>
      </c>
      <c r="K2407" t="s">
        <v>8217</v>
      </c>
      <c r="L2407" t="s">
        <v>8218</v>
      </c>
      <c r="M2407" t="str">
        <f>IF(Table1[[#This Row],[used]], _xlfn.CONCAT("🆔 ", Table1[[#This Row],[variable]], ": ",Table1[[#This Row],[alias]]), "")</f>
        <v>🆔 B25041_004E: 2 bedrooms</v>
      </c>
      <c r="O2407" t="s">
        <v>8231</v>
      </c>
      <c r="P2407" t="s">
        <v>8219</v>
      </c>
      <c r="Q2407" t="s">
        <v>41</v>
      </c>
      <c r="R2407" t="s">
        <v>8232</v>
      </c>
      <c r="S2407" t="b">
        <v>1</v>
      </c>
      <c r="T2407" t="b">
        <v>1</v>
      </c>
      <c r="U2407" t="b">
        <v>1</v>
      </c>
      <c r="V2407" t="b">
        <v>1</v>
      </c>
      <c r="W2407" t="b">
        <v>1</v>
      </c>
      <c r="X2407" t="b">
        <v>1</v>
      </c>
      <c r="Y2407" t="b">
        <v>1</v>
      </c>
      <c r="Z2407" t="b">
        <v>1</v>
      </c>
      <c r="AA2407" t="b">
        <v>1</v>
      </c>
      <c r="AB2407" t="b">
        <v>1</v>
      </c>
      <c r="AC2407" t="b">
        <v>1</v>
      </c>
      <c r="AD2407" t="b">
        <v>1</v>
      </c>
      <c r="AE2407" t="b">
        <v>1</v>
      </c>
      <c r="AF2407" t="b">
        <v>1</v>
      </c>
      <c r="AG2407" t="b">
        <v>1</v>
      </c>
    </row>
    <row r="2408" spans="1:33" x14ac:dyDescent="0.25">
      <c r="A2408" t="s">
        <v>33</v>
      </c>
      <c r="B2408">
        <v>15</v>
      </c>
      <c r="C2408" t="b">
        <v>1</v>
      </c>
      <c r="D2408" t="s">
        <v>7968</v>
      </c>
      <c r="E2408" t="s">
        <v>8215</v>
      </c>
      <c r="F2408" t="s">
        <v>8233</v>
      </c>
      <c r="G2408" t="s">
        <v>8234</v>
      </c>
      <c r="H2408">
        <v>2407</v>
      </c>
      <c r="I2408" t="str">
        <f>IF(ISBLANK(Table1[[#This Row],[oid]]),"FALSE","TRUE")</f>
        <v>TRUE</v>
      </c>
      <c r="J2408" t="str" cm="1">
        <f t="array" ref="J2408">_xlfn.SWITCH(LEFT(Table1[[#This Row],[section]],1), "D", "Demographic", "S", "Social", "E", "Economic", "H", "Housing", "")</f>
        <v>Housing</v>
      </c>
      <c r="K2408" t="s">
        <v>8217</v>
      </c>
      <c r="L2408" t="s">
        <v>8218</v>
      </c>
      <c r="M2408" t="str">
        <f>IF(Table1[[#This Row],[used]], _xlfn.CONCAT("🆔 ", Table1[[#This Row],[variable]], ": ",Table1[[#This Row],[alias]]), "")</f>
        <v>🆔 B25041_005E: 3 bedrooms</v>
      </c>
      <c r="O2408" t="s">
        <v>8235</v>
      </c>
      <c r="P2408" t="s">
        <v>8219</v>
      </c>
      <c r="Q2408" t="s">
        <v>41</v>
      </c>
      <c r="R2408" t="s">
        <v>8236</v>
      </c>
      <c r="S2408" t="b">
        <v>1</v>
      </c>
      <c r="T2408" t="b">
        <v>1</v>
      </c>
      <c r="U2408" t="b">
        <v>1</v>
      </c>
      <c r="V2408" t="b">
        <v>1</v>
      </c>
      <c r="W2408" t="b">
        <v>1</v>
      </c>
      <c r="X2408" t="b">
        <v>1</v>
      </c>
      <c r="Y2408" t="b">
        <v>1</v>
      </c>
      <c r="Z2408" t="b">
        <v>1</v>
      </c>
      <c r="AA2408" t="b">
        <v>1</v>
      </c>
      <c r="AB2408" t="b">
        <v>1</v>
      </c>
      <c r="AC2408" t="b">
        <v>1</v>
      </c>
      <c r="AD2408" t="b">
        <v>1</v>
      </c>
      <c r="AE2408" t="b">
        <v>1</v>
      </c>
      <c r="AF2408" t="b">
        <v>1</v>
      </c>
      <c r="AG2408" t="b">
        <v>1</v>
      </c>
    </row>
    <row r="2409" spans="1:33" x14ac:dyDescent="0.25">
      <c r="A2409" t="s">
        <v>33</v>
      </c>
      <c r="B2409">
        <v>15</v>
      </c>
      <c r="C2409" t="b">
        <v>1</v>
      </c>
      <c r="D2409" t="s">
        <v>7968</v>
      </c>
      <c r="E2409" t="s">
        <v>8215</v>
      </c>
      <c r="F2409" t="s">
        <v>8237</v>
      </c>
      <c r="G2409" t="s">
        <v>8238</v>
      </c>
      <c r="H2409">
        <v>2408</v>
      </c>
      <c r="I2409" t="str">
        <f>IF(ISBLANK(Table1[[#This Row],[oid]]),"FALSE","TRUE")</f>
        <v>TRUE</v>
      </c>
      <c r="J2409" t="str" cm="1">
        <f t="array" ref="J2409">_xlfn.SWITCH(LEFT(Table1[[#This Row],[section]],1), "D", "Demographic", "S", "Social", "E", "Economic", "H", "Housing", "")</f>
        <v>Housing</v>
      </c>
      <c r="K2409" t="s">
        <v>8217</v>
      </c>
      <c r="L2409" t="s">
        <v>8218</v>
      </c>
      <c r="M2409" t="str">
        <f>IF(Table1[[#This Row],[used]], _xlfn.CONCAT("🆔 ", Table1[[#This Row],[variable]], ": ",Table1[[#This Row],[alias]]), "")</f>
        <v>🆔 B25041_006E: 4 bedrooms</v>
      </c>
      <c r="O2409" t="s">
        <v>8239</v>
      </c>
      <c r="P2409" t="s">
        <v>8219</v>
      </c>
      <c r="Q2409" t="s">
        <v>41</v>
      </c>
      <c r="R2409" t="s">
        <v>8240</v>
      </c>
      <c r="S2409" t="b">
        <v>1</v>
      </c>
      <c r="T2409" t="b">
        <v>1</v>
      </c>
      <c r="U2409" t="b">
        <v>1</v>
      </c>
      <c r="V2409" t="b">
        <v>1</v>
      </c>
      <c r="W2409" t="b">
        <v>1</v>
      </c>
      <c r="X2409" t="b">
        <v>1</v>
      </c>
      <c r="Y2409" t="b">
        <v>1</v>
      </c>
      <c r="Z2409" t="b">
        <v>1</v>
      </c>
      <c r="AA2409" t="b">
        <v>1</v>
      </c>
      <c r="AB2409" t="b">
        <v>1</v>
      </c>
      <c r="AC2409" t="b">
        <v>1</v>
      </c>
      <c r="AD2409" t="b">
        <v>1</v>
      </c>
      <c r="AE2409" t="b">
        <v>1</v>
      </c>
      <c r="AF2409" t="b">
        <v>1</v>
      </c>
      <c r="AG2409" t="b">
        <v>1</v>
      </c>
    </row>
    <row r="2410" spans="1:33" x14ac:dyDescent="0.25">
      <c r="A2410" t="s">
        <v>33</v>
      </c>
      <c r="B2410">
        <v>15</v>
      </c>
      <c r="C2410" t="b">
        <v>1</v>
      </c>
      <c r="D2410" t="s">
        <v>7968</v>
      </c>
      <c r="E2410" t="s">
        <v>8215</v>
      </c>
      <c r="F2410" t="s">
        <v>8241</v>
      </c>
      <c r="G2410" t="s">
        <v>8242</v>
      </c>
      <c r="H2410">
        <v>2409</v>
      </c>
      <c r="I2410" t="str">
        <f>IF(ISBLANK(Table1[[#This Row],[oid]]),"FALSE","TRUE")</f>
        <v>TRUE</v>
      </c>
      <c r="J2410" t="str" cm="1">
        <f t="array" ref="J2410">_xlfn.SWITCH(LEFT(Table1[[#This Row],[section]],1), "D", "Demographic", "S", "Social", "E", "Economic", "H", "Housing", "")</f>
        <v>Housing</v>
      </c>
      <c r="K2410" t="s">
        <v>8217</v>
      </c>
      <c r="L2410" t="s">
        <v>8218</v>
      </c>
      <c r="M2410" t="str">
        <f>IF(Table1[[#This Row],[used]], _xlfn.CONCAT("🆔 ", Table1[[#This Row],[variable]], ": ",Table1[[#This Row],[alias]]), "")</f>
        <v>🆔 B25041_007E: 5 or more bedrooms</v>
      </c>
      <c r="O2410" t="s">
        <v>8243</v>
      </c>
      <c r="P2410" t="s">
        <v>8219</v>
      </c>
      <c r="Q2410" t="s">
        <v>41</v>
      </c>
      <c r="R2410" t="s">
        <v>8244</v>
      </c>
      <c r="S2410" t="b">
        <v>1</v>
      </c>
      <c r="T2410" t="b">
        <v>1</v>
      </c>
      <c r="U2410" t="b">
        <v>1</v>
      </c>
      <c r="V2410" t="b">
        <v>1</v>
      </c>
      <c r="W2410" t="b">
        <v>1</v>
      </c>
      <c r="X2410" t="b">
        <v>1</v>
      </c>
      <c r="Y2410" t="b">
        <v>1</v>
      </c>
      <c r="Z2410" t="b">
        <v>1</v>
      </c>
      <c r="AA2410" t="b">
        <v>1</v>
      </c>
      <c r="AB2410" t="b">
        <v>1</v>
      </c>
      <c r="AC2410" t="b">
        <v>1</v>
      </c>
      <c r="AD2410" t="b">
        <v>1</v>
      </c>
      <c r="AE2410" t="b">
        <v>1</v>
      </c>
      <c r="AF2410" t="b">
        <v>1</v>
      </c>
      <c r="AG2410" t="b">
        <v>1</v>
      </c>
    </row>
    <row r="2411" spans="1:33" x14ac:dyDescent="0.25">
      <c r="A2411" t="s">
        <v>33</v>
      </c>
      <c r="B2411">
        <v>15</v>
      </c>
      <c r="C2411" t="b">
        <v>1</v>
      </c>
      <c r="D2411" t="s">
        <v>7968</v>
      </c>
      <c r="E2411" t="s">
        <v>8245</v>
      </c>
      <c r="F2411" t="s">
        <v>8246</v>
      </c>
      <c r="G2411" t="s">
        <v>8247</v>
      </c>
      <c r="H2411">
        <v>2410</v>
      </c>
      <c r="I2411" t="str">
        <f>IF(ISBLANK(Table1[[#This Row],[oid]]),"FALSE","TRUE")</f>
        <v>TRUE</v>
      </c>
      <c r="J2411" t="str" cm="1">
        <f t="array" ref="J2411">_xlfn.SWITCH(LEFT(Table1[[#This Row],[section]],1), "D", "Demographic", "S", "Social", "E", "Economic", "H", "Housing", "")</f>
        <v>Housing</v>
      </c>
      <c r="K2411" t="s">
        <v>8217</v>
      </c>
      <c r="L2411" t="s">
        <v>8218</v>
      </c>
      <c r="M2411" t="str">
        <f>IF(Table1[[#This Row],[used]], _xlfn.CONCAT("🆔 ", Table1[[#This Row],[variable]], ": ",Table1[[#This Row],[alias]]), "")</f>
        <v>🆔 B25042_003E: Owner occupied: No bedroom</v>
      </c>
      <c r="O2411" t="s">
        <v>8248</v>
      </c>
      <c r="P2411" t="s">
        <v>8249</v>
      </c>
      <c r="Q2411" t="s">
        <v>41</v>
      </c>
      <c r="R2411" t="s">
        <v>8250</v>
      </c>
      <c r="S2411" t="b">
        <v>1</v>
      </c>
      <c r="T2411" t="b">
        <v>1</v>
      </c>
      <c r="U2411" t="b">
        <v>1</v>
      </c>
      <c r="V2411" t="b">
        <v>1</v>
      </c>
      <c r="W2411" t="b">
        <v>1</v>
      </c>
      <c r="X2411" t="b">
        <v>1</v>
      </c>
      <c r="Y2411" t="b">
        <v>1</v>
      </c>
      <c r="Z2411" t="b">
        <v>1</v>
      </c>
      <c r="AA2411" t="b">
        <v>1</v>
      </c>
      <c r="AB2411" t="b">
        <v>1</v>
      </c>
      <c r="AC2411" t="b">
        <v>1</v>
      </c>
      <c r="AD2411" t="b">
        <v>1</v>
      </c>
      <c r="AE2411" t="b">
        <v>1</v>
      </c>
      <c r="AF2411" t="b">
        <v>1</v>
      </c>
      <c r="AG2411" t="b">
        <v>1</v>
      </c>
    </row>
    <row r="2412" spans="1:33" x14ac:dyDescent="0.25">
      <c r="A2412" t="s">
        <v>33</v>
      </c>
      <c r="B2412">
        <v>15</v>
      </c>
      <c r="C2412" t="b">
        <v>1</v>
      </c>
      <c r="D2412" t="s">
        <v>7968</v>
      </c>
      <c r="E2412" t="s">
        <v>8245</v>
      </c>
      <c r="F2412" t="s">
        <v>8251</v>
      </c>
      <c r="G2412" t="s">
        <v>8252</v>
      </c>
      <c r="H2412">
        <v>2411</v>
      </c>
      <c r="I2412" t="str">
        <f>IF(ISBLANK(Table1[[#This Row],[oid]]),"FALSE","TRUE")</f>
        <v>TRUE</v>
      </c>
      <c r="J2412" t="str" cm="1">
        <f t="array" ref="J2412">_xlfn.SWITCH(LEFT(Table1[[#This Row],[section]],1), "D", "Demographic", "S", "Social", "E", "Economic", "H", "Housing", "")</f>
        <v>Housing</v>
      </c>
      <c r="K2412" t="s">
        <v>8217</v>
      </c>
      <c r="L2412" t="s">
        <v>8218</v>
      </c>
      <c r="M2412" t="str">
        <f>IF(Table1[[#This Row],[used]], _xlfn.CONCAT("🆔 ", Table1[[#This Row],[variable]], ": ",Table1[[#This Row],[alias]]), "")</f>
        <v>🆔 B25042_004E: Owner occupied: 1 bedroom</v>
      </c>
      <c r="O2412" t="s">
        <v>8253</v>
      </c>
      <c r="P2412" t="s">
        <v>8249</v>
      </c>
      <c r="Q2412" t="s">
        <v>41</v>
      </c>
      <c r="R2412" t="s">
        <v>8254</v>
      </c>
      <c r="S2412" t="b">
        <v>1</v>
      </c>
      <c r="T2412" t="b">
        <v>1</v>
      </c>
      <c r="U2412" t="b">
        <v>1</v>
      </c>
      <c r="V2412" t="b">
        <v>1</v>
      </c>
      <c r="W2412" t="b">
        <v>1</v>
      </c>
      <c r="X2412" t="b">
        <v>1</v>
      </c>
      <c r="Y2412" t="b">
        <v>1</v>
      </c>
      <c r="Z2412" t="b">
        <v>1</v>
      </c>
      <c r="AA2412" t="b">
        <v>1</v>
      </c>
      <c r="AB2412" t="b">
        <v>1</v>
      </c>
      <c r="AC2412" t="b">
        <v>1</v>
      </c>
      <c r="AD2412" t="b">
        <v>1</v>
      </c>
      <c r="AE2412" t="b">
        <v>1</v>
      </c>
      <c r="AF2412" t="b">
        <v>1</v>
      </c>
      <c r="AG2412" t="b">
        <v>1</v>
      </c>
    </row>
    <row r="2413" spans="1:33" x14ac:dyDescent="0.25">
      <c r="A2413" t="s">
        <v>33</v>
      </c>
      <c r="B2413">
        <v>15</v>
      </c>
      <c r="C2413" t="b">
        <v>1</v>
      </c>
      <c r="D2413" t="s">
        <v>7968</v>
      </c>
      <c r="E2413" t="s">
        <v>8245</v>
      </c>
      <c r="F2413" t="s">
        <v>8255</v>
      </c>
      <c r="G2413" t="s">
        <v>8256</v>
      </c>
      <c r="H2413">
        <v>2412</v>
      </c>
      <c r="I2413" t="str">
        <f>IF(ISBLANK(Table1[[#This Row],[oid]]),"FALSE","TRUE")</f>
        <v>TRUE</v>
      </c>
      <c r="J2413" t="str" cm="1">
        <f t="array" ref="J2413">_xlfn.SWITCH(LEFT(Table1[[#This Row],[section]],1), "D", "Demographic", "S", "Social", "E", "Economic", "H", "Housing", "")</f>
        <v>Housing</v>
      </c>
      <c r="K2413" t="s">
        <v>8217</v>
      </c>
      <c r="L2413" t="s">
        <v>8218</v>
      </c>
      <c r="M2413" t="str">
        <f>IF(Table1[[#This Row],[used]], _xlfn.CONCAT("🆔 ", Table1[[#This Row],[variable]], ": ",Table1[[#This Row],[alias]]), "")</f>
        <v>🆔 B25042_005E: Owner occupied: 2 bedrooms</v>
      </c>
      <c r="O2413" t="s">
        <v>8257</v>
      </c>
      <c r="P2413" t="s">
        <v>8249</v>
      </c>
      <c r="Q2413" t="s">
        <v>41</v>
      </c>
      <c r="R2413" t="s">
        <v>8258</v>
      </c>
      <c r="S2413" t="b">
        <v>1</v>
      </c>
      <c r="T2413" t="b">
        <v>1</v>
      </c>
      <c r="U2413" t="b">
        <v>1</v>
      </c>
      <c r="V2413" t="b">
        <v>1</v>
      </c>
      <c r="W2413" t="b">
        <v>1</v>
      </c>
      <c r="X2413" t="b">
        <v>1</v>
      </c>
      <c r="Y2413" t="b">
        <v>1</v>
      </c>
      <c r="Z2413" t="b">
        <v>1</v>
      </c>
      <c r="AA2413" t="b">
        <v>1</v>
      </c>
      <c r="AB2413" t="b">
        <v>1</v>
      </c>
      <c r="AC2413" t="b">
        <v>1</v>
      </c>
      <c r="AD2413" t="b">
        <v>1</v>
      </c>
      <c r="AE2413" t="b">
        <v>1</v>
      </c>
      <c r="AF2413" t="b">
        <v>1</v>
      </c>
      <c r="AG2413" t="b">
        <v>1</v>
      </c>
    </row>
    <row r="2414" spans="1:33" x14ac:dyDescent="0.25">
      <c r="A2414" t="s">
        <v>33</v>
      </c>
      <c r="B2414">
        <v>15</v>
      </c>
      <c r="C2414" t="b">
        <v>1</v>
      </c>
      <c r="D2414" t="s">
        <v>7968</v>
      </c>
      <c r="E2414" t="s">
        <v>8245</v>
      </c>
      <c r="F2414" t="s">
        <v>8259</v>
      </c>
      <c r="G2414" t="s">
        <v>8260</v>
      </c>
      <c r="H2414">
        <v>2413</v>
      </c>
      <c r="I2414" t="str">
        <f>IF(ISBLANK(Table1[[#This Row],[oid]]),"FALSE","TRUE")</f>
        <v>TRUE</v>
      </c>
      <c r="J2414" t="str" cm="1">
        <f t="array" ref="J2414">_xlfn.SWITCH(LEFT(Table1[[#This Row],[section]],1), "D", "Demographic", "S", "Social", "E", "Economic", "H", "Housing", "")</f>
        <v>Housing</v>
      </c>
      <c r="K2414" t="s">
        <v>8217</v>
      </c>
      <c r="L2414" t="s">
        <v>8218</v>
      </c>
      <c r="M2414" t="str">
        <f>IF(Table1[[#This Row],[used]], _xlfn.CONCAT("🆔 ", Table1[[#This Row],[variable]], ": ",Table1[[#This Row],[alias]]), "")</f>
        <v>🆔 B25042_006E: Owner occupied: 3 bedrooms</v>
      </c>
      <c r="O2414" t="s">
        <v>8261</v>
      </c>
      <c r="P2414" t="s">
        <v>8249</v>
      </c>
      <c r="Q2414" t="s">
        <v>41</v>
      </c>
      <c r="R2414" t="s">
        <v>8262</v>
      </c>
      <c r="S2414" t="b">
        <v>1</v>
      </c>
      <c r="T2414" t="b">
        <v>1</v>
      </c>
      <c r="U2414" t="b">
        <v>1</v>
      </c>
      <c r="V2414" t="b">
        <v>1</v>
      </c>
      <c r="W2414" t="b">
        <v>1</v>
      </c>
      <c r="X2414" t="b">
        <v>1</v>
      </c>
      <c r="Y2414" t="b">
        <v>1</v>
      </c>
      <c r="Z2414" t="b">
        <v>1</v>
      </c>
      <c r="AA2414" t="b">
        <v>1</v>
      </c>
      <c r="AB2414" t="b">
        <v>1</v>
      </c>
      <c r="AC2414" t="b">
        <v>1</v>
      </c>
      <c r="AD2414" t="b">
        <v>1</v>
      </c>
      <c r="AE2414" t="b">
        <v>1</v>
      </c>
      <c r="AF2414" t="b">
        <v>1</v>
      </c>
      <c r="AG2414" t="b">
        <v>1</v>
      </c>
    </row>
    <row r="2415" spans="1:33" x14ac:dyDescent="0.25">
      <c r="A2415" t="s">
        <v>33</v>
      </c>
      <c r="B2415">
        <v>15</v>
      </c>
      <c r="C2415" t="b">
        <v>1</v>
      </c>
      <c r="D2415" t="s">
        <v>7968</v>
      </c>
      <c r="E2415" t="s">
        <v>8245</v>
      </c>
      <c r="F2415" t="s">
        <v>8263</v>
      </c>
      <c r="G2415" t="s">
        <v>8264</v>
      </c>
      <c r="H2415">
        <v>2414</v>
      </c>
      <c r="I2415" t="str">
        <f>IF(ISBLANK(Table1[[#This Row],[oid]]),"FALSE","TRUE")</f>
        <v>TRUE</v>
      </c>
      <c r="J2415" t="str" cm="1">
        <f t="array" ref="J2415">_xlfn.SWITCH(LEFT(Table1[[#This Row],[section]],1), "D", "Demographic", "S", "Social", "E", "Economic", "H", "Housing", "")</f>
        <v>Housing</v>
      </c>
      <c r="K2415" t="s">
        <v>8217</v>
      </c>
      <c r="L2415" t="s">
        <v>8218</v>
      </c>
      <c r="M2415" t="str">
        <f>IF(Table1[[#This Row],[used]], _xlfn.CONCAT("🆔 ", Table1[[#This Row],[variable]], ": ",Table1[[#This Row],[alias]]), "")</f>
        <v>🆔 B25042_007E: Owner occupied: 4 bedrooms</v>
      </c>
      <c r="O2415" t="s">
        <v>8265</v>
      </c>
      <c r="P2415" t="s">
        <v>8249</v>
      </c>
      <c r="Q2415" t="s">
        <v>41</v>
      </c>
      <c r="R2415" t="s">
        <v>8266</v>
      </c>
      <c r="S2415" t="b">
        <v>1</v>
      </c>
      <c r="T2415" t="b">
        <v>1</v>
      </c>
      <c r="U2415" t="b">
        <v>1</v>
      </c>
      <c r="V2415" t="b">
        <v>1</v>
      </c>
      <c r="W2415" t="b">
        <v>1</v>
      </c>
      <c r="X2415" t="b">
        <v>1</v>
      </c>
      <c r="Y2415" t="b">
        <v>1</v>
      </c>
      <c r="Z2415" t="b">
        <v>1</v>
      </c>
      <c r="AA2415" t="b">
        <v>1</v>
      </c>
      <c r="AB2415" t="b">
        <v>1</v>
      </c>
      <c r="AC2415" t="b">
        <v>1</v>
      </c>
      <c r="AD2415" t="b">
        <v>1</v>
      </c>
      <c r="AE2415" t="b">
        <v>1</v>
      </c>
      <c r="AF2415" t="b">
        <v>1</v>
      </c>
      <c r="AG2415" t="b">
        <v>1</v>
      </c>
    </row>
    <row r="2416" spans="1:33" x14ac:dyDescent="0.25">
      <c r="A2416" t="s">
        <v>33</v>
      </c>
      <c r="B2416">
        <v>15</v>
      </c>
      <c r="C2416" t="b">
        <v>1</v>
      </c>
      <c r="D2416" t="s">
        <v>7968</v>
      </c>
      <c r="E2416" t="s">
        <v>8245</v>
      </c>
      <c r="F2416" t="s">
        <v>8267</v>
      </c>
      <c r="G2416" t="s">
        <v>8268</v>
      </c>
      <c r="H2416">
        <v>2415</v>
      </c>
      <c r="I2416" t="str">
        <f>IF(ISBLANK(Table1[[#This Row],[oid]]),"FALSE","TRUE")</f>
        <v>TRUE</v>
      </c>
      <c r="J2416" t="str" cm="1">
        <f t="array" ref="J2416">_xlfn.SWITCH(LEFT(Table1[[#This Row],[section]],1), "D", "Demographic", "S", "Social", "E", "Economic", "H", "Housing", "")</f>
        <v>Housing</v>
      </c>
      <c r="K2416" t="s">
        <v>8217</v>
      </c>
      <c r="L2416" t="s">
        <v>8218</v>
      </c>
      <c r="M2416" t="str">
        <f>IF(Table1[[#This Row],[used]], _xlfn.CONCAT("🆔 ", Table1[[#This Row],[variable]], ": ",Table1[[#This Row],[alias]]), "")</f>
        <v>🆔 B25042_008E: Owner occupied: 5 or more bedrooms</v>
      </c>
      <c r="O2416" t="s">
        <v>8269</v>
      </c>
      <c r="P2416" t="s">
        <v>8249</v>
      </c>
      <c r="Q2416" t="s">
        <v>41</v>
      </c>
      <c r="R2416" t="s">
        <v>8270</v>
      </c>
      <c r="S2416" t="b">
        <v>1</v>
      </c>
      <c r="T2416" t="b">
        <v>1</v>
      </c>
      <c r="U2416" t="b">
        <v>1</v>
      </c>
      <c r="V2416" t="b">
        <v>1</v>
      </c>
      <c r="W2416" t="b">
        <v>1</v>
      </c>
      <c r="X2416" t="b">
        <v>1</v>
      </c>
      <c r="Y2416" t="b">
        <v>1</v>
      </c>
      <c r="Z2416" t="b">
        <v>1</v>
      </c>
      <c r="AA2416" t="b">
        <v>1</v>
      </c>
      <c r="AB2416" t="b">
        <v>1</v>
      </c>
      <c r="AC2416" t="b">
        <v>1</v>
      </c>
      <c r="AD2416" t="b">
        <v>1</v>
      </c>
      <c r="AE2416" t="b">
        <v>1</v>
      </c>
      <c r="AF2416" t="b">
        <v>1</v>
      </c>
      <c r="AG2416" t="b">
        <v>1</v>
      </c>
    </row>
    <row r="2417" spans="1:33" x14ac:dyDescent="0.25">
      <c r="A2417" t="s">
        <v>33</v>
      </c>
      <c r="B2417">
        <v>15</v>
      </c>
      <c r="C2417" t="b">
        <v>1</v>
      </c>
      <c r="D2417" t="s">
        <v>7968</v>
      </c>
      <c r="E2417" t="s">
        <v>8245</v>
      </c>
      <c r="F2417" t="s">
        <v>8271</v>
      </c>
      <c r="G2417" t="s">
        <v>8272</v>
      </c>
      <c r="H2417">
        <v>2416</v>
      </c>
      <c r="I2417" t="str">
        <f>IF(ISBLANK(Table1[[#This Row],[oid]]),"FALSE","TRUE")</f>
        <v>TRUE</v>
      </c>
      <c r="J2417" t="str" cm="1">
        <f t="array" ref="J2417">_xlfn.SWITCH(LEFT(Table1[[#This Row],[section]],1), "D", "Demographic", "S", "Social", "E", "Economic", "H", "Housing", "")</f>
        <v>Housing</v>
      </c>
      <c r="K2417" t="s">
        <v>8217</v>
      </c>
      <c r="L2417" t="s">
        <v>8218</v>
      </c>
      <c r="M2417" t="str">
        <f>IF(Table1[[#This Row],[used]], _xlfn.CONCAT("🆔 ", Table1[[#This Row],[variable]], ": ",Table1[[#This Row],[alias]]), "")</f>
        <v>🆔 B25042_010E: Renter occupied: No bedroom</v>
      </c>
      <c r="O2417" t="s">
        <v>8273</v>
      </c>
      <c r="P2417" t="s">
        <v>8249</v>
      </c>
      <c r="Q2417" t="s">
        <v>41</v>
      </c>
      <c r="R2417" t="s">
        <v>8274</v>
      </c>
      <c r="S2417" t="b">
        <v>1</v>
      </c>
      <c r="T2417" t="b">
        <v>1</v>
      </c>
      <c r="U2417" t="b">
        <v>1</v>
      </c>
      <c r="V2417" t="b">
        <v>1</v>
      </c>
      <c r="W2417" t="b">
        <v>1</v>
      </c>
      <c r="X2417" t="b">
        <v>1</v>
      </c>
      <c r="Y2417" t="b">
        <v>1</v>
      </c>
      <c r="Z2417" t="b">
        <v>1</v>
      </c>
      <c r="AA2417" t="b">
        <v>1</v>
      </c>
      <c r="AB2417" t="b">
        <v>1</v>
      </c>
      <c r="AC2417" t="b">
        <v>1</v>
      </c>
      <c r="AD2417" t="b">
        <v>1</v>
      </c>
      <c r="AE2417" t="b">
        <v>1</v>
      </c>
      <c r="AF2417" t="b">
        <v>1</v>
      </c>
      <c r="AG2417" t="b">
        <v>1</v>
      </c>
    </row>
    <row r="2418" spans="1:33" x14ac:dyDescent="0.25">
      <c r="A2418" t="s">
        <v>33</v>
      </c>
      <c r="B2418">
        <v>15</v>
      </c>
      <c r="C2418" t="b">
        <v>1</v>
      </c>
      <c r="D2418" t="s">
        <v>7968</v>
      </c>
      <c r="E2418" t="s">
        <v>8245</v>
      </c>
      <c r="F2418" t="s">
        <v>8275</v>
      </c>
      <c r="G2418" t="s">
        <v>8276</v>
      </c>
      <c r="H2418">
        <v>2417</v>
      </c>
      <c r="I2418" t="str">
        <f>IF(ISBLANK(Table1[[#This Row],[oid]]),"FALSE","TRUE")</f>
        <v>TRUE</v>
      </c>
      <c r="J2418" t="str" cm="1">
        <f t="array" ref="J2418">_xlfn.SWITCH(LEFT(Table1[[#This Row],[section]],1), "D", "Demographic", "S", "Social", "E", "Economic", "H", "Housing", "")</f>
        <v>Housing</v>
      </c>
      <c r="K2418" t="s">
        <v>8217</v>
      </c>
      <c r="L2418" t="s">
        <v>8218</v>
      </c>
      <c r="M2418" t="str">
        <f>IF(Table1[[#This Row],[used]], _xlfn.CONCAT("🆔 ", Table1[[#This Row],[variable]], ": ",Table1[[#This Row],[alias]]), "")</f>
        <v>🆔 B25042_011E: Renter occupied: 1 bedroom</v>
      </c>
      <c r="O2418" t="s">
        <v>8277</v>
      </c>
      <c r="P2418" t="s">
        <v>8249</v>
      </c>
      <c r="Q2418" t="s">
        <v>41</v>
      </c>
      <c r="R2418" t="s">
        <v>8278</v>
      </c>
      <c r="S2418" t="b">
        <v>1</v>
      </c>
      <c r="T2418" t="b">
        <v>1</v>
      </c>
      <c r="U2418" t="b">
        <v>1</v>
      </c>
      <c r="V2418" t="b">
        <v>1</v>
      </c>
      <c r="W2418" t="b">
        <v>1</v>
      </c>
      <c r="X2418" t="b">
        <v>1</v>
      </c>
      <c r="Y2418" t="b">
        <v>1</v>
      </c>
      <c r="Z2418" t="b">
        <v>1</v>
      </c>
      <c r="AA2418" t="b">
        <v>1</v>
      </c>
      <c r="AB2418" t="b">
        <v>1</v>
      </c>
      <c r="AC2418" t="b">
        <v>1</v>
      </c>
      <c r="AD2418" t="b">
        <v>1</v>
      </c>
      <c r="AE2418" t="b">
        <v>1</v>
      </c>
      <c r="AF2418" t="b">
        <v>1</v>
      </c>
      <c r="AG2418" t="b">
        <v>1</v>
      </c>
    </row>
    <row r="2419" spans="1:33" x14ac:dyDescent="0.25">
      <c r="A2419" t="s">
        <v>33</v>
      </c>
      <c r="B2419">
        <v>15</v>
      </c>
      <c r="C2419" t="b">
        <v>1</v>
      </c>
      <c r="D2419" t="s">
        <v>7968</v>
      </c>
      <c r="E2419" t="s">
        <v>8245</v>
      </c>
      <c r="F2419" t="s">
        <v>8279</v>
      </c>
      <c r="G2419" t="s">
        <v>8280</v>
      </c>
      <c r="H2419">
        <v>2418</v>
      </c>
      <c r="I2419" t="str">
        <f>IF(ISBLANK(Table1[[#This Row],[oid]]),"FALSE","TRUE")</f>
        <v>TRUE</v>
      </c>
      <c r="J2419" t="str" cm="1">
        <f t="array" ref="J2419">_xlfn.SWITCH(LEFT(Table1[[#This Row],[section]],1), "D", "Demographic", "S", "Social", "E", "Economic", "H", "Housing", "")</f>
        <v>Housing</v>
      </c>
      <c r="K2419" t="s">
        <v>8217</v>
      </c>
      <c r="L2419" t="s">
        <v>8218</v>
      </c>
      <c r="M2419" t="str">
        <f>IF(Table1[[#This Row],[used]], _xlfn.CONCAT("🆔 ", Table1[[#This Row],[variable]], ": ",Table1[[#This Row],[alias]]), "")</f>
        <v>🆔 B25042_012E: Renter occupied: 2 bedrooms</v>
      </c>
      <c r="O2419" t="s">
        <v>8281</v>
      </c>
      <c r="P2419" t="s">
        <v>8249</v>
      </c>
      <c r="Q2419" t="s">
        <v>41</v>
      </c>
      <c r="R2419" t="s">
        <v>8282</v>
      </c>
      <c r="S2419" t="b">
        <v>1</v>
      </c>
      <c r="T2419" t="b">
        <v>1</v>
      </c>
      <c r="U2419" t="b">
        <v>1</v>
      </c>
      <c r="V2419" t="b">
        <v>1</v>
      </c>
      <c r="W2419" t="b">
        <v>1</v>
      </c>
      <c r="X2419" t="b">
        <v>1</v>
      </c>
      <c r="Y2419" t="b">
        <v>1</v>
      </c>
      <c r="Z2419" t="b">
        <v>1</v>
      </c>
      <c r="AA2419" t="b">
        <v>1</v>
      </c>
      <c r="AB2419" t="b">
        <v>1</v>
      </c>
      <c r="AC2419" t="b">
        <v>1</v>
      </c>
      <c r="AD2419" t="b">
        <v>1</v>
      </c>
      <c r="AE2419" t="b">
        <v>1</v>
      </c>
      <c r="AF2419" t="b">
        <v>1</v>
      </c>
      <c r="AG2419" t="b">
        <v>1</v>
      </c>
    </row>
    <row r="2420" spans="1:33" x14ac:dyDescent="0.25">
      <c r="A2420" t="s">
        <v>33</v>
      </c>
      <c r="B2420">
        <v>15</v>
      </c>
      <c r="C2420" t="b">
        <v>1</v>
      </c>
      <c r="D2420" t="s">
        <v>7968</v>
      </c>
      <c r="E2420" t="s">
        <v>8245</v>
      </c>
      <c r="F2420" t="s">
        <v>8283</v>
      </c>
      <c r="G2420" t="s">
        <v>8284</v>
      </c>
      <c r="H2420">
        <v>2419</v>
      </c>
      <c r="I2420" t="str">
        <f>IF(ISBLANK(Table1[[#This Row],[oid]]),"FALSE","TRUE")</f>
        <v>TRUE</v>
      </c>
      <c r="J2420" t="str" cm="1">
        <f t="array" ref="J2420">_xlfn.SWITCH(LEFT(Table1[[#This Row],[section]],1), "D", "Demographic", "S", "Social", "E", "Economic", "H", "Housing", "")</f>
        <v>Housing</v>
      </c>
      <c r="K2420" t="s">
        <v>8217</v>
      </c>
      <c r="L2420" t="s">
        <v>8218</v>
      </c>
      <c r="M2420" t="str">
        <f>IF(Table1[[#This Row],[used]], _xlfn.CONCAT("🆔 ", Table1[[#This Row],[variable]], ": ",Table1[[#This Row],[alias]]), "")</f>
        <v>🆔 B25042_013E: Renter occupied: 3 bedrooms</v>
      </c>
      <c r="O2420" t="s">
        <v>8285</v>
      </c>
      <c r="P2420" t="s">
        <v>8249</v>
      </c>
      <c r="Q2420" t="s">
        <v>41</v>
      </c>
      <c r="R2420" t="s">
        <v>8286</v>
      </c>
      <c r="S2420" t="b">
        <v>1</v>
      </c>
      <c r="T2420" t="b">
        <v>1</v>
      </c>
      <c r="U2420" t="b">
        <v>1</v>
      </c>
      <c r="V2420" t="b">
        <v>1</v>
      </c>
      <c r="W2420" t="b">
        <v>1</v>
      </c>
      <c r="X2420" t="b">
        <v>1</v>
      </c>
      <c r="Y2420" t="b">
        <v>1</v>
      </c>
      <c r="Z2420" t="b">
        <v>1</v>
      </c>
      <c r="AA2420" t="b">
        <v>1</v>
      </c>
      <c r="AB2420" t="b">
        <v>1</v>
      </c>
      <c r="AC2420" t="b">
        <v>1</v>
      </c>
      <c r="AD2420" t="b">
        <v>1</v>
      </c>
      <c r="AE2420" t="b">
        <v>1</v>
      </c>
      <c r="AF2420" t="b">
        <v>1</v>
      </c>
      <c r="AG2420" t="b">
        <v>1</v>
      </c>
    </row>
    <row r="2421" spans="1:33" x14ac:dyDescent="0.25">
      <c r="A2421" t="s">
        <v>33</v>
      </c>
      <c r="B2421">
        <v>15</v>
      </c>
      <c r="C2421" t="b">
        <v>1</v>
      </c>
      <c r="D2421" t="s">
        <v>7968</v>
      </c>
      <c r="E2421" t="s">
        <v>8245</v>
      </c>
      <c r="F2421" t="s">
        <v>8287</v>
      </c>
      <c r="G2421" t="s">
        <v>8288</v>
      </c>
      <c r="H2421">
        <v>2420</v>
      </c>
      <c r="I2421" t="str">
        <f>IF(ISBLANK(Table1[[#This Row],[oid]]),"FALSE","TRUE")</f>
        <v>TRUE</v>
      </c>
      <c r="J2421" t="str" cm="1">
        <f t="array" ref="J2421">_xlfn.SWITCH(LEFT(Table1[[#This Row],[section]],1), "D", "Demographic", "S", "Social", "E", "Economic", "H", "Housing", "")</f>
        <v>Housing</v>
      </c>
      <c r="K2421" t="s">
        <v>8217</v>
      </c>
      <c r="L2421" t="s">
        <v>8218</v>
      </c>
      <c r="M2421" t="str">
        <f>IF(Table1[[#This Row],[used]], _xlfn.CONCAT("🆔 ", Table1[[#This Row],[variable]], ": ",Table1[[#This Row],[alias]]), "")</f>
        <v>🆔 B25042_014E: Renter occupied: 4 bedrooms</v>
      </c>
      <c r="O2421" t="s">
        <v>8289</v>
      </c>
      <c r="P2421" t="s">
        <v>8249</v>
      </c>
      <c r="Q2421" t="s">
        <v>41</v>
      </c>
      <c r="R2421" t="s">
        <v>8290</v>
      </c>
      <c r="S2421" t="b">
        <v>1</v>
      </c>
      <c r="T2421" t="b">
        <v>1</v>
      </c>
      <c r="U2421" t="b">
        <v>1</v>
      </c>
      <c r="V2421" t="b">
        <v>1</v>
      </c>
      <c r="W2421" t="b">
        <v>1</v>
      </c>
      <c r="X2421" t="b">
        <v>1</v>
      </c>
      <c r="Y2421" t="b">
        <v>1</v>
      </c>
      <c r="Z2421" t="b">
        <v>1</v>
      </c>
      <c r="AA2421" t="b">
        <v>1</v>
      </c>
      <c r="AB2421" t="b">
        <v>1</v>
      </c>
      <c r="AC2421" t="b">
        <v>1</v>
      </c>
      <c r="AD2421" t="b">
        <v>1</v>
      </c>
      <c r="AE2421" t="b">
        <v>1</v>
      </c>
      <c r="AF2421" t="b">
        <v>1</v>
      </c>
      <c r="AG2421" t="b">
        <v>1</v>
      </c>
    </row>
    <row r="2422" spans="1:33" x14ac:dyDescent="0.25">
      <c r="A2422" t="s">
        <v>33</v>
      </c>
      <c r="B2422">
        <v>15</v>
      </c>
      <c r="C2422" t="b">
        <v>1</v>
      </c>
      <c r="D2422" t="s">
        <v>7968</v>
      </c>
      <c r="E2422" t="s">
        <v>8245</v>
      </c>
      <c r="F2422" t="s">
        <v>8291</v>
      </c>
      <c r="G2422" t="s">
        <v>8292</v>
      </c>
      <c r="H2422">
        <v>2421</v>
      </c>
      <c r="I2422" t="str">
        <f>IF(ISBLANK(Table1[[#This Row],[oid]]),"FALSE","TRUE")</f>
        <v>TRUE</v>
      </c>
      <c r="J2422" t="str" cm="1">
        <f t="array" ref="J2422">_xlfn.SWITCH(LEFT(Table1[[#This Row],[section]],1), "D", "Demographic", "S", "Social", "E", "Economic", "H", "Housing", "")</f>
        <v>Housing</v>
      </c>
      <c r="K2422" t="s">
        <v>8217</v>
      </c>
      <c r="L2422" t="s">
        <v>8218</v>
      </c>
      <c r="M2422" t="str">
        <f>IF(Table1[[#This Row],[used]], _xlfn.CONCAT("🆔 ", Table1[[#This Row],[variable]], ": ",Table1[[#This Row],[alias]]), "")</f>
        <v>🆔 B25042_015E: Renter occupied: 5 or more bedrooms</v>
      </c>
      <c r="O2422" t="s">
        <v>8293</v>
      </c>
      <c r="P2422" t="s">
        <v>8249</v>
      </c>
      <c r="Q2422" t="s">
        <v>41</v>
      </c>
      <c r="R2422" t="s">
        <v>8294</v>
      </c>
      <c r="S2422" t="b">
        <v>1</v>
      </c>
      <c r="T2422" t="b">
        <v>1</v>
      </c>
      <c r="U2422" t="b">
        <v>1</v>
      </c>
      <c r="V2422" t="b">
        <v>1</v>
      </c>
      <c r="W2422" t="b">
        <v>1</v>
      </c>
      <c r="X2422" t="b">
        <v>1</v>
      </c>
      <c r="Y2422" t="b">
        <v>1</v>
      </c>
      <c r="Z2422" t="b">
        <v>1</v>
      </c>
      <c r="AA2422" t="b">
        <v>1</v>
      </c>
      <c r="AB2422" t="b">
        <v>1</v>
      </c>
      <c r="AC2422" t="b">
        <v>1</v>
      </c>
      <c r="AD2422" t="b">
        <v>1</v>
      </c>
      <c r="AE2422" t="b">
        <v>1</v>
      </c>
      <c r="AF2422" t="b">
        <v>1</v>
      </c>
      <c r="AG2422" t="b">
        <v>1</v>
      </c>
    </row>
    <row r="2423" spans="1:33" x14ac:dyDescent="0.25">
      <c r="A2423" t="s">
        <v>33</v>
      </c>
      <c r="B2423">
        <v>15</v>
      </c>
      <c r="C2423" t="b">
        <v>1</v>
      </c>
      <c r="D2423" t="s">
        <v>7968</v>
      </c>
      <c r="E2423" t="s">
        <v>8295</v>
      </c>
      <c r="F2423" t="s">
        <v>8296</v>
      </c>
      <c r="G2423" t="s">
        <v>8297</v>
      </c>
      <c r="H2423">
        <v>2422</v>
      </c>
      <c r="I2423" t="str">
        <f>IF(ISBLANK(Table1[[#This Row],[oid]]),"FALSE","TRUE")</f>
        <v>TRUE</v>
      </c>
      <c r="J2423" t="str" cm="1">
        <f t="array" ref="J2423">_xlfn.SWITCH(LEFT(Table1[[#This Row],[section]],1), "D", "Demographic", "S", "Social", "E", "Economic", "H", "Housing", "")</f>
        <v>Housing</v>
      </c>
      <c r="K2423" t="s">
        <v>8298</v>
      </c>
      <c r="L2423" t="s">
        <v>8299</v>
      </c>
      <c r="M2423" t="str">
        <f>IF(Table1[[#This Row],[used]], _xlfn.CONCAT("🆔 ", Table1[[#This Row],[variable]], ": ",Table1[[#This Row],[alias]]), "")</f>
        <v>🆔 B25001_001E: Occupied housing units</v>
      </c>
      <c r="O2423" t="s">
        <v>39</v>
      </c>
      <c r="P2423" t="s">
        <v>8300</v>
      </c>
      <c r="Q2423" t="s">
        <v>41</v>
      </c>
      <c r="R2423" t="s">
        <v>8301</v>
      </c>
      <c r="S2423" t="b">
        <v>1</v>
      </c>
      <c r="T2423" t="b">
        <v>1</v>
      </c>
      <c r="U2423" t="b">
        <v>1</v>
      </c>
      <c r="V2423" t="b">
        <v>1</v>
      </c>
      <c r="W2423" t="b">
        <v>1</v>
      </c>
      <c r="X2423" t="b">
        <v>1</v>
      </c>
      <c r="Y2423" t="b">
        <v>1</v>
      </c>
      <c r="Z2423" t="b">
        <v>1</v>
      </c>
      <c r="AA2423" t="b">
        <v>1</v>
      </c>
      <c r="AB2423" t="b">
        <v>1</v>
      </c>
      <c r="AC2423" t="b">
        <v>1</v>
      </c>
      <c r="AD2423" t="b">
        <v>1</v>
      </c>
      <c r="AE2423" t="b">
        <v>1</v>
      </c>
      <c r="AF2423" t="b">
        <v>1</v>
      </c>
      <c r="AG2423" t="b">
        <v>1</v>
      </c>
    </row>
    <row r="2424" spans="1:33" x14ac:dyDescent="0.25">
      <c r="A2424" t="s">
        <v>33</v>
      </c>
      <c r="B2424">
        <v>15</v>
      </c>
      <c r="C2424" t="b">
        <v>1</v>
      </c>
      <c r="D2424" t="s">
        <v>7968</v>
      </c>
      <c r="E2424" t="s">
        <v>8302</v>
      </c>
      <c r="F2424" t="s">
        <v>8303</v>
      </c>
      <c r="G2424" t="s">
        <v>8304</v>
      </c>
      <c r="H2424">
        <v>2423</v>
      </c>
      <c r="I2424" t="str">
        <f>IF(ISBLANK(Table1[[#This Row],[oid]]),"FALSE","TRUE")</f>
        <v>TRUE</v>
      </c>
      <c r="J2424" t="str" cm="1">
        <f t="array" ref="J2424">_xlfn.SWITCH(LEFT(Table1[[#This Row],[section]],1), "D", "Demographic", "S", "Social", "E", "Economic", "H", "Housing", "")</f>
        <v>Housing</v>
      </c>
      <c r="K2424" t="s">
        <v>8298</v>
      </c>
      <c r="L2424" t="s">
        <v>8299</v>
      </c>
      <c r="M2424" t="str">
        <f>IF(Table1[[#This Row],[used]], _xlfn.CONCAT("🆔 ", Table1[[#This Row],[variable]], ": ",Table1[[#This Row],[alias]]), "")</f>
        <v>🆔 B25003A_001E: Occupied housing units: White alone householder</v>
      </c>
      <c r="O2424" t="s">
        <v>39</v>
      </c>
      <c r="P2424" t="s">
        <v>8305</v>
      </c>
      <c r="Q2424" t="s">
        <v>41</v>
      </c>
      <c r="R2424" t="s">
        <v>8306</v>
      </c>
      <c r="S2424" t="b">
        <v>1</v>
      </c>
      <c r="T2424" t="b">
        <v>1</v>
      </c>
      <c r="U2424" t="b">
        <v>1</v>
      </c>
      <c r="V2424" t="b">
        <v>1</v>
      </c>
      <c r="W2424" t="b">
        <v>1</v>
      </c>
      <c r="X2424" t="b">
        <v>1</v>
      </c>
      <c r="Y2424" t="b">
        <v>1</v>
      </c>
      <c r="Z2424" t="b">
        <v>1</v>
      </c>
      <c r="AA2424" t="b">
        <v>1</v>
      </c>
      <c r="AB2424" t="b">
        <v>1</v>
      </c>
      <c r="AC2424" t="b">
        <v>1</v>
      </c>
      <c r="AD2424" t="b">
        <v>1</v>
      </c>
      <c r="AE2424" t="b">
        <v>1</v>
      </c>
      <c r="AF2424" t="b">
        <v>1</v>
      </c>
      <c r="AG2424" t="b">
        <v>1</v>
      </c>
    </row>
    <row r="2425" spans="1:33" x14ac:dyDescent="0.25">
      <c r="A2425" t="s">
        <v>33</v>
      </c>
      <c r="B2425">
        <v>15</v>
      </c>
      <c r="C2425" t="b">
        <v>1</v>
      </c>
      <c r="D2425" t="s">
        <v>7968</v>
      </c>
      <c r="E2425" t="s">
        <v>8302</v>
      </c>
      <c r="F2425" t="s">
        <v>8307</v>
      </c>
      <c r="G2425" t="s">
        <v>8308</v>
      </c>
      <c r="H2425">
        <v>2424</v>
      </c>
      <c r="I2425" t="str">
        <f>IF(ISBLANK(Table1[[#This Row],[oid]]),"FALSE","TRUE")</f>
        <v>TRUE</v>
      </c>
      <c r="J2425" t="str" cm="1">
        <f t="array" ref="J2425">_xlfn.SWITCH(LEFT(Table1[[#This Row],[section]],1), "D", "Demographic", "S", "Social", "E", "Economic", "H", "Housing", "")</f>
        <v>Housing</v>
      </c>
      <c r="K2425" t="s">
        <v>8298</v>
      </c>
      <c r="L2425" t="s">
        <v>8299</v>
      </c>
      <c r="M2425" t="str">
        <f>IF(Table1[[#This Row],[used]], _xlfn.CONCAT("🆔 ", Table1[[#This Row],[variable]], ": ",Table1[[#This Row],[alias]]), "")</f>
        <v>🆔 B25003A_002E: Oner occupied: White alone householder</v>
      </c>
      <c r="O2425" t="s">
        <v>7992</v>
      </c>
      <c r="P2425" t="s">
        <v>8305</v>
      </c>
      <c r="Q2425" t="s">
        <v>41</v>
      </c>
      <c r="R2425" t="s">
        <v>8309</v>
      </c>
      <c r="S2425" t="b">
        <v>1</v>
      </c>
      <c r="T2425" t="b">
        <v>1</v>
      </c>
      <c r="U2425" t="b">
        <v>1</v>
      </c>
      <c r="V2425" t="b">
        <v>1</v>
      </c>
      <c r="W2425" t="b">
        <v>1</v>
      </c>
      <c r="X2425" t="b">
        <v>1</v>
      </c>
      <c r="Y2425" t="b">
        <v>1</v>
      </c>
      <c r="Z2425" t="b">
        <v>1</v>
      </c>
      <c r="AA2425" t="b">
        <v>1</v>
      </c>
      <c r="AB2425" t="b">
        <v>1</v>
      </c>
      <c r="AC2425" t="b">
        <v>1</v>
      </c>
      <c r="AD2425" t="b">
        <v>1</v>
      </c>
      <c r="AE2425" t="b">
        <v>1</v>
      </c>
      <c r="AF2425" t="b">
        <v>1</v>
      </c>
      <c r="AG2425" t="b">
        <v>1</v>
      </c>
    </row>
    <row r="2426" spans="1:33" x14ac:dyDescent="0.25">
      <c r="A2426" t="s">
        <v>33</v>
      </c>
      <c r="B2426">
        <v>15</v>
      </c>
      <c r="C2426" t="b">
        <v>1</v>
      </c>
      <c r="D2426" t="s">
        <v>7968</v>
      </c>
      <c r="E2426" t="s">
        <v>8302</v>
      </c>
      <c r="F2426" t="s">
        <v>8310</v>
      </c>
      <c r="G2426" t="s">
        <v>8311</v>
      </c>
      <c r="H2426">
        <v>2425</v>
      </c>
      <c r="I2426" t="str">
        <f>IF(ISBLANK(Table1[[#This Row],[oid]]),"FALSE","TRUE")</f>
        <v>TRUE</v>
      </c>
      <c r="J2426" t="str" cm="1">
        <f t="array" ref="J2426">_xlfn.SWITCH(LEFT(Table1[[#This Row],[section]],1), "D", "Demographic", "S", "Social", "E", "Economic", "H", "Housing", "")</f>
        <v>Housing</v>
      </c>
      <c r="K2426" t="s">
        <v>8298</v>
      </c>
      <c r="L2426" t="s">
        <v>8299</v>
      </c>
      <c r="M2426" t="str">
        <f>IF(Table1[[#This Row],[used]], _xlfn.CONCAT("🆔 ", Table1[[#This Row],[variable]], ": ",Table1[[#This Row],[alias]]), "")</f>
        <v>🆔 B25003A_003E: Renter occupied: White alone householder</v>
      </c>
      <c r="O2426" t="s">
        <v>7996</v>
      </c>
      <c r="P2426" t="s">
        <v>8305</v>
      </c>
      <c r="Q2426" t="s">
        <v>41</v>
      </c>
      <c r="R2426" t="s">
        <v>8312</v>
      </c>
      <c r="S2426" t="b">
        <v>1</v>
      </c>
      <c r="T2426" t="b">
        <v>1</v>
      </c>
      <c r="U2426" t="b">
        <v>1</v>
      </c>
      <c r="V2426" t="b">
        <v>1</v>
      </c>
      <c r="W2426" t="b">
        <v>1</v>
      </c>
      <c r="X2426" t="b">
        <v>1</v>
      </c>
      <c r="Y2426" t="b">
        <v>1</v>
      </c>
      <c r="Z2426" t="b">
        <v>1</v>
      </c>
      <c r="AA2426" t="b">
        <v>1</v>
      </c>
      <c r="AB2426" t="b">
        <v>1</v>
      </c>
      <c r="AC2426" t="b">
        <v>1</v>
      </c>
      <c r="AD2426" t="b">
        <v>1</v>
      </c>
      <c r="AE2426" t="b">
        <v>1</v>
      </c>
      <c r="AF2426" t="b">
        <v>1</v>
      </c>
      <c r="AG2426" t="b">
        <v>1</v>
      </c>
    </row>
    <row r="2427" spans="1:33" x14ac:dyDescent="0.25">
      <c r="A2427" t="s">
        <v>33</v>
      </c>
      <c r="B2427">
        <v>15</v>
      </c>
      <c r="C2427" t="b">
        <v>1</v>
      </c>
      <c r="D2427" t="s">
        <v>7968</v>
      </c>
      <c r="E2427" t="s">
        <v>8313</v>
      </c>
      <c r="F2427" t="s">
        <v>8314</v>
      </c>
      <c r="G2427" t="s">
        <v>8315</v>
      </c>
      <c r="H2427">
        <v>2426</v>
      </c>
      <c r="I2427" t="str">
        <f>IF(ISBLANK(Table1[[#This Row],[oid]]),"FALSE","TRUE")</f>
        <v>TRUE</v>
      </c>
      <c r="J2427" t="str" cm="1">
        <f t="array" ref="J2427">_xlfn.SWITCH(LEFT(Table1[[#This Row],[section]],1), "D", "Demographic", "S", "Social", "E", "Economic", "H", "Housing", "")</f>
        <v>Housing</v>
      </c>
      <c r="K2427" t="s">
        <v>8298</v>
      </c>
      <c r="L2427" t="s">
        <v>8299</v>
      </c>
      <c r="M2427" t="str">
        <f>IF(Table1[[#This Row],[used]], _xlfn.CONCAT("🆔 ", Table1[[#This Row],[variable]], ": ",Table1[[#This Row],[alias]]), "")</f>
        <v>🆔 B25003B_001E: Occupied housing units: Black or African American alone householder</v>
      </c>
      <c r="O2427" t="s">
        <v>39</v>
      </c>
      <c r="P2427" t="s">
        <v>8316</v>
      </c>
      <c r="Q2427" t="s">
        <v>41</v>
      </c>
      <c r="R2427" t="s">
        <v>8317</v>
      </c>
      <c r="S2427" t="b">
        <v>1</v>
      </c>
      <c r="T2427" t="b">
        <v>1</v>
      </c>
      <c r="U2427" t="b">
        <v>1</v>
      </c>
      <c r="V2427" t="b">
        <v>1</v>
      </c>
      <c r="W2427" t="b">
        <v>1</v>
      </c>
      <c r="X2427" t="b">
        <v>1</v>
      </c>
      <c r="Y2427" t="b">
        <v>1</v>
      </c>
      <c r="Z2427" t="b">
        <v>1</v>
      </c>
      <c r="AA2427" t="b">
        <v>1</v>
      </c>
      <c r="AB2427" t="b">
        <v>1</v>
      </c>
      <c r="AC2427" t="b">
        <v>1</v>
      </c>
      <c r="AD2427" t="b">
        <v>1</v>
      </c>
      <c r="AE2427" t="b">
        <v>1</v>
      </c>
      <c r="AF2427" t="b">
        <v>1</v>
      </c>
      <c r="AG2427" t="b">
        <v>1</v>
      </c>
    </row>
    <row r="2428" spans="1:33" x14ac:dyDescent="0.25">
      <c r="A2428" t="s">
        <v>33</v>
      </c>
      <c r="B2428">
        <v>15</v>
      </c>
      <c r="C2428" t="b">
        <v>1</v>
      </c>
      <c r="D2428" t="s">
        <v>7968</v>
      </c>
      <c r="E2428" t="s">
        <v>8313</v>
      </c>
      <c r="F2428" t="s">
        <v>8318</v>
      </c>
      <c r="G2428" t="s">
        <v>8319</v>
      </c>
      <c r="H2428">
        <v>2427</v>
      </c>
      <c r="I2428" t="str">
        <f>IF(ISBLANK(Table1[[#This Row],[oid]]),"FALSE","TRUE")</f>
        <v>TRUE</v>
      </c>
      <c r="J2428" t="str" cm="1">
        <f t="array" ref="J2428">_xlfn.SWITCH(LEFT(Table1[[#This Row],[section]],1), "D", "Demographic", "S", "Social", "E", "Economic", "H", "Housing", "")</f>
        <v>Housing</v>
      </c>
      <c r="K2428" t="s">
        <v>8298</v>
      </c>
      <c r="L2428" t="s">
        <v>8299</v>
      </c>
      <c r="M2428" t="str">
        <f>IF(Table1[[#This Row],[used]], _xlfn.CONCAT("🆔 ", Table1[[#This Row],[variable]], ": ",Table1[[#This Row],[alias]]), "")</f>
        <v>🆔 B25003B_002E: Owner occupied: Black or African American alone householder</v>
      </c>
      <c r="O2428" t="s">
        <v>7992</v>
      </c>
      <c r="P2428" t="s">
        <v>8316</v>
      </c>
      <c r="Q2428" t="s">
        <v>41</v>
      </c>
      <c r="R2428" t="s">
        <v>8320</v>
      </c>
      <c r="S2428" t="b">
        <v>1</v>
      </c>
      <c r="T2428" t="b">
        <v>1</v>
      </c>
      <c r="U2428" t="b">
        <v>1</v>
      </c>
      <c r="V2428" t="b">
        <v>1</v>
      </c>
      <c r="W2428" t="b">
        <v>1</v>
      </c>
      <c r="X2428" t="b">
        <v>1</v>
      </c>
      <c r="Y2428" t="b">
        <v>1</v>
      </c>
      <c r="Z2428" t="b">
        <v>1</v>
      </c>
      <c r="AA2428" t="b">
        <v>1</v>
      </c>
      <c r="AB2428" t="b">
        <v>1</v>
      </c>
      <c r="AC2428" t="b">
        <v>1</v>
      </c>
      <c r="AD2428" t="b">
        <v>1</v>
      </c>
      <c r="AE2428" t="b">
        <v>1</v>
      </c>
      <c r="AF2428" t="b">
        <v>1</v>
      </c>
      <c r="AG2428" t="b">
        <v>1</v>
      </c>
    </row>
    <row r="2429" spans="1:33" x14ac:dyDescent="0.25">
      <c r="A2429" t="s">
        <v>33</v>
      </c>
      <c r="B2429">
        <v>15</v>
      </c>
      <c r="C2429" t="b">
        <v>1</v>
      </c>
      <c r="D2429" t="s">
        <v>7968</v>
      </c>
      <c r="E2429" t="s">
        <v>8313</v>
      </c>
      <c r="F2429" t="s">
        <v>8321</v>
      </c>
      <c r="G2429" t="s">
        <v>8322</v>
      </c>
      <c r="H2429">
        <v>2428</v>
      </c>
      <c r="I2429" t="str">
        <f>IF(ISBLANK(Table1[[#This Row],[oid]]),"FALSE","TRUE")</f>
        <v>TRUE</v>
      </c>
      <c r="J2429" t="str" cm="1">
        <f t="array" ref="J2429">_xlfn.SWITCH(LEFT(Table1[[#This Row],[section]],1), "D", "Demographic", "S", "Social", "E", "Economic", "H", "Housing", "")</f>
        <v>Housing</v>
      </c>
      <c r="K2429" t="s">
        <v>8298</v>
      </c>
      <c r="L2429" t="s">
        <v>8299</v>
      </c>
      <c r="M2429" t="str">
        <f>IF(Table1[[#This Row],[used]], _xlfn.CONCAT("🆔 ", Table1[[#This Row],[variable]], ": ",Table1[[#This Row],[alias]]), "")</f>
        <v>🆔 B25003B_003E: Renter occupied: Black or African American alone householder</v>
      </c>
      <c r="O2429" t="s">
        <v>7996</v>
      </c>
      <c r="P2429" t="s">
        <v>8316</v>
      </c>
      <c r="Q2429" t="s">
        <v>41</v>
      </c>
      <c r="R2429" t="s">
        <v>8323</v>
      </c>
      <c r="S2429" t="b">
        <v>1</v>
      </c>
      <c r="T2429" t="b">
        <v>1</v>
      </c>
      <c r="U2429" t="b">
        <v>1</v>
      </c>
      <c r="V2429" t="b">
        <v>1</v>
      </c>
      <c r="W2429" t="b">
        <v>1</v>
      </c>
      <c r="X2429" t="b">
        <v>1</v>
      </c>
      <c r="Y2429" t="b">
        <v>1</v>
      </c>
      <c r="Z2429" t="b">
        <v>1</v>
      </c>
      <c r="AA2429" t="b">
        <v>1</v>
      </c>
      <c r="AB2429" t="b">
        <v>1</v>
      </c>
      <c r="AC2429" t="b">
        <v>1</v>
      </c>
      <c r="AD2429" t="b">
        <v>1</v>
      </c>
      <c r="AE2429" t="b">
        <v>1</v>
      </c>
      <c r="AF2429" t="b">
        <v>1</v>
      </c>
      <c r="AG2429" t="b">
        <v>1</v>
      </c>
    </row>
    <row r="2430" spans="1:33" x14ac:dyDescent="0.25">
      <c r="A2430" t="s">
        <v>33</v>
      </c>
      <c r="B2430">
        <v>15</v>
      </c>
      <c r="C2430" t="b">
        <v>1</v>
      </c>
      <c r="D2430" t="s">
        <v>7968</v>
      </c>
      <c r="E2430" t="s">
        <v>8324</v>
      </c>
      <c r="F2430" t="s">
        <v>8325</v>
      </c>
      <c r="G2430" t="s">
        <v>8326</v>
      </c>
      <c r="H2430">
        <v>2429</v>
      </c>
      <c r="I2430" t="str">
        <f>IF(ISBLANK(Table1[[#This Row],[oid]]),"FALSE","TRUE")</f>
        <v>TRUE</v>
      </c>
      <c r="J2430" t="str" cm="1">
        <f t="array" ref="J2430">_xlfn.SWITCH(LEFT(Table1[[#This Row],[section]],1), "D", "Demographic", "S", "Social", "E", "Economic", "H", "Housing", "")</f>
        <v>Housing</v>
      </c>
      <c r="K2430" t="s">
        <v>8298</v>
      </c>
      <c r="L2430" t="s">
        <v>8299</v>
      </c>
      <c r="M2430" t="str">
        <f>IF(Table1[[#This Row],[used]], _xlfn.CONCAT("🆔 ", Table1[[#This Row],[variable]], ": ",Table1[[#This Row],[alias]]), "")</f>
        <v>🆔 B25003C_001E: Occupied housing units: American Indian and Alaska Native alone householder</v>
      </c>
      <c r="O2430" t="s">
        <v>39</v>
      </c>
      <c r="P2430" t="s">
        <v>8327</v>
      </c>
      <c r="Q2430" t="s">
        <v>41</v>
      </c>
      <c r="R2430" t="s">
        <v>8328</v>
      </c>
      <c r="S2430" t="b">
        <v>1</v>
      </c>
      <c r="T2430" t="b">
        <v>1</v>
      </c>
      <c r="U2430" t="b">
        <v>1</v>
      </c>
      <c r="V2430" t="b">
        <v>1</v>
      </c>
      <c r="W2430" t="b">
        <v>1</v>
      </c>
      <c r="X2430" t="b">
        <v>1</v>
      </c>
      <c r="Y2430" t="b">
        <v>1</v>
      </c>
      <c r="Z2430" t="b">
        <v>1</v>
      </c>
      <c r="AA2430" t="b">
        <v>1</v>
      </c>
      <c r="AB2430" t="b">
        <v>1</v>
      </c>
      <c r="AC2430" t="b">
        <v>1</v>
      </c>
      <c r="AD2430" t="b">
        <v>1</v>
      </c>
      <c r="AE2430" t="b">
        <v>1</v>
      </c>
      <c r="AF2430" t="b">
        <v>1</v>
      </c>
      <c r="AG2430" t="b">
        <v>1</v>
      </c>
    </row>
    <row r="2431" spans="1:33" x14ac:dyDescent="0.25">
      <c r="A2431" t="s">
        <v>33</v>
      </c>
      <c r="B2431">
        <v>15</v>
      </c>
      <c r="C2431" t="b">
        <v>1</v>
      </c>
      <c r="D2431" t="s">
        <v>7968</v>
      </c>
      <c r="E2431" t="s">
        <v>8324</v>
      </c>
      <c r="F2431" t="s">
        <v>8329</v>
      </c>
      <c r="G2431" t="s">
        <v>8330</v>
      </c>
      <c r="H2431">
        <v>2430</v>
      </c>
      <c r="I2431" t="str">
        <f>IF(ISBLANK(Table1[[#This Row],[oid]]),"FALSE","TRUE")</f>
        <v>TRUE</v>
      </c>
      <c r="J2431" t="str" cm="1">
        <f t="array" ref="J2431">_xlfn.SWITCH(LEFT(Table1[[#This Row],[section]],1), "D", "Demographic", "S", "Social", "E", "Economic", "H", "Housing", "")</f>
        <v>Housing</v>
      </c>
      <c r="K2431" t="s">
        <v>8298</v>
      </c>
      <c r="L2431" t="s">
        <v>8299</v>
      </c>
      <c r="M2431" t="str">
        <f>IF(Table1[[#This Row],[used]], _xlfn.CONCAT("🆔 ", Table1[[#This Row],[variable]], ": ",Table1[[#This Row],[alias]]), "")</f>
        <v>🆔 B25003C_002E: Owner occupied: American Indian and Alaska Native alone householder</v>
      </c>
      <c r="O2431" t="s">
        <v>7992</v>
      </c>
      <c r="P2431" t="s">
        <v>8327</v>
      </c>
      <c r="Q2431" t="s">
        <v>41</v>
      </c>
      <c r="R2431" t="s">
        <v>8331</v>
      </c>
      <c r="S2431" t="b">
        <v>1</v>
      </c>
      <c r="T2431" t="b">
        <v>1</v>
      </c>
      <c r="U2431" t="b">
        <v>1</v>
      </c>
      <c r="V2431" t="b">
        <v>1</v>
      </c>
      <c r="W2431" t="b">
        <v>1</v>
      </c>
      <c r="X2431" t="b">
        <v>1</v>
      </c>
      <c r="Y2431" t="b">
        <v>1</v>
      </c>
      <c r="Z2431" t="b">
        <v>1</v>
      </c>
      <c r="AA2431" t="b">
        <v>1</v>
      </c>
      <c r="AB2431" t="b">
        <v>1</v>
      </c>
      <c r="AC2431" t="b">
        <v>1</v>
      </c>
      <c r="AD2431" t="b">
        <v>1</v>
      </c>
      <c r="AE2431" t="b">
        <v>1</v>
      </c>
      <c r="AF2431" t="b">
        <v>1</v>
      </c>
      <c r="AG2431" t="b">
        <v>1</v>
      </c>
    </row>
    <row r="2432" spans="1:33" x14ac:dyDescent="0.25">
      <c r="A2432" t="s">
        <v>33</v>
      </c>
      <c r="B2432">
        <v>15</v>
      </c>
      <c r="C2432" t="b">
        <v>1</v>
      </c>
      <c r="D2432" t="s">
        <v>7968</v>
      </c>
      <c r="E2432" t="s">
        <v>8324</v>
      </c>
      <c r="F2432" t="s">
        <v>8332</v>
      </c>
      <c r="G2432" t="s">
        <v>8333</v>
      </c>
      <c r="H2432">
        <v>2431</v>
      </c>
      <c r="I2432" t="str">
        <f>IF(ISBLANK(Table1[[#This Row],[oid]]),"FALSE","TRUE")</f>
        <v>TRUE</v>
      </c>
      <c r="J2432" t="str" cm="1">
        <f t="array" ref="J2432">_xlfn.SWITCH(LEFT(Table1[[#This Row],[section]],1), "D", "Demographic", "S", "Social", "E", "Economic", "H", "Housing", "")</f>
        <v>Housing</v>
      </c>
      <c r="K2432" t="s">
        <v>8298</v>
      </c>
      <c r="L2432" t="s">
        <v>8299</v>
      </c>
      <c r="M2432" t="str">
        <f>IF(Table1[[#This Row],[used]], _xlfn.CONCAT("🆔 ", Table1[[#This Row],[variable]], ": ",Table1[[#This Row],[alias]]), "")</f>
        <v>🆔 B25003C_003E: Renter occupied: American Indian and Alaska Native alone householder</v>
      </c>
      <c r="O2432" t="s">
        <v>7996</v>
      </c>
      <c r="P2432" t="s">
        <v>8327</v>
      </c>
      <c r="Q2432" t="s">
        <v>41</v>
      </c>
      <c r="R2432" t="s">
        <v>8334</v>
      </c>
      <c r="S2432" t="b">
        <v>1</v>
      </c>
      <c r="T2432" t="b">
        <v>1</v>
      </c>
      <c r="U2432" t="b">
        <v>1</v>
      </c>
      <c r="V2432" t="b">
        <v>1</v>
      </c>
      <c r="W2432" t="b">
        <v>1</v>
      </c>
      <c r="X2432" t="b">
        <v>1</v>
      </c>
      <c r="Y2432" t="b">
        <v>1</v>
      </c>
      <c r="Z2432" t="b">
        <v>1</v>
      </c>
      <c r="AA2432" t="b">
        <v>1</v>
      </c>
      <c r="AB2432" t="b">
        <v>1</v>
      </c>
      <c r="AC2432" t="b">
        <v>1</v>
      </c>
      <c r="AD2432" t="b">
        <v>1</v>
      </c>
      <c r="AE2432" t="b">
        <v>1</v>
      </c>
      <c r="AF2432" t="b">
        <v>1</v>
      </c>
      <c r="AG2432" t="b">
        <v>1</v>
      </c>
    </row>
    <row r="2433" spans="1:33" x14ac:dyDescent="0.25">
      <c r="A2433" t="s">
        <v>33</v>
      </c>
      <c r="B2433">
        <v>15</v>
      </c>
      <c r="C2433" t="b">
        <v>1</v>
      </c>
      <c r="D2433" t="s">
        <v>7968</v>
      </c>
      <c r="E2433" t="s">
        <v>8335</v>
      </c>
      <c r="F2433" t="s">
        <v>8336</v>
      </c>
      <c r="G2433" t="s">
        <v>8337</v>
      </c>
      <c r="H2433">
        <v>2432</v>
      </c>
      <c r="I2433" t="str">
        <f>IF(ISBLANK(Table1[[#This Row],[oid]]),"FALSE","TRUE")</f>
        <v>TRUE</v>
      </c>
      <c r="J2433" t="str" cm="1">
        <f t="array" ref="J2433">_xlfn.SWITCH(LEFT(Table1[[#This Row],[section]],1), "D", "Demographic", "S", "Social", "E", "Economic", "H", "Housing", "")</f>
        <v>Housing</v>
      </c>
      <c r="K2433" t="s">
        <v>8298</v>
      </c>
      <c r="L2433" t="s">
        <v>8299</v>
      </c>
      <c r="M2433" t="str">
        <f>IF(Table1[[#This Row],[used]], _xlfn.CONCAT("🆔 ", Table1[[#This Row],[variable]], ": ",Table1[[#This Row],[alias]]), "")</f>
        <v>🆔 B25003D_001E: Occupied housing units: Asian alone householder</v>
      </c>
      <c r="O2433" t="s">
        <v>39</v>
      </c>
      <c r="P2433" t="s">
        <v>8338</v>
      </c>
      <c r="Q2433" t="s">
        <v>41</v>
      </c>
      <c r="R2433" t="s">
        <v>8339</v>
      </c>
      <c r="S2433" t="b">
        <v>1</v>
      </c>
      <c r="T2433" t="b">
        <v>1</v>
      </c>
      <c r="U2433" t="b">
        <v>1</v>
      </c>
      <c r="V2433" t="b">
        <v>1</v>
      </c>
      <c r="W2433" t="b">
        <v>1</v>
      </c>
      <c r="X2433" t="b">
        <v>1</v>
      </c>
      <c r="Y2433" t="b">
        <v>1</v>
      </c>
      <c r="Z2433" t="b">
        <v>1</v>
      </c>
      <c r="AA2433" t="b">
        <v>1</v>
      </c>
      <c r="AB2433" t="b">
        <v>1</v>
      </c>
      <c r="AC2433" t="b">
        <v>1</v>
      </c>
      <c r="AD2433" t="b">
        <v>1</v>
      </c>
      <c r="AE2433" t="b">
        <v>1</v>
      </c>
      <c r="AF2433" t="b">
        <v>1</v>
      </c>
      <c r="AG2433" t="b">
        <v>1</v>
      </c>
    </row>
    <row r="2434" spans="1:33" x14ac:dyDescent="0.25">
      <c r="A2434" t="s">
        <v>33</v>
      </c>
      <c r="B2434">
        <v>15</v>
      </c>
      <c r="C2434" t="b">
        <v>1</v>
      </c>
      <c r="D2434" t="s">
        <v>7968</v>
      </c>
      <c r="E2434" t="s">
        <v>8335</v>
      </c>
      <c r="F2434" t="s">
        <v>8340</v>
      </c>
      <c r="G2434" t="s">
        <v>8341</v>
      </c>
      <c r="H2434">
        <v>2433</v>
      </c>
      <c r="I2434" t="str">
        <f>IF(ISBLANK(Table1[[#This Row],[oid]]),"FALSE","TRUE")</f>
        <v>TRUE</v>
      </c>
      <c r="J2434" t="str" cm="1">
        <f t="array" ref="J2434">_xlfn.SWITCH(LEFT(Table1[[#This Row],[section]],1), "D", "Demographic", "S", "Social", "E", "Economic", "H", "Housing", "")</f>
        <v>Housing</v>
      </c>
      <c r="K2434" t="s">
        <v>8298</v>
      </c>
      <c r="L2434" t="s">
        <v>8299</v>
      </c>
      <c r="M2434" t="str">
        <f>IF(Table1[[#This Row],[used]], _xlfn.CONCAT("🆔 ", Table1[[#This Row],[variable]], ": ",Table1[[#This Row],[alias]]), "")</f>
        <v>🆔 B25003D_002E: Owner occupied: Asian alone householder</v>
      </c>
      <c r="O2434" t="s">
        <v>7992</v>
      </c>
      <c r="P2434" t="s">
        <v>8338</v>
      </c>
      <c r="Q2434" t="s">
        <v>41</v>
      </c>
      <c r="R2434" t="s">
        <v>8342</v>
      </c>
      <c r="S2434" t="b">
        <v>1</v>
      </c>
      <c r="T2434" t="b">
        <v>1</v>
      </c>
      <c r="U2434" t="b">
        <v>1</v>
      </c>
      <c r="V2434" t="b">
        <v>1</v>
      </c>
      <c r="W2434" t="b">
        <v>1</v>
      </c>
      <c r="X2434" t="b">
        <v>1</v>
      </c>
      <c r="Y2434" t="b">
        <v>1</v>
      </c>
      <c r="Z2434" t="b">
        <v>1</v>
      </c>
      <c r="AA2434" t="b">
        <v>1</v>
      </c>
      <c r="AB2434" t="b">
        <v>1</v>
      </c>
      <c r="AC2434" t="b">
        <v>1</v>
      </c>
      <c r="AD2434" t="b">
        <v>1</v>
      </c>
      <c r="AE2434" t="b">
        <v>1</v>
      </c>
      <c r="AF2434" t="b">
        <v>1</v>
      </c>
      <c r="AG2434" t="b">
        <v>1</v>
      </c>
    </row>
    <row r="2435" spans="1:33" x14ac:dyDescent="0.25">
      <c r="A2435" t="s">
        <v>33</v>
      </c>
      <c r="B2435">
        <v>15</v>
      </c>
      <c r="C2435" t="b">
        <v>1</v>
      </c>
      <c r="D2435" t="s">
        <v>7968</v>
      </c>
      <c r="E2435" t="s">
        <v>8335</v>
      </c>
      <c r="F2435" t="s">
        <v>8343</v>
      </c>
      <c r="G2435" t="s">
        <v>8344</v>
      </c>
      <c r="H2435">
        <v>2434</v>
      </c>
      <c r="I2435" t="str">
        <f>IF(ISBLANK(Table1[[#This Row],[oid]]),"FALSE","TRUE")</f>
        <v>TRUE</v>
      </c>
      <c r="J2435" t="str" cm="1">
        <f t="array" ref="J2435">_xlfn.SWITCH(LEFT(Table1[[#This Row],[section]],1), "D", "Demographic", "S", "Social", "E", "Economic", "H", "Housing", "")</f>
        <v>Housing</v>
      </c>
      <c r="K2435" t="s">
        <v>8298</v>
      </c>
      <c r="L2435" t="s">
        <v>8299</v>
      </c>
      <c r="M2435" t="str">
        <f>IF(Table1[[#This Row],[used]], _xlfn.CONCAT("🆔 ", Table1[[#This Row],[variable]], ": ",Table1[[#This Row],[alias]]), "")</f>
        <v>🆔 B25003D_003E: Renter occupied: Asian alone householder</v>
      </c>
      <c r="O2435" t="s">
        <v>7996</v>
      </c>
      <c r="P2435" t="s">
        <v>8338</v>
      </c>
      <c r="Q2435" t="s">
        <v>41</v>
      </c>
      <c r="R2435" t="s">
        <v>8345</v>
      </c>
      <c r="S2435" t="b">
        <v>1</v>
      </c>
      <c r="T2435" t="b">
        <v>1</v>
      </c>
      <c r="U2435" t="b">
        <v>1</v>
      </c>
      <c r="V2435" t="b">
        <v>1</v>
      </c>
      <c r="W2435" t="b">
        <v>1</v>
      </c>
      <c r="X2435" t="b">
        <v>1</v>
      </c>
      <c r="Y2435" t="b">
        <v>1</v>
      </c>
      <c r="Z2435" t="b">
        <v>1</v>
      </c>
      <c r="AA2435" t="b">
        <v>1</v>
      </c>
      <c r="AB2435" t="b">
        <v>1</v>
      </c>
      <c r="AC2435" t="b">
        <v>1</v>
      </c>
      <c r="AD2435" t="b">
        <v>1</v>
      </c>
      <c r="AE2435" t="b">
        <v>1</v>
      </c>
      <c r="AF2435" t="b">
        <v>1</v>
      </c>
      <c r="AG2435" t="b">
        <v>1</v>
      </c>
    </row>
    <row r="2436" spans="1:33" x14ac:dyDescent="0.25">
      <c r="A2436" t="s">
        <v>33</v>
      </c>
      <c r="B2436">
        <v>15</v>
      </c>
      <c r="C2436" t="b">
        <v>1</v>
      </c>
      <c r="D2436" t="s">
        <v>7968</v>
      </c>
      <c r="E2436" t="s">
        <v>8346</v>
      </c>
      <c r="F2436" t="s">
        <v>8347</v>
      </c>
      <c r="G2436" t="s">
        <v>8348</v>
      </c>
      <c r="H2436">
        <v>2435</v>
      </c>
      <c r="I2436" t="str">
        <f>IF(ISBLANK(Table1[[#This Row],[oid]]),"FALSE","TRUE")</f>
        <v>TRUE</v>
      </c>
      <c r="J2436" t="str" cm="1">
        <f t="array" ref="J2436">_xlfn.SWITCH(LEFT(Table1[[#This Row],[section]],1), "D", "Demographic", "S", "Social", "E", "Economic", "H", "Housing", "")</f>
        <v>Housing</v>
      </c>
      <c r="K2436" t="s">
        <v>8298</v>
      </c>
      <c r="L2436" t="s">
        <v>8299</v>
      </c>
      <c r="M2436" t="str">
        <f>IF(Table1[[#This Row],[used]], _xlfn.CONCAT("🆔 ", Table1[[#This Row],[variable]], ": ",Table1[[#This Row],[alias]]), "")</f>
        <v>🆔 B25003E_001E: Occupied housing units: Native Hawaiian and Other Pacific Islander householder</v>
      </c>
      <c r="O2436" t="s">
        <v>39</v>
      </c>
      <c r="P2436" t="s">
        <v>8349</v>
      </c>
      <c r="Q2436" t="s">
        <v>41</v>
      </c>
      <c r="R2436" t="s">
        <v>8350</v>
      </c>
      <c r="S2436" t="b">
        <v>1</v>
      </c>
      <c r="T2436" t="b">
        <v>1</v>
      </c>
      <c r="U2436" t="b">
        <v>1</v>
      </c>
      <c r="V2436" t="b">
        <v>1</v>
      </c>
      <c r="W2436" t="b">
        <v>1</v>
      </c>
      <c r="X2436" t="b">
        <v>1</v>
      </c>
      <c r="Y2436" t="b">
        <v>1</v>
      </c>
      <c r="Z2436" t="b">
        <v>1</v>
      </c>
      <c r="AA2436" t="b">
        <v>1</v>
      </c>
      <c r="AB2436" t="b">
        <v>1</v>
      </c>
      <c r="AC2436" t="b">
        <v>1</v>
      </c>
      <c r="AD2436" t="b">
        <v>1</v>
      </c>
      <c r="AE2436" t="b">
        <v>1</v>
      </c>
      <c r="AF2436" t="b">
        <v>1</v>
      </c>
      <c r="AG2436" t="b">
        <v>1</v>
      </c>
    </row>
    <row r="2437" spans="1:33" x14ac:dyDescent="0.25">
      <c r="A2437" t="s">
        <v>33</v>
      </c>
      <c r="B2437">
        <v>15</v>
      </c>
      <c r="C2437" t="b">
        <v>1</v>
      </c>
      <c r="D2437" t="s">
        <v>7968</v>
      </c>
      <c r="E2437" t="s">
        <v>8346</v>
      </c>
      <c r="F2437" t="s">
        <v>8351</v>
      </c>
      <c r="G2437" t="s">
        <v>8352</v>
      </c>
      <c r="H2437">
        <v>2436</v>
      </c>
      <c r="I2437" t="str">
        <f>IF(ISBLANK(Table1[[#This Row],[oid]]),"FALSE","TRUE")</f>
        <v>TRUE</v>
      </c>
      <c r="J2437" t="str" cm="1">
        <f t="array" ref="J2437">_xlfn.SWITCH(LEFT(Table1[[#This Row],[section]],1), "D", "Demographic", "S", "Social", "E", "Economic", "H", "Housing", "")</f>
        <v>Housing</v>
      </c>
      <c r="K2437" t="s">
        <v>8298</v>
      </c>
      <c r="L2437" t="s">
        <v>8299</v>
      </c>
      <c r="M2437" t="str">
        <f>IF(Table1[[#This Row],[used]], _xlfn.CONCAT("🆔 ", Table1[[#This Row],[variable]], ": ",Table1[[#This Row],[alias]]), "")</f>
        <v>🆔 B25003E_002E: Owner occupied: Native Hawaiian and Other Pacific Islander householder</v>
      </c>
      <c r="O2437" t="s">
        <v>7992</v>
      </c>
      <c r="P2437" t="s">
        <v>8349</v>
      </c>
      <c r="Q2437" t="s">
        <v>41</v>
      </c>
      <c r="R2437" t="s">
        <v>8353</v>
      </c>
      <c r="S2437" t="b">
        <v>1</v>
      </c>
      <c r="T2437" t="b">
        <v>1</v>
      </c>
      <c r="U2437" t="b">
        <v>1</v>
      </c>
      <c r="V2437" t="b">
        <v>1</v>
      </c>
      <c r="W2437" t="b">
        <v>1</v>
      </c>
      <c r="X2437" t="b">
        <v>1</v>
      </c>
      <c r="Y2437" t="b">
        <v>1</v>
      </c>
      <c r="Z2437" t="b">
        <v>1</v>
      </c>
      <c r="AA2437" t="b">
        <v>1</v>
      </c>
      <c r="AB2437" t="b">
        <v>1</v>
      </c>
      <c r="AC2437" t="b">
        <v>1</v>
      </c>
      <c r="AD2437" t="b">
        <v>1</v>
      </c>
      <c r="AE2437" t="b">
        <v>1</v>
      </c>
      <c r="AF2437" t="b">
        <v>1</v>
      </c>
      <c r="AG2437" t="b">
        <v>1</v>
      </c>
    </row>
    <row r="2438" spans="1:33" x14ac:dyDescent="0.25">
      <c r="A2438" t="s">
        <v>33</v>
      </c>
      <c r="B2438">
        <v>15</v>
      </c>
      <c r="C2438" t="b">
        <v>1</v>
      </c>
      <c r="D2438" t="s">
        <v>7968</v>
      </c>
      <c r="E2438" t="s">
        <v>8346</v>
      </c>
      <c r="F2438" t="s">
        <v>8354</v>
      </c>
      <c r="G2438" t="s">
        <v>8355</v>
      </c>
      <c r="H2438">
        <v>2437</v>
      </c>
      <c r="I2438" t="str">
        <f>IF(ISBLANK(Table1[[#This Row],[oid]]),"FALSE","TRUE")</f>
        <v>TRUE</v>
      </c>
      <c r="J2438" t="str" cm="1">
        <f t="array" ref="J2438">_xlfn.SWITCH(LEFT(Table1[[#This Row],[section]],1), "D", "Demographic", "S", "Social", "E", "Economic", "H", "Housing", "")</f>
        <v>Housing</v>
      </c>
      <c r="K2438" t="s">
        <v>8298</v>
      </c>
      <c r="L2438" t="s">
        <v>8299</v>
      </c>
      <c r="M2438" t="str">
        <f>IF(Table1[[#This Row],[used]], _xlfn.CONCAT("🆔 ", Table1[[#This Row],[variable]], ": ",Table1[[#This Row],[alias]]), "")</f>
        <v>🆔 B25003E_003E: Renter occupied: Native Hawaiian and Other Pacific Islander householder</v>
      </c>
      <c r="O2438" t="s">
        <v>7996</v>
      </c>
      <c r="P2438" t="s">
        <v>8349</v>
      </c>
      <c r="Q2438" t="s">
        <v>41</v>
      </c>
      <c r="R2438" t="s">
        <v>8356</v>
      </c>
      <c r="S2438" t="b">
        <v>1</v>
      </c>
      <c r="T2438" t="b">
        <v>1</v>
      </c>
      <c r="U2438" t="b">
        <v>1</v>
      </c>
      <c r="V2438" t="b">
        <v>1</v>
      </c>
      <c r="W2438" t="b">
        <v>1</v>
      </c>
      <c r="X2438" t="b">
        <v>1</v>
      </c>
      <c r="Y2438" t="b">
        <v>1</v>
      </c>
      <c r="Z2438" t="b">
        <v>1</v>
      </c>
      <c r="AA2438" t="b">
        <v>1</v>
      </c>
      <c r="AB2438" t="b">
        <v>1</v>
      </c>
      <c r="AC2438" t="b">
        <v>1</v>
      </c>
      <c r="AD2438" t="b">
        <v>1</v>
      </c>
      <c r="AE2438" t="b">
        <v>1</v>
      </c>
      <c r="AF2438" t="b">
        <v>1</v>
      </c>
      <c r="AG2438" t="b">
        <v>1</v>
      </c>
    </row>
    <row r="2439" spans="1:33" x14ac:dyDescent="0.25">
      <c r="A2439" t="s">
        <v>33</v>
      </c>
      <c r="B2439">
        <v>15</v>
      </c>
      <c r="C2439" t="b">
        <v>1</v>
      </c>
      <c r="D2439" t="s">
        <v>7968</v>
      </c>
      <c r="E2439" t="s">
        <v>8357</v>
      </c>
      <c r="F2439" t="s">
        <v>8358</v>
      </c>
      <c r="G2439" t="s">
        <v>8359</v>
      </c>
      <c r="H2439">
        <v>2438</v>
      </c>
      <c r="I2439" t="str">
        <f>IF(ISBLANK(Table1[[#This Row],[oid]]),"FALSE","TRUE")</f>
        <v>TRUE</v>
      </c>
      <c r="J2439" t="str" cm="1">
        <f t="array" ref="J2439">_xlfn.SWITCH(LEFT(Table1[[#This Row],[section]],1), "D", "Demographic", "S", "Social", "E", "Economic", "H", "Housing", "")</f>
        <v>Housing</v>
      </c>
      <c r="K2439" t="s">
        <v>8298</v>
      </c>
      <c r="L2439" t="s">
        <v>8299</v>
      </c>
      <c r="M2439" t="str">
        <f>IF(Table1[[#This Row],[used]], _xlfn.CONCAT("🆔 ", Table1[[#This Row],[variable]], ": ",Table1[[#This Row],[alias]]), "")</f>
        <v>🆔 B25003F_001E: Occupied housing units: Some Other Race alone householder</v>
      </c>
      <c r="O2439" t="s">
        <v>39</v>
      </c>
      <c r="P2439" t="s">
        <v>8360</v>
      </c>
      <c r="Q2439" t="s">
        <v>41</v>
      </c>
      <c r="R2439" t="s">
        <v>8361</v>
      </c>
      <c r="S2439" t="b">
        <v>1</v>
      </c>
      <c r="T2439" t="b">
        <v>1</v>
      </c>
      <c r="U2439" t="b">
        <v>1</v>
      </c>
      <c r="V2439" t="b">
        <v>1</v>
      </c>
      <c r="W2439" t="b">
        <v>1</v>
      </c>
      <c r="X2439" t="b">
        <v>1</v>
      </c>
      <c r="Y2439" t="b">
        <v>1</v>
      </c>
      <c r="Z2439" t="b">
        <v>1</v>
      </c>
      <c r="AA2439" t="b">
        <v>1</v>
      </c>
      <c r="AB2439" t="b">
        <v>1</v>
      </c>
      <c r="AC2439" t="b">
        <v>1</v>
      </c>
      <c r="AD2439" t="b">
        <v>1</v>
      </c>
      <c r="AE2439" t="b">
        <v>1</v>
      </c>
      <c r="AF2439" t="b">
        <v>1</v>
      </c>
      <c r="AG2439" t="b">
        <v>1</v>
      </c>
    </row>
    <row r="2440" spans="1:33" x14ac:dyDescent="0.25">
      <c r="A2440" t="s">
        <v>33</v>
      </c>
      <c r="B2440">
        <v>15</v>
      </c>
      <c r="C2440" t="b">
        <v>1</v>
      </c>
      <c r="D2440" t="s">
        <v>7968</v>
      </c>
      <c r="E2440" t="s">
        <v>8357</v>
      </c>
      <c r="F2440" t="s">
        <v>8362</v>
      </c>
      <c r="G2440" t="s">
        <v>8363</v>
      </c>
      <c r="H2440">
        <v>2439</v>
      </c>
      <c r="I2440" t="str">
        <f>IF(ISBLANK(Table1[[#This Row],[oid]]),"FALSE","TRUE")</f>
        <v>TRUE</v>
      </c>
      <c r="J2440" t="str" cm="1">
        <f t="array" ref="J2440">_xlfn.SWITCH(LEFT(Table1[[#This Row],[section]],1), "D", "Demographic", "S", "Social", "E", "Economic", "H", "Housing", "")</f>
        <v>Housing</v>
      </c>
      <c r="K2440" t="s">
        <v>8298</v>
      </c>
      <c r="L2440" t="s">
        <v>8299</v>
      </c>
      <c r="M2440" t="str">
        <f>IF(Table1[[#This Row],[used]], _xlfn.CONCAT("🆔 ", Table1[[#This Row],[variable]], ": ",Table1[[#This Row],[alias]]), "")</f>
        <v>🆔 B25003F_002E: Owner occupied: Some Other Race alone householder</v>
      </c>
      <c r="O2440" t="s">
        <v>7992</v>
      </c>
      <c r="P2440" t="s">
        <v>8360</v>
      </c>
      <c r="Q2440" t="s">
        <v>41</v>
      </c>
      <c r="R2440" t="s">
        <v>8364</v>
      </c>
      <c r="S2440" t="b">
        <v>1</v>
      </c>
      <c r="T2440" t="b">
        <v>1</v>
      </c>
      <c r="U2440" t="b">
        <v>1</v>
      </c>
      <c r="V2440" t="b">
        <v>1</v>
      </c>
      <c r="W2440" t="b">
        <v>1</v>
      </c>
      <c r="X2440" t="b">
        <v>1</v>
      </c>
      <c r="Y2440" t="b">
        <v>1</v>
      </c>
      <c r="Z2440" t="b">
        <v>1</v>
      </c>
      <c r="AA2440" t="b">
        <v>1</v>
      </c>
      <c r="AB2440" t="b">
        <v>1</v>
      </c>
      <c r="AC2440" t="b">
        <v>1</v>
      </c>
      <c r="AD2440" t="b">
        <v>1</v>
      </c>
      <c r="AE2440" t="b">
        <v>1</v>
      </c>
      <c r="AF2440" t="b">
        <v>1</v>
      </c>
      <c r="AG2440" t="b">
        <v>1</v>
      </c>
    </row>
    <row r="2441" spans="1:33" x14ac:dyDescent="0.25">
      <c r="A2441" t="s">
        <v>33</v>
      </c>
      <c r="B2441">
        <v>15</v>
      </c>
      <c r="C2441" t="b">
        <v>1</v>
      </c>
      <c r="D2441" t="s">
        <v>7968</v>
      </c>
      <c r="E2441" t="s">
        <v>8357</v>
      </c>
      <c r="F2441" t="s">
        <v>8365</v>
      </c>
      <c r="G2441" t="s">
        <v>8366</v>
      </c>
      <c r="H2441">
        <v>2440</v>
      </c>
      <c r="I2441" t="str">
        <f>IF(ISBLANK(Table1[[#This Row],[oid]]),"FALSE","TRUE")</f>
        <v>TRUE</v>
      </c>
      <c r="J2441" t="str" cm="1">
        <f t="array" ref="J2441">_xlfn.SWITCH(LEFT(Table1[[#This Row],[section]],1), "D", "Demographic", "S", "Social", "E", "Economic", "H", "Housing", "")</f>
        <v>Housing</v>
      </c>
      <c r="K2441" t="s">
        <v>8298</v>
      </c>
      <c r="L2441" t="s">
        <v>8299</v>
      </c>
      <c r="M2441" t="str">
        <f>IF(Table1[[#This Row],[used]], _xlfn.CONCAT("🆔 ", Table1[[#This Row],[variable]], ": ",Table1[[#This Row],[alias]]), "")</f>
        <v>🆔 B25003F_003E: Renter occupied: Some Other Race alone householder</v>
      </c>
      <c r="O2441" t="s">
        <v>7996</v>
      </c>
      <c r="P2441" t="s">
        <v>8360</v>
      </c>
      <c r="Q2441" t="s">
        <v>41</v>
      </c>
      <c r="R2441" t="s">
        <v>8367</v>
      </c>
      <c r="S2441" t="b">
        <v>1</v>
      </c>
      <c r="T2441" t="b">
        <v>1</v>
      </c>
      <c r="U2441" t="b">
        <v>1</v>
      </c>
      <c r="V2441" t="b">
        <v>1</v>
      </c>
      <c r="W2441" t="b">
        <v>1</v>
      </c>
      <c r="X2441" t="b">
        <v>1</v>
      </c>
      <c r="Y2441" t="b">
        <v>1</v>
      </c>
      <c r="Z2441" t="b">
        <v>1</v>
      </c>
      <c r="AA2441" t="b">
        <v>1</v>
      </c>
      <c r="AB2441" t="b">
        <v>1</v>
      </c>
      <c r="AC2441" t="b">
        <v>1</v>
      </c>
      <c r="AD2441" t="b">
        <v>1</v>
      </c>
      <c r="AE2441" t="b">
        <v>1</v>
      </c>
      <c r="AF2441" t="b">
        <v>1</v>
      </c>
      <c r="AG2441" t="b">
        <v>1</v>
      </c>
    </row>
    <row r="2442" spans="1:33" x14ac:dyDescent="0.25">
      <c r="A2442" t="s">
        <v>33</v>
      </c>
      <c r="B2442">
        <v>15</v>
      </c>
      <c r="C2442" t="b">
        <v>1</v>
      </c>
      <c r="D2442" t="s">
        <v>7968</v>
      </c>
      <c r="E2442" t="s">
        <v>8368</v>
      </c>
      <c r="F2442" t="s">
        <v>8369</v>
      </c>
      <c r="G2442" t="s">
        <v>8370</v>
      </c>
      <c r="H2442">
        <v>2441</v>
      </c>
      <c r="I2442" t="str">
        <f>IF(ISBLANK(Table1[[#This Row],[oid]]),"FALSE","TRUE")</f>
        <v>TRUE</v>
      </c>
      <c r="J2442" t="str" cm="1">
        <f t="array" ref="J2442">_xlfn.SWITCH(LEFT(Table1[[#This Row],[section]],1), "D", "Demographic", "S", "Social", "E", "Economic", "H", "Housing", "")</f>
        <v>Housing</v>
      </c>
      <c r="K2442" t="s">
        <v>8298</v>
      </c>
      <c r="L2442" t="s">
        <v>8299</v>
      </c>
      <c r="M2442" t="str">
        <f>IF(Table1[[#This Row],[used]], _xlfn.CONCAT("🆔 ", Table1[[#This Row],[variable]], ": ",Table1[[#This Row],[alias]]), "")</f>
        <v>🆔 B25003G_001E: Occupied housing units: Two or More Races householder</v>
      </c>
      <c r="O2442" t="s">
        <v>39</v>
      </c>
      <c r="P2442" t="s">
        <v>8371</v>
      </c>
      <c r="Q2442" t="s">
        <v>41</v>
      </c>
      <c r="R2442" t="s">
        <v>8372</v>
      </c>
      <c r="S2442" t="b">
        <v>1</v>
      </c>
      <c r="T2442" t="b">
        <v>1</v>
      </c>
      <c r="U2442" t="b">
        <v>1</v>
      </c>
      <c r="V2442" t="b">
        <v>1</v>
      </c>
      <c r="W2442" t="b">
        <v>1</v>
      </c>
      <c r="X2442" t="b">
        <v>1</v>
      </c>
      <c r="Y2442" t="b">
        <v>1</v>
      </c>
      <c r="Z2442" t="b">
        <v>1</v>
      </c>
      <c r="AA2442" t="b">
        <v>1</v>
      </c>
      <c r="AB2442" t="b">
        <v>1</v>
      </c>
      <c r="AC2442" t="b">
        <v>1</v>
      </c>
      <c r="AD2442" t="b">
        <v>1</v>
      </c>
      <c r="AE2442" t="b">
        <v>1</v>
      </c>
      <c r="AF2442" t="b">
        <v>1</v>
      </c>
      <c r="AG2442" t="b">
        <v>1</v>
      </c>
    </row>
    <row r="2443" spans="1:33" x14ac:dyDescent="0.25">
      <c r="A2443" t="s">
        <v>33</v>
      </c>
      <c r="B2443">
        <v>15</v>
      </c>
      <c r="C2443" t="b">
        <v>1</v>
      </c>
      <c r="D2443" t="s">
        <v>7968</v>
      </c>
      <c r="E2443" t="s">
        <v>8368</v>
      </c>
      <c r="F2443" t="s">
        <v>8373</v>
      </c>
      <c r="G2443" t="s">
        <v>8374</v>
      </c>
      <c r="H2443">
        <v>2442</v>
      </c>
      <c r="I2443" t="str">
        <f>IF(ISBLANK(Table1[[#This Row],[oid]]),"FALSE","TRUE")</f>
        <v>TRUE</v>
      </c>
      <c r="J2443" t="str" cm="1">
        <f t="array" ref="J2443">_xlfn.SWITCH(LEFT(Table1[[#This Row],[section]],1), "D", "Demographic", "S", "Social", "E", "Economic", "H", "Housing", "")</f>
        <v>Housing</v>
      </c>
      <c r="K2443" t="s">
        <v>8298</v>
      </c>
      <c r="L2443" t="s">
        <v>8299</v>
      </c>
      <c r="M2443" t="str">
        <f>IF(Table1[[#This Row],[used]], _xlfn.CONCAT("🆔 ", Table1[[#This Row],[variable]], ": ",Table1[[#This Row],[alias]]), "")</f>
        <v>🆔 B25003G_002E: Owner occupied: Two or More Races householder</v>
      </c>
      <c r="O2443" t="s">
        <v>7992</v>
      </c>
      <c r="P2443" t="s">
        <v>8371</v>
      </c>
      <c r="Q2443" t="s">
        <v>41</v>
      </c>
      <c r="R2443" t="s">
        <v>8375</v>
      </c>
      <c r="S2443" t="b">
        <v>1</v>
      </c>
      <c r="T2443" t="b">
        <v>1</v>
      </c>
      <c r="U2443" t="b">
        <v>1</v>
      </c>
      <c r="V2443" t="b">
        <v>1</v>
      </c>
      <c r="W2443" t="b">
        <v>1</v>
      </c>
      <c r="X2443" t="b">
        <v>1</v>
      </c>
      <c r="Y2443" t="b">
        <v>1</v>
      </c>
      <c r="Z2443" t="b">
        <v>1</v>
      </c>
      <c r="AA2443" t="b">
        <v>1</v>
      </c>
      <c r="AB2443" t="b">
        <v>1</v>
      </c>
      <c r="AC2443" t="b">
        <v>1</v>
      </c>
      <c r="AD2443" t="b">
        <v>1</v>
      </c>
      <c r="AE2443" t="b">
        <v>1</v>
      </c>
      <c r="AF2443" t="b">
        <v>1</v>
      </c>
      <c r="AG2443" t="b">
        <v>1</v>
      </c>
    </row>
    <row r="2444" spans="1:33" x14ac:dyDescent="0.25">
      <c r="A2444" t="s">
        <v>33</v>
      </c>
      <c r="B2444">
        <v>15</v>
      </c>
      <c r="C2444" t="b">
        <v>1</v>
      </c>
      <c r="D2444" t="s">
        <v>7968</v>
      </c>
      <c r="E2444" t="s">
        <v>8368</v>
      </c>
      <c r="F2444" t="s">
        <v>8376</v>
      </c>
      <c r="G2444" t="s">
        <v>8377</v>
      </c>
      <c r="H2444">
        <v>2443</v>
      </c>
      <c r="I2444" t="str">
        <f>IF(ISBLANK(Table1[[#This Row],[oid]]),"FALSE","TRUE")</f>
        <v>TRUE</v>
      </c>
      <c r="J2444" t="str" cm="1">
        <f t="array" ref="J2444">_xlfn.SWITCH(LEFT(Table1[[#This Row],[section]],1), "D", "Demographic", "S", "Social", "E", "Economic", "H", "Housing", "")</f>
        <v>Housing</v>
      </c>
      <c r="K2444" t="s">
        <v>8298</v>
      </c>
      <c r="L2444" t="s">
        <v>8299</v>
      </c>
      <c r="M2444" t="str">
        <f>IF(Table1[[#This Row],[used]], _xlfn.CONCAT("🆔 ", Table1[[#This Row],[variable]], ": ",Table1[[#This Row],[alias]]), "")</f>
        <v>🆔 B25003G_003E: Renter occupied: Two or More Races householder</v>
      </c>
      <c r="O2444" t="s">
        <v>7996</v>
      </c>
      <c r="P2444" t="s">
        <v>8371</v>
      </c>
      <c r="Q2444" t="s">
        <v>41</v>
      </c>
      <c r="R2444" t="s">
        <v>8378</v>
      </c>
      <c r="S2444" t="b">
        <v>1</v>
      </c>
      <c r="T2444" t="b">
        <v>1</v>
      </c>
      <c r="U2444" t="b">
        <v>1</v>
      </c>
      <c r="V2444" t="b">
        <v>1</v>
      </c>
      <c r="W2444" t="b">
        <v>1</v>
      </c>
      <c r="X2444" t="b">
        <v>1</v>
      </c>
      <c r="Y2444" t="b">
        <v>1</v>
      </c>
      <c r="Z2444" t="b">
        <v>1</v>
      </c>
      <c r="AA2444" t="b">
        <v>1</v>
      </c>
      <c r="AB2444" t="b">
        <v>1</v>
      </c>
      <c r="AC2444" t="b">
        <v>1</v>
      </c>
      <c r="AD2444" t="b">
        <v>1</v>
      </c>
      <c r="AE2444" t="b">
        <v>1</v>
      </c>
      <c r="AF2444" t="b">
        <v>1</v>
      </c>
      <c r="AG2444" t="b">
        <v>1</v>
      </c>
    </row>
    <row r="2445" spans="1:33" x14ac:dyDescent="0.25">
      <c r="A2445" t="s">
        <v>33</v>
      </c>
      <c r="B2445">
        <v>15</v>
      </c>
      <c r="C2445" t="b">
        <v>1</v>
      </c>
      <c r="D2445" t="s">
        <v>7968</v>
      </c>
      <c r="E2445" t="s">
        <v>8379</v>
      </c>
      <c r="F2445" t="s">
        <v>8380</v>
      </c>
      <c r="G2445" t="s">
        <v>8381</v>
      </c>
      <c r="H2445">
        <v>2444</v>
      </c>
      <c r="I2445" t="str">
        <f>IF(ISBLANK(Table1[[#This Row],[oid]]),"FALSE","TRUE")</f>
        <v>TRUE</v>
      </c>
      <c r="J2445" t="str" cm="1">
        <f t="array" ref="J2445">_xlfn.SWITCH(LEFT(Table1[[#This Row],[section]],1), "D", "Demographic", "S", "Social", "E", "Economic", "H", "Housing", "")</f>
        <v>Housing</v>
      </c>
      <c r="K2445" t="s">
        <v>8298</v>
      </c>
      <c r="L2445" t="s">
        <v>8299</v>
      </c>
      <c r="M2445" t="str">
        <f>IF(Table1[[#This Row],[used]], _xlfn.CONCAT("🆔 ", Table1[[#This Row],[variable]], ": ",Table1[[#This Row],[alias]]), "")</f>
        <v>🆔 B25003H_001E: Occupied housing units: White alone, not Hispanic or Latino householder</v>
      </c>
      <c r="O2445" t="s">
        <v>39</v>
      </c>
      <c r="P2445" t="s">
        <v>8382</v>
      </c>
      <c r="Q2445" t="s">
        <v>41</v>
      </c>
      <c r="R2445" t="s">
        <v>8383</v>
      </c>
      <c r="S2445" t="b">
        <v>1</v>
      </c>
      <c r="T2445" t="b">
        <v>1</v>
      </c>
      <c r="U2445" t="b">
        <v>1</v>
      </c>
      <c r="V2445" t="b">
        <v>1</v>
      </c>
      <c r="W2445" t="b">
        <v>1</v>
      </c>
      <c r="X2445" t="b">
        <v>1</v>
      </c>
      <c r="Y2445" t="b">
        <v>1</v>
      </c>
      <c r="Z2445" t="b">
        <v>1</v>
      </c>
      <c r="AA2445" t="b">
        <v>1</v>
      </c>
      <c r="AB2445" t="b">
        <v>1</v>
      </c>
      <c r="AC2445" t="b">
        <v>1</v>
      </c>
      <c r="AD2445" t="b">
        <v>1</v>
      </c>
      <c r="AE2445" t="b">
        <v>1</v>
      </c>
      <c r="AF2445" t="b">
        <v>1</v>
      </c>
      <c r="AG2445" t="b">
        <v>1</v>
      </c>
    </row>
    <row r="2446" spans="1:33" x14ac:dyDescent="0.25">
      <c r="A2446" t="s">
        <v>33</v>
      </c>
      <c r="B2446">
        <v>15</v>
      </c>
      <c r="C2446" t="b">
        <v>1</v>
      </c>
      <c r="D2446" t="s">
        <v>7968</v>
      </c>
      <c r="E2446" t="s">
        <v>8379</v>
      </c>
      <c r="F2446" t="s">
        <v>8384</v>
      </c>
      <c r="G2446" t="s">
        <v>8385</v>
      </c>
      <c r="H2446">
        <v>2445</v>
      </c>
      <c r="I2446" t="str">
        <f>IF(ISBLANK(Table1[[#This Row],[oid]]),"FALSE","TRUE")</f>
        <v>TRUE</v>
      </c>
      <c r="J2446" t="str" cm="1">
        <f t="array" ref="J2446">_xlfn.SWITCH(LEFT(Table1[[#This Row],[section]],1), "D", "Demographic", "S", "Social", "E", "Economic", "H", "Housing", "")</f>
        <v>Housing</v>
      </c>
      <c r="K2446" t="s">
        <v>8298</v>
      </c>
      <c r="L2446" t="s">
        <v>8299</v>
      </c>
      <c r="M2446" t="str">
        <f>IF(Table1[[#This Row],[used]], _xlfn.CONCAT("🆔 ", Table1[[#This Row],[variable]], ": ",Table1[[#This Row],[alias]]), "")</f>
        <v>🆔 B25003H_002E: Owner occupied: White alone, not Hispanic or Latino householder</v>
      </c>
      <c r="O2446" t="s">
        <v>7992</v>
      </c>
      <c r="P2446" t="s">
        <v>8382</v>
      </c>
      <c r="Q2446" t="s">
        <v>41</v>
      </c>
      <c r="R2446" t="s">
        <v>8386</v>
      </c>
      <c r="S2446" t="b">
        <v>1</v>
      </c>
      <c r="T2446" t="b">
        <v>1</v>
      </c>
      <c r="U2446" t="b">
        <v>1</v>
      </c>
      <c r="V2446" t="b">
        <v>1</v>
      </c>
      <c r="W2446" t="b">
        <v>1</v>
      </c>
      <c r="X2446" t="b">
        <v>1</v>
      </c>
      <c r="Y2446" t="b">
        <v>1</v>
      </c>
      <c r="Z2446" t="b">
        <v>1</v>
      </c>
      <c r="AA2446" t="b">
        <v>1</v>
      </c>
      <c r="AB2446" t="b">
        <v>1</v>
      </c>
      <c r="AC2446" t="b">
        <v>1</v>
      </c>
      <c r="AD2446" t="b">
        <v>1</v>
      </c>
      <c r="AE2446" t="b">
        <v>1</v>
      </c>
      <c r="AF2446" t="b">
        <v>1</v>
      </c>
      <c r="AG2446" t="b">
        <v>1</v>
      </c>
    </row>
    <row r="2447" spans="1:33" x14ac:dyDescent="0.25">
      <c r="A2447" t="s">
        <v>33</v>
      </c>
      <c r="B2447">
        <v>15</v>
      </c>
      <c r="C2447" t="b">
        <v>1</v>
      </c>
      <c r="D2447" t="s">
        <v>7968</v>
      </c>
      <c r="E2447" t="s">
        <v>8379</v>
      </c>
      <c r="F2447" t="s">
        <v>8387</v>
      </c>
      <c r="G2447" t="s">
        <v>8388</v>
      </c>
      <c r="H2447">
        <v>2446</v>
      </c>
      <c r="I2447" t="str">
        <f>IF(ISBLANK(Table1[[#This Row],[oid]]),"FALSE","TRUE")</f>
        <v>TRUE</v>
      </c>
      <c r="J2447" t="str" cm="1">
        <f t="array" ref="J2447">_xlfn.SWITCH(LEFT(Table1[[#This Row],[section]],1), "D", "Demographic", "S", "Social", "E", "Economic", "H", "Housing", "")</f>
        <v>Housing</v>
      </c>
      <c r="K2447" t="s">
        <v>8298</v>
      </c>
      <c r="L2447" t="s">
        <v>8299</v>
      </c>
      <c r="M2447" t="str">
        <f>IF(Table1[[#This Row],[used]], _xlfn.CONCAT("🆔 ", Table1[[#This Row],[variable]], ": ",Table1[[#This Row],[alias]]), "")</f>
        <v>🆔 B25003H_003E: Renter occupied: White alone, not Hispanic or Latino householder</v>
      </c>
      <c r="O2447" t="s">
        <v>7996</v>
      </c>
      <c r="P2447" t="s">
        <v>8382</v>
      </c>
      <c r="Q2447" t="s">
        <v>41</v>
      </c>
      <c r="R2447" t="s">
        <v>8389</v>
      </c>
      <c r="S2447" t="b">
        <v>1</v>
      </c>
      <c r="T2447" t="b">
        <v>1</v>
      </c>
      <c r="U2447" t="b">
        <v>1</v>
      </c>
      <c r="V2447" t="b">
        <v>1</v>
      </c>
      <c r="W2447" t="b">
        <v>1</v>
      </c>
      <c r="X2447" t="b">
        <v>1</v>
      </c>
      <c r="Y2447" t="b">
        <v>1</v>
      </c>
      <c r="Z2447" t="b">
        <v>1</v>
      </c>
      <c r="AA2447" t="b">
        <v>1</v>
      </c>
      <c r="AB2447" t="b">
        <v>1</v>
      </c>
      <c r="AC2447" t="b">
        <v>1</v>
      </c>
      <c r="AD2447" t="b">
        <v>1</v>
      </c>
      <c r="AE2447" t="b">
        <v>1</v>
      </c>
      <c r="AF2447" t="b">
        <v>1</v>
      </c>
      <c r="AG2447" t="b">
        <v>1</v>
      </c>
    </row>
    <row r="2448" spans="1:33" x14ac:dyDescent="0.25">
      <c r="A2448" t="s">
        <v>33</v>
      </c>
      <c r="B2448">
        <v>15</v>
      </c>
      <c r="C2448" t="b">
        <v>1</v>
      </c>
      <c r="D2448" t="s">
        <v>7968</v>
      </c>
      <c r="E2448" t="s">
        <v>8390</v>
      </c>
      <c r="F2448" t="s">
        <v>8391</v>
      </c>
      <c r="G2448" t="s">
        <v>8392</v>
      </c>
      <c r="H2448">
        <v>2447</v>
      </c>
      <c r="I2448" t="str">
        <f>IF(ISBLANK(Table1[[#This Row],[oid]]),"FALSE","TRUE")</f>
        <v>TRUE</v>
      </c>
      <c r="J2448" t="str" cm="1">
        <f t="array" ref="J2448">_xlfn.SWITCH(LEFT(Table1[[#This Row],[section]],1), "D", "Demographic", "S", "Social", "E", "Economic", "H", "Housing", "")</f>
        <v>Housing</v>
      </c>
      <c r="K2448" t="s">
        <v>8298</v>
      </c>
      <c r="L2448" t="s">
        <v>8299</v>
      </c>
      <c r="M2448" t="str">
        <f>IF(Table1[[#This Row],[used]], _xlfn.CONCAT("🆔 ", Table1[[#This Row],[variable]], ": ",Table1[[#This Row],[alias]]), "")</f>
        <v>🆔 B25003I_001E: Occuped housing units: Hispanic or Latino householder</v>
      </c>
      <c r="O2448" t="s">
        <v>39</v>
      </c>
      <c r="P2448" t="s">
        <v>8393</v>
      </c>
      <c r="Q2448" t="s">
        <v>41</v>
      </c>
      <c r="R2448" t="s">
        <v>8394</v>
      </c>
      <c r="S2448" t="b">
        <v>1</v>
      </c>
      <c r="T2448" t="b">
        <v>1</v>
      </c>
      <c r="U2448" t="b">
        <v>1</v>
      </c>
      <c r="V2448" t="b">
        <v>1</v>
      </c>
      <c r="W2448" t="b">
        <v>1</v>
      </c>
      <c r="X2448" t="b">
        <v>1</v>
      </c>
      <c r="Y2448" t="b">
        <v>1</v>
      </c>
      <c r="Z2448" t="b">
        <v>1</v>
      </c>
      <c r="AA2448" t="b">
        <v>1</v>
      </c>
      <c r="AB2448" t="b">
        <v>1</v>
      </c>
      <c r="AC2448" t="b">
        <v>1</v>
      </c>
      <c r="AD2448" t="b">
        <v>1</v>
      </c>
      <c r="AE2448" t="b">
        <v>1</v>
      </c>
      <c r="AF2448" t="b">
        <v>1</v>
      </c>
      <c r="AG2448" t="b">
        <v>1</v>
      </c>
    </row>
    <row r="2449" spans="1:33" x14ac:dyDescent="0.25">
      <c r="A2449" t="s">
        <v>33</v>
      </c>
      <c r="B2449">
        <v>15</v>
      </c>
      <c r="C2449" t="b">
        <v>1</v>
      </c>
      <c r="D2449" t="s">
        <v>7968</v>
      </c>
      <c r="E2449" t="s">
        <v>8390</v>
      </c>
      <c r="F2449" t="s">
        <v>8395</v>
      </c>
      <c r="G2449" t="s">
        <v>8396</v>
      </c>
      <c r="H2449">
        <v>2448</v>
      </c>
      <c r="I2449" t="str">
        <f>IF(ISBLANK(Table1[[#This Row],[oid]]),"FALSE","TRUE")</f>
        <v>TRUE</v>
      </c>
      <c r="J2449" t="str" cm="1">
        <f t="array" ref="J2449">_xlfn.SWITCH(LEFT(Table1[[#This Row],[section]],1), "D", "Demographic", "S", "Social", "E", "Economic", "H", "Housing", "")</f>
        <v>Housing</v>
      </c>
      <c r="K2449" t="s">
        <v>8298</v>
      </c>
      <c r="L2449" t="s">
        <v>8299</v>
      </c>
      <c r="M2449" t="str">
        <f>IF(Table1[[#This Row],[used]], _xlfn.CONCAT("🆔 ", Table1[[#This Row],[variable]], ": ",Table1[[#This Row],[alias]]), "")</f>
        <v>🆔 B25003I_002E: Owner occupied: Hispanic or Latino householder</v>
      </c>
      <c r="O2449" t="s">
        <v>7992</v>
      </c>
      <c r="P2449" t="s">
        <v>8393</v>
      </c>
      <c r="Q2449" t="s">
        <v>41</v>
      </c>
      <c r="R2449" t="s">
        <v>8397</v>
      </c>
      <c r="S2449" t="b">
        <v>1</v>
      </c>
      <c r="T2449" t="b">
        <v>1</v>
      </c>
      <c r="U2449" t="b">
        <v>1</v>
      </c>
      <c r="V2449" t="b">
        <v>1</v>
      </c>
      <c r="W2449" t="b">
        <v>1</v>
      </c>
      <c r="X2449" t="b">
        <v>1</v>
      </c>
      <c r="Y2449" t="b">
        <v>1</v>
      </c>
      <c r="Z2449" t="b">
        <v>1</v>
      </c>
      <c r="AA2449" t="b">
        <v>1</v>
      </c>
      <c r="AB2449" t="b">
        <v>1</v>
      </c>
      <c r="AC2449" t="b">
        <v>1</v>
      </c>
      <c r="AD2449" t="b">
        <v>1</v>
      </c>
      <c r="AE2449" t="b">
        <v>1</v>
      </c>
      <c r="AF2449" t="b">
        <v>1</v>
      </c>
      <c r="AG2449" t="b">
        <v>1</v>
      </c>
    </row>
    <row r="2450" spans="1:33" x14ac:dyDescent="0.25">
      <c r="A2450" t="s">
        <v>33</v>
      </c>
      <c r="B2450">
        <v>15</v>
      </c>
      <c r="C2450" t="b">
        <v>1</v>
      </c>
      <c r="D2450" t="s">
        <v>7968</v>
      </c>
      <c r="E2450" t="s">
        <v>8390</v>
      </c>
      <c r="F2450" t="s">
        <v>8398</v>
      </c>
      <c r="G2450" t="s">
        <v>8399</v>
      </c>
      <c r="H2450">
        <v>2449</v>
      </c>
      <c r="I2450" t="str">
        <f>IF(ISBLANK(Table1[[#This Row],[oid]]),"FALSE","TRUE")</f>
        <v>TRUE</v>
      </c>
      <c r="J2450" t="str" cm="1">
        <f t="array" ref="J2450">_xlfn.SWITCH(LEFT(Table1[[#This Row],[section]],1), "D", "Demographic", "S", "Social", "E", "Economic", "H", "Housing", "")</f>
        <v>Housing</v>
      </c>
      <c r="K2450" t="s">
        <v>8298</v>
      </c>
      <c r="L2450" t="s">
        <v>8299</v>
      </c>
      <c r="M2450" t="str">
        <f>IF(Table1[[#This Row],[used]], _xlfn.CONCAT("🆔 ", Table1[[#This Row],[variable]], ": ",Table1[[#This Row],[alias]]), "")</f>
        <v>🆔 B25003I_003E: Renter occupied: Hispanic or Latino householder</v>
      </c>
      <c r="O2450" t="s">
        <v>7996</v>
      </c>
      <c r="P2450" t="s">
        <v>8393</v>
      </c>
      <c r="Q2450" t="s">
        <v>41</v>
      </c>
      <c r="R2450" t="s">
        <v>8400</v>
      </c>
      <c r="S2450" t="b">
        <v>1</v>
      </c>
      <c r="T2450" t="b">
        <v>1</v>
      </c>
      <c r="U2450" t="b">
        <v>1</v>
      </c>
      <c r="V2450" t="b">
        <v>1</v>
      </c>
      <c r="W2450" t="b">
        <v>1</v>
      </c>
      <c r="X2450" t="b">
        <v>1</v>
      </c>
      <c r="Y2450" t="b">
        <v>1</v>
      </c>
      <c r="Z2450" t="b">
        <v>1</v>
      </c>
      <c r="AA2450" t="b">
        <v>1</v>
      </c>
      <c r="AB2450" t="b">
        <v>1</v>
      </c>
      <c r="AC2450" t="b">
        <v>1</v>
      </c>
      <c r="AD2450" t="b">
        <v>1</v>
      </c>
      <c r="AE2450" t="b">
        <v>1</v>
      </c>
      <c r="AF2450" t="b">
        <v>1</v>
      </c>
      <c r="AG2450" t="b">
        <v>1</v>
      </c>
    </row>
    <row r="2451" spans="1:33" x14ac:dyDescent="0.25">
      <c r="A2451" t="s">
        <v>33</v>
      </c>
      <c r="B2451">
        <v>15</v>
      </c>
      <c r="C2451" t="b">
        <v>1</v>
      </c>
      <c r="D2451" t="s">
        <v>7968</v>
      </c>
      <c r="E2451" t="s">
        <v>8401</v>
      </c>
      <c r="F2451" t="s">
        <v>8402</v>
      </c>
      <c r="G2451" t="s">
        <v>8297</v>
      </c>
      <c r="H2451">
        <v>2450</v>
      </c>
      <c r="I2451" t="str">
        <f>IF(ISBLANK(Table1[[#This Row],[oid]]),"FALSE","TRUE")</f>
        <v>TRUE</v>
      </c>
      <c r="J2451" t="str" cm="1">
        <f t="array" ref="J2451">_xlfn.SWITCH(LEFT(Table1[[#This Row],[section]],1), "D", "Demographic", "S", "Social", "E", "Economic", "H", "Housing", "")</f>
        <v>Housing</v>
      </c>
      <c r="K2451" t="s">
        <v>8403</v>
      </c>
      <c r="L2451" t="s">
        <v>8404</v>
      </c>
      <c r="M2451" t="str">
        <f>IF(Table1[[#This Row],[used]], _xlfn.CONCAT("🆔 ", Table1[[#This Row],[variable]], ": ",Table1[[#This Row],[alias]]), "")</f>
        <v>🆔 B25007_001E: Occupied housing units</v>
      </c>
      <c r="O2451" t="s">
        <v>39</v>
      </c>
      <c r="P2451" t="s">
        <v>8405</v>
      </c>
      <c r="Q2451" t="s">
        <v>41</v>
      </c>
      <c r="R2451" t="s">
        <v>8406</v>
      </c>
      <c r="S2451" t="b">
        <v>1</v>
      </c>
      <c r="T2451" t="b">
        <v>1</v>
      </c>
      <c r="U2451" t="b">
        <v>1</v>
      </c>
      <c r="V2451" t="b">
        <v>1</v>
      </c>
      <c r="W2451" t="b">
        <v>1</v>
      </c>
      <c r="X2451" t="b">
        <v>1</v>
      </c>
      <c r="Y2451" t="b">
        <v>1</v>
      </c>
      <c r="Z2451" t="b">
        <v>1</v>
      </c>
      <c r="AA2451" t="b">
        <v>1</v>
      </c>
      <c r="AB2451" t="b">
        <v>1</v>
      </c>
      <c r="AC2451" t="b">
        <v>1</v>
      </c>
      <c r="AD2451" t="b">
        <v>1</v>
      </c>
      <c r="AE2451" t="b">
        <v>1</v>
      </c>
      <c r="AF2451" t="b">
        <v>1</v>
      </c>
      <c r="AG2451" t="b">
        <v>1</v>
      </c>
    </row>
    <row r="2452" spans="1:33" x14ac:dyDescent="0.25">
      <c r="A2452" t="s">
        <v>33</v>
      </c>
      <c r="B2452">
        <v>15</v>
      </c>
      <c r="C2452" t="b">
        <v>1</v>
      </c>
      <c r="D2452" t="s">
        <v>7968</v>
      </c>
      <c r="E2452" t="s">
        <v>8401</v>
      </c>
      <c r="F2452" t="s">
        <v>8407</v>
      </c>
      <c r="G2452" t="s">
        <v>7991</v>
      </c>
      <c r="H2452">
        <v>2451</v>
      </c>
      <c r="I2452" t="str">
        <f>IF(ISBLANK(Table1[[#This Row],[oid]]),"FALSE","TRUE")</f>
        <v>TRUE</v>
      </c>
      <c r="J2452" t="str" cm="1">
        <f t="array" ref="J2452">_xlfn.SWITCH(LEFT(Table1[[#This Row],[section]],1), "D", "Demographic", "S", "Social", "E", "Economic", "H", "Housing", "")</f>
        <v>Housing</v>
      </c>
      <c r="K2452" t="s">
        <v>8403</v>
      </c>
      <c r="L2452" t="s">
        <v>8404</v>
      </c>
      <c r="M2452" t="str">
        <f>IF(Table1[[#This Row],[used]], _xlfn.CONCAT("🆔 ", Table1[[#This Row],[variable]], ": ",Table1[[#This Row],[alias]]), "")</f>
        <v>🆔 B25007_002E: Owner occupied</v>
      </c>
      <c r="O2452" t="s">
        <v>7992</v>
      </c>
      <c r="P2452" t="s">
        <v>8405</v>
      </c>
      <c r="Q2452" t="s">
        <v>41</v>
      </c>
      <c r="R2452" t="s">
        <v>8408</v>
      </c>
      <c r="S2452" t="b">
        <v>1</v>
      </c>
      <c r="T2452" t="b">
        <v>1</v>
      </c>
      <c r="U2452" t="b">
        <v>1</v>
      </c>
      <c r="V2452" t="b">
        <v>1</v>
      </c>
      <c r="W2452" t="b">
        <v>1</v>
      </c>
      <c r="X2452" t="b">
        <v>1</v>
      </c>
      <c r="Y2452" t="b">
        <v>1</v>
      </c>
      <c r="Z2452" t="b">
        <v>1</v>
      </c>
      <c r="AA2452" t="b">
        <v>1</v>
      </c>
      <c r="AB2452" t="b">
        <v>1</v>
      </c>
      <c r="AC2452" t="b">
        <v>1</v>
      </c>
      <c r="AD2452" t="b">
        <v>1</v>
      </c>
      <c r="AE2452" t="b">
        <v>1</v>
      </c>
      <c r="AF2452" t="b">
        <v>1</v>
      </c>
      <c r="AG2452" t="b">
        <v>1</v>
      </c>
    </row>
    <row r="2453" spans="1:33" x14ac:dyDescent="0.25">
      <c r="A2453" t="s">
        <v>33</v>
      </c>
      <c r="B2453">
        <v>15</v>
      </c>
      <c r="C2453" t="b">
        <v>1</v>
      </c>
      <c r="D2453" t="s">
        <v>7968</v>
      </c>
      <c r="E2453" t="s">
        <v>8401</v>
      </c>
      <c r="F2453" t="s">
        <v>8409</v>
      </c>
      <c r="G2453" t="s">
        <v>8410</v>
      </c>
      <c r="H2453">
        <v>2452</v>
      </c>
      <c r="I2453" t="str">
        <f>IF(ISBLANK(Table1[[#This Row],[oid]]),"FALSE","TRUE")</f>
        <v>TRUE</v>
      </c>
      <c r="J2453" t="str" cm="1">
        <f t="array" ref="J2453">_xlfn.SWITCH(LEFT(Table1[[#This Row],[section]],1), "D", "Demographic", "S", "Social", "E", "Economic", "H", "Housing", "")</f>
        <v>Housing</v>
      </c>
      <c r="K2453" t="s">
        <v>8403</v>
      </c>
      <c r="L2453" t="s">
        <v>8404</v>
      </c>
      <c r="M2453" t="str">
        <f>IF(Table1[[#This Row],[used]], _xlfn.CONCAT("🆔 ", Table1[[#This Row],[variable]], ": ",Table1[[#This Row],[alias]]), "")</f>
        <v>🆔 B25007_003E: Owner occupied: Householder 15 to 24 years</v>
      </c>
      <c r="O2453" t="s">
        <v>8411</v>
      </c>
      <c r="P2453" t="s">
        <v>8405</v>
      </c>
      <c r="Q2453" t="s">
        <v>41</v>
      </c>
      <c r="R2453" t="s">
        <v>8412</v>
      </c>
      <c r="S2453" t="b">
        <v>1</v>
      </c>
      <c r="T2453" t="b">
        <v>1</v>
      </c>
      <c r="U2453" t="b">
        <v>1</v>
      </c>
      <c r="V2453" t="b">
        <v>1</v>
      </c>
      <c r="W2453" t="b">
        <v>1</v>
      </c>
      <c r="X2453" t="b">
        <v>1</v>
      </c>
      <c r="Y2453" t="b">
        <v>1</v>
      </c>
      <c r="Z2453" t="b">
        <v>1</v>
      </c>
      <c r="AA2453" t="b">
        <v>1</v>
      </c>
      <c r="AB2453" t="b">
        <v>1</v>
      </c>
      <c r="AC2453" t="b">
        <v>1</v>
      </c>
      <c r="AD2453" t="b">
        <v>1</v>
      </c>
      <c r="AE2453" t="b">
        <v>1</v>
      </c>
      <c r="AF2453" t="b">
        <v>1</v>
      </c>
      <c r="AG2453" t="b">
        <v>1</v>
      </c>
    </row>
    <row r="2454" spans="1:33" x14ac:dyDescent="0.25">
      <c r="A2454" t="s">
        <v>33</v>
      </c>
      <c r="B2454">
        <v>15</v>
      </c>
      <c r="C2454" t="b">
        <v>1</v>
      </c>
      <c r="D2454" t="s">
        <v>7968</v>
      </c>
      <c r="E2454" t="s">
        <v>8401</v>
      </c>
      <c r="F2454" t="s">
        <v>8413</v>
      </c>
      <c r="G2454" t="s">
        <v>8414</v>
      </c>
      <c r="H2454">
        <v>2453</v>
      </c>
      <c r="I2454" t="str">
        <f>IF(ISBLANK(Table1[[#This Row],[oid]]),"FALSE","TRUE")</f>
        <v>TRUE</v>
      </c>
      <c r="J2454" t="str" cm="1">
        <f t="array" ref="J2454">_xlfn.SWITCH(LEFT(Table1[[#This Row],[section]],1), "D", "Demographic", "S", "Social", "E", "Economic", "H", "Housing", "")</f>
        <v>Housing</v>
      </c>
      <c r="K2454" t="s">
        <v>8403</v>
      </c>
      <c r="L2454" t="s">
        <v>8404</v>
      </c>
      <c r="M2454" t="str">
        <f>IF(Table1[[#This Row],[used]], _xlfn.CONCAT("🆔 ", Table1[[#This Row],[variable]], ": ",Table1[[#This Row],[alias]]), "")</f>
        <v>🆔 B25007_004E: Owner occupied: Householder 25 to 34 years</v>
      </c>
      <c r="O2454" t="s">
        <v>8415</v>
      </c>
      <c r="P2454" t="s">
        <v>8405</v>
      </c>
      <c r="Q2454" t="s">
        <v>41</v>
      </c>
      <c r="R2454" t="s">
        <v>8416</v>
      </c>
      <c r="S2454" t="b">
        <v>1</v>
      </c>
      <c r="T2454" t="b">
        <v>1</v>
      </c>
      <c r="U2454" t="b">
        <v>1</v>
      </c>
      <c r="V2454" t="b">
        <v>1</v>
      </c>
      <c r="W2454" t="b">
        <v>1</v>
      </c>
      <c r="X2454" t="b">
        <v>1</v>
      </c>
      <c r="Y2454" t="b">
        <v>1</v>
      </c>
      <c r="Z2454" t="b">
        <v>1</v>
      </c>
      <c r="AA2454" t="b">
        <v>1</v>
      </c>
      <c r="AB2454" t="b">
        <v>1</v>
      </c>
      <c r="AC2454" t="b">
        <v>1</v>
      </c>
      <c r="AD2454" t="b">
        <v>1</v>
      </c>
      <c r="AE2454" t="b">
        <v>1</v>
      </c>
      <c r="AF2454" t="b">
        <v>1</v>
      </c>
      <c r="AG2454" t="b">
        <v>1</v>
      </c>
    </row>
    <row r="2455" spans="1:33" x14ac:dyDescent="0.25">
      <c r="A2455" t="s">
        <v>33</v>
      </c>
      <c r="B2455">
        <v>15</v>
      </c>
      <c r="C2455" t="b">
        <v>1</v>
      </c>
      <c r="D2455" t="s">
        <v>7968</v>
      </c>
      <c r="E2455" t="s">
        <v>8401</v>
      </c>
      <c r="F2455" t="s">
        <v>8417</v>
      </c>
      <c r="G2455" t="s">
        <v>8418</v>
      </c>
      <c r="H2455">
        <v>2454</v>
      </c>
      <c r="I2455" t="str">
        <f>IF(ISBLANK(Table1[[#This Row],[oid]]),"FALSE","TRUE")</f>
        <v>TRUE</v>
      </c>
      <c r="J2455" t="str" cm="1">
        <f t="array" ref="J2455">_xlfn.SWITCH(LEFT(Table1[[#This Row],[section]],1), "D", "Demographic", "S", "Social", "E", "Economic", "H", "Housing", "")</f>
        <v>Housing</v>
      </c>
      <c r="K2455" t="s">
        <v>8403</v>
      </c>
      <c r="L2455" t="s">
        <v>8404</v>
      </c>
      <c r="M2455" t="str">
        <f>IF(Table1[[#This Row],[used]], _xlfn.CONCAT("🆔 ", Table1[[#This Row],[variable]], ": ",Table1[[#This Row],[alias]]), "")</f>
        <v>🆔 B25007_005E: Owner occupied: Householder 35 to 44 years</v>
      </c>
      <c r="O2455" t="s">
        <v>8419</v>
      </c>
      <c r="P2455" t="s">
        <v>8405</v>
      </c>
      <c r="Q2455" t="s">
        <v>41</v>
      </c>
      <c r="R2455" t="s">
        <v>8420</v>
      </c>
      <c r="S2455" t="b">
        <v>1</v>
      </c>
      <c r="T2455" t="b">
        <v>1</v>
      </c>
      <c r="U2455" t="b">
        <v>1</v>
      </c>
      <c r="V2455" t="b">
        <v>1</v>
      </c>
      <c r="W2455" t="b">
        <v>1</v>
      </c>
      <c r="X2455" t="b">
        <v>1</v>
      </c>
      <c r="Y2455" t="b">
        <v>1</v>
      </c>
      <c r="Z2455" t="b">
        <v>1</v>
      </c>
      <c r="AA2455" t="b">
        <v>1</v>
      </c>
      <c r="AB2455" t="b">
        <v>1</v>
      </c>
      <c r="AC2455" t="b">
        <v>1</v>
      </c>
      <c r="AD2455" t="b">
        <v>1</v>
      </c>
      <c r="AE2455" t="b">
        <v>1</v>
      </c>
      <c r="AF2455" t="b">
        <v>1</v>
      </c>
      <c r="AG2455" t="b">
        <v>1</v>
      </c>
    </row>
    <row r="2456" spans="1:33" x14ac:dyDescent="0.25">
      <c r="A2456" t="s">
        <v>33</v>
      </c>
      <c r="B2456">
        <v>15</v>
      </c>
      <c r="C2456" t="b">
        <v>1</v>
      </c>
      <c r="D2456" t="s">
        <v>7968</v>
      </c>
      <c r="E2456" t="s">
        <v>8401</v>
      </c>
      <c r="F2456" t="s">
        <v>8421</v>
      </c>
      <c r="G2456" t="s">
        <v>8422</v>
      </c>
      <c r="H2456">
        <v>2455</v>
      </c>
      <c r="I2456" t="str">
        <f>IF(ISBLANK(Table1[[#This Row],[oid]]),"FALSE","TRUE")</f>
        <v>TRUE</v>
      </c>
      <c r="J2456" t="str" cm="1">
        <f t="array" ref="J2456">_xlfn.SWITCH(LEFT(Table1[[#This Row],[section]],1), "D", "Demographic", "S", "Social", "E", "Economic", "H", "Housing", "")</f>
        <v>Housing</v>
      </c>
      <c r="K2456" t="s">
        <v>8403</v>
      </c>
      <c r="L2456" t="s">
        <v>8404</v>
      </c>
      <c r="M2456" t="str">
        <f>IF(Table1[[#This Row],[used]], _xlfn.CONCAT("🆔 ", Table1[[#This Row],[variable]], ": ",Table1[[#This Row],[alias]]), "")</f>
        <v>🆔 B25007_006E: Owner occupied: Householder 45 to 54 years</v>
      </c>
      <c r="O2456" t="s">
        <v>8423</v>
      </c>
      <c r="P2456" t="s">
        <v>8405</v>
      </c>
      <c r="Q2456" t="s">
        <v>41</v>
      </c>
      <c r="R2456" t="s">
        <v>8424</v>
      </c>
      <c r="S2456" t="b">
        <v>1</v>
      </c>
      <c r="T2456" t="b">
        <v>1</v>
      </c>
      <c r="U2456" t="b">
        <v>1</v>
      </c>
      <c r="V2456" t="b">
        <v>1</v>
      </c>
      <c r="W2456" t="b">
        <v>1</v>
      </c>
      <c r="X2456" t="b">
        <v>1</v>
      </c>
      <c r="Y2456" t="b">
        <v>1</v>
      </c>
      <c r="Z2456" t="b">
        <v>1</v>
      </c>
      <c r="AA2456" t="b">
        <v>1</v>
      </c>
      <c r="AB2456" t="b">
        <v>1</v>
      </c>
      <c r="AC2456" t="b">
        <v>1</v>
      </c>
      <c r="AD2456" t="b">
        <v>1</v>
      </c>
      <c r="AE2456" t="b">
        <v>1</v>
      </c>
      <c r="AF2456" t="b">
        <v>1</v>
      </c>
      <c r="AG2456" t="b">
        <v>1</v>
      </c>
    </row>
    <row r="2457" spans="1:33" x14ac:dyDescent="0.25">
      <c r="A2457" t="s">
        <v>33</v>
      </c>
      <c r="B2457">
        <v>15</v>
      </c>
      <c r="C2457" t="b">
        <v>1</v>
      </c>
      <c r="D2457" t="s">
        <v>7968</v>
      </c>
      <c r="E2457" t="s">
        <v>8401</v>
      </c>
      <c r="F2457" t="s">
        <v>8425</v>
      </c>
      <c r="G2457" t="s">
        <v>8426</v>
      </c>
      <c r="H2457">
        <v>2456</v>
      </c>
      <c r="I2457" t="str">
        <f>IF(ISBLANK(Table1[[#This Row],[oid]]),"FALSE","TRUE")</f>
        <v>TRUE</v>
      </c>
      <c r="J2457" t="str" cm="1">
        <f t="array" ref="J2457">_xlfn.SWITCH(LEFT(Table1[[#This Row],[section]],1), "D", "Demographic", "S", "Social", "E", "Economic", "H", "Housing", "")</f>
        <v>Housing</v>
      </c>
      <c r="K2457" t="s">
        <v>8403</v>
      </c>
      <c r="L2457" t="s">
        <v>8404</v>
      </c>
      <c r="M2457" t="str">
        <f>IF(Table1[[#This Row],[used]], _xlfn.CONCAT("🆔 ", Table1[[#This Row],[variable]], ": ",Table1[[#This Row],[alias]]), "")</f>
        <v>🆔 B25007_007E: Owner occupied: Householder 55 to 59 years</v>
      </c>
      <c r="O2457" t="s">
        <v>8427</v>
      </c>
      <c r="P2457" t="s">
        <v>8405</v>
      </c>
      <c r="Q2457" t="s">
        <v>41</v>
      </c>
      <c r="R2457" t="s">
        <v>8428</v>
      </c>
      <c r="S2457" t="b">
        <v>1</v>
      </c>
      <c r="T2457" t="b">
        <v>1</v>
      </c>
      <c r="U2457" t="b">
        <v>1</v>
      </c>
      <c r="V2457" t="b">
        <v>1</v>
      </c>
      <c r="W2457" t="b">
        <v>1</v>
      </c>
      <c r="X2457" t="b">
        <v>1</v>
      </c>
      <c r="Y2457" t="b">
        <v>1</v>
      </c>
      <c r="Z2457" t="b">
        <v>1</v>
      </c>
      <c r="AA2457" t="b">
        <v>1</v>
      </c>
      <c r="AB2457" t="b">
        <v>1</v>
      </c>
      <c r="AC2457" t="b">
        <v>1</v>
      </c>
      <c r="AD2457" t="b">
        <v>1</v>
      </c>
      <c r="AE2457" t="b">
        <v>1</v>
      </c>
      <c r="AF2457" t="b">
        <v>1</v>
      </c>
      <c r="AG2457" t="b">
        <v>1</v>
      </c>
    </row>
    <row r="2458" spans="1:33" x14ac:dyDescent="0.25">
      <c r="A2458" t="s">
        <v>33</v>
      </c>
      <c r="B2458">
        <v>15</v>
      </c>
      <c r="C2458" t="b">
        <v>1</v>
      </c>
      <c r="D2458" t="s">
        <v>7968</v>
      </c>
      <c r="E2458" t="s">
        <v>8401</v>
      </c>
      <c r="F2458" t="s">
        <v>8429</v>
      </c>
      <c r="G2458" t="s">
        <v>8430</v>
      </c>
      <c r="H2458">
        <v>2457</v>
      </c>
      <c r="I2458" t="str">
        <f>IF(ISBLANK(Table1[[#This Row],[oid]]),"FALSE","TRUE")</f>
        <v>TRUE</v>
      </c>
      <c r="J2458" t="str" cm="1">
        <f t="array" ref="J2458">_xlfn.SWITCH(LEFT(Table1[[#This Row],[section]],1), "D", "Demographic", "S", "Social", "E", "Economic", "H", "Housing", "")</f>
        <v>Housing</v>
      </c>
      <c r="K2458" t="s">
        <v>8403</v>
      </c>
      <c r="L2458" t="s">
        <v>8404</v>
      </c>
      <c r="M2458" t="str">
        <f>IF(Table1[[#This Row],[used]], _xlfn.CONCAT("🆔 ", Table1[[#This Row],[variable]], ": ",Table1[[#This Row],[alias]]), "")</f>
        <v>🆔 B25007_008E: Owner occupied: Householder 60 to 64 years</v>
      </c>
      <c r="O2458" t="s">
        <v>8431</v>
      </c>
      <c r="P2458" t="s">
        <v>8405</v>
      </c>
      <c r="Q2458" t="s">
        <v>41</v>
      </c>
      <c r="R2458" t="s">
        <v>8432</v>
      </c>
      <c r="S2458" t="b">
        <v>1</v>
      </c>
      <c r="T2458" t="b">
        <v>1</v>
      </c>
      <c r="U2458" t="b">
        <v>1</v>
      </c>
      <c r="V2458" t="b">
        <v>1</v>
      </c>
      <c r="W2458" t="b">
        <v>1</v>
      </c>
      <c r="X2458" t="b">
        <v>1</v>
      </c>
      <c r="Y2458" t="b">
        <v>1</v>
      </c>
      <c r="Z2458" t="b">
        <v>1</v>
      </c>
      <c r="AA2458" t="b">
        <v>1</v>
      </c>
      <c r="AB2458" t="b">
        <v>1</v>
      </c>
      <c r="AC2458" t="b">
        <v>1</v>
      </c>
      <c r="AD2458" t="b">
        <v>1</v>
      </c>
      <c r="AE2458" t="b">
        <v>1</v>
      </c>
      <c r="AF2458" t="b">
        <v>1</v>
      </c>
      <c r="AG2458" t="b">
        <v>1</v>
      </c>
    </row>
    <row r="2459" spans="1:33" x14ac:dyDescent="0.25">
      <c r="A2459" t="s">
        <v>33</v>
      </c>
      <c r="B2459">
        <v>15</v>
      </c>
      <c r="C2459" t="b">
        <v>1</v>
      </c>
      <c r="D2459" t="s">
        <v>7968</v>
      </c>
      <c r="E2459" t="s">
        <v>8401</v>
      </c>
      <c r="F2459" t="s">
        <v>8433</v>
      </c>
      <c r="G2459" t="s">
        <v>8434</v>
      </c>
      <c r="H2459">
        <v>2458</v>
      </c>
      <c r="I2459" t="str">
        <f>IF(ISBLANK(Table1[[#This Row],[oid]]),"FALSE","TRUE")</f>
        <v>TRUE</v>
      </c>
      <c r="J2459" t="str" cm="1">
        <f t="array" ref="J2459">_xlfn.SWITCH(LEFT(Table1[[#This Row],[section]],1), "D", "Demographic", "S", "Social", "E", "Economic", "H", "Housing", "")</f>
        <v>Housing</v>
      </c>
      <c r="K2459" t="s">
        <v>8403</v>
      </c>
      <c r="L2459" t="s">
        <v>8404</v>
      </c>
      <c r="M2459" t="str">
        <f>IF(Table1[[#This Row],[used]], _xlfn.CONCAT("🆔 ", Table1[[#This Row],[variable]], ": ",Table1[[#This Row],[alias]]), "")</f>
        <v>🆔 B25007_009E: Owner occupied: Householder 65 to 74 years</v>
      </c>
      <c r="O2459" t="s">
        <v>8435</v>
      </c>
      <c r="P2459" t="s">
        <v>8405</v>
      </c>
      <c r="Q2459" t="s">
        <v>41</v>
      </c>
      <c r="R2459" t="s">
        <v>8436</v>
      </c>
      <c r="S2459" t="b">
        <v>1</v>
      </c>
      <c r="T2459" t="b">
        <v>1</v>
      </c>
      <c r="U2459" t="b">
        <v>1</v>
      </c>
      <c r="V2459" t="b">
        <v>1</v>
      </c>
      <c r="W2459" t="b">
        <v>1</v>
      </c>
      <c r="X2459" t="b">
        <v>1</v>
      </c>
      <c r="Y2459" t="b">
        <v>1</v>
      </c>
      <c r="Z2459" t="b">
        <v>1</v>
      </c>
      <c r="AA2459" t="b">
        <v>1</v>
      </c>
      <c r="AB2459" t="b">
        <v>1</v>
      </c>
      <c r="AC2459" t="b">
        <v>1</v>
      </c>
      <c r="AD2459" t="b">
        <v>1</v>
      </c>
      <c r="AE2459" t="b">
        <v>1</v>
      </c>
      <c r="AF2459" t="b">
        <v>1</v>
      </c>
      <c r="AG2459" t="b">
        <v>1</v>
      </c>
    </row>
    <row r="2460" spans="1:33" x14ac:dyDescent="0.25">
      <c r="A2460" t="s">
        <v>33</v>
      </c>
      <c r="B2460">
        <v>15</v>
      </c>
      <c r="C2460" t="b">
        <v>1</v>
      </c>
      <c r="D2460" t="s">
        <v>7968</v>
      </c>
      <c r="E2460" t="s">
        <v>8401</v>
      </c>
      <c r="F2460" t="s">
        <v>8437</v>
      </c>
      <c r="G2460" t="s">
        <v>8438</v>
      </c>
      <c r="H2460">
        <v>2459</v>
      </c>
      <c r="I2460" t="str">
        <f>IF(ISBLANK(Table1[[#This Row],[oid]]),"FALSE","TRUE")</f>
        <v>TRUE</v>
      </c>
      <c r="J2460" t="str" cm="1">
        <f t="array" ref="J2460">_xlfn.SWITCH(LEFT(Table1[[#This Row],[section]],1), "D", "Demographic", "S", "Social", "E", "Economic", "H", "Housing", "")</f>
        <v>Housing</v>
      </c>
      <c r="K2460" t="s">
        <v>8403</v>
      </c>
      <c r="L2460" t="s">
        <v>8404</v>
      </c>
      <c r="M2460" t="str">
        <f>IF(Table1[[#This Row],[used]], _xlfn.CONCAT("🆔 ", Table1[[#This Row],[variable]], ": ",Table1[[#This Row],[alias]]), "")</f>
        <v>🆔 B25007_010E: Owner occupied: Householder 75 to 84 years</v>
      </c>
      <c r="O2460" t="s">
        <v>8439</v>
      </c>
      <c r="P2460" t="s">
        <v>8405</v>
      </c>
      <c r="Q2460" t="s">
        <v>41</v>
      </c>
      <c r="R2460" t="s">
        <v>8440</v>
      </c>
      <c r="S2460" t="b">
        <v>1</v>
      </c>
      <c r="T2460" t="b">
        <v>1</v>
      </c>
      <c r="U2460" t="b">
        <v>1</v>
      </c>
      <c r="V2460" t="b">
        <v>1</v>
      </c>
      <c r="W2460" t="b">
        <v>1</v>
      </c>
      <c r="X2460" t="b">
        <v>1</v>
      </c>
      <c r="Y2460" t="b">
        <v>1</v>
      </c>
      <c r="Z2460" t="b">
        <v>1</v>
      </c>
      <c r="AA2460" t="b">
        <v>1</v>
      </c>
      <c r="AB2460" t="b">
        <v>1</v>
      </c>
      <c r="AC2460" t="b">
        <v>1</v>
      </c>
      <c r="AD2460" t="b">
        <v>1</v>
      </c>
      <c r="AE2460" t="b">
        <v>1</v>
      </c>
      <c r="AF2460" t="b">
        <v>1</v>
      </c>
      <c r="AG2460" t="b">
        <v>1</v>
      </c>
    </row>
    <row r="2461" spans="1:33" x14ac:dyDescent="0.25">
      <c r="A2461" t="s">
        <v>33</v>
      </c>
      <c r="B2461">
        <v>15</v>
      </c>
      <c r="C2461" t="b">
        <v>1</v>
      </c>
      <c r="D2461" t="s">
        <v>7968</v>
      </c>
      <c r="E2461" t="s">
        <v>8401</v>
      </c>
      <c r="F2461" t="s">
        <v>8441</v>
      </c>
      <c r="G2461" t="s">
        <v>8442</v>
      </c>
      <c r="H2461">
        <v>2460</v>
      </c>
      <c r="I2461" t="str">
        <f>IF(ISBLANK(Table1[[#This Row],[oid]]),"FALSE","TRUE")</f>
        <v>TRUE</v>
      </c>
      <c r="J2461" t="str" cm="1">
        <f t="array" ref="J2461">_xlfn.SWITCH(LEFT(Table1[[#This Row],[section]],1), "D", "Demographic", "S", "Social", "E", "Economic", "H", "Housing", "")</f>
        <v>Housing</v>
      </c>
      <c r="K2461" t="s">
        <v>8403</v>
      </c>
      <c r="L2461" t="s">
        <v>8404</v>
      </c>
      <c r="M2461" t="str">
        <f>IF(Table1[[#This Row],[used]], _xlfn.CONCAT("🆔 ", Table1[[#This Row],[variable]], ": ",Table1[[#This Row],[alias]]), "")</f>
        <v>🆔 B25007_011E: Owner occupied: Householder 85 years and over</v>
      </c>
      <c r="O2461" t="s">
        <v>8443</v>
      </c>
      <c r="P2461" t="s">
        <v>8405</v>
      </c>
      <c r="Q2461" t="s">
        <v>41</v>
      </c>
      <c r="R2461" t="s">
        <v>8444</v>
      </c>
      <c r="S2461" t="b">
        <v>1</v>
      </c>
      <c r="T2461" t="b">
        <v>1</v>
      </c>
      <c r="U2461" t="b">
        <v>1</v>
      </c>
      <c r="V2461" t="b">
        <v>1</v>
      </c>
      <c r="W2461" t="b">
        <v>1</v>
      </c>
      <c r="X2461" t="b">
        <v>1</v>
      </c>
      <c r="Y2461" t="b">
        <v>1</v>
      </c>
      <c r="Z2461" t="b">
        <v>1</v>
      </c>
      <c r="AA2461" t="b">
        <v>1</v>
      </c>
      <c r="AB2461" t="b">
        <v>1</v>
      </c>
      <c r="AC2461" t="b">
        <v>1</v>
      </c>
      <c r="AD2461" t="b">
        <v>1</v>
      </c>
      <c r="AE2461" t="b">
        <v>1</v>
      </c>
      <c r="AF2461" t="b">
        <v>1</v>
      </c>
      <c r="AG2461" t="b">
        <v>1</v>
      </c>
    </row>
    <row r="2462" spans="1:33" x14ac:dyDescent="0.25">
      <c r="A2462" t="s">
        <v>33</v>
      </c>
      <c r="B2462">
        <v>15</v>
      </c>
      <c r="C2462" t="b">
        <v>1</v>
      </c>
      <c r="D2462" t="s">
        <v>7968</v>
      </c>
      <c r="E2462" t="s">
        <v>8401</v>
      </c>
      <c r="F2462" t="s">
        <v>8445</v>
      </c>
      <c r="G2462" t="s">
        <v>7995</v>
      </c>
      <c r="H2462">
        <v>2461</v>
      </c>
      <c r="I2462" t="str">
        <f>IF(ISBLANK(Table1[[#This Row],[oid]]),"FALSE","TRUE")</f>
        <v>TRUE</v>
      </c>
      <c r="J2462" t="str" cm="1">
        <f t="array" ref="J2462">_xlfn.SWITCH(LEFT(Table1[[#This Row],[section]],1), "D", "Demographic", "S", "Social", "E", "Economic", "H", "Housing", "")</f>
        <v>Housing</v>
      </c>
      <c r="K2462" t="s">
        <v>8403</v>
      </c>
      <c r="L2462" t="s">
        <v>8404</v>
      </c>
      <c r="M2462" t="str">
        <f>IF(Table1[[#This Row],[used]], _xlfn.CONCAT("🆔 ", Table1[[#This Row],[variable]], ": ",Table1[[#This Row],[alias]]), "")</f>
        <v>🆔 B25007_012E: Renter occupied</v>
      </c>
      <c r="O2462" t="s">
        <v>7996</v>
      </c>
      <c r="P2462" t="s">
        <v>8405</v>
      </c>
      <c r="Q2462" t="s">
        <v>41</v>
      </c>
      <c r="R2462" t="s">
        <v>8446</v>
      </c>
      <c r="S2462" t="b">
        <v>1</v>
      </c>
      <c r="T2462" t="b">
        <v>1</v>
      </c>
      <c r="U2462" t="b">
        <v>1</v>
      </c>
      <c r="V2462" t="b">
        <v>1</v>
      </c>
      <c r="W2462" t="b">
        <v>1</v>
      </c>
      <c r="X2462" t="b">
        <v>1</v>
      </c>
      <c r="Y2462" t="b">
        <v>1</v>
      </c>
      <c r="Z2462" t="b">
        <v>1</v>
      </c>
      <c r="AA2462" t="b">
        <v>1</v>
      </c>
      <c r="AB2462" t="b">
        <v>1</v>
      </c>
      <c r="AC2462" t="b">
        <v>1</v>
      </c>
      <c r="AD2462" t="b">
        <v>1</v>
      </c>
      <c r="AE2462" t="b">
        <v>1</v>
      </c>
      <c r="AF2462" t="b">
        <v>1</v>
      </c>
      <c r="AG2462" t="b">
        <v>1</v>
      </c>
    </row>
    <row r="2463" spans="1:33" x14ac:dyDescent="0.25">
      <c r="A2463" t="s">
        <v>33</v>
      </c>
      <c r="B2463">
        <v>15</v>
      </c>
      <c r="C2463" t="b">
        <v>1</v>
      </c>
      <c r="D2463" t="s">
        <v>7968</v>
      </c>
      <c r="E2463" t="s">
        <v>8401</v>
      </c>
      <c r="F2463" t="s">
        <v>8447</v>
      </c>
      <c r="G2463" t="s">
        <v>8448</v>
      </c>
      <c r="H2463">
        <v>2462</v>
      </c>
      <c r="I2463" t="str">
        <f>IF(ISBLANK(Table1[[#This Row],[oid]]),"FALSE","TRUE")</f>
        <v>TRUE</v>
      </c>
      <c r="J2463" t="str" cm="1">
        <f t="array" ref="J2463">_xlfn.SWITCH(LEFT(Table1[[#This Row],[section]],1), "D", "Demographic", "S", "Social", "E", "Economic", "H", "Housing", "")</f>
        <v>Housing</v>
      </c>
      <c r="K2463" t="s">
        <v>8403</v>
      </c>
      <c r="L2463" t="s">
        <v>8404</v>
      </c>
      <c r="M2463" t="str">
        <f>IF(Table1[[#This Row],[used]], _xlfn.CONCAT("🆔 ", Table1[[#This Row],[variable]], ": ",Table1[[#This Row],[alias]]), "")</f>
        <v>🆔 B25007_013E: Renter occupied: Householder 15 to 24 years</v>
      </c>
      <c r="O2463" t="s">
        <v>8449</v>
      </c>
      <c r="P2463" t="s">
        <v>8405</v>
      </c>
      <c r="Q2463" t="s">
        <v>41</v>
      </c>
      <c r="R2463" t="s">
        <v>8450</v>
      </c>
      <c r="S2463" t="b">
        <v>1</v>
      </c>
      <c r="T2463" t="b">
        <v>1</v>
      </c>
      <c r="U2463" t="b">
        <v>1</v>
      </c>
      <c r="V2463" t="b">
        <v>1</v>
      </c>
      <c r="W2463" t="b">
        <v>1</v>
      </c>
      <c r="X2463" t="b">
        <v>1</v>
      </c>
      <c r="Y2463" t="b">
        <v>1</v>
      </c>
      <c r="Z2463" t="b">
        <v>1</v>
      </c>
      <c r="AA2463" t="b">
        <v>1</v>
      </c>
      <c r="AB2463" t="b">
        <v>1</v>
      </c>
      <c r="AC2463" t="b">
        <v>1</v>
      </c>
      <c r="AD2463" t="b">
        <v>1</v>
      </c>
      <c r="AE2463" t="b">
        <v>1</v>
      </c>
      <c r="AF2463" t="b">
        <v>1</v>
      </c>
      <c r="AG2463" t="b">
        <v>1</v>
      </c>
    </row>
    <row r="2464" spans="1:33" x14ac:dyDescent="0.25">
      <c r="A2464" t="s">
        <v>33</v>
      </c>
      <c r="B2464">
        <v>15</v>
      </c>
      <c r="C2464" t="b">
        <v>1</v>
      </c>
      <c r="D2464" t="s">
        <v>7968</v>
      </c>
      <c r="E2464" t="s">
        <v>8401</v>
      </c>
      <c r="F2464" t="s">
        <v>8451</v>
      </c>
      <c r="G2464" t="s">
        <v>8452</v>
      </c>
      <c r="H2464">
        <v>2463</v>
      </c>
      <c r="I2464" t="str">
        <f>IF(ISBLANK(Table1[[#This Row],[oid]]),"FALSE","TRUE")</f>
        <v>TRUE</v>
      </c>
      <c r="J2464" t="str" cm="1">
        <f t="array" ref="J2464">_xlfn.SWITCH(LEFT(Table1[[#This Row],[section]],1), "D", "Demographic", "S", "Social", "E", "Economic", "H", "Housing", "")</f>
        <v>Housing</v>
      </c>
      <c r="K2464" t="s">
        <v>8403</v>
      </c>
      <c r="L2464" t="s">
        <v>8404</v>
      </c>
      <c r="M2464" t="str">
        <f>IF(Table1[[#This Row],[used]], _xlfn.CONCAT("🆔 ", Table1[[#This Row],[variable]], ": ",Table1[[#This Row],[alias]]), "")</f>
        <v>🆔 B25007_014E: Renter occupied: Householder 25 to 34 years</v>
      </c>
      <c r="O2464" t="s">
        <v>8453</v>
      </c>
      <c r="P2464" t="s">
        <v>8405</v>
      </c>
      <c r="Q2464" t="s">
        <v>41</v>
      </c>
      <c r="R2464" t="s">
        <v>8454</v>
      </c>
      <c r="S2464" t="b">
        <v>1</v>
      </c>
      <c r="T2464" t="b">
        <v>1</v>
      </c>
      <c r="U2464" t="b">
        <v>1</v>
      </c>
      <c r="V2464" t="b">
        <v>1</v>
      </c>
      <c r="W2464" t="b">
        <v>1</v>
      </c>
      <c r="X2464" t="b">
        <v>1</v>
      </c>
      <c r="Y2464" t="b">
        <v>1</v>
      </c>
      <c r="Z2464" t="b">
        <v>1</v>
      </c>
      <c r="AA2464" t="b">
        <v>1</v>
      </c>
      <c r="AB2464" t="b">
        <v>1</v>
      </c>
      <c r="AC2464" t="b">
        <v>1</v>
      </c>
      <c r="AD2464" t="b">
        <v>1</v>
      </c>
      <c r="AE2464" t="b">
        <v>1</v>
      </c>
      <c r="AF2464" t="b">
        <v>1</v>
      </c>
      <c r="AG2464" t="b">
        <v>1</v>
      </c>
    </row>
    <row r="2465" spans="1:33" x14ac:dyDescent="0.25">
      <c r="A2465" t="s">
        <v>33</v>
      </c>
      <c r="B2465">
        <v>15</v>
      </c>
      <c r="C2465" t="b">
        <v>1</v>
      </c>
      <c r="D2465" t="s">
        <v>7968</v>
      </c>
      <c r="E2465" t="s">
        <v>8401</v>
      </c>
      <c r="F2465" t="s">
        <v>8455</v>
      </c>
      <c r="G2465" t="s">
        <v>8456</v>
      </c>
      <c r="H2465">
        <v>2464</v>
      </c>
      <c r="I2465" t="str">
        <f>IF(ISBLANK(Table1[[#This Row],[oid]]),"FALSE","TRUE")</f>
        <v>TRUE</v>
      </c>
      <c r="J2465" t="str" cm="1">
        <f t="array" ref="J2465">_xlfn.SWITCH(LEFT(Table1[[#This Row],[section]],1), "D", "Demographic", "S", "Social", "E", "Economic", "H", "Housing", "")</f>
        <v>Housing</v>
      </c>
      <c r="K2465" t="s">
        <v>8403</v>
      </c>
      <c r="L2465" t="s">
        <v>8404</v>
      </c>
      <c r="M2465" t="str">
        <f>IF(Table1[[#This Row],[used]], _xlfn.CONCAT("🆔 ", Table1[[#This Row],[variable]], ": ",Table1[[#This Row],[alias]]), "")</f>
        <v>🆔 B25007_015E: Renter occupied: Householder 35 to 44 years</v>
      </c>
      <c r="O2465" t="s">
        <v>8457</v>
      </c>
      <c r="P2465" t="s">
        <v>8405</v>
      </c>
      <c r="Q2465" t="s">
        <v>41</v>
      </c>
      <c r="R2465" t="s">
        <v>8458</v>
      </c>
      <c r="S2465" t="b">
        <v>1</v>
      </c>
      <c r="T2465" t="b">
        <v>1</v>
      </c>
      <c r="U2465" t="b">
        <v>1</v>
      </c>
      <c r="V2465" t="b">
        <v>1</v>
      </c>
      <c r="W2465" t="b">
        <v>1</v>
      </c>
      <c r="X2465" t="b">
        <v>1</v>
      </c>
      <c r="Y2465" t="b">
        <v>1</v>
      </c>
      <c r="Z2465" t="b">
        <v>1</v>
      </c>
      <c r="AA2465" t="b">
        <v>1</v>
      </c>
      <c r="AB2465" t="b">
        <v>1</v>
      </c>
      <c r="AC2465" t="b">
        <v>1</v>
      </c>
      <c r="AD2465" t="b">
        <v>1</v>
      </c>
      <c r="AE2465" t="b">
        <v>1</v>
      </c>
      <c r="AF2465" t="b">
        <v>1</v>
      </c>
      <c r="AG2465" t="b">
        <v>1</v>
      </c>
    </row>
    <row r="2466" spans="1:33" x14ac:dyDescent="0.25">
      <c r="A2466" t="s">
        <v>33</v>
      </c>
      <c r="B2466">
        <v>15</v>
      </c>
      <c r="C2466" t="b">
        <v>1</v>
      </c>
      <c r="D2466" t="s">
        <v>7968</v>
      </c>
      <c r="E2466" t="s">
        <v>8401</v>
      </c>
      <c r="F2466" t="s">
        <v>8459</v>
      </c>
      <c r="G2466" t="s">
        <v>8460</v>
      </c>
      <c r="H2466">
        <v>2465</v>
      </c>
      <c r="I2466" t="str">
        <f>IF(ISBLANK(Table1[[#This Row],[oid]]),"FALSE","TRUE")</f>
        <v>TRUE</v>
      </c>
      <c r="J2466" t="str" cm="1">
        <f t="array" ref="J2466">_xlfn.SWITCH(LEFT(Table1[[#This Row],[section]],1), "D", "Demographic", "S", "Social", "E", "Economic", "H", "Housing", "")</f>
        <v>Housing</v>
      </c>
      <c r="K2466" t="s">
        <v>8403</v>
      </c>
      <c r="L2466" t="s">
        <v>8404</v>
      </c>
      <c r="M2466" t="str">
        <f>IF(Table1[[#This Row],[used]], _xlfn.CONCAT("🆔 ", Table1[[#This Row],[variable]], ": ",Table1[[#This Row],[alias]]), "")</f>
        <v>🆔 B25007_016E: Renter occupied: Householder 45 to 54 years</v>
      </c>
      <c r="O2466" t="s">
        <v>8461</v>
      </c>
      <c r="P2466" t="s">
        <v>8405</v>
      </c>
      <c r="Q2466" t="s">
        <v>41</v>
      </c>
      <c r="R2466" t="s">
        <v>8462</v>
      </c>
      <c r="S2466" t="b">
        <v>1</v>
      </c>
      <c r="T2466" t="b">
        <v>1</v>
      </c>
      <c r="U2466" t="b">
        <v>1</v>
      </c>
      <c r="V2466" t="b">
        <v>1</v>
      </c>
      <c r="W2466" t="b">
        <v>1</v>
      </c>
      <c r="X2466" t="b">
        <v>1</v>
      </c>
      <c r="Y2466" t="b">
        <v>1</v>
      </c>
      <c r="Z2466" t="b">
        <v>1</v>
      </c>
      <c r="AA2466" t="b">
        <v>1</v>
      </c>
      <c r="AB2466" t="b">
        <v>1</v>
      </c>
      <c r="AC2466" t="b">
        <v>1</v>
      </c>
      <c r="AD2466" t="b">
        <v>1</v>
      </c>
      <c r="AE2466" t="b">
        <v>1</v>
      </c>
      <c r="AF2466" t="b">
        <v>1</v>
      </c>
      <c r="AG2466" t="b">
        <v>1</v>
      </c>
    </row>
    <row r="2467" spans="1:33" x14ac:dyDescent="0.25">
      <c r="A2467" t="s">
        <v>33</v>
      </c>
      <c r="B2467">
        <v>15</v>
      </c>
      <c r="C2467" t="b">
        <v>1</v>
      </c>
      <c r="D2467" t="s">
        <v>7968</v>
      </c>
      <c r="E2467" t="s">
        <v>8401</v>
      </c>
      <c r="F2467" t="s">
        <v>8463</v>
      </c>
      <c r="G2467" t="s">
        <v>8464</v>
      </c>
      <c r="H2467">
        <v>2466</v>
      </c>
      <c r="I2467" t="str">
        <f>IF(ISBLANK(Table1[[#This Row],[oid]]),"FALSE","TRUE")</f>
        <v>TRUE</v>
      </c>
      <c r="J2467" t="str" cm="1">
        <f t="array" ref="J2467">_xlfn.SWITCH(LEFT(Table1[[#This Row],[section]],1), "D", "Demographic", "S", "Social", "E", "Economic", "H", "Housing", "")</f>
        <v>Housing</v>
      </c>
      <c r="K2467" t="s">
        <v>8403</v>
      </c>
      <c r="L2467" t="s">
        <v>8404</v>
      </c>
      <c r="M2467" t="str">
        <f>IF(Table1[[#This Row],[used]], _xlfn.CONCAT("🆔 ", Table1[[#This Row],[variable]], ": ",Table1[[#This Row],[alias]]), "")</f>
        <v>🆔 B25007_017E: Renter occupied: Householder 55 to 59 years</v>
      </c>
      <c r="O2467" t="s">
        <v>8465</v>
      </c>
      <c r="P2467" t="s">
        <v>8405</v>
      </c>
      <c r="Q2467" t="s">
        <v>41</v>
      </c>
      <c r="R2467" t="s">
        <v>8466</v>
      </c>
      <c r="S2467" t="b">
        <v>1</v>
      </c>
      <c r="T2467" t="b">
        <v>1</v>
      </c>
      <c r="U2467" t="b">
        <v>1</v>
      </c>
      <c r="V2467" t="b">
        <v>1</v>
      </c>
      <c r="W2467" t="b">
        <v>1</v>
      </c>
      <c r="X2467" t="b">
        <v>1</v>
      </c>
      <c r="Y2467" t="b">
        <v>1</v>
      </c>
      <c r="Z2467" t="b">
        <v>1</v>
      </c>
      <c r="AA2467" t="b">
        <v>1</v>
      </c>
      <c r="AB2467" t="b">
        <v>1</v>
      </c>
      <c r="AC2467" t="b">
        <v>1</v>
      </c>
      <c r="AD2467" t="b">
        <v>1</v>
      </c>
      <c r="AE2467" t="b">
        <v>1</v>
      </c>
      <c r="AF2467" t="b">
        <v>1</v>
      </c>
      <c r="AG2467" t="b">
        <v>1</v>
      </c>
    </row>
    <row r="2468" spans="1:33" x14ac:dyDescent="0.25">
      <c r="A2468" t="s">
        <v>33</v>
      </c>
      <c r="B2468">
        <v>15</v>
      </c>
      <c r="C2468" t="b">
        <v>1</v>
      </c>
      <c r="D2468" t="s">
        <v>7968</v>
      </c>
      <c r="E2468" t="s">
        <v>8401</v>
      </c>
      <c r="F2468" t="s">
        <v>8467</v>
      </c>
      <c r="G2468" t="s">
        <v>8468</v>
      </c>
      <c r="H2468">
        <v>2467</v>
      </c>
      <c r="I2468" t="str">
        <f>IF(ISBLANK(Table1[[#This Row],[oid]]),"FALSE","TRUE")</f>
        <v>TRUE</v>
      </c>
      <c r="J2468" t="str" cm="1">
        <f t="array" ref="J2468">_xlfn.SWITCH(LEFT(Table1[[#This Row],[section]],1), "D", "Demographic", "S", "Social", "E", "Economic", "H", "Housing", "")</f>
        <v>Housing</v>
      </c>
      <c r="K2468" t="s">
        <v>8403</v>
      </c>
      <c r="L2468" t="s">
        <v>8404</v>
      </c>
      <c r="M2468" t="str">
        <f>IF(Table1[[#This Row],[used]], _xlfn.CONCAT("🆔 ", Table1[[#This Row],[variable]], ": ",Table1[[#This Row],[alias]]), "")</f>
        <v>🆔 B25007_018E: Renter occupied: Householder 60 to 64 years</v>
      </c>
      <c r="O2468" t="s">
        <v>8469</v>
      </c>
      <c r="P2468" t="s">
        <v>8405</v>
      </c>
      <c r="Q2468" t="s">
        <v>41</v>
      </c>
      <c r="R2468" t="s">
        <v>8470</v>
      </c>
      <c r="S2468" t="b">
        <v>1</v>
      </c>
      <c r="T2468" t="b">
        <v>1</v>
      </c>
      <c r="U2468" t="b">
        <v>1</v>
      </c>
      <c r="V2468" t="b">
        <v>1</v>
      </c>
      <c r="W2468" t="b">
        <v>1</v>
      </c>
      <c r="X2468" t="b">
        <v>1</v>
      </c>
      <c r="Y2468" t="b">
        <v>1</v>
      </c>
      <c r="Z2468" t="b">
        <v>1</v>
      </c>
      <c r="AA2468" t="b">
        <v>1</v>
      </c>
      <c r="AB2468" t="b">
        <v>1</v>
      </c>
      <c r="AC2468" t="b">
        <v>1</v>
      </c>
      <c r="AD2468" t="b">
        <v>1</v>
      </c>
      <c r="AE2468" t="b">
        <v>1</v>
      </c>
      <c r="AF2468" t="b">
        <v>1</v>
      </c>
      <c r="AG2468" t="b">
        <v>1</v>
      </c>
    </row>
    <row r="2469" spans="1:33" x14ac:dyDescent="0.25">
      <c r="A2469" t="s">
        <v>33</v>
      </c>
      <c r="B2469">
        <v>15</v>
      </c>
      <c r="C2469" t="b">
        <v>1</v>
      </c>
      <c r="D2469" t="s">
        <v>7968</v>
      </c>
      <c r="E2469" t="s">
        <v>8401</v>
      </c>
      <c r="F2469" t="s">
        <v>8471</v>
      </c>
      <c r="G2469" t="s">
        <v>8472</v>
      </c>
      <c r="H2469">
        <v>2468</v>
      </c>
      <c r="I2469" t="str">
        <f>IF(ISBLANK(Table1[[#This Row],[oid]]),"FALSE","TRUE")</f>
        <v>TRUE</v>
      </c>
      <c r="J2469" t="str" cm="1">
        <f t="array" ref="J2469">_xlfn.SWITCH(LEFT(Table1[[#This Row],[section]],1), "D", "Demographic", "S", "Social", "E", "Economic", "H", "Housing", "")</f>
        <v>Housing</v>
      </c>
      <c r="K2469" t="s">
        <v>8403</v>
      </c>
      <c r="L2469" t="s">
        <v>8404</v>
      </c>
      <c r="M2469" t="str">
        <f>IF(Table1[[#This Row],[used]], _xlfn.CONCAT("🆔 ", Table1[[#This Row],[variable]], ": ",Table1[[#This Row],[alias]]), "")</f>
        <v>🆔 B25007_019E: Renter occupied: Householder 65 to 74 years</v>
      </c>
      <c r="O2469" t="s">
        <v>8473</v>
      </c>
      <c r="P2469" t="s">
        <v>8405</v>
      </c>
      <c r="Q2469" t="s">
        <v>41</v>
      </c>
      <c r="R2469" t="s">
        <v>8474</v>
      </c>
      <c r="S2469" t="b">
        <v>1</v>
      </c>
      <c r="T2469" t="b">
        <v>1</v>
      </c>
      <c r="U2469" t="b">
        <v>1</v>
      </c>
      <c r="V2469" t="b">
        <v>1</v>
      </c>
      <c r="W2469" t="b">
        <v>1</v>
      </c>
      <c r="X2469" t="b">
        <v>1</v>
      </c>
      <c r="Y2469" t="b">
        <v>1</v>
      </c>
      <c r="Z2469" t="b">
        <v>1</v>
      </c>
      <c r="AA2469" t="b">
        <v>1</v>
      </c>
      <c r="AB2469" t="b">
        <v>1</v>
      </c>
      <c r="AC2469" t="b">
        <v>1</v>
      </c>
      <c r="AD2469" t="b">
        <v>1</v>
      </c>
      <c r="AE2469" t="b">
        <v>1</v>
      </c>
      <c r="AF2469" t="b">
        <v>1</v>
      </c>
      <c r="AG2469" t="b">
        <v>1</v>
      </c>
    </row>
    <row r="2470" spans="1:33" x14ac:dyDescent="0.25">
      <c r="A2470" t="s">
        <v>33</v>
      </c>
      <c r="B2470">
        <v>15</v>
      </c>
      <c r="C2470" t="b">
        <v>1</v>
      </c>
      <c r="D2470" t="s">
        <v>7968</v>
      </c>
      <c r="E2470" t="s">
        <v>8401</v>
      </c>
      <c r="F2470" t="s">
        <v>8475</v>
      </c>
      <c r="G2470" t="s">
        <v>8476</v>
      </c>
      <c r="H2470">
        <v>2469</v>
      </c>
      <c r="I2470" t="str">
        <f>IF(ISBLANK(Table1[[#This Row],[oid]]),"FALSE","TRUE")</f>
        <v>TRUE</v>
      </c>
      <c r="J2470" t="str" cm="1">
        <f t="array" ref="J2470">_xlfn.SWITCH(LEFT(Table1[[#This Row],[section]],1), "D", "Demographic", "S", "Social", "E", "Economic", "H", "Housing", "")</f>
        <v>Housing</v>
      </c>
      <c r="K2470" t="s">
        <v>8403</v>
      </c>
      <c r="L2470" t="s">
        <v>8404</v>
      </c>
      <c r="M2470" t="str">
        <f>IF(Table1[[#This Row],[used]], _xlfn.CONCAT("🆔 ", Table1[[#This Row],[variable]], ": ",Table1[[#This Row],[alias]]), "")</f>
        <v>🆔 B25007_020E: Renter occupied: Householder 75 to 84 years</v>
      </c>
      <c r="O2470" t="s">
        <v>8477</v>
      </c>
      <c r="P2470" t="s">
        <v>8405</v>
      </c>
      <c r="Q2470" t="s">
        <v>41</v>
      </c>
      <c r="R2470" t="s">
        <v>8478</v>
      </c>
      <c r="S2470" t="b">
        <v>1</v>
      </c>
      <c r="T2470" t="b">
        <v>1</v>
      </c>
      <c r="U2470" t="b">
        <v>1</v>
      </c>
      <c r="V2470" t="b">
        <v>1</v>
      </c>
      <c r="W2470" t="b">
        <v>1</v>
      </c>
      <c r="X2470" t="b">
        <v>1</v>
      </c>
      <c r="Y2470" t="b">
        <v>1</v>
      </c>
      <c r="Z2470" t="b">
        <v>1</v>
      </c>
      <c r="AA2470" t="b">
        <v>1</v>
      </c>
      <c r="AB2470" t="b">
        <v>1</v>
      </c>
      <c r="AC2470" t="b">
        <v>1</v>
      </c>
      <c r="AD2470" t="b">
        <v>1</v>
      </c>
      <c r="AE2470" t="b">
        <v>1</v>
      </c>
      <c r="AF2470" t="b">
        <v>1</v>
      </c>
      <c r="AG2470" t="b">
        <v>1</v>
      </c>
    </row>
    <row r="2471" spans="1:33" x14ac:dyDescent="0.25">
      <c r="A2471" t="s">
        <v>33</v>
      </c>
      <c r="B2471">
        <v>15</v>
      </c>
      <c r="C2471" t="b">
        <v>1</v>
      </c>
      <c r="D2471" t="s">
        <v>7968</v>
      </c>
      <c r="E2471" t="s">
        <v>8401</v>
      </c>
      <c r="F2471" t="s">
        <v>8479</v>
      </c>
      <c r="G2471" t="s">
        <v>8480</v>
      </c>
      <c r="H2471">
        <v>2470</v>
      </c>
      <c r="I2471" t="str">
        <f>IF(ISBLANK(Table1[[#This Row],[oid]]),"FALSE","TRUE")</f>
        <v>TRUE</v>
      </c>
      <c r="J2471" t="str" cm="1">
        <f t="array" ref="J2471">_xlfn.SWITCH(LEFT(Table1[[#This Row],[section]],1), "D", "Demographic", "S", "Social", "E", "Economic", "H", "Housing", "")</f>
        <v>Housing</v>
      </c>
      <c r="K2471" t="s">
        <v>8403</v>
      </c>
      <c r="L2471" t="s">
        <v>8404</v>
      </c>
      <c r="M2471" t="str">
        <f>IF(Table1[[#This Row],[used]], _xlfn.CONCAT("🆔 ", Table1[[#This Row],[variable]], ": ",Table1[[#This Row],[alias]]), "")</f>
        <v>🆔 B25007_021E: Renter occupied: Householder 85 years and over</v>
      </c>
      <c r="O2471" t="s">
        <v>8481</v>
      </c>
      <c r="P2471" t="s">
        <v>8405</v>
      </c>
      <c r="Q2471" t="s">
        <v>41</v>
      </c>
      <c r="R2471" t="s">
        <v>8482</v>
      </c>
      <c r="S2471" t="b">
        <v>1</v>
      </c>
      <c r="T2471" t="b">
        <v>1</v>
      </c>
      <c r="U2471" t="b">
        <v>1</v>
      </c>
      <c r="V2471" t="b">
        <v>1</v>
      </c>
      <c r="W2471" t="b">
        <v>1</v>
      </c>
      <c r="X2471" t="b">
        <v>1</v>
      </c>
      <c r="Y2471" t="b">
        <v>1</v>
      </c>
      <c r="Z2471" t="b">
        <v>1</v>
      </c>
      <c r="AA2471" t="b">
        <v>1</v>
      </c>
      <c r="AB2471" t="b">
        <v>1</v>
      </c>
      <c r="AC2471" t="b">
        <v>1</v>
      </c>
      <c r="AD2471" t="b">
        <v>1</v>
      </c>
      <c r="AE2471" t="b">
        <v>1</v>
      </c>
      <c r="AF2471" t="b">
        <v>1</v>
      </c>
      <c r="AG2471" t="b">
        <v>1</v>
      </c>
    </row>
    <row r="2472" spans="1:33" x14ac:dyDescent="0.25">
      <c r="A2472" t="s">
        <v>676</v>
      </c>
      <c r="B2472">
        <v>9</v>
      </c>
      <c r="C2472" t="b">
        <v>0</v>
      </c>
      <c r="D2472" t="s">
        <v>7968</v>
      </c>
      <c r="E2472" t="s">
        <v>8483</v>
      </c>
      <c r="F2472" t="s">
        <v>8484</v>
      </c>
      <c r="G2472" t="s">
        <v>8485</v>
      </c>
      <c r="H2472">
        <v>2471</v>
      </c>
      <c r="I2472" t="str">
        <f>IF(ISBLANK(Table1[[#This Row],[oid]]),"FALSE","TRUE")</f>
        <v>TRUE</v>
      </c>
      <c r="J2472" t="str" cm="1">
        <f t="array" ref="J2472">_xlfn.SWITCH(LEFT(Table1[[#This Row],[section]],1), "D", "Demographic", "S", "Social", "E", "Economic", "H", "Housing", "")</f>
        <v>Housing</v>
      </c>
      <c r="K2472" t="s">
        <v>8486</v>
      </c>
      <c r="L2472" t="s">
        <v>8487</v>
      </c>
      <c r="M2472" t="str">
        <f>IF(Table1[[#This Row],[used]], _xlfn.CONCAT("🆔 ", Table1[[#This Row],[variable]], ": ",Table1[[#This Row],[alias]]), "")</f>
        <v>🆔 B25010_001E: Average household size: Total</v>
      </c>
      <c r="O2472" t="s">
        <v>39</v>
      </c>
      <c r="P2472" t="s">
        <v>8488</v>
      </c>
      <c r="Q2472" t="s">
        <v>249</v>
      </c>
      <c r="R2472" t="s">
        <v>8489</v>
      </c>
      <c r="S2472" t="b">
        <v>1</v>
      </c>
      <c r="T2472" t="b">
        <v>1</v>
      </c>
      <c r="U2472" t="b">
        <v>1</v>
      </c>
      <c r="V2472" t="b">
        <v>1</v>
      </c>
      <c r="W2472" t="b">
        <v>1</v>
      </c>
      <c r="X2472" t="b">
        <v>1</v>
      </c>
      <c r="Y2472" t="b">
        <v>1</v>
      </c>
      <c r="Z2472" t="b">
        <v>1</v>
      </c>
      <c r="AA2472" t="b">
        <v>1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</row>
    <row r="2473" spans="1:33" x14ac:dyDescent="0.25">
      <c r="A2473" t="s">
        <v>681</v>
      </c>
      <c r="B2473">
        <v>6</v>
      </c>
      <c r="C2473" t="b">
        <v>0</v>
      </c>
      <c r="D2473" t="s">
        <v>7968</v>
      </c>
      <c r="E2473" t="s">
        <v>8483</v>
      </c>
      <c r="F2473" t="s">
        <v>8484</v>
      </c>
      <c r="G2473" t="s">
        <v>8485</v>
      </c>
      <c r="H2473">
        <v>2472</v>
      </c>
      <c r="I2473" t="str">
        <f>IF(ISBLANK(Table1[[#This Row],[oid]]),"FALSE","TRUE")</f>
        <v>TRUE</v>
      </c>
      <c r="J2473" t="str" cm="1">
        <f t="array" ref="J2473">_xlfn.SWITCH(LEFT(Table1[[#This Row],[section]],1), "D", "Demographic", "S", "Social", "E", "Economic", "H", "Housing", "")</f>
        <v>Housing</v>
      </c>
      <c r="K2473" t="s">
        <v>8486</v>
      </c>
      <c r="L2473" t="s">
        <v>8487</v>
      </c>
      <c r="M2473" t="str">
        <f>IF(Table1[[#This Row],[used]], _xlfn.CONCAT("🆔 ", Table1[[#This Row],[variable]], ": ",Table1[[#This Row],[alias]]), "")</f>
        <v>🆔 B25010_001E: Average household size: Total</v>
      </c>
      <c r="O2473" t="s">
        <v>8490</v>
      </c>
      <c r="P2473" t="s">
        <v>8488</v>
      </c>
      <c r="Q2473" t="s">
        <v>249</v>
      </c>
      <c r="R2473" t="s">
        <v>8489</v>
      </c>
      <c r="S2473" t="b">
        <v>0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0</v>
      </c>
      <c r="AB2473" t="b">
        <v>1</v>
      </c>
      <c r="AC2473" t="b">
        <v>1</v>
      </c>
      <c r="AD2473" t="b">
        <v>1</v>
      </c>
      <c r="AE2473" t="b">
        <v>1</v>
      </c>
      <c r="AF2473" t="b">
        <v>1</v>
      </c>
      <c r="AG2473" t="b">
        <v>1</v>
      </c>
    </row>
    <row r="2474" spans="1:33" x14ac:dyDescent="0.25">
      <c r="A2474" t="s">
        <v>676</v>
      </c>
      <c r="B2474">
        <v>9</v>
      </c>
      <c r="C2474" t="b">
        <v>0</v>
      </c>
      <c r="D2474" t="s">
        <v>7968</v>
      </c>
      <c r="E2474" t="s">
        <v>8483</v>
      </c>
      <c r="F2474" t="s">
        <v>8491</v>
      </c>
      <c r="G2474" t="s">
        <v>8492</v>
      </c>
      <c r="H2474">
        <v>2473</v>
      </c>
      <c r="I2474" t="str">
        <f>IF(ISBLANK(Table1[[#This Row],[oid]]),"FALSE","TRUE")</f>
        <v>TRUE</v>
      </c>
      <c r="J2474" t="str" cm="1">
        <f t="array" ref="J2474">_xlfn.SWITCH(LEFT(Table1[[#This Row],[section]],1), "D", "Demographic", "S", "Social", "E", "Economic", "H", "Housing", "")</f>
        <v>Housing</v>
      </c>
      <c r="K2474" t="s">
        <v>8486</v>
      </c>
      <c r="L2474" t="s">
        <v>8487</v>
      </c>
      <c r="M2474" t="str">
        <f>IF(Table1[[#This Row],[used]], _xlfn.CONCAT("🆔 ", Table1[[#This Row],[variable]], ": ",Table1[[#This Row],[alias]]), "")</f>
        <v>🆔 B25010_002E: Average household size: Owner occupied</v>
      </c>
      <c r="O2474" t="s">
        <v>7992</v>
      </c>
      <c r="P2474" t="s">
        <v>8488</v>
      </c>
      <c r="Q2474" t="s">
        <v>249</v>
      </c>
      <c r="R2474" t="s">
        <v>8493</v>
      </c>
      <c r="S2474" t="b">
        <v>1</v>
      </c>
      <c r="T2474" t="b">
        <v>1</v>
      </c>
      <c r="U2474" t="b">
        <v>1</v>
      </c>
      <c r="V2474" t="b">
        <v>1</v>
      </c>
      <c r="W2474" t="b">
        <v>1</v>
      </c>
      <c r="X2474" t="b">
        <v>1</v>
      </c>
      <c r="Y2474" t="b">
        <v>1</v>
      </c>
      <c r="Z2474" t="b">
        <v>1</v>
      </c>
      <c r="AA2474" t="b">
        <v>1</v>
      </c>
      <c r="AB2474" t="b">
        <v>0</v>
      </c>
      <c r="AC2474" t="b">
        <v>0</v>
      </c>
      <c r="AD2474" t="b">
        <v>0</v>
      </c>
      <c r="AE2474" t="b">
        <v>0</v>
      </c>
      <c r="AF2474" t="b">
        <v>0</v>
      </c>
      <c r="AG2474" t="b">
        <v>0</v>
      </c>
    </row>
    <row r="2475" spans="1:33" x14ac:dyDescent="0.25">
      <c r="A2475" t="s">
        <v>681</v>
      </c>
      <c r="B2475">
        <v>6</v>
      </c>
      <c r="C2475" t="b">
        <v>0</v>
      </c>
      <c r="D2475" t="s">
        <v>7968</v>
      </c>
      <c r="E2475" t="s">
        <v>8483</v>
      </c>
      <c r="F2475" t="s">
        <v>8491</v>
      </c>
      <c r="G2475" t="s">
        <v>8492</v>
      </c>
      <c r="H2475">
        <v>2474</v>
      </c>
      <c r="I2475" t="str">
        <f>IF(ISBLANK(Table1[[#This Row],[oid]]),"FALSE","TRUE")</f>
        <v>TRUE</v>
      </c>
      <c r="J2475" t="str" cm="1">
        <f t="array" ref="J2475">_xlfn.SWITCH(LEFT(Table1[[#This Row],[section]],1), "D", "Demographic", "S", "Social", "E", "Economic", "H", "Housing", "")</f>
        <v>Housing</v>
      </c>
      <c r="K2475" t="s">
        <v>8486</v>
      </c>
      <c r="L2475" t="s">
        <v>8487</v>
      </c>
      <c r="M2475" t="str">
        <f>IF(Table1[[#This Row],[used]], _xlfn.CONCAT("🆔 ", Table1[[#This Row],[variable]], ": ",Table1[[#This Row],[alias]]), "")</f>
        <v>🆔 B25010_002E: Average household size: Owner occupied</v>
      </c>
      <c r="O2475" t="s">
        <v>8494</v>
      </c>
      <c r="P2475" t="s">
        <v>8488</v>
      </c>
      <c r="Q2475" t="s">
        <v>249</v>
      </c>
      <c r="R2475" t="s">
        <v>8493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1</v>
      </c>
      <c r="AC2475" t="b">
        <v>1</v>
      </c>
      <c r="AD2475" t="b">
        <v>1</v>
      </c>
      <c r="AE2475" t="b">
        <v>1</v>
      </c>
      <c r="AF2475" t="b">
        <v>1</v>
      </c>
      <c r="AG2475" t="b">
        <v>1</v>
      </c>
    </row>
    <row r="2476" spans="1:33" x14ac:dyDescent="0.25">
      <c r="A2476" t="s">
        <v>676</v>
      </c>
      <c r="B2476">
        <v>9</v>
      </c>
      <c r="C2476" t="b">
        <v>0</v>
      </c>
      <c r="D2476" t="s">
        <v>7968</v>
      </c>
      <c r="E2476" t="s">
        <v>8483</v>
      </c>
      <c r="F2476" t="s">
        <v>8495</v>
      </c>
      <c r="G2476" t="s">
        <v>8496</v>
      </c>
      <c r="H2476">
        <v>2475</v>
      </c>
      <c r="I2476" t="str">
        <f>IF(ISBLANK(Table1[[#This Row],[oid]]),"FALSE","TRUE")</f>
        <v>TRUE</v>
      </c>
      <c r="J2476" t="str" cm="1">
        <f t="array" ref="J2476">_xlfn.SWITCH(LEFT(Table1[[#This Row],[section]],1), "D", "Demographic", "S", "Social", "E", "Economic", "H", "Housing", "")</f>
        <v>Housing</v>
      </c>
      <c r="K2476" t="s">
        <v>8486</v>
      </c>
      <c r="L2476" t="s">
        <v>8487</v>
      </c>
      <c r="M2476" t="str">
        <f>IF(Table1[[#This Row],[used]], _xlfn.CONCAT("🆔 ", Table1[[#This Row],[variable]], ": ",Table1[[#This Row],[alias]]), "")</f>
        <v>🆔 B25010_003E: Average household size: Renter occupied</v>
      </c>
      <c r="O2476" t="s">
        <v>7996</v>
      </c>
      <c r="P2476" t="s">
        <v>8488</v>
      </c>
      <c r="Q2476" t="s">
        <v>249</v>
      </c>
      <c r="R2476" t="s">
        <v>8497</v>
      </c>
      <c r="S2476" t="b">
        <v>1</v>
      </c>
      <c r="T2476" t="b">
        <v>1</v>
      </c>
      <c r="U2476" t="b">
        <v>1</v>
      </c>
      <c r="V2476" t="b">
        <v>1</v>
      </c>
      <c r="W2476" t="b">
        <v>1</v>
      </c>
      <c r="X2476" t="b">
        <v>1</v>
      </c>
      <c r="Y2476" t="b">
        <v>1</v>
      </c>
      <c r="Z2476" t="b">
        <v>1</v>
      </c>
      <c r="AA2476" t="b">
        <v>1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</row>
    <row r="2477" spans="1:33" x14ac:dyDescent="0.25">
      <c r="A2477" t="s">
        <v>681</v>
      </c>
      <c r="B2477">
        <v>6</v>
      </c>
      <c r="C2477" t="b">
        <v>0</v>
      </c>
      <c r="D2477" t="s">
        <v>7968</v>
      </c>
      <c r="E2477" t="s">
        <v>8483</v>
      </c>
      <c r="F2477" t="s">
        <v>8495</v>
      </c>
      <c r="G2477" t="s">
        <v>8496</v>
      </c>
      <c r="H2477">
        <v>2476</v>
      </c>
      <c r="I2477" t="str">
        <f>IF(ISBLANK(Table1[[#This Row],[oid]]),"FALSE","TRUE")</f>
        <v>TRUE</v>
      </c>
      <c r="J2477" t="str" cm="1">
        <f t="array" ref="J2477">_xlfn.SWITCH(LEFT(Table1[[#This Row],[section]],1), "D", "Demographic", "S", "Social", "E", "Economic", "H", "Housing", "")</f>
        <v>Housing</v>
      </c>
      <c r="K2477" t="s">
        <v>8486</v>
      </c>
      <c r="L2477" t="s">
        <v>8487</v>
      </c>
      <c r="M2477" t="str">
        <f>IF(Table1[[#This Row],[used]], _xlfn.CONCAT("🆔 ", Table1[[#This Row],[variable]], ": ",Table1[[#This Row],[alias]]), "")</f>
        <v>🆔 B25010_003E: Average household size: Renter occupied</v>
      </c>
      <c r="O2477" t="s">
        <v>8498</v>
      </c>
      <c r="P2477" t="s">
        <v>8488</v>
      </c>
      <c r="Q2477" t="s">
        <v>249</v>
      </c>
      <c r="R2477" t="s">
        <v>8497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b">
        <v>1</v>
      </c>
      <c r="AC2477" t="b">
        <v>1</v>
      </c>
      <c r="AD2477" t="b">
        <v>1</v>
      </c>
      <c r="AE2477" t="b">
        <v>1</v>
      </c>
      <c r="AF2477" t="b">
        <v>1</v>
      </c>
      <c r="AG2477" t="b">
        <v>1</v>
      </c>
    </row>
    <row r="2478" spans="1:33" x14ac:dyDescent="0.25">
      <c r="A2478" t="s">
        <v>33</v>
      </c>
      <c r="B2478">
        <v>15</v>
      </c>
      <c r="C2478" t="b">
        <v>1</v>
      </c>
      <c r="D2478" t="s">
        <v>7968</v>
      </c>
      <c r="E2478" t="s">
        <v>8499</v>
      </c>
      <c r="F2478" t="s">
        <v>8500</v>
      </c>
      <c r="G2478" t="s">
        <v>8046</v>
      </c>
      <c r="H2478">
        <v>2477</v>
      </c>
      <c r="I2478" t="str">
        <f>IF(ISBLANK(Table1[[#This Row],[oid]]),"FALSE","TRUE")</f>
        <v>TRUE</v>
      </c>
      <c r="J2478" t="str" cm="1">
        <f t="array" ref="J2478">_xlfn.SWITCH(LEFT(Table1[[#This Row],[section]],1), "D", "Demographic", "S", "Social", "E", "Economic", "H", "Housing", "")</f>
        <v>Housing</v>
      </c>
      <c r="K2478" t="s">
        <v>8501</v>
      </c>
      <c r="L2478" t="s">
        <v>8048</v>
      </c>
      <c r="M2478" t="str">
        <f>IF(Table1[[#This Row],[used]], _xlfn.CONCAT("🆔 ", Table1[[#This Row],[variable]], ": ",Table1[[#This Row],[alias]]), "")</f>
        <v>🆔 B25008_001E: Total population in occupied housing units</v>
      </c>
      <c r="O2478" t="s">
        <v>39</v>
      </c>
      <c r="P2478" t="s">
        <v>8502</v>
      </c>
      <c r="Q2478" t="s">
        <v>41</v>
      </c>
      <c r="R2478" t="s">
        <v>8503</v>
      </c>
      <c r="S2478" t="b">
        <v>1</v>
      </c>
      <c r="T2478" t="b">
        <v>1</v>
      </c>
      <c r="U2478" t="b">
        <v>1</v>
      </c>
      <c r="V2478" t="b">
        <v>1</v>
      </c>
      <c r="W2478" t="b">
        <v>1</v>
      </c>
      <c r="X2478" t="b">
        <v>1</v>
      </c>
      <c r="Y2478" t="b">
        <v>1</v>
      </c>
      <c r="Z2478" t="b">
        <v>1</v>
      </c>
      <c r="AA2478" t="b">
        <v>1</v>
      </c>
      <c r="AB2478" t="b">
        <v>1</v>
      </c>
      <c r="AC2478" t="b">
        <v>1</v>
      </c>
      <c r="AD2478" t="b">
        <v>1</v>
      </c>
      <c r="AE2478" t="b">
        <v>1</v>
      </c>
      <c r="AF2478" t="b">
        <v>1</v>
      </c>
      <c r="AG2478" t="b">
        <v>1</v>
      </c>
    </row>
    <row r="2479" spans="1:33" x14ac:dyDescent="0.25">
      <c r="A2479" t="s">
        <v>33</v>
      </c>
      <c r="B2479">
        <v>15</v>
      </c>
      <c r="C2479" t="b">
        <v>1</v>
      </c>
      <c r="D2479" t="s">
        <v>7968</v>
      </c>
      <c r="E2479" t="s">
        <v>8499</v>
      </c>
      <c r="F2479" t="s">
        <v>8504</v>
      </c>
      <c r="G2479" t="s">
        <v>7991</v>
      </c>
      <c r="H2479">
        <v>2478</v>
      </c>
      <c r="I2479" t="str">
        <f>IF(ISBLANK(Table1[[#This Row],[oid]]),"FALSE","TRUE")</f>
        <v>TRUE</v>
      </c>
      <c r="J2479" t="str" cm="1">
        <f t="array" ref="J2479">_xlfn.SWITCH(LEFT(Table1[[#This Row],[section]],1), "D", "Demographic", "S", "Social", "E", "Economic", "H", "Housing", "")</f>
        <v>Housing</v>
      </c>
      <c r="K2479" t="s">
        <v>8501</v>
      </c>
      <c r="L2479" t="s">
        <v>8048</v>
      </c>
      <c r="M2479" t="str">
        <f>IF(Table1[[#This Row],[used]], _xlfn.CONCAT("🆔 ", Table1[[#This Row],[variable]], ": ",Table1[[#This Row],[alias]]), "")</f>
        <v>🆔 B25008_002E: Owner occupied</v>
      </c>
      <c r="O2479" t="s">
        <v>7992</v>
      </c>
      <c r="P2479" t="s">
        <v>8502</v>
      </c>
      <c r="Q2479" t="s">
        <v>41</v>
      </c>
      <c r="R2479" t="s">
        <v>8505</v>
      </c>
      <c r="S2479" t="b">
        <v>1</v>
      </c>
      <c r="T2479" t="b">
        <v>1</v>
      </c>
      <c r="U2479" t="b">
        <v>1</v>
      </c>
      <c r="V2479" t="b">
        <v>1</v>
      </c>
      <c r="W2479" t="b">
        <v>1</v>
      </c>
      <c r="X2479" t="b">
        <v>1</v>
      </c>
      <c r="Y2479" t="b">
        <v>1</v>
      </c>
      <c r="Z2479" t="b">
        <v>1</v>
      </c>
      <c r="AA2479" t="b">
        <v>1</v>
      </c>
      <c r="AB2479" t="b">
        <v>1</v>
      </c>
      <c r="AC2479" t="b">
        <v>1</v>
      </c>
      <c r="AD2479" t="b">
        <v>1</v>
      </c>
      <c r="AE2479" t="b">
        <v>1</v>
      </c>
      <c r="AF2479" t="b">
        <v>1</v>
      </c>
      <c r="AG2479" t="b">
        <v>1</v>
      </c>
    </row>
    <row r="2480" spans="1:33" x14ac:dyDescent="0.25">
      <c r="A2480" t="s">
        <v>33</v>
      </c>
      <c r="B2480">
        <v>15</v>
      </c>
      <c r="C2480" t="b">
        <v>1</v>
      </c>
      <c r="D2480" t="s">
        <v>7968</v>
      </c>
      <c r="E2480" t="s">
        <v>8499</v>
      </c>
      <c r="F2480" t="s">
        <v>8506</v>
      </c>
      <c r="G2480" t="s">
        <v>7995</v>
      </c>
      <c r="H2480">
        <v>2479</v>
      </c>
      <c r="I2480" t="str">
        <f>IF(ISBLANK(Table1[[#This Row],[oid]]),"FALSE","TRUE")</f>
        <v>TRUE</v>
      </c>
      <c r="J2480" t="str" cm="1">
        <f t="array" ref="J2480">_xlfn.SWITCH(LEFT(Table1[[#This Row],[section]],1), "D", "Demographic", "S", "Social", "E", "Economic", "H", "Housing", "")</f>
        <v>Housing</v>
      </c>
      <c r="K2480" t="s">
        <v>8501</v>
      </c>
      <c r="L2480" t="s">
        <v>8048</v>
      </c>
      <c r="M2480" t="str">
        <f>IF(Table1[[#This Row],[used]], _xlfn.CONCAT("🆔 ", Table1[[#This Row],[variable]], ": ",Table1[[#This Row],[alias]]), "")</f>
        <v>🆔 B25008_003E: Renter occupied</v>
      </c>
      <c r="O2480" t="s">
        <v>7996</v>
      </c>
      <c r="P2480" t="s">
        <v>8502</v>
      </c>
      <c r="Q2480" t="s">
        <v>41</v>
      </c>
      <c r="R2480" t="s">
        <v>8507</v>
      </c>
      <c r="S2480" t="b">
        <v>1</v>
      </c>
      <c r="T2480" t="b">
        <v>1</v>
      </c>
      <c r="U2480" t="b">
        <v>1</v>
      </c>
      <c r="V2480" t="b">
        <v>1</v>
      </c>
      <c r="W2480" t="b">
        <v>1</v>
      </c>
      <c r="X2480" t="b">
        <v>1</v>
      </c>
      <c r="Y2480" t="b">
        <v>1</v>
      </c>
      <c r="Z2480" t="b">
        <v>1</v>
      </c>
      <c r="AA2480" t="b">
        <v>1</v>
      </c>
      <c r="AB2480" t="b">
        <v>1</v>
      </c>
      <c r="AC2480" t="b">
        <v>1</v>
      </c>
      <c r="AD2480" t="b">
        <v>1</v>
      </c>
      <c r="AE2480" t="b">
        <v>1</v>
      </c>
      <c r="AF2480" t="b">
        <v>1</v>
      </c>
      <c r="AG2480" t="b">
        <v>1</v>
      </c>
    </row>
    <row r="2481" spans="1:33" x14ac:dyDescent="0.25">
      <c r="A2481" t="s">
        <v>33</v>
      </c>
      <c r="B2481">
        <v>15</v>
      </c>
      <c r="C2481" t="b">
        <v>1</v>
      </c>
      <c r="D2481" t="s">
        <v>7968</v>
      </c>
      <c r="E2481" t="s">
        <v>8508</v>
      </c>
      <c r="F2481" t="s">
        <v>8509</v>
      </c>
      <c r="G2481" t="s">
        <v>8510</v>
      </c>
      <c r="H2481">
        <v>2480</v>
      </c>
      <c r="I2481" t="str">
        <f>IF(ISBLANK(Table1[[#This Row],[oid]]),"FALSE","TRUE")</f>
        <v>TRUE</v>
      </c>
      <c r="J2481" t="str" cm="1">
        <f t="array" ref="J2481">_xlfn.SWITCH(LEFT(Table1[[#This Row],[section]],1), "D", "Demographic", "S", "Social", "E", "Economic", "H", "Housing", "")</f>
        <v>Housing</v>
      </c>
      <c r="K2481" t="s">
        <v>8511</v>
      </c>
      <c r="L2481" t="s">
        <v>8512</v>
      </c>
      <c r="M2481" t="str">
        <f>IF(Table1[[#This Row],[used]], _xlfn.CONCAT("🆔 ", Table1[[#This Row],[variable]], ": ",Table1[[#This Row],[alias]]), "")</f>
        <v>🆔 B25004_001E: Total vacant housing units</v>
      </c>
      <c r="O2481" t="s">
        <v>39</v>
      </c>
      <c r="P2481" t="s">
        <v>8513</v>
      </c>
      <c r="Q2481" t="s">
        <v>41</v>
      </c>
      <c r="R2481" t="s">
        <v>8514</v>
      </c>
      <c r="S2481" t="b">
        <v>1</v>
      </c>
      <c r="T2481" t="b">
        <v>1</v>
      </c>
      <c r="U2481" t="b">
        <v>1</v>
      </c>
      <c r="V2481" t="b">
        <v>1</v>
      </c>
      <c r="W2481" t="b">
        <v>1</v>
      </c>
      <c r="X2481" t="b">
        <v>1</v>
      </c>
      <c r="Y2481" t="b">
        <v>1</v>
      </c>
      <c r="Z2481" t="b">
        <v>1</v>
      </c>
      <c r="AA2481" t="b">
        <v>1</v>
      </c>
      <c r="AB2481" t="b">
        <v>1</v>
      </c>
      <c r="AC2481" t="b">
        <v>1</v>
      </c>
      <c r="AD2481" t="b">
        <v>1</v>
      </c>
      <c r="AE2481" t="b">
        <v>1</v>
      </c>
      <c r="AF2481" t="b">
        <v>1</v>
      </c>
      <c r="AG2481" t="b">
        <v>1</v>
      </c>
    </row>
    <row r="2482" spans="1:33" x14ac:dyDescent="0.25">
      <c r="A2482" t="s">
        <v>33</v>
      </c>
      <c r="B2482">
        <v>15</v>
      </c>
      <c r="C2482" t="b">
        <v>1</v>
      </c>
      <c r="D2482" t="s">
        <v>7968</v>
      </c>
      <c r="E2482" t="s">
        <v>8508</v>
      </c>
      <c r="F2482" t="s">
        <v>8515</v>
      </c>
      <c r="G2482" t="s">
        <v>8516</v>
      </c>
      <c r="H2482">
        <v>2481</v>
      </c>
      <c r="I2482" t="str">
        <f>IF(ISBLANK(Table1[[#This Row],[oid]]),"FALSE","TRUE")</f>
        <v>TRUE</v>
      </c>
      <c r="J2482" t="str" cm="1">
        <f t="array" ref="J2482">_xlfn.SWITCH(LEFT(Table1[[#This Row],[section]],1), "D", "Demographic", "S", "Social", "E", "Economic", "H", "Housing", "")</f>
        <v>Housing</v>
      </c>
      <c r="K2482" t="s">
        <v>8511</v>
      </c>
      <c r="L2482" t="s">
        <v>8512</v>
      </c>
      <c r="M2482" t="str">
        <f>IF(Table1[[#This Row],[used]], _xlfn.CONCAT("🆔 ", Table1[[#This Row],[variable]], ": ",Table1[[#This Row],[alias]]), "")</f>
        <v>🆔 B25004_002E: For rent</v>
      </c>
      <c r="O2482" t="s">
        <v>8517</v>
      </c>
      <c r="P2482" t="s">
        <v>8513</v>
      </c>
      <c r="Q2482" t="s">
        <v>41</v>
      </c>
      <c r="R2482" t="s">
        <v>8518</v>
      </c>
      <c r="S2482" t="b">
        <v>1</v>
      </c>
      <c r="T2482" t="b">
        <v>1</v>
      </c>
      <c r="U2482" t="b">
        <v>1</v>
      </c>
      <c r="V2482" t="b">
        <v>1</v>
      </c>
      <c r="W2482" t="b">
        <v>1</v>
      </c>
      <c r="X2482" t="b">
        <v>1</v>
      </c>
      <c r="Y2482" t="b">
        <v>1</v>
      </c>
      <c r="Z2482" t="b">
        <v>1</v>
      </c>
      <c r="AA2482" t="b">
        <v>1</v>
      </c>
      <c r="AB2482" t="b">
        <v>1</v>
      </c>
      <c r="AC2482" t="b">
        <v>1</v>
      </c>
      <c r="AD2482" t="b">
        <v>1</v>
      </c>
      <c r="AE2482" t="b">
        <v>1</v>
      </c>
      <c r="AF2482" t="b">
        <v>1</v>
      </c>
      <c r="AG2482" t="b">
        <v>1</v>
      </c>
    </row>
    <row r="2483" spans="1:33" x14ac:dyDescent="0.25">
      <c r="A2483" t="s">
        <v>33</v>
      </c>
      <c r="B2483">
        <v>15</v>
      </c>
      <c r="C2483" t="b">
        <v>1</v>
      </c>
      <c r="D2483" t="s">
        <v>7968</v>
      </c>
      <c r="E2483" t="s">
        <v>8508</v>
      </c>
      <c r="F2483" t="s">
        <v>8519</v>
      </c>
      <c r="G2483" t="s">
        <v>8520</v>
      </c>
      <c r="H2483">
        <v>2482</v>
      </c>
      <c r="I2483" t="str">
        <f>IF(ISBLANK(Table1[[#This Row],[oid]]),"FALSE","TRUE")</f>
        <v>TRUE</v>
      </c>
      <c r="J2483" t="str" cm="1">
        <f t="array" ref="J2483">_xlfn.SWITCH(LEFT(Table1[[#This Row],[section]],1), "D", "Demographic", "S", "Social", "E", "Economic", "H", "Housing", "")</f>
        <v>Housing</v>
      </c>
      <c r="K2483" t="s">
        <v>8511</v>
      </c>
      <c r="L2483" t="s">
        <v>8512</v>
      </c>
      <c r="M2483" t="str">
        <f>IF(Table1[[#This Row],[used]], _xlfn.CONCAT("🆔 ", Table1[[#This Row],[variable]], ": ",Table1[[#This Row],[alias]]), "")</f>
        <v>🆔 B25004_003E: Rented not occupied</v>
      </c>
      <c r="O2483" t="s">
        <v>8521</v>
      </c>
      <c r="P2483" t="s">
        <v>8513</v>
      </c>
      <c r="Q2483" t="s">
        <v>41</v>
      </c>
      <c r="R2483" t="s">
        <v>8522</v>
      </c>
      <c r="S2483" t="b">
        <v>1</v>
      </c>
      <c r="T2483" t="b">
        <v>1</v>
      </c>
      <c r="U2483" t="b">
        <v>1</v>
      </c>
      <c r="V2483" t="b">
        <v>1</v>
      </c>
      <c r="W2483" t="b">
        <v>1</v>
      </c>
      <c r="X2483" t="b">
        <v>1</v>
      </c>
      <c r="Y2483" t="b">
        <v>1</v>
      </c>
      <c r="Z2483" t="b">
        <v>1</v>
      </c>
      <c r="AA2483" t="b">
        <v>1</v>
      </c>
      <c r="AB2483" t="b">
        <v>1</v>
      </c>
      <c r="AC2483" t="b">
        <v>1</v>
      </c>
      <c r="AD2483" t="b">
        <v>1</v>
      </c>
      <c r="AE2483" t="b">
        <v>1</v>
      </c>
      <c r="AF2483" t="b">
        <v>1</v>
      </c>
      <c r="AG2483" t="b">
        <v>1</v>
      </c>
    </row>
    <row r="2484" spans="1:33" x14ac:dyDescent="0.25">
      <c r="A2484" t="s">
        <v>33</v>
      </c>
      <c r="B2484">
        <v>15</v>
      </c>
      <c r="C2484" t="b">
        <v>1</v>
      </c>
      <c r="D2484" t="s">
        <v>7968</v>
      </c>
      <c r="E2484" t="s">
        <v>8508</v>
      </c>
      <c r="F2484" t="s">
        <v>8523</v>
      </c>
      <c r="G2484" t="s">
        <v>8524</v>
      </c>
      <c r="H2484">
        <v>2483</v>
      </c>
      <c r="I2484" t="str">
        <f>IF(ISBLANK(Table1[[#This Row],[oid]]),"FALSE","TRUE")</f>
        <v>TRUE</v>
      </c>
      <c r="J2484" t="str" cm="1">
        <f t="array" ref="J2484">_xlfn.SWITCH(LEFT(Table1[[#This Row],[section]],1), "D", "Demographic", "S", "Social", "E", "Economic", "H", "Housing", "")</f>
        <v>Housing</v>
      </c>
      <c r="K2484" t="s">
        <v>8511</v>
      </c>
      <c r="L2484" t="s">
        <v>8512</v>
      </c>
      <c r="M2484" t="str">
        <f>IF(Table1[[#This Row],[used]], _xlfn.CONCAT("🆔 ", Table1[[#This Row],[variable]], ": ",Table1[[#This Row],[alias]]), "")</f>
        <v>🆔 B25004_004E: For sale only</v>
      </c>
      <c r="O2484" t="s">
        <v>8525</v>
      </c>
      <c r="P2484" t="s">
        <v>8513</v>
      </c>
      <c r="Q2484" t="s">
        <v>41</v>
      </c>
      <c r="R2484" t="s">
        <v>8526</v>
      </c>
      <c r="S2484" t="b">
        <v>1</v>
      </c>
      <c r="T2484" t="b">
        <v>1</v>
      </c>
      <c r="U2484" t="b">
        <v>1</v>
      </c>
      <c r="V2484" t="b">
        <v>1</v>
      </c>
      <c r="W2484" t="b">
        <v>1</v>
      </c>
      <c r="X2484" t="b">
        <v>1</v>
      </c>
      <c r="Y2484" t="b">
        <v>1</v>
      </c>
      <c r="Z2484" t="b">
        <v>1</v>
      </c>
      <c r="AA2484" t="b">
        <v>1</v>
      </c>
      <c r="AB2484" t="b">
        <v>1</v>
      </c>
      <c r="AC2484" t="b">
        <v>1</v>
      </c>
      <c r="AD2484" t="b">
        <v>1</v>
      </c>
      <c r="AE2484" t="b">
        <v>1</v>
      </c>
      <c r="AF2484" t="b">
        <v>1</v>
      </c>
      <c r="AG2484" t="b">
        <v>1</v>
      </c>
    </row>
    <row r="2485" spans="1:33" x14ac:dyDescent="0.25">
      <c r="A2485" t="s">
        <v>33</v>
      </c>
      <c r="B2485">
        <v>15</v>
      </c>
      <c r="C2485" t="b">
        <v>1</v>
      </c>
      <c r="D2485" t="s">
        <v>7968</v>
      </c>
      <c r="E2485" t="s">
        <v>8508</v>
      </c>
      <c r="F2485" t="s">
        <v>8527</v>
      </c>
      <c r="G2485" t="s">
        <v>8528</v>
      </c>
      <c r="H2485">
        <v>2484</v>
      </c>
      <c r="I2485" t="str">
        <f>IF(ISBLANK(Table1[[#This Row],[oid]]),"FALSE","TRUE")</f>
        <v>TRUE</v>
      </c>
      <c r="J2485" t="str" cm="1">
        <f t="array" ref="J2485">_xlfn.SWITCH(LEFT(Table1[[#This Row],[section]],1), "D", "Demographic", "S", "Social", "E", "Economic", "H", "Housing", "")</f>
        <v>Housing</v>
      </c>
      <c r="K2485" t="s">
        <v>8511</v>
      </c>
      <c r="L2485" t="s">
        <v>8512</v>
      </c>
      <c r="M2485" t="str">
        <f>IF(Table1[[#This Row],[used]], _xlfn.CONCAT("🆔 ", Table1[[#This Row],[variable]], ": ",Table1[[#This Row],[alias]]), "")</f>
        <v>🆔 B25004_005E: Sold not occupied</v>
      </c>
      <c r="O2485" t="s">
        <v>8529</v>
      </c>
      <c r="P2485" t="s">
        <v>8513</v>
      </c>
      <c r="Q2485" t="s">
        <v>41</v>
      </c>
      <c r="R2485" t="s">
        <v>8530</v>
      </c>
      <c r="S2485" t="b">
        <v>1</v>
      </c>
      <c r="T2485" t="b">
        <v>1</v>
      </c>
      <c r="U2485" t="b">
        <v>1</v>
      </c>
      <c r="V2485" t="b">
        <v>1</v>
      </c>
      <c r="W2485" t="b">
        <v>1</v>
      </c>
      <c r="X2485" t="b">
        <v>1</v>
      </c>
      <c r="Y2485" t="b">
        <v>1</v>
      </c>
      <c r="Z2485" t="b">
        <v>1</v>
      </c>
      <c r="AA2485" t="b">
        <v>1</v>
      </c>
      <c r="AB2485" t="b">
        <v>1</v>
      </c>
      <c r="AC2485" t="b">
        <v>1</v>
      </c>
      <c r="AD2485" t="b">
        <v>1</v>
      </c>
      <c r="AE2485" t="b">
        <v>1</v>
      </c>
      <c r="AF2485" t="b">
        <v>1</v>
      </c>
      <c r="AG2485" t="b">
        <v>1</v>
      </c>
    </row>
    <row r="2486" spans="1:33" x14ac:dyDescent="0.25">
      <c r="A2486" t="s">
        <v>33</v>
      </c>
      <c r="B2486">
        <v>15</v>
      </c>
      <c r="C2486" t="b">
        <v>1</v>
      </c>
      <c r="D2486" t="s">
        <v>7968</v>
      </c>
      <c r="E2486" t="s">
        <v>8508</v>
      </c>
      <c r="F2486" t="s">
        <v>8531</v>
      </c>
      <c r="G2486" t="s">
        <v>8532</v>
      </c>
      <c r="H2486">
        <v>2485</v>
      </c>
      <c r="I2486" t="str">
        <f>IF(ISBLANK(Table1[[#This Row],[oid]]),"FALSE","TRUE")</f>
        <v>TRUE</v>
      </c>
      <c r="J2486" t="str" cm="1">
        <f t="array" ref="J2486">_xlfn.SWITCH(LEFT(Table1[[#This Row],[section]],1), "D", "Demographic", "S", "Social", "E", "Economic", "H", "Housing", "")</f>
        <v>Housing</v>
      </c>
      <c r="K2486" t="s">
        <v>8511</v>
      </c>
      <c r="L2486" t="s">
        <v>8512</v>
      </c>
      <c r="M2486" t="str">
        <f>IF(Table1[[#This Row],[used]], _xlfn.CONCAT("🆔 ", Table1[[#This Row],[variable]], ": ",Table1[[#This Row],[alias]]), "")</f>
        <v>🆔 B25004_006E: For seasonal recreational or occasional use</v>
      </c>
      <c r="O2486" t="s">
        <v>8533</v>
      </c>
      <c r="P2486" t="s">
        <v>8513</v>
      </c>
      <c r="Q2486" t="s">
        <v>41</v>
      </c>
      <c r="R2486" t="s">
        <v>8534</v>
      </c>
      <c r="S2486" t="b">
        <v>1</v>
      </c>
      <c r="T2486" t="b">
        <v>1</v>
      </c>
      <c r="U2486" t="b">
        <v>1</v>
      </c>
      <c r="V2486" t="b">
        <v>1</v>
      </c>
      <c r="W2486" t="b">
        <v>1</v>
      </c>
      <c r="X2486" t="b">
        <v>1</v>
      </c>
      <c r="Y2486" t="b">
        <v>1</v>
      </c>
      <c r="Z2486" t="b">
        <v>1</v>
      </c>
      <c r="AA2486" t="b">
        <v>1</v>
      </c>
      <c r="AB2486" t="b">
        <v>1</v>
      </c>
      <c r="AC2486" t="b">
        <v>1</v>
      </c>
      <c r="AD2486" t="b">
        <v>1</v>
      </c>
      <c r="AE2486" t="b">
        <v>1</v>
      </c>
      <c r="AF2486" t="b">
        <v>1</v>
      </c>
      <c r="AG2486" t="b">
        <v>1</v>
      </c>
    </row>
    <row r="2487" spans="1:33" x14ac:dyDescent="0.25">
      <c r="A2487" t="s">
        <v>33</v>
      </c>
      <c r="B2487">
        <v>15</v>
      </c>
      <c r="C2487" t="b">
        <v>1</v>
      </c>
      <c r="D2487" t="s">
        <v>7968</v>
      </c>
      <c r="E2487" t="s">
        <v>8508</v>
      </c>
      <c r="F2487" t="s">
        <v>8535</v>
      </c>
      <c r="G2487" t="s">
        <v>8536</v>
      </c>
      <c r="H2487">
        <v>2486</v>
      </c>
      <c r="I2487" t="str">
        <f>IF(ISBLANK(Table1[[#This Row],[oid]]),"FALSE","TRUE")</f>
        <v>TRUE</v>
      </c>
      <c r="J2487" t="str" cm="1">
        <f t="array" ref="J2487">_xlfn.SWITCH(LEFT(Table1[[#This Row],[section]],1), "D", "Demographic", "S", "Social", "E", "Economic", "H", "Housing", "")</f>
        <v>Housing</v>
      </c>
      <c r="K2487" t="s">
        <v>8511</v>
      </c>
      <c r="L2487" t="s">
        <v>8512</v>
      </c>
      <c r="M2487" t="str">
        <f>IF(Table1[[#This Row],[used]], _xlfn.CONCAT("🆔 ", Table1[[#This Row],[variable]], ": ",Table1[[#This Row],[alias]]), "")</f>
        <v>🆔 B25004_007E: For migrant workers</v>
      </c>
      <c r="O2487" t="s">
        <v>8537</v>
      </c>
      <c r="P2487" t="s">
        <v>8513</v>
      </c>
      <c r="Q2487" t="s">
        <v>41</v>
      </c>
      <c r="R2487" t="s">
        <v>8538</v>
      </c>
      <c r="S2487" t="b">
        <v>1</v>
      </c>
      <c r="T2487" t="b">
        <v>1</v>
      </c>
      <c r="U2487" t="b">
        <v>1</v>
      </c>
      <c r="V2487" t="b">
        <v>1</v>
      </c>
      <c r="W2487" t="b">
        <v>1</v>
      </c>
      <c r="X2487" t="b">
        <v>1</v>
      </c>
      <c r="Y2487" t="b">
        <v>1</v>
      </c>
      <c r="Z2487" t="b">
        <v>1</v>
      </c>
      <c r="AA2487" t="b">
        <v>1</v>
      </c>
      <c r="AB2487" t="b">
        <v>1</v>
      </c>
      <c r="AC2487" t="b">
        <v>1</v>
      </c>
      <c r="AD2487" t="b">
        <v>1</v>
      </c>
      <c r="AE2487" t="b">
        <v>1</v>
      </c>
      <c r="AF2487" t="b">
        <v>1</v>
      </c>
      <c r="AG2487" t="b">
        <v>1</v>
      </c>
    </row>
    <row r="2488" spans="1:33" x14ac:dyDescent="0.25">
      <c r="A2488" t="s">
        <v>33</v>
      </c>
      <c r="B2488">
        <v>15</v>
      </c>
      <c r="C2488" t="b">
        <v>1</v>
      </c>
      <c r="D2488" t="s">
        <v>7968</v>
      </c>
      <c r="E2488" t="s">
        <v>8508</v>
      </c>
      <c r="F2488" t="s">
        <v>8539</v>
      </c>
      <c r="G2488" t="s">
        <v>8540</v>
      </c>
      <c r="H2488">
        <v>2487</v>
      </c>
      <c r="I2488" t="str">
        <f>IF(ISBLANK(Table1[[#This Row],[oid]]),"FALSE","TRUE")</f>
        <v>TRUE</v>
      </c>
      <c r="J2488" t="str" cm="1">
        <f t="array" ref="J2488">_xlfn.SWITCH(LEFT(Table1[[#This Row],[section]],1), "D", "Demographic", "S", "Social", "E", "Economic", "H", "Housing", "")</f>
        <v>Housing</v>
      </c>
      <c r="K2488" t="s">
        <v>8511</v>
      </c>
      <c r="L2488" t="s">
        <v>8512</v>
      </c>
      <c r="M2488" t="str">
        <f>IF(Table1[[#This Row],[used]], _xlfn.CONCAT("🆔 ", Table1[[#This Row],[variable]], ": ",Table1[[#This Row],[alias]]), "")</f>
        <v>🆔 B25004_008E: Other vacant</v>
      </c>
      <c r="O2488" t="s">
        <v>8541</v>
      </c>
      <c r="P2488" t="s">
        <v>8513</v>
      </c>
      <c r="Q2488" t="s">
        <v>41</v>
      </c>
      <c r="R2488" t="s">
        <v>8542</v>
      </c>
      <c r="S2488" t="b">
        <v>1</v>
      </c>
      <c r="T2488" t="b">
        <v>1</v>
      </c>
      <c r="U2488" t="b">
        <v>1</v>
      </c>
      <c r="V2488" t="b">
        <v>1</v>
      </c>
      <c r="W2488" t="b">
        <v>1</v>
      </c>
      <c r="X2488" t="b">
        <v>1</v>
      </c>
      <c r="Y2488" t="b">
        <v>1</v>
      </c>
      <c r="Z2488" t="b">
        <v>1</v>
      </c>
      <c r="AA2488" t="b">
        <v>1</v>
      </c>
      <c r="AB2488" t="b">
        <v>1</v>
      </c>
      <c r="AC2488" t="b">
        <v>1</v>
      </c>
      <c r="AD2488" t="b">
        <v>1</v>
      </c>
      <c r="AE2488" t="b">
        <v>1</v>
      </c>
      <c r="AF2488" t="b">
        <v>1</v>
      </c>
      <c r="AG2488" t="b">
        <v>1</v>
      </c>
    </row>
    <row r="2489" spans="1:33" x14ac:dyDescent="0.25">
      <c r="A2489" t="s">
        <v>33</v>
      </c>
      <c r="B2489">
        <v>15</v>
      </c>
      <c r="C2489" t="b">
        <v>1</v>
      </c>
      <c r="D2489" t="s">
        <v>7968</v>
      </c>
      <c r="E2489" t="s">
        <v>8543</v>
      </c>
      <c r="F2489" t="s">
        <v>8544</v>
      </c>
      <c r="G2489" t="s">
        <v>8545</v>
      </c>
      <c r="H2489">
        <v>2488</v>
      </c>
      <c r="I2489" t="str">
        <f>IF(ISBLANK(Table1[[#This Row],[oid]]),"FALSE","TRUE")</f>
        <v>TRUE</v>
      </c>
      <c r="J2489" t="str" cm="1">
        <f t="array" ref="J2489">_xlfn.SWITCH(LEFT(Table1[[#This Row],[section]],1), "D", "Demographic", "S", "Social", "E", "Economic", "H", "Housing", "")</f>
        <v>Housing</v>
      </c>
      <c r="K2489" t="s">
        <v>8546</v>
      </c>
      <c r="L2489" t="s">
        <v>8547</v>
      </c>
      <c r="M2489" t="str">
        <f>IF(Table1[[#This Row],[used]], _xlfn.CONCAT("🆔 ", Table1[[#This Row],[variable]], ": ",Table1[[#This Row],[alias]]), "")</f>
        <v>🆔 B25006_001E: Occupied Housing Units</v>
      </c>
      <c r="O2489" t="s">
        <v>39</v>
      </c>
      <c r="P2489" t="s">
        <v>8548</v>
      </c>
      <c r="Q2489" t="s">
        <v>41</v>
      </c>
      <c r="R2489" t="s">
        <v>8549</v>
      </c>
      <c r="S2489" t="b">
        <v>1</v>
      </c>
      <c r="T2489" t="b">
        <v>1</v>
      </c>
      <c r="U2489" t="b">
        <v>1</v>
      </c>
      <c r="V2489" t="b">
        <v>1</v>
      </c>
      <c r="W2489" t="b">
        <v>1</v>
      </c>
      <c r="X2489" t="b">
        <v>1</v>
      </c>
      <c r="Y2489" t="b">
        <v>1</v>
      </c>
      <c r="Z2489" t="b">
        <v>1</v>
      </c>
      <c r="AA2489" t="b">
        <v>1</v>
      </c>
      <c r="AB2489" t="b">
        <v>1</v>
      </c>
      <c r="AC2489" t="b">
        <v>1</v>
      </c>
      <c r="AD2489" t="b">
        <v>1</v>
      </c>
      <c r="AE2489" t="b">
        <v>1</v>
      </c>
      <c r="AF2489" t="b">
        <v>1</v>
      </c>
      <c r="AG2489" t="b">
        <v>1</v>
      </c>
    </row>
    <row r="2490" spans="1:33" x14ac:dyDescent="0.25">
      <c r="A2490" t="s">
        <v>33</v>
      </c>
      <c r="B2490">
        <v>15</v>
      </c>
      <c r="C2490" t="b">
        <v>1</v>
      </c>
      <c r="D2490" t="s">
        <v>7968</v>
      </c>
      <c r="E2490" t="s">
        <v>8543</v>
      </c>
      <c r="F2490" t="s">
        <v>8550</v>
      </c>
      <c r="G2490" t="s">
        <v>8551</v>
      </c>
      <c r="H2490">
        <v>2489</v>
      </c>
      <c r="I2490" t="str">
        <f>IF(ISBLANK(Table1[[#This Row],[oid]]),"FALSE","TRUE")</f>
        <v>TRUE</v>
      </c>
      <c r="J2490" t="str" cm="1">
        <f t="array" ref="J2490">_xlfn.SWITCH(LEFT(Table1[[#This Row],[section]],1), "D", "Demographic", "S", "Social", "E", "Economic", "H", "Housing", "")</f>
        <v>Housing</v>
      </c>
      <c r="K2490" t="s">
        <v>8546</v>
      </c>
      <c r="L2490" t="s">
        <v>8547</v>
      </c>
      <c r="M2490" t="str">
        <f>IF(Table1[[#This Row],[used]], _xlfn.CONCAT("🆔 ", Table1[[#This Row],[variable]], ": ",Table1[[#This Row],[alias]]), "")</f>
        <v>🆔 B25006_002E: Householder who is White alone</v>
      </c>
      <c r="O2490" t="s">
        <v>8552</v>
      </c>
      <c r="P2490" t="s">
        <v>8548</v>
      </c>
      <c r="Q2490" t="s">
        <v>41</v>
      </c>
      <c r="R2490" t="s">
        <v>8553</v>
      </c>
      <c r="S2490" t="b">
        <v>1</v>
      </c>
      <c r="T2490" t="b">
        <v>1</v>
      </c>
      <c r="U2490" t="b">
        <v>1</v>
      </c>
      <c r="V2490" t="b">
        <v>1</v>
      </c>
      <c r="W2490" t="b">
        <v>1</v>
      </c>
      <c r="X2490" t="b">
        <v>1</v>
      </c>
      <c r="Y2490" t="b">
        <v>1</v>
      </c>
      <c r="Z2490" t="b">
        <v>1</v>
      </c>
      <c r="AA2490" t="b">
        <v>1</v>
      </c>
      <c r="AB2490" t="b">
        <v>1</v>
      </c>
      <c r="AC2490" t="b">
        <v>1</v>
      </c>
      <c r="AD2490" t="b">
        <v>1</v>
      </c>
      <c r="AE2490" t="b">
        <v>1</v>
      </c>
      <c r="AF2490" t="b">
        <v>1</v>
      </c>
      <c r="AG2490" t="b">
        <v>1</v>
      </c>
    </row>
    <row r="2491" spans="1:33" x14ac:dyDescent="0.25">
      <c r="A2491" t="s">
        <v>33</v>
      </c>
      <c r="B2491">
        <v>15</v>
      </c>
      <c r="C2491" t="b">
        <v>1</v>
      </c>
      <c r="D2491" t="s">
        <v>7968</v>
      </c>
      <c r="E2491" t="s">
        <v>8543</v>
      </c>
      <c r="F2491" t="s">
        <v>8554</v>
      </c>
      <c r="G2491" t="s">
        <v>8555</v>
      </c>
      <c r="H2491">
        <v>2490</v>
      </c>
      <c r="I2491" t="str">
        <f>IF(ISBLANK(Table1[[#This Row],[oid]]),"FALSE","TRUE")</f>
        <v>TRUE</v>
      </c>
      <c r="J2491" t="str" cm="1">
        <f t="array" ref="J2491">_xlfn.SWITCH(LEFT(Table1[[#This Row],[section]],1), "D", "Demographic", "S", "Social", "E", "Economic", "H", "Housing", "")</f>
        <v>Housing</v>
      </c>
      <c r="K2491" t="s">
        <v>8546</v>
      </c>
      <c r="L2491" t="s">
        <v>8547</v>
      </c>
      <c r="M2491" t="str">
        <f>IF(Table1[[#This Row],[used]], _xlfn.CONCAT("🆔 ", Table1[[#This Row],[variable]], ": ",Table1[[#This Row],[alias]]), "")</f>
        <v>🆔 B25006_003E: Householder who is Black or African American alone</v>
      </c>
      <c r="O2491" t="s">
        <v>8556</v>
      </c>
      <c r="P2491" t="s">
        <v>8548</v>
      </c>
      <c r="Q2491" t="s">
        <v>41</v>
      </c>
      <c r="R2491" t="s">
        <v>8557</v>
      </c>
      <c r="S2491" t="b">
        <v>1</v>
      </c>
      <c r="T2491" t="b">
        <v>1</v>
      </c>
      <c r="U2491" t="b">
        <v>1</v>
      </c>
      <c r="V2491" t="b">
        <v>1</v>
      </c>
      <c r="W2491" t="b">
        <v>1</v>
      </c>
      <c r="X2491" t="b">
        <v>1</v>
      </c>
      <c r="Y2491" t="b">
        <v>1</v>
      </c>
      <c r="Z2491" t="b">
        <v>1</v>
      </c>
      <c r="AA2491" t="b">
        <v>1</v>
      </c>
      <c r="AB2491" t="b">
        <v>1</v>
      </c>
      <c r="AC2491" t="b">
        <v>1</v>
      </c>
      <c r="AD2491" t="b">
        <v>1</v>
      </c>
      <c r="AE2491" t="b">
        <v>1</v>
      </c>
      <c r="AF2491" t="b">
        <v>1</v>
      </c>
      <c r="AG2491" t="b">
        <v>1</v>
      </c>
    </row>
    <row r="2492" spans="1:33" x14ac:dyDescent="0.25">
      <c r="A2492" t="s">
        <v>33</v>
      </c>
      <c r="B2492">
        <v>15</v>
      </c>
      <c r="C2492" t="b">
        <v>1</v>
      </c>
      <c r="D2492" t="s">
        <v>7968</v>
      </c>
      <c r="E2492" t="s">
        <v>8543</v>
      </c>
      <c r="F2492" t="s">
        <v>8558</v>
      </c>
      <c r="G2492" t="s">
        <v>8559</v>
      </c>
      <c r="H2492">
        <v>2491</v>
      </c>
      <c r="I2492" t="str">
        <f>IF(ISBLANK(Table1[[#This Row],[oid]]),"FALSE","TRUE")</f>
        <v>TRUE</v>
      </c>
      <c r="J2492" t="str" cm="1">
        <f t="array" ref="J2492">_xlfn.SWITCH(LEFT(Table1[[#This Row],[section]],1), "D", "Demographic", "S", "Social", "E", "Economic", "H", "Housing", "")</f>
        <v>Housing</v>
      </c>
      <c r="K2492" t="s">
        <v>8546</v>
      </c>
      <c r="L2492" t="s">
        <v>8547</v>
      </c>
      <c r="M2492" t="str">
        <f>IF(Table1[[#This Row],[used]], _xlfn.CONCAT("🆔 ", Table1[[#This Row],[variable]], ": ",Table1[[#This Row],[alias]]), "")</f>
        <v>🆔 B25006_004E: Householder who is American Indian and Alaska Native alone</v>
      </c>
      <c r="O2492" t="s">
        <v>8560</v>
      </c>
      <c r="P2492" t="s">
        <v>8548</v>
      </c>
      <c r="Q2492" t="s">
        <v>41</v>
      </c>
      <c r="R2492" t="s">
        <v>8561</v>
      </c>
      <c r="S2492" t="b">
        <v>1</v>
      </c>
      <c r="T2492" t="b">
        <v>1</v>
      </c>
      <c r="U2492" t="b">
        <v>1</v>
      </c>
      <c r="V2492" t="b">
        <v>1</v>
      </c>
      <c r="W2492" t="b">
        <v>1</v>
      </c>
      <c r="X2492" t="b">
        <v>1</v>
      </c>
      <c r="Y2492" t="b">
        <v>1</v>
      </c>
      <c r="Z2492" t="b">
        <v>1</v>
      </c>
      <c r="AA2492" t="b">
        <v>1</v>
      </c>
      <c r="AB2492" t="b">
        <v>1</v>
      </c>
      <c r="AC2492" t="b">
        <v>1</v>
      </c>
      <c r="AD2492" t="b">
        <v>1</v>
      </c>
      <c r="AE2492" t="b">
        <v>1</v>
      </c>
      <c r="AF2492" t="b">
        <v>1</v>
      </c>
      <c r="AG2492" t="b">
        <v>1</v>
      </c>
    </row>
    <row r="2493" spans="1:33" x14ac:dyDescent="0.25">
      <c r="A2493" t="s">
        <v>33</v>
      </c>
      <c r="B2493">
        <v>15</v>
      </c>
      <c r="C2493" t="b">
        <v>1</v>
      </c>
      <c r="D2493" t="s">
        <v>7968</v>
      </c>
      <c r="E2493" t="s">
        <v>8543</v>
      </c>
      <c r="F2493" t="s">
        <v>8562</v>
      </c>
      <c r="G2493" t="s">
        <v>8563</v>
      </c>
      <c r="H2493">
        <v>2492</v>
      </c>
      <c r="I2493" t="str">
        <f>IF(ISBLANK(Table1[[#This Row],[oid]]),"FALSE","TRUE")</f>
        <v>TRUE</v>
      </c>
      <c r="J2493" t="str" cm="1">
        <f t="array" ref="J2493">_xlfn.SWITCH(LEFT(Table1[[#This Row],[section]],1), "D", "Demographic", "S", "Social", "E", "Economic", "H", "Housing", "")</f>
        <v>Housing</v>
      </c>
      <c r="K2493" t="s">
        <v>8546</v>
      </c>
      <c r="L2493" t="s">
        <v>8547</v>
      </c>
      <c r="M2493" t="str">
        <f>IF(Table1[[#This Row],[used]], _xlfn.CONCAT("🆔 ", Table1[[#This Row],[variable]], ": ",Table1[[#This Row],[alias]]), "")</f>
        <v>🆔 B25006_005E: Householder who is Asian alone</v>
      </c>
      <c r="O2493" t="s">
        <v>8564</v>
      </c>
      <c r="P2493" t="s">
        <v>8548</v>
      </c>
      <c r="Q2493" t="s">
        <v>41</v>
      </c>
      <c r="R2493" t="s">
        <v>8565</v>
      </c>
      <c r="S2493" t="b">
        <v>1</v>
      </c>
      <c r="T2493" t="b">
        <v>1</v>
      </c>
      <c r="U2493" t="b">
        <v>1</v>
      </c>
      <c r="V2493" t="b">
        <v>1</v>
      </c>
      <c r="W2493" t="b">
        <v>1</v>
      </c>
      <c r="X2493" t="b">
        <v>1</v>
      </c>
      <c r="Y2493" t="b">
        <v>1</v>
      </c>
      <c r="Z2493" t="b">
        <v>1</v>
      </c>
      <c r="AA2493" t="b">
        <v>1</v>
      </c>
      <c r="AB2493" t="b">
        <v>1</v>
      </c>
      <c r="AC2493" t="b">
        <v>1</v>
      </c>
      <c r="AD2493" t="b">
        <v>1</v>
      </c>
      <c r="AE2493" t="b">
        <v>1</v>
      </c>
      <c r="AF2493" t="b">
        <v>1</v>
      </c>
      <c r="AG2493" t="b">
        <v>1</v>
      </c>
    </row>
    <row r="2494" spans="1:33" x14ac:dyDescent="0.25">
      <c r="A2494" t="s">
        <v>33</v>
      </c>
      <c r="B2494">
        <v>15</v>
      </c>
      <c r="C2494" t="b">
        <v>1</v>
      </c>
      <c r="D2494" t="s">
        <v>7968</v>
      </c>
      <c r="E2494" t="s">
        <v>8543</v>
      </c>
      <c r="F2494" t="s">
        <v>8566</v>
      </c>
      <c r="G2494" t="s">
        <v>8567</v>
      </c>
      <c r="H2494">
        <v>2493</v>
      </c>
      <c r="I2494" t="str">
        <f>IF(ISBLANK(Table1[[#This Row],[oid]]),"FALSE","TRUE")</f>
        <v>TRUE</v>
      </c>
      <c r="J2494" t="str" cm="1">
        <f t="array" ref="J2494">_xlfn.SWITCH(LEFT(Table1[[#This Row],[section]],1), "D", "Demographic", "S", "Social", "E", "Economic", "H", "Housing", "")</f>
        <v>Housing</v>
      </c>
      <c r="K2494" t="s">
        <v>8546</v>
      </c>
      <c r="L2494" t="s">
        <v>8547</v>
      </c>
      <c r="M2494" t="str">
        <f>IF(Table1[[#This Row],[used]], _xlfn.CONCAT("🆔 ", Table1[[#This Row],[variable]], ": ",Table1[[#This Row],[alias]]), "")</f>
        <v>🆔 B25006_006E: Householder who is Native Hawaiian and Other Pacific Islander alone</v>
      </c>
      <c r="O2494" t="s">
        <v>8568</v>
      </c>
      <c r="P2494" t="s">
        <v>8548</v>
      </c>
      <c r="Q2494" t="s">
        <v>41</v>
      </c>
      <c r="R2494" t="s">
        <v>8569</v>
      </c>
      <c r="S2494" t="b">
        <v>1</v>
      </c>
      <c r="T2494" t="b">
        <v>1</v>
      </c>
      <c r="U2494" t="b">
        <v>1</v>
      </c>
      <c r="V2494" t="b">
        <v>1</v>
      </c>
      <c r="W2494" t="b">
        <v>1</v>
      </c>
      <c r="X2494" t="b">
        <v>1</v>
      </c>
      <c r="Y2494" t="b">
        <v>1</v>
      </c>
      <c r="Z2494" t="b">
        <v>1</v>
      </c>
      <c r="AA2494" t="b">
        <v>1</v>
      </c>
      <c r="AB2494" t="b">
        <v>1</v>
      </c>
      <c r="AC2494" t="b">
        <v>1</v>
      </c>
      <c r="AD2494" t="b">
        <v>1</v>
      </c>
      <c r="AE2494" t="b">
        <v>1</v>
      </c>
      <c r="AF2494" t="b">
        <v>1</v>
      </c>
      <c r="AG2494" t="b">
        <v>1</v>
      </c>
    </row>
    <row r="2495" spans="1:33" x14ac:dyDescent="0.25">
      <c r="A2495" t="s">
        <v>33</v>
      </c>
      <c r="B2495">
        <v>15</v>
      </c>
      <c r="C2495" t="b">
        <v>1</v>
      </c>
      <c r="D2495" t="s">
        <v>7968</v>
      </c>
      <c r="E2495" t="s">
        <v>8543</v>
      </c>
      <c r="F2495" t="s">
        <v>8570</v>
      </c>
      <c r="G2495" t="s">
        <v>8571</v>
      </c>
      <c r="H2495">
        <v>2494</v>
      </c>
      <c r="I2495" t="str">
        <f>IF(ISBLANK(Table1[[#This Row],[oid]]),"FALSE","TRUE")</f>
        <v>TRUE</v>
      </c>
      <c r="J2495" t="str" cm="1">
        <f t="array" ref="J2495">_xlfn.SWITCH(LEFT(Table1[[#This Row],[section]],1), "D", "Demographic", "S", "Social", "E", "Economic", "H", "Housing", "")</f>
        <v>Housing</v>
      </c>
      <c r="K2495" t="s">
        <v>8546</v>
      </c>
      <c r="L2495" t="s">
        <v>8547</v>
      </c>
      <c r="M2495" t="str">
        <f>IF(Table1[[#This Row],[used]], _xlfn.CONCAT("🆔 ", Table1[[#This Row],[variable]], ": ",Table1[[#This Row],[alias]]), "")</f>
        <v>🆔 B25006_007E: Householder who is Some other race alone</v>
      </c>
      <c r="O2495" t="s">
        <v>8572</v>
      </c>
      <c r="P2495" t="s">
        <v>8548</v>
      </c>
      <c r="Q2495" t="s">
        <v>41</v>
      </c>
      <c r="R2495" t="s">
        <v>8573</v>
      </c>
      <c r="S2495" t="b">
        <v>1</v>
      </c>
      <c r="T2495" t="b">
        <v>1</v>
      </c>
      <c r="U2495" t="b">
        <v>1</v>
      </c>
      <c r="V2495" t="b">
        <v>1</v>
      </c>
      <c r="W2495" t="b">
        <v>1</v>
      </c>
      <c r="X2495" t="b">
        <v>1</v>
      </c>
      <c r="Y2495" t="b">
        <v>1</v>
      </c>
      <c r="Z2495" t="b">
        <v>1</v>
      </c>
      <c r="AA2495" t="b">
        <v>1</v>
      </c>
      <c r="AB2495" t="b">
        <v>1</v>
      </c>
      <c r="AC2495" t="b">
        <v>1</v>
      </c>
      <c r="AD2495" t="b">
        <v>1</v>
      </c>
      <c r="AE2495" t="b">
        <v>1</v>
      </c>
      <c r="AF2495" t="b">
        <v>1</v>
      </c>
      <c r="AG2495" t="b">
        <v>1</v>
      </c>
    </row>
    <row r="2496" spans="1:33" x14ac:dyDescent="0.25">
      <c r="A2496" t="s">
        <v>33</v>
      </c>
      <c r="B2496">
        <v>15</v>
      </c>
      <c r="C2496" t="b">
        <v>1</v>
      </c>
      <c r="D2496" t="s">
        <v>7968</v>
      </c>
      <c r="E2496" t="s">
        <v>8543</v>
      </c>
      <c r="F2496" t="s">
        <v>8574</v>
      </c>
      <c r="G2496" t="s">
        <v>8575</v>
      </c>
      <c r="H2496">
        <v>2495</v>
      </c>
      <c r="I2496" t="str">
        <f>IF(ISBLANK(Table1[[#This Row],[oid]]),"FALSE","TRUE")</f>
        <v>TRUE</v>
      </c>
      <c r="J2496" t="str" cm="1">
        <f t="array" ref="J2496">_xlfn.SWITCH(LEFT(Table1[[#This Row],[section]],1), "D", "Demographic", "S", "Social", "E", "Economic", "H", "Housing", "")</f>
        <v>Housing</v>
      </c>
      <c r="K2496" t="s">
        <v>8546</v>
      </c>
      <c r="L2496" t="s">
        <v>8547</v>
      </c>
      <c r="M2496" t="str">
        <f>IF(Table1[[#This Row],[used]], _xlfn.CONCAT("🆔 ", Table1[[#This Row],[variable]], ": ",Table1[[#This Row],[alias]]), "")</f>
        <v>🆔 B25006_008E: Householder who is Two or more races</v>
      </c>
      <c r="O2496" t="s">
        <v>8576</v>
      </c>
      <c r="P2496" t="s">
        <v>8548</v>
      </c>
      <c r="Q2496" t="s">
        <v>41</v>
      </c>
      <c r="R2496" t="s">
        <v>8577</v>
      </c>
      <c r="S2496" t="b">
        <v>1</v>
      </c>
      <c r="T2496" t="b">
        <v>1</v>
      </c>
      <c r="U2496" t="b">
        <v>1</v>
      </c>
      <c r="V2496" t="b">
        <v>1</v>
      </c>
      <c r="W2496" t="b">
        <v>1</v>
      </c>
      <c r="X2496" t="b">
        <v>1</v>
      </c>
      <c r="Y2496" t="b">
        <v>1</v>
      </c>
      <c r="Z2496" t="b">
        <v>1</v>
      </c>
      <c r="AA2496" t="b">
        <v>1</v>
      </c>
      <c r="AB2496" t="b">
        <v>1</v>
      </c>
      <c r="AC2496" t="b">
        <v>1</v>
      </c>
      <c r="AD2496" t="b">
        <v>1</v>
      </c>
      <c r="AE2496" t="b">
        <v>1</v>
      </c>
      <c r="AF2496" t="b">
        <v>1</v>
      </c>
      <c r="AG2496" t="b">
        <v>1</v>
      </c>
    </row>
    <row r="2497" spans="1:33" x14ac:dyDescent="0.25">
      <c r="A2497" t="s">
        <v>33</v>
      </c>
      <c r="B2497">
        <v>15</v>
      </c>
      <c r="C2497" t="b">
        <v>1</v>
      </c>
      <c r="D2497" t="s">
        <v>7968</v>
      </c>
      <c r="E2497" t="s">
        <v>8543</v>
      </c>
      <c r="F2497" t="s">
        <v>8578</v>
      </c>
      <c r="G2497" t="s">
        <v>8579</v>
      </c>
      <c r="H2497">
        <v>2496</v>
      </c>
      <c r="I2497" t="str">
        <f>IF(ISBLANK(Table1[[#This Row],[oid]]),"FALSE","TRUE")</f>
        <v>TRUE</v>
      </c>
      <c r="J2497" t="str" cm="1">
        <f t="array" ref="J2497">_xlfn.SWITCH(LEFT(Table1[[#This Row],[section]],1), "D", "Demographic", "S", "Social", "E", "Economic", "H", "Housing", "")</f>
        <v>Housing</v>
      </c>
      <c r="K2497" t="s">
        <v>8546</v>
      </c>
      <c r="L2497" t="s">
        <v>8547</v>
      </c>
      <c r="M2497" t="str">
        <f>IF(Table1[[#This Row],[used]], _xlfn.CONCAT("🆔 ", Table1[[#This Row],[variable]], ": ",Table1[[#This Row],[alias]]), "")</f>
        <v>🆔 B25006_009E: Householder who is Two or more races: Householder who is Two races including Some other race</v>
      </c>
      <c r="O2497" t="s">
        <v>8580</v>
      </c>
      <c r="P2497" t="s">
        <v>8548</v>
      </c>
      <c r="Q2497" t="s">
        <v>41</v>
      </c>
      <c r="R2497" t="s">
        <v>8581</v>
      </c>
      <c r="S2497" t="b">
        <v>1</v>
      </c>
      <c r="T2497" t="b">
        <v>1</v>
      </c>
      <c r="U2497" t="b">
        <v>1</v>
      </c>
      <c r="V2497" t="b">
        <v>1</v>
      </c>
      <c r="W2497" t="b">
        <v>1</v>
      </c>
      <c r="X2497" t="b">
        <v>1</v>
      </c>
      <c r="Y2497" t="b">
        <v>1</v>
      </c>
      <c r="Z2497" t="b">
        <v>1</v>
      </c>
      <c r="AA2497" t="b">
        <v>1</v>
      </c>
      <c r="AB2497" t="b">
        <v>1</v>
      </c>
      <c r="AC2497" t="b">
        <v>1</v>
      </c>
      <c r="AD2497" t="b">
        <v>1</v>
      </c>
      <c r="AE2497" t="b">
        <v>1</v>
      </c>
      <c r="AF2497" t="b">
        <v>1</v>
      </c>
      <c r="AG2497" t="b">
        <v>1</v>
      </c>
    </row>
    <row r="2498" spans="1:33" x14ac:dyDescent="0.25">
      <c r="A2498" t="s">
        <v>33</v>
      </c>
      <c r="B2498">
        <v>15</v>
      </c>
      <c r="C2498" t="b">
        <v>1</v>
      </c>
      <c r="D2498" t="s">
        <v>7968</v>
      </c>
      <c r="E2498" t="s">
        <v>8543</v>
      </c>
      <c r="F2498" t="s">
        <v>8582</v>
      </c>
      <c r="G2498" t="s">
        <v>8583</v>
      </c>
      <c r="H2498">
        <v>2497</v>
      </c>
      <c r="I2498" t="str">
        <f>IF(ISBLANK(Table1[[#This Row],[oid]]),"FALSE","TRUE")</f>
        <v>TRUE</v>
      </c>
      <c r="J2498" t="str" cm="1">
        <f t="array" ref="J2498">_xlfn.SWITCH(LEFT(Table1[[#This Row],[section]],1), "D", "Demographic", "S", "Social", "E", "Economic", "H", "Housing", "")</f>
        <v>Housing</v>
      </c>
      <c r="K2498" t="s">
        <v>8546</v>
      </c>
      <c r="L2498" t="s">
        <v>8547</v>
      </c>
      <c r="M2498" t="str">
        <f>IF(Table1[[#This Row],[used]], _xlfn.CONCAT("🆔 ", Table1[[#This Row],[variable]], ": ",Table1[[#This Row],[alias]]), "")</f>
        <v>🆔 B25006_010E: Householder who is Two or more races: Householder who is Two races excluding Some other race and three or more races</v>
      </c>
      <c r="O2498" t="s">
        <v>8584</v>
      </c>
      <c r="P2498" t="s">
        <v>8548</v>
      </c>
      <c r="Q2498" t="s">
        <v>41</v>
      </c>
      <c r="R2498" t="s">
        <v>8585</v>
      </c>
      <c r="S2498" t="b">
        <v>1</v>
      </c>
      <c r="T2498" t="b">
        <v>1</v>
      </c>
      <c r="U2498" t="b">
        <v>1</v>
      </c>
      <c r="V2498" t="b">
        <v>1</v>
      </c>
      <c r="W2498" t="b">
        <v>1</v>
      </c>
      <c r="X2498" t="b">
        <v>1</v>
      </c>
      <c r="Y2498" t="b">
        <v>1</v>
      </c>
      <c r="Z2498" t="b">
        <v>1</v>
      </c>
      <c r="AA2498" t="b">
        <v>1</v>
      </c>
      <c r="AB2498" t="b">
        <v>1</v>
      </c>
      <c r="AC2498" t="b">
        <v>1</v>
      </c>
      <c r="AD2498" t="b">
        <v>1</v>
      </c>
      <c r="AE2498" t="b">
        <v>1</v>
      </c>
      <c r="AF2498" t="b">
        <v>1</v>
      </c>
      <c r="AG2498" t="b">
        <v>1</v>
      </c>
    </row>
    <row r="2499" spans="1:33" x14ac:dyDescent="0.25">
      <c r="A2499" t="s">
        <v>33</v>
      </c>
      <c r="B2499">
        <v>15</v>
      </c>
      <c r="C2499" t="b">
        <v>1</v>
      </c>
      <c r="D2499" t="s">
        <v>7968</v>
      </c>
      <c r="E2499" t="s">
        <v>8586</v>
      </c>
      <c r="F2499" t="s">
        <v>8587</v>
      </c>
      <c r="G2499" t="s">
        <v>8545</v>
      </c>
      <c r="H2499">
        <v>2498</v>
      </c>
      <c r="I2499" t="str">
        <f>IF(ISBLANK(Table1[[#This Row],[oid]]),"FALSE","TRUE")</f>
        <v>TRUE</v>
      </c>
      <c r="J2499" t="str" cm="1">
        <f t="array" ref="J2499">_xlfn.SWITCH(LEFT(Table1[[#This Row],[section]],1), "D", "Demographic", "S", "Social", "E", "Economic", "H", "Housing", "")</f>
        <v>Housing</v>
      </c>
      <c r="K2499" t="s">
        <v>8588</v>
      </c>
      <c r="L2499" t="s">
        <v>8589</v>
      </c>
      <c r="M2499" t="str">
        <f>IF(Table1[[#This Row],[used]], _xlfn.CONCAT("🆔 ", Table1[[#This Row],[variable]], ": ",Table1[[#This Row],[alias]]), "")</f>
        <v>🆔 B25038_001E: Occupied Housing Units</v>
      </c>
      <c r="O2499" t="s">
        <v>39</v>
      </c>
      <c r="P2499" t="s">
        <v>8590</v>
      </c>
      <c r="Q2499" t="s">
        <v>41</v>
      </c>
      <c r="R2499" t="s">
        <v>8591</v>
      </c>
      <c r="S2499" t="b">
        <v>1</v>
      </c>
      <c r="T2499" t="b">
        <v>1</v>
      </c>
      <c r="U2499" t="b">
        <v>1</v>
      </c>
      <c r="V2499" t="b">
        <v>1</v>
      </c>
      <c r="W2499" t="b">
        <v>1</v>
      </c>
      <c r="X2499" t="b">
        <v>1</v>
      </c>
      <c r="Y2499" t="b">
        <v>1</v>
      </c>
      <c r="Z2499" t="b">
        <v>1</v>
      </c>
      <c r="AA2499" t="b">
        <v>1</v>
      </c>
      <c r="AB2499" t="b">
        <v>1</v>
      </c>
      <c r="AC2499" t="b">
        <v>1</v>
      </c>
      <c r="AD2499" t="b">
        <v>1</v>
      </c>
      <c r="AE2499" t="b">
        <v>1</v>
      </c>
      <c r="AF2499" t="b">
        <v>1</v>
      </c>
      <c r="AG2499" t="b">
        <v>1</v>
      </c>
    </row>
    <row r="2500" spans="1:33" x14ac:dyDescent="0.25">
      <c r="A2500" t="s">
        <v>33</v>
      </c>
      <c r="B2500">
        <v>15</v>
      </c>
      <c r="C2500" t="b">
        <v>1</v>
      </c>
      <c r="D2500" t="s">
        <v>7968</v>
      </c>
      <c r="E2500" t="s">
        <v>8586</v>
      </c>
      <c r="F2500" t="s">
        <v>8592</v>
      </c>
      <c r="G2500" t="s">
        <v>7991</v>
      </c>
      <c r="H2500">
        <v>2499</v>
      </c>
      <c r="I2500" t="str">
        <f>IF(ISBLANK(Table1[[#This Row],[oid]]),"FALSE","TRUE")</f>
        <v>TRUE</v>
      </c>
      <c r="J2500" t="str" cm="1">
        <f t="array" ref="J2500">_xlfn.SWITCH(LEFT(Table1[[#This Row],[section]],1), "D", "Demographic", "S", "Social", "E", "Economic", "H", "Housing", "")</f>
        <v>Housing</v>
      </c>
      <c r="K2500" t="s">
        <v>8588</v>
      </c>
      <c r="L2500" t="s">
        <v>8589</v>
      </c>
      <c r="M2500" t="str">
        <f>IF(Table1[[#This Row],[used]], _xlfn.CONCAT("🆔 ", Table1[[#This Row],[variable]], ": ",Table1[[#This Row],[alias]]), "")</f>
        <v>🆔 B25038_002E: Owner occupied</v>
      </c>
      <c r="O2500" t="s">
        <v>7992</v>
      </c>
      <c r="P2500" t="s">
        <v>8590</v>
      </c>
      <c r="Q2500" t="s">
        <v>41</v>
      </c>
      <c r="R2500" t="s">
        <v>8593</v>
      </c>
      <c r="S2500" t="b">
        <v>1</v>
      </c>
      <c r="T2500" t="b">
        <v>1</v>
      </c>
      <c r="U2500" t="b">
        <v>1</v>
      </c>
      <c r="V2500" t="b">
        <v>1</v>
      </c>
      <c r="W2500" t="b">
        <v>1</v>
      </c>
      <c r="X2500" t="b">
        <v>1</v>
      </c>
      <c r="Y2500" t="b">
        <v>1</v>
      </c>
      <c r="Z2500" t="b">
        <v>1</v>
      </c>
      <c r="AA2500" t="b">
        <v>1</v>
      </c>
      <c r="AB2500" t="b">
        <v>1</v>
      </c>
      <c r="AC2500" t="b">
        <v>1</v>
      </c>
      <c r="AD2500" t="b">
        <v>1</v>
      </c>
      <c r="AE2500" t="b">
        <v>1</v>
      </c>
      <c r="AF2500" t="b">
        <v>1</v>
      </c>
      <c r="AG2500" t="b">
        <v>1</v>
      </c>
    </row>
    <row r="2501" spans="1:33" x14ac:dyDescent="0.25">
      <c r="A2501" t="s">
        <v>32</v>
      </c>
      <c r="B2501">
        <v>1</v>
      </c>
      <c r="C2501" t="b">
        <v>0</v>
      </c>
      <c r="D2501" t="s">
        <v>7968</v>
      </c>
      <c r="E2501" t="s">
        <v>8586</v>
      </c>
      <c r="F2501" t="s">
        <v>8594</v>
      </c>
      <c r="G2501" t="s">
        <v>8595</v>
      </c>
      <c r="H2501">
        <v>2500</v>
      </c>
      <c r="I2501" t="str">
        <f>IF(ISBLANK(Table1[[#This Row],[oid]]),"FALSE","TRUE")</f>
        <v>TRUE</v>
      </c>
      <c r="J2501" t="str" cm="1">
        <f t="array" ref="J2501">_xlfn.SWITCH(LEFT(Table1[[#This Row],[section]],1), "D", "Demographic", "S", "Social", "E", "Economic", "H", "Housing", "")</f>
        <v>Housing</v>
      </c>
      <c r="K2501" t="s">
        <v>8588</v>
      </c>
      <c r="L2501" t="s">
        <v>8589</v>
      </c>
      <c r="M2501" t="str">
        <f>IF(Table1[[#This Row],[used]], _xlfn.CONCAT("🆔 ", Table1[[#This Row],[variable]], ": ",Table1[[#This Row],[alias]]), "")</f>
        <v>🆔 B25038_003E: Owner occupied: Moved in 2023 or later</v>
      </c>
      <c r="O2501" t="s">
        <v>8596</v>
      </c>
      <c r="P2501" t="s">
        <v>8597</v>
      </c>
      <c r="Q2501" t="s">
        <v>41</v>
      </c>
      <c r="R2501" t="s">
        <v>8598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1</v>
      </c>
    </row>
    <row r="2502" spans="1:33" x14ac:dyDescent="0.25">
      <c r="A2502" t="s">
        <v>838</v>
      </c>
      <c r="B2502">
        <v>2</v>
      </c>
      <c r="C2502" t="b">
        <v>0</v>
      </c>
      <c r="D2502" t="s">
        <v>7968</v>
      </c>
      <c r="E2502" t="s">
        <v>8586</v>
      </c>
      <c r="F2502" t="s">
        <v>8594</v>
      </c>
      <c r="G2502" t="s">
        <v>8599</v>
      </c>
      <c r="H2502">
        <v>2501</v>
      </c>
      <c r="I2502" t="str">
        <f>IF(ISBLANK(Table1[[#This Row],[oid]]),"FALSE","TRUE")</f>
        <v>TRUE</v>
      </c>
      <c r="J2502" t="str" cm="1">
        <f t="array" ref="J2502">_xlfn.SWITCH(LEFT(Table1[[#This Row],[section]],1), "D", "Demographic", "S", "Social", "E", "Economic", "H", "Housing", "")</f>
        <v>Housing</v>
      </c>
      <c r="K2502" t="s">
        <v>8588</v>
      </c>
      <c r="L2502" t="s">
        <v>8589</v>
      </c>
      <c r="M2502" t="str">
        <f>IF(Table1[[#This Row],[used]], _xlfn.CONCAT("🆔 ", Table1[[#This Row],[variable]], ": ",Table1[[#This Row],[alias]]), "")</f>
        <v>🆔 B25038_003E: Owner occupied: Moved in 2005 or later</v>
      </c>
      <c r="O2502" t="s">
        <v>8600</v>
      </c>
      <c r="P2502" t="s">
        <v>8590</v>
      </c>
      <c r="Q2502" t="s">
        <v>41</v>
      </c>
      <c r="R2502" t="s">
        <v>8598</v>
      </c>
      <c r="S2502" t="b">
        <v>1</v>
      </c>
      <c r="T2502" t="b">
        <v>1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</row>
    <row r="2503" spans="1:33" x14ac:dyDescent="0.25">
      <c r="A2503" t="s">
        <v>8105</v>
      </c>
      <c r="B2503">
        <v>3</v>
      </c>
      <c r="C2503" t="b">
        <v>0</v>
      </c>
      <c r="D2503" t="s">
        <v>7968</v>
      </c>
      <c r="E2503" t="s">
        <v>8586</v>
      </c>
      <c r="F2503" t="s">
        <v>8594</v>
      </c>
      <c r="G2503" t="s">
        <v>8601</v>
      </c>
      <c r="H2503">
        <v>2502</v>
      </c>
      <c r="I2503" t="str">
        <f>IF(ISBLANK(Table1[[#This Row],[oid]]),"FALSE","TRUE")</f>
        <v>TRUE</v>
      </c>
      <c r="J2503" t="str" cm="1">
        <f t="array" ref="J2503">_xlfn.SWITCH(LEFT(Table1[[#This Row],[section]],1), "D", "Demographic", "S", "Social", "E", "Economic", "H", "Housing", "")</f>
        <v>Housing</v>
      </c>
      <c r="K2503" t="s">
        <v>8588</v>
      </c>
      <c r="L2503" t="s">
        <v>8589</v>
      </c>
      <c r="M2503" t="str">
        <f>IF(Table1[[#This Row],[used]], _xlfn.CONCAT("🆔 ", Table1[[#This Row],[variable]], ": ",Table1[[#This Row],[alias]]), "")</f>
        <v>🆔 B25038_003E: Owner occupied: Moved in 2010 or later</v>
      </c>
      <c r="O2503" t="s">
        <v>8602</v>
      </c>
      <c r="P2503" t="s">
        <v>8590</v>
      </c>
      <c r="Q2503" t="s">
        <v>41</v>
      </c>
      <c r="R2503" t="s">
        <v>8598</v>
      </c>
      <c r="S2503" t="b">
        <v>0</v>
      </c>
      <c r="T2503" t="b">
        <v>0</v>
      </c>
      <c r="U2503" t="b">
        <v>1</v>
      </c>
      <c r="V2503" t="b">
        <v>1</v>
      </c>
      <c r="W2503" t="b">
        <v>1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</row>
    <row r="2504" spans="1:33" x14ac:dyDescent="0.25">
      <c r="A2504" t="s">
        <v>8603</v>
      </c>
      <c r="B2504">
        <v>3</v>
      </c>
      <c r="C2504" t="b">
        <v>0</v>
      </c>
      <c r="D2504" t="s">
        <v>7968</v>
      </c>
      <c r="E2504" t="s">
        <v>8586</v>
      </c>
      <c r="F2504" t="s">
        <v>8594</v>
      </c>
      <c r="G2504" t="s">
        <v>8604</v>
      </c>
      <c r="H2504">
        <v>2503</v>
      </c>
      <c r="I2504" t="str">
        <f>IF(ISBLANK(Table1[[#This Row],[oid]]),"FALSE","TRUE")</f>
        <v>TRUE</v>
      </c>
      <c r="J2504" t="str" cm="1">
        <f t="array" ref="J2504">_xlfn.SWITCH(LEFT(Table1[[#This Row],[section]],1), "D", "Demographic", "S", "Social", "E", "Economic", "H", "Housing", "")</f>
        <v>Housing</v>
      </c>
      <c r="K2504" t="s">
        <v>8588</v>
      </c>
      <c r="L2504" t="s">
        <v>8589</v>
      </c>
      <c r="M2504" t="str">
        <f>IF(Table1[[#This Row],[used]], _xlfn.CONCAT("🆔 ", Table1[[#This Row],[variable]], ": ",Table1[[#This Row],[alias]]), "")</f>
        <v>🆔 B25038_003E: Owner occupied: Moved in 2015 or later</v>
      </c>
      <c r="O2504" t="s">
        <v>8605</v>
      </c>
      <c r="P2504" t="s">
        <v>8590</v>
      </c>
      <c r="Q2504" t="s">
        <v>41</v>
      </c>
      <c r="R2504" t="s">
        <v>8598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  <c r="X2504" t="b">
        <v>1</v>
      </c>
      <c r="Y2504" t="b">
        <v>1</v>
      </c>
      <c r="Z2504" t="b">
        <v>1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</row>
    <row r="2505" spans="1:33" x14ac:dyDescent="0.25">
      <c r="A2505" t="s">
        <v>8606</v>
      </c>
      <c r="B2505">
        <v>2</v>
      </c>
      <c r="C2505" t="b">
        <v>0</v>
      </c>
      <c r="D2505" t="s">
        <v>7968</v>
      </c>
      <c r="E2505" t="s">
        <v>8586</v>
      </c>
      <c r="F2505" t="s">
        <v>8594</v>
      </c>
      <c r="G2505" t="s">
        <v>8607</v>
      </c>
      <c r="H2505">
        <v>2504</v>
      </c>
      <c r="I2505" t="str">
        <f>IF(ISBLANK(Table1[[#This Row],[oid]]),"FALSE","TRUE")</f>
        <v>TRUE</v>
      </c>
      <c r="J2505" t="str" cm="1">
        <f t="array" ref="J2505">_xlfn.SWITCH(LEFT(Table1[[#This Row],[section]],1), "D", "Demographic", "S", "Social", "E", "Economic", "H", "Housing", "")</f>
        <v>Housing</v>
      </c>
      <c r="K2505" t="s">
        <v>8588</v>
      </c>
      <c r="L2505" t="s">
        <v>8589</v>
      </c>
      <c r="M2505" t="str">
        <f>IF(Table1[[#This Row],[used]], _xlfn.CONCAT("🆔 ", Table1[[#This Row],[variable]], ": ",Table1[[#This Row],[alias]]), "")</f>
        <v>🆔 B25038_003E: Owner occupied: Moved in 2017 or later</v>
      </c>
      <c r="O2505" t="s">
        <v>8608</v>
      </c>
      <c r="P2505" t="s">
        <v>8590</v>
      </c>
      <c r="Q2505" t="s">
        <v>41</v>
      </c>
      <c r="R2505" t="s">
        <v>8598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1</v>
      </c>
      <c r="AB2505" t="b">
        <v>1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</row>
    <row r="2506" spans="1:33" x14ac:dyDescent="0.25">
      <c r="A2506" t="s">
        <v>8609</v>
      </c>
      <c r="B2506">
        <v>2</v>
      </c>
      <c r="C2506" t="b">
        <v>0</v>
      </c>
      <c r="D2506" t="s">
        <v>7968</v>
      </c>
      <c r="E2506" t="s">
        <v>8586</v>
      </c>
      <c r="F2506" t="s">
        <v>8594</v>
      </c>
      <c r="G2506" t="s">
        <v>8610</v>
      </c>
      <c r="H2506">
        <v>2505</v>
      </c>
      <c r="I2506" t="str">
        <f>IF(ISBLANK(Table1[[#This Row],[oid]]),"FALSE","TRUE")</f>
        <v>TRUE</v>
      </c>
      <c r="J2506" t="str" cm="1">
        <f t="array" ref="J2506">_xlfn.SWITCH(LEFT(Table1[[#This Row],[section]],1), "D", "Demographic", "S", "Social", "E", "Economic", "H", "Housing", "")</f>
        <v>Housing</v>
      </c>
      <c r="K2506" t="s">
        <v>8588</v>
      </c>
      <c r="L2506" t="s">
        <v>8589</v>
      </c>
      <c r="M2506" t="str">
        <f>IF(Table1[[#This Row],[used]], _xlfn.CONCAT("🆔 ", Table1[[#This Row],[variable]], ": ",Table1[[#This Row],[alias]]), "")</f>
        <v>🆔 B25038_003E: Owner occupied: Moved in 2019 or later</v>
      </c>
      <c r="O2506" t="s">
        <v>8611</v>
      </c>
      <c r="P2506" t="s">
        <v>8590</v>
      </c>
      <c r="Q2506" t="s">
        <v>41</v>
      </c>
      <c r="R2506" t="s">
        <v>8598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1</v>
      </c>
      <c r="AD2506" t="b">
        <v>1</v>
      </c>
      <c r="AE2506" t="b">
        <v>0</v>
      </c>
      <c r="AF2506" t="b">
        <v>0</v>
      </c>
      <c r="AG2506" t="b">
        <v>0</v>
      </c>
    </row>
    <row r="2507" spans="1:33" x14ac:dyDescent="0.25">
      <c r="A2507" t="s">
        <v>8612</v>
      </c>
      <c r="B2507">
        <v>2</v>
      </c>
      <c r="C2507" t="b">
        <v>0</v>
      </c>
      <c r="D2507" t="s">
        <v>7968</v>
      </c>
      <c r="E2507" t="s">
        <v>8586</v>
      </c>
      <c r="F2507" t="s">
        <v>8594</v>
      </c>
      <c r="G2507" t="s">
        <v>8613</v>
      </c>
      <c r="H2507">
        <v>2506</v>
      </c>
      <c r="I2507" t="str">
        <f>IF(ISBLANK(Table1[[#This Row],[oid]]),"FALSE","TRUE")</f>
        <v>TRUE</v>
      </c>
      <c r="J2507" t="str" cm="1">
        <f t="array" ref="J2507">_xlfn.SWITCH(LEFT(Table1[[#This Row],[section]],1), "D", "Demographic", "S", "Social", "E", "Economic", "H", "Housing", "")</f>
        <v>Housing</v>
      </c>
      <c r="K2507" t="s">
        <v>8588</v>
      </c>
      <c r="L2507" t="s">
        <v>8589</v>
      </c>
      <c r="M2507" t="str">
        <f>IF(Table1[[#This Row],[used]], _xlfn.CONCAT("🆔 ", Table1[[#This Row],[variable]], ": ",Table1[[#This Row],[alias]]), "")</f>
        <v>🆔 B25038_003E: Owner occupied: Moved in 2021 or later</v>
      </c>
      <c r="O2507" t="s">
        <v>8614</v>
      </c>
      <c r="P2507" t="s">
        <v>8597</v>
      </c>
      <c r="Q2507" t="s">
        <v>41</v>
      </c>
      <c r="R2507" t="s">
        <v>8598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1</v>
      </c>
      <c r="AF2507" t="b">
        <v>1</v>
      </c>
      <c r="AG2507" t="b">
        <v>0</v>
      </c>
    </row>
    <row r="2508" spans="1:33" x14ac:dyDescent="0.25">
      <c r="A2508" t="s">
        <v>32</v>
      </c>
      <c r="B2508">
        <v>1</v>
      </c>
      <c r="C2508" t="b">
        <v>0</v>
      </c>
      <c r="D2508" t="s">
        <v>7968</v>
      </c>
      <c r="E2508" t="s">
        <v>8586</v>
      </c>
      <c r="F2508" t="s">
        <v>8615</v>
      </c>
      <c r="G2508" t="s">
        <v>8616</v>
      </c>
      <c r="H2508">
        <v>2507</v>
      </c>
      <c r="I2508" t="str">
        <f>IF(ISBLANK(Table1[[#This Row],[oid]]),"FALSE","TRUE")</f>
        <v>TRUE</v>
      </c>
      <c r="J2508" t="str" cm="1">
        <f t="array" ref="J2508">_xlfn.SWITCH(LEFT(Table1[[#This Row],[section]],1), "D", "Demographic", "S", "Social", "E", "Economic", "H", "Housing", "")</f>
        <v>Housing</v>
      </c>
      <c r="K2508" t="s">
        <v>8588</v>
      </c>
      <c r="L2508" t="s">
        <v>8589</v>
      </c>
      <c r="M2508" t="str">
        <f>IF(Table1[[#This Row],[used]], _xlfn.CONCAT("🆔 ", Table1[[#This Row],[variable]], ": ",Table1[[#This Row],[alias]]), "")</f>
        <v>🆔 B25038_004E: Owner occupied: Moved in 2020 to 2022</v>
      </c>
      <c r="O2508" t="s">
        <v>8617</v>
      </c>
      <c r="P2508" t="s">
        <v>8597</v>
      </c>
      <c r="Q2508" t="s">
        <v>41</v>
      </c>
      <c r="R2508" t="s">
        <v>8618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1</v>
      </c>
    </row>
    <row r="2509" spans="1:33" x14ac:dyDescent="0.25">
      <c r="A2509" t="s">
        <v>838</v>
      </c>
      <c r="B2509">
        <v>2</v>
      </c>
      <c r="C2509" t="b">
        <v>0</v>
      </c>
      <c r="D2509" t="s">
        <v>7968</v>
      </c>
      <c r="E2509" t="s">
        <v>8586</v>
      </c>
      <c r="F2509" t="s">
        <v>8615</v>
      </c>
      <c r="G2509" t="s">
        <v>8619</v>
      </c>
      <c r="H2509">
        <v>2508</v>
      </c>
      <c r="I2509" t="str">
        <f>IF(ISBLANK(Table1[[#This Row],[oid]]),"FALSE","TRUE")</f>
        <v>TRUE</v>
      </c>
      <c r="J2509" t="str" cm="1">
        <f t="array" ref="J2509">_xlfn.SWITCH(LEFT(Table1[[#This Row],[section]],1), "D", "Demographic", "S", "Social", "E", "Economic", "H", "Housing", "")</f>
        <v>Housing</v>
      </c>
      <c r="K2509" t="s">
        <v>8588</v>
      </c>
      <c r="L2509" t="s">
        <v>8589</v>
      </c>
      <c r="M2509" t="str">
        <f>IF(Table1[[#This Row],[used]], _xlfn.CONCAT("🆔 ", Table1[[#This Row],[variable]], ": ",Table1[[#This Row],[alias]]), "")</f>
        <v>🆔 B25038_004E: Owner occupied: Moved in 2000 to 2004</v>
      </c>
      <c r="O2509" t="s">
        <v>8620</v>
      </c>
      <c r="P2509" t="s">
        <v>8590</v>
      </c>
      <c r="Q2509" t="s">
        <v>41</v>
      </c>
      <c r="R2509" t="s">
        <v>8618</v>
      </c>
      <c r="S2509" t="b">
        <v>1</v>
      </c>
      <c r="T2509" t="b">
        <v>1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</row>
    <row r="2510" spans="1:33" x14ac:dyDescent="0.25">
      <c r="A2510" t="s">
        <v>8105</v>
      </c>
      <c r="B2510">
        <v>3</v>
      </c>
      <c r="C2510" t="b">
        <v>0</v>
      </c>
      <c r="D2510" t="s">
        <v>7968</v>
      </c>
      <c r="E2510" t="s">
        <v>8586</v>
      </c>
      <c r="F2510" t="s">
        <v>8615</v>
      </c>
      <c r="G2510" t="s">
        <v>8621</v>
      </c>
      <c r="H2510">
        <v>2509</v>
      </c>
      <c r="I2510" t="str">
        <f>IF(ISBLANK(Table1[[#This Row],[oid]]),"FALSE","TRUE")</f>
        <v>TRUE</v>
      </c>
      <c r="J2510" t="str" cm="1">
        <f t="array" ref="J2510">_xlfn.SWITCH(LEFT(Table1[[#This Row],[section]],1), "D", "Demographic", "S", "Social", "E", "Economic", "H", "Housing", "")</f>
        <v>Housing</v>
      </c>
      <c r="K2510" t="s">
        <v>8588</v>
      </c>
      <c r="L2510" t="s">
        <v>8589</v>
      </c>
      <c r="M2510" t="str">
        <f>IF(Table1[[#This Row],[used]], _xlfn.CONCAT("🆔 ", Table1[[#This Row],[variable]], ": ",Table1[[#This Row],[alias]]), "")</f>
        <v>🆔 B25038_004E: Owner occupied: Moved in 2000 to 2009</v>
      </c>
      <c r="O2510" t="s">
        <v>8622</v>
      </c>
      <c r="P2510" t="s">
        <v>8590</v>
      </c>
      <c r="Q2510" t="s">
        <v>41</v>
      </c>
      <c r="R2510" t="s">
        <v>8618</v>
      </c>
      <c r="S2510" t="b">
        <v>0</v>
      </c>
      <c r="T2510" t="b">
        <v>0</v>
      </c>
      <c r="U2510" t="b">
        <v>1</v>
      </c>
      <c r="V2510" t="b">
        <v>1</v>
      </c>
      <c r="W2510" t="b">
        <v>1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G2510" t="b">
        <v>0</v>
      </c>
    </row>
    <row r="2511" spans="1:33" x14ac:dyDescent="0.25">
      <c r="A2511" t="s">
        <v>8603</v>
      </c>
      <c r="B2511">
        <v>3</v>
      </c>
      <c r="C2511" t="b">
        <v>0</v>
      </c>
      <c r="D2511" t="s">
        <v>7968</v>
      </c>
      <c r="E2511" t="s">
        <v>8586</v>
      </c>
      <c r="F2511" t="s">
        <v>8615</v>
      </c>
      <c r="G2511" t="s">
        <v>8623</v>
      </c>
      <c r="H2511">
        <v>2510</v>
      </c>
      <c r="I2511" t="str">
        <f>IF(ISBLANK(Table1[[#This Row],[oid]]),"FALSE","TRUE")</f>
        <v>TRUE</v>
      </c>
      <c r="J2511" t="str" cm="1">
        <f t="array" ref="J2511">_xlfn.SWITCH(LEFT(Table1[[#This Row],[section]],1), "D", "Demographic", "S", "Social", "E", "Economic", "H", "Housing", "")</f>
        <v>Housing</v>
      </c>
      <c r="K2511" t="s">
        <v>8588</v>
      </c>
      <c r="L2511" t="s">
        <v>8589</v>
      </c>
      <c r="M2511" t="str">
        <f>IF(Table1[[#This Row],[used]], _xlfn.CONCAT("🆔 ", Table1[[#This Row],[variable]], ": ",Table1[[#This Row],[alias]]), "")</f>
        <v>🆔 B25038_004E: Owner occupied: Moved in 2010 to 2014</v>
      </c>
      <c r="O2511" t="s">
        <v>8624</v>
      </c>
      <c r="P2511" t="s">
        <v>8590</v>
      </c>
      <c r="Q2511" t="s">
        <v>41</v>
      </c>
      <c r="R2511" t="s">
        <v>8618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1</v>
      </c>
      <c r="Y2511" t="b">
        <v>1</v>
      </c>
      <c r="Z2511" t="b">
        <v>1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</row>
    <row r="2512" spans="1:33" x14ac:dyDescent="0.25">
      <c r="A2512" t="s">
        <v>8606</v>
      </c>
      <c r="B2512">
        <v>2</v>
      </c>
      <c r="C2512" t="b">
        <v>0</v>
      </c>
      <c r="D2512" t="s">
        <v>7968</v>
      </c>
      <c r="E2512" t="s">
        <v>8586</v>
      </c>
      <c r="F2512" t="s">
        <v>8615</v>
      </c>
      <c r="G2512" t="s">
        <v>8625</v>
      </c>
      <c r="H2512">
        <v>2511</v>
      </c>
      <c r="I2512" t="str">
        <f>IF(ISBLANK(Table1[[#This Row],[oid]]),"FALSE","TRUE")</f>
        <v>TRUE</v>
      </c>
      <c r="J2512" t="str" cm="1">
        <f t="array" ref="J2512">_xlfn.SWITCH(LEFT(Table1[[#This Row],[section]],1), "D", "Demographic", "S", "Social", "E", "Economic", "H", "Housing", "")</f>
        <v>Housing</v>
      </c>
      <c r="K2512" t="s">
        <v>8588</v>
      </c>
      <c r="L2512" t="s">
        <v>8589</v>
      </c>
      <c r="M2512" t="str">
        <f>IF(Table1[[#This Row],[used]], _xlfn.CONCAT("🆔 ", Table1[[#This Row],[variable]], ": ",Table1[[#This Row],[alias]]), "")</f>
        <v>🆔 B25038_004E: Owner occupied: Moved in 2015 to 2016</v>
      </c>
      <c r="O2512" t="s">
        <v>8626</v>
      </c>
      <c r="P2512" t="s">
        <v>8590</v>
      </c>
      <c r="Q2512" t="s">
        <v>41</v>
      </c>
      <c r="R2512" t="s">
        <v>8618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1</v>
      </c>
      <c r="AB2512" t="b">
        <v>1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</row>
    <row r="2513" spans="1:33" x14ac:dyDescent="0.25">
      <c r="A2513" t="s">
        <v>8609</v>
      </c>
      <c r="B2513">
        <v>2</v>
      </c>
      <c r="C2513" t="b">
        <v>0</v>
      </c>
      <c r="D2513" t="s">
        <v>7968</v>
      </c>
      <c r="E2513" t="s">
        <v>8586</v>
      </c>
      <c r="F2513" t="s">
        <v>8615</v>
      </c>
      <c r="G2513" t="s">
        <v>8627</v>
      </c>
      <c r="H2513">
        <v>2512</v>
      </c>
      <c r="I2513" t="str">
        <f>IF(ISBLANK(Table1[[#This Row],[oid]]),"FALSE","TRUE")</f>
        <v>TRUE</v>
      </c>
      <c r="J2513" t="str" cm="1">
        <f t="array" ref="J2513">_xlfn.SWITCH(LEFT(Table1[[#This Row],[section]],1), "D", "Demographic", "S", "Social", "E", "Economic", "H", "Housing", "")</f>
        <v>Housing</v>
      </c>
      <c r="K2513" t="s">
        <v>8588</v>
      </c>
      <c r="L2513" t="s">
        <v>8589</v>
      </c>
      <c r="M2513" t="str">
        <f>IF(Table1[[#This Row],[used]], _xlfn.CONCAT("🆔 ", Table1[[#This Row],[variable]], ": ",Table1[[#This Row],[alias]]), "")</f>
        <v>🆔 B25038_004E: Owner occupied: Moved in 2015 to 2018</v>
      </c>
      <c r="O2513" t="s">
        <v>8628</v>
      </c>
      <c r="P2513" t="s">
        <v>8590</v>
      </c>
      <c r="Q2513" t="s">
        <v>41</v>
      </c>
      <c r="R2513" t="s">
        <v>8618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1</v>
      </c>
      <c r="AD2513" t="b">
        <v>1</v>
      </c>
      <c r="AE2513" t="b">
        <v>0</v>
      </c>
      <c r="AF2513" t="b">
        <v>0</v>
      </c>
      <c r="AG2513" t="b">
        <v>0</v>
      </c>
    </row>
    <row r="2514" spans="1:33" x14ac:dyDescent="0.25">
      <c r="A2514" t="s">
        <v>8612</v>
      </c>
      <c r="B2514">
        <v>2</v>
      </c>
      <c r="C2514" t="b">
        <v>0</v>
      </c>
      <c r="D2514" t="s">
        <v>7968</v>
      </c>
      <c r="E2514" t="s">
        <v>8586</v>
      </c>
      <c r="F2514" t="s">
        <v>8615</v>
      </c>
      <c r="G2514" t="s">
        <v>8629</v>
      </c>
      <c r="H2514">
        <v>2513</v>
      </c>
      <c r="I2514" t="str">
        <f>IF(ISBLANK(Table1[[#This Row],[oid]]),"FALSE","TRUE")</f>
        <v>TRUE</v>
      </c>
      <c r="J2514" t="str" cm="1">
        <f t="array" ref="J2514">_xlfn.SWITCH(LEFT(Table1[[#This Row],[section]],1), "D", "Demographic", "S", "Social", "E", "Economic", "H", "Housing", "")</f>
        <v>Housing</v>
      </c>
      <c r="K2514" t="s">
        <v>8588</v>
      </c>
      <c r="L2514" t="s">
        <v>8589</v>
      </c>
      <c r="M2514" t="str">
        <f>IF(Table1[[#This Row],[used]], _xlfn.CONCAT("🆔 ", Table1[[#This Row],[variable]], ": ",Table1[[#This Row],[alias]]), "")</f>
        <v>🆔 B25038_004E: Owner occupied: Moved in 2018 to 2020</v>
      </c>
      <c r="O2514" t="s">
        <v>8630</v>
      </c>
      <c r="P2514" t="s">
        <v>8597</v>
      </c>
      <c r="Q2514" t="s">
        <v>41</v>
      </c>
      <c r="R2514" t="s">
        <v>8618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1</v>
      </c>
      <c r="AF2514" t="b">
        <v>1</v>
      </c>
      <c r="AG2514" t="b">
        <v>0</v>
      </c>
    </row>
    <row r="2515" spans="1:33" x14ac:dyDescent="0.25">
      <c r="A2515" t="s">
        <v>32</v>
      </c>
      <c r="B2515">
        <v>1</v>
      </c>
      <c r="C2515" t="b">
        <v>0</v>
      </c>
      <c r="D2515" t="s">
        <v>7968</v>
      </c>
      <c r="E2515" t="s">
        <v>8586</v>
      </c>
      <c r="F2515" t="s">
        <v>8631</v>
      </c>
      <c r="G2515" t="s">
        <v>8632</v>
      </c>
      <c r="H2515">
        <v>2514</v>
      </c>
      <c r="I2515" t="str">
        <f>IF(ISBLANK(Table1[[#This Row],[oid]]),"FALSE","TRUE")</f>
        <v>TRUE</v>
      </c>
      <c r="J2515" t="str" cm="1">
        <f t="array" ref="J2515">_xlfn.SWITCH(LEFT(Table1[[#This Row],[section]],1), "D", "Demographic", "S", "Social", "E", "Economic", "H", "Housing", "")</f>
        <v>Housing</v>
      </c>
      <c r="K2515" t="s">
        <v>8588</v>
      </c>
      <c r="L2515" t="s">
        <v>8589</v>
      </c>
      <c r="M2515" t="str">
        <f>IF(Table1[[#This Row],[used]], _xlfn.CONCAT("🆔 ", Table1[[#This Row],[variable]], ": ",Table1[[#This Row],[alias]]), "")</f>
        <v>🆔 B25038_005E: Owner occupied: Moved in 2010 to 2019</v>
      </c>
      <c r="O2515" t="s">
        <v>8633</v>
      </c>
      <c r="P2515" t="s">
        <v>8597</v>
      </c>
      <c r="Q2515" t="s">
        <v>41</v>
      </c>
      <c r="R2515" t="s">
        <v>8634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1</v>
      </c>
    </row>
    <row r="2516" spans="1:33" x14ac:dyDescent="0.25">
      <c r="A2516" t="s">
        <v>709</v>
      </c>
      <c r="B2516">
        <v>5</v>
      </c>
      <c r="C2516" t="b">
        <v>0</v>
      </c>
      <c r="D2516" t="s">
        <v>7968</v>
      </c>
      <c r="E2516" t="s">
        <v>8586</v>
      </c>
      <c r="F2516" t="s">
        <v>8631</v>
      </c>
      <c r="G2516" t="s">
        <v>8635</v>
      </c>
      <c r="H2516">
        <v>2515</v>
      </c>
      <c r="I2516" t="str">
        <f>IF(ISBLANK(Table1[[#This Row],[oid]]),"FALSE","TRUE")</f>
        <v>TRUE</v>
      </c>
      <c r="J2516" t="str" cm="1">
        <f t="array" ref="J2516">_xlfn.SWITCH(LEFT(Table1[[#This Row],[section]],1), "D", "Demographic", "S", "Social", "E", "Economic", "H", "Housing", "")</f>
        <v>Housing</v>
      </c>
      <c r="K2516" t="s">
        <v>8588</v>
      </c>
      <c r="L2516" t="s">
        <v>8589</v>
      </c>
      <c r="M2516" t="str">
        <f>IF(Table1[[#This Row],[used]], _xlfn.CONCAT("🆔 ", Table1[[#This Row],[variable]], ": ",Table1[[#This Row],[alias]]), "")</f>
        <v>🆔 B25038_005E: Owner occupied: Moved in 1990 to 1999</v>
      </c>
      <c r="O2516" t="s">
        <v>8636</v>
      </c>
      <c r="P2516" t="s">
        <v>8590</v>
      </c>
      <c r="Q2516" t="s">
        <v>41</v>
      </c>
      <c r="R2516" t="s">
        <v>8634</v>
      </c>
      <c r="S2516" t="b">
        <v>1</v>
      </c>
      <c r="T2516" t="b">
        <v>1</v>
      </c>
      <c r="U2516" t="b">
        <v>1</v>
      </c>
      <c r="V2516" t="b">
        <v>1</v>
      </c>
      <c r="W2516" t="b">
        <v>1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G2516" t="b">
        <v>0</v>
      </c>
    </row>
    <row r="2517" spans="1:33" x14ac:dyDescent="0.25">
      <c r="A2517" t="s">
        <v>8603</v>
      </c>
      <c r="B2517">
        <v>3</v>
      </c>
      <c r="C2517" t="b">
        <v>0</v>
      </c>
      <c r="D2517" t="s">
        <v>7968</v>
      </c>
      <c r="E2517" t="s">
        <v>8586</v>
      </c>
      <c r="F2517" t="s">
        <v>8631</v>
      </c>
      <c r="G2517" t="s">
        <v>8621</v>
      </c>
      <c r="H2517">
        <v>2516</v>
      </c>
      <c r="I2517" t="str">
        <f>IF(ISBLANK(Table1[[#This Row],[oid]]),"FALSE","TRUE")</f>
        <v>TRUE</v>
      </c>
      <c r="J2517" t="str" cm="1">
        <f t="array" ref="J2517">_xlfn.SWITCH(LEFT(Table1[[#This Row],[section]],1), "D", "Demographic", "S", "Social", "E", "Economic", "H", "Housing", "")</f>
        <v>Housing</v>
      </c>
      <c r="K2517" t="s">
        <v>8588</v>
      </c>
      <c r="L2517" t="s">
        <v>8589</v>
      </c>
      <c r="M2517" t="str">
        <f>IF(Table1[[#This Row],[used]], _xlfn.CONCAT("🆔 ", Table1[[#This Row],[variable]], ": ",Table1[[#This Row],[alias]]), "")</f>
        <v>🆔 B25038_005E: Owner occupied: Moved in 2000 to 2009</v>
      </c>
      <c r="O2517" t="s">
        <v>8622</v>
      </c>
      <c r="P2517" t="s">
        <v>8590</v>
      </c>
      <c r="Q2517" t="s">
        <v>41</v>
      </c>
      <c r="R2517" t="s">
        <v>8634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1</v>
      </c>
      <c r="Y2517" t="b">
        <v>1</v>
      </c>
      <c r="Z2517" t="b">
        <v>1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</row>
    <row r="2518" spans="1:33" x14ac:dyDescent="0.25">
      <c r="A2518" t="s">
        <v>8637</v>
      </c>
      <c r="B2518">
        <v>4</v>
      </c>
      <c r="C2518" t="b">
        <v>0</v>
      </c>
      <c r="D2518" t="s">
        <v>7968</v>
      </c>
      <c r="E2518" t="s">
        <v>8586</v>
      </c>
      <c r="F2518" t="s">
        <v>8631</v>
      </c>
      <c r="G2518" t="s">
        <v>8623</v>
      </c>
      <c r="H2518">
        <v>2517</v>
      </c>
      <c r="I2518" t="str">
        <f>IF(ISBLANK(Table1[[#This Row],[oid]]),"FALSE","TRUE")</f>
        <v>TRUE</v>
      </c>
      <c r="J2518" t="str" cm="1">
        <f t="array" ref="J2518">_xlfn.SWITCH(LEFT(Table1[[#This Row],[section]],1), "D", "Demographic", "S", "Social", "E", "Economic", "H", "Housing", "")</f>
        <v>Housing</v>
      </c>
      <c r="K2518" t="s">
        <v>8588</v>
      </c>
      <c r="L2518" t="s">
        <v>8589</v>
      </c>
      <c r="M2518" t="str">
        <f>IF(Table1[[#This Row],[used]], _xlfn.CONCAT("🆔 ", Table1[[#This Row],[variable]], ": ",Table1[[#This Row],[alias]]), "")</f>
        <v>🆔 B25038_005E: Owner occupied: Moved in 2010 to 2014</v>
      </c>
      <c r="O2518" t="s">
        <v>8624</v>
      </c>
      <c r="P2518" t="s">
        <v>8590</v>
      </c>
      <c r="Q2518" t="s">
        <v>41</v>
      </c>
      <c r="R2518" t="s">
        <v>8634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1</v>
      </c>
      <c r="AB2518" t="b">
        <v>1</v>
      </c>
      <c r="AC2518" t="b">
        <v>1</v>
      </c>
      <c r="AD2518" t="b">
        <v>1</v>
      </c>
      <c r="AE2518" t="b">
        <v>0</v>
      </c>
      <c r="AF2518" t="b">
        <v>0</v>
      </c>
      <c r="AG2518" t="b">
        <v>0</v>
      </c>
    </row>
    <row r="2519" spans="1:33" x14ac:dyDescent="0.25">
      <c r="A2519" t="s">
        <v>8612</v>
      </c>
      <c r="B2519">
        <v>2</v>
      </c>
      <c r="C2519" t="b">
        <v>0</v>
      </c>
      <c r="D2519" t="s">
        <v>7968</v>
      </c>
      <c r="E2519" t="s">
        <v>8586</v>
      </c>
      <c r="F2519" t="s">
        <v>8631</v>
      </c>
      <c r="G2519" t="s">
        <v>8638</v>
      </c>
      <c r="H2519">
        <v>2518</v>
      </c>
      <c r="I2519" t="str">
        <f>IF(ISBLANK(Table1[[#This Row],[oid]]),"FALSE","TRUE")</f>
        <v>TRUE</v>
      </c>
      <c r="J2519" t="str" cm="1">
        <f t="array" ref="J2519">_xlfn.SWITCH(LEFT(Table1[[#This Row],[section]],1), "D", "Demographic", "S", "Social", "E", "Economic", "H", "Housing", "")</f>
        <v>Housing</v>
      </c>
      <c r="K2519" t="s">
        <v>8588</v>
      </c>
      <c r="L2519" t="s">
        <v>8589</v>
      </c>
      <c r="M2519" t="str">
        <f>IF(Table1[[#This Row],[used]], _xlfn.CONCAT("🆔 ", Table1[[#This Row],[variable]], ": ",Table1[[#This Row],[alias]]), "")</f>
        <v>🆔 B25038_005E: Owner occupied: Moved in 2010 to 2017</v>
      </c>
      <c r="O2519" t="s">
        <v>8639</v>
      </c>
      <c r="P2519" t="s">
        <v>8597</v>
      </c>
      <c r="Q2519" t="s">
        <v>41</v>
      </c>
      <c r="R2519" t="s">
        <v>8634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1</v>
      </c>
      <c r="AF2519" t="b">
        <v>1</v>
      </c>
      <c r="AG2519" t="b">
        <v>0</v>
      </c>
    </row>
    <row r="2520" spans="1:33" x14ac:dyDescent="0.25">
      <c r="A2520" t="s">
        <v>709</v>
      </c>
      <c r="B2520">
        <v>5</v>
      </c>
      <c r="C2520" t="b">
        <v>0</v>
      </c>
      <c r="D2520" t="s">
        <v>7968</v>
      </c>
      <c r="E2520" t="s">
        <v>8586</v>
      </c>
      <c r="F2520" t="s">
        <v>8640</v>
      </c>
      <c r="G2520" t="s">
        <v>8641</v>
      </c>
      <c r="H2520">
        <v>2519</v>
      </c>
      <c r="I2520" t="str">
        <f>IF(ISBLANK(Table1[[#This Row],[oid]]),"FALSE","TRUE")</f>
        <v>TRUE</v>
      </c>
      <c r="J2520" t="str" cm="1">
        <f t="array" ref="J2520">_xlfn.SWITCH(LEFT(Table1[[#This Row],[section]],1), "D", "Demographic", "S", "Social", "E", "Economic", "H", "Housing", "")</f>
        <v>Housing</v>
      </c>
      <c r="K2520" t="s">
        <v>8588</v>
      </c>
      <c r="L2520" t="s">
        <v>8589</v>
      </c>
      <c r="M2520" t="str">
        <f>IF(Table1[[#This Row],[used]], _xlfn.CONCAT("🆔 ", Table1[[#This Row],[variable]], ": ",Table1[[#This Row],[alias]]), "")</f>
        <v>🆔 B25038_006E: Owner occupied: Moved in 1980 to 1989</v>
      </c>
      <c r="O2520" t="s">
        <v>8642</v>
      </c>
      <c r="P2520" t="s">
        <v>8590</v>
      </c>
      <c r="Q2520" t="s">
        <v>41</v>
      </c>
      <c r="R2520" t="s">
        <v>8643</v>
      </c>
      <c r="S2520" t="b">
        <v>1</v>
      </c>
      <c r="T2520" t="b">
        <v>1</v>
      </c>
      <c r="U2520" t="b">
        <v>1</v>
      </c>
      <c r="V2520" t="b">
        <v>1</v>
      </c>
      <c r="W2520" t="b">
        <v>1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</row>
    <row r="2521" spans="1:33" x14ac:dyDescent="0.25">
      <c r="A2521" t="s">
        <v>8603</v>
      </c>
      <c r="B2521">
        <v>3</v>
      </c>
      <c r="C2521" t="b">
        <v>0</v>
      </c>
      <c r="D2521" t="s">
        <v>7968</v>
      </c>
      <c r="E2521" t="s">
        <v>8586</v>
      </c>
      <c r="F2521" t="s">
        <v>8640</v>
      </c>
      <c r="G2521" t="s">
        <v>8635</v>
      </c>
      <c r="H2521">
        <v>2520</v>
      </c>
      <c r="I2521" t="str">
        <f>IF(ISBLANK(Table1[[#This Row],[oid]]),"FALSE","TRUE")</f>
        <v>TRUE</v>
      </c>
      <c r="J2521" t="str" cm="1">
        <f t="array" ref="J2521">_xlfn.SWITCH(LEFT(Table1[[#This Row],[section]],1), "D", "Demographic", "S", "Social", "E", "Economic", "H", "Housing", "")</f>
        <v>Housing</v>
      </c>
      <c r="K2521" t="s">
        <v>8588</v>
      </c>
      <c r="L2521" t="s">
        <v>8589</v>
      </c>
      <c r="M2521" t="str">
        <f>IF(Table1[[#This Row],[used]], _xlfn.CONCAT("🆔 ", Table1[[#This Row],[variable]], ": ",Table1[[#This Row],[alias]]), "")</f>
        <v>🆔 B25038_006E: Owner occupied: Moved in 1990 to 1999</v>
      </c>
      <c r="O2521" t="s">
        <v>8636</v>
      </c>
      <c r="P2521" t="s">
        <v>8590</v>
      </c>
      <c r="Q2521" t="s">
        <v>41</v>
      </c>
      <c r="R2521" t="s">
        <v>8643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1</v>
      </c>
      <c r="Y2521" t="b">
        <v>1</v>
      </c>
      <c r="Z2521" t="b">
        <v>1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G2521" t="b">
        <v>0</v>
      </c>
    </row>
    <row r="2522" spans="1:33" x14ac:dyDescent="0.25">
      <c r="A2522" t="s">
        <v>3560</v>
      </c>
      <c r="B2522">
        <v>7</v>
      </c>
      <c r="C2522" t="b">
        <v>0</v>
      </c>
      <c r="D2522" t="s">
        <v>7968</v>
      </c>
      <c r="E2522" t="s">
        <v>8586</v>
      </c>
      <c r="F2522" t="s">
        <v>8640</v>
      </c>
      <c r="G2522" t="s">
        <v>8621</v>
      </c>
      <c r="H2522">
        <v>2521</v>
      </c>
      <c r="I2522" t="str">
        <f>IF(ISBLANK(Table1[[#This Row],[oid]]),"FALSE","TRUE")</f>
        <v>TRUE</v>
      </c>
      <c r="J2522" t="str" cm="1">
        <f t="array" ref="J2522">_xlfn.SWITCH(LEFT(Table1[[#This Row],[section]],1), "D", "Demographic", "S", "Social", "E", "Economic", "H", "Housing", "")</f>
        <v>Housing</v>
      </c>
      <c r="K2522" t="s">
        <v>8588</v>
      </c>
      <c r="L2522" t="s">
        <v>8589</v>
      </c>
      <c r="M2522" t="str">
        <f>IF(Table1[[#This Row],[used]], _xlfn.CONCAT("🆔 ", Table1[[#This Row],[variable]], ": ",Table1[[#This Row],[alias]]), "")</f>
        <v>🆔 B25038_006E: Owner occupied: Moved in 2000 to 2009</v>
      </c>
      <c r="O2522" t="s">
        <v>8622</v>
      </c>
      <c r="P2522" t="s">
        <v>8590</v>
      </c>
      <c r="Q2522" t="s">
        <v>41</v>
      </c>
      <c r="R2522" t="s">
        <v>8643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1</v>
      </c>
      <c r="AB2522" t="b">
        <v>1</v>
      </c>
      <c r="AC2522" t="b">
        <v>1</v>
      </c>
      <c r="AD2522" t="b">
        <v>1</v>
      </c>
      <c r="AE2522" t="b">
        <v>1</v>
      </c>
      <c r="AF2522" t="b">
        <v>1</v>
      </c>
      <c r="AG2522" t="b">
        <v>1</v>
      </c>
    </row>
    <row r="2523" spans="1:33" x14ac:dyDescent="0.25">
      <c r="A2523" t="s">
        <v>709</v>
      </c>
      <c r="B2523">
        <v>5</v>
      </c>
      <c r="C2523" t="b">
        <v>0</v>
      </c>
      <c r="D2523" t="s">
        <v>7968</v>
      </c>
      <c r="E2523" t="s">
        <v>8586</v>
      </c>
      <c r="F2523" t="s">
        <v>8644</v>
      </c>
      <c r="G2523" t="s">
        <v>8645</v>
      </c>
      <c r="H2523">
        <v>2522</v>
      </c>
      <c r="I2523" t="str">
        <f>IF(ISBLANK(Table1[[#This Row],[oid]]),"FALSE","TRUE")</f>
        <v>TRUE</v>
      </c>
      <c r="J2523" t="str" cm="1">
        <f t="array" ref="J2523">_xlfn.SWITCH(LEFT(Table1[[#This Row],[section]],1), "D", "Demographic", "S", "Social", "E", "Economic", "H", "Housing", "")</f>
        <v>Housing</v>
      </c>
      <c r="K2523" t="s">
        <v>8588</v>
      </c>
      <c r="L2523" t="s">
        <v>8589</v>
      </c>
      <c r="M2523" t="str">
        <f>IF(Table1[[#This Row],[used]], _xlfn.CONCAT("🆔 ", Table1[[#This Row],[variable]], ": ",Table1[[#This Row],[alias]]), "")</f>
        <v>🆔 B25038_007E: Owner occupied: Moved in 1970 to 1979</v>
      </c>
      <c r="O2523" t="s">
        <v>8646</v>
      </c>
      <c r="P2523" t="s">
        <v>8590</v>
      </c>
      <c r="Q2523" t="s">
        <v>41</v>
      </c>
      <c r="R2523" t="s">
        <v>8647</v>
      </c>
      <c r="S2523" t="b">
        <v>1</v>
      </c>
      <c r="T2523" t="b">
        <v>1</v>
      </c>
      <c r="U2523" t="b">
        <v>1</v>
      </c>
      <c r="V2523" t="b">
        <v>1</v>
      </c>
      <c r="W2523" t="b">
        <v>1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0</v>
      </c>
      <c r="AG2523" t="b">
        <v>0</v>
      </c>
    </row>
    <row r="2524" spans="1:33" x14ac:dyDescent="0.25">
      <c r="A2524" t="s">
        <v>8603</v>
      </c>
      <c r="B2524">
        <v>3</v>
      </c>
      <c r="C2524" t="b">
        <v>0</v>
      </c>
      <c r="D2524" t="s">
        <v>7968</v>
      </c>
      <c r="E2524" t="s">
        <v>8586</v>
      </c>
      <c r="F2524" t="s">
        <v>8644</v>
      </c>
      <c r="G2524" t="s">
        <v>8641</v>
      </c>
      <c r="H2524">
        <v>2523</v>
      </c>
      <c r="I2524" t="str">
        <f>IF(ISBLANK(Table1[[#This Row],[oid]]),"FALSE","TRUE")</f>
        <v>TRUE</v>
      </c>
      <c r="J2524" t="str" cm="1">
        <f t="array" ref="J2524">_xlfn.SWITCH(LEFT(Table1[[#This Row],[section]],1), "D", "Demographic", "S", "Social", "E", "Economic", "H", "Housing", "")</f>
        <v>Housing</v>
      </c>
      <c r="K2524" t="s">
        <v>8588</v>
      </c>
      <c r="L2524" t="s">
        <v>8589</v>
      </c>
      <c r="M2524" t="str">
        <f>IF(Table1[[#This Row],[used]], _xlfn.CONCAT("🆔 ", Table1[[#This Row],[variable]], ": ",Table1[[#This Row],[alias]]), "")</f>
        <v>🆔 B25038_007E: Owner occupied: Moved in 1980 to 1989</v>
      </c>
      <c r="O2524" t="s">
        <v>8642</v>
      </c>
      <c r="P2524" t="s">
        <v>8590</v>
      </c>
      <c r="Q2524" t="s">
        <v>41</v>
      </c>
      <c r="R2524" t="s">
        <v>8647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1</v>
      </c>
      <c r="Y2524" t="b">
        <v>1</v>
      </c>
      <c r="Z2524" t="b">
        <v>1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</row>
    <row r="2525" spans="1:33" x14ac:dyDescent="0.25">
      <c r="A2525" t="s">
        <v>3560</v>
      </c>
      <c r="B2525">
        <v>7</v>
      </c>
      <c r="C2525" t="b">
        <v>0</v>
      </c>
      <c r="D2525" t="s">
        <v>7968</v>
      </c>
      <c r="E2525" t="s">
        <v>8586</v>
      </c>
      <c r="F2525" t="s">
        <v>8644</v>
      </c>
      <c r="G2525" t="s">
        <v>8635</v>
      </c>
      <c r="H2525">
        <v>2524</v>
      </c>
      <c r="I2525" t="str">
        <f>IF(ISBLANK(Table1[[#This Row],[oid]]),"FALSE","TRUE")</f>
        <v>TRUE</v>
      </c>
      <c r="J2525" t="str" cm="1">
        <f t="array" ref="J2525">_xlfn.SWITCH(LEFT(Table1[[#This Row],[section]],1), "D", "Demographic", "S", "Social", "E", "Economic", "H", "Housing", "")</f>
        <v>Housing</v>
      </c>
      <c r="K2525" t="s">
        <v>8588</v>
      </c>
      <c r="L2525" t="s">
        <v>8589</v>
      </c>
      <c r="M2525" t="str">
        <f>IF(Table1[[#This Row],[used]], _xlfn.CONCAT("🆔 ", Table1[[#This Row],[variable]], ": ",Table1[[#This Row],[alias]]), "")</f>
        <v>🆔 B25038_007E: Owner occupied: Moved in 1990 to 1999</v>
      </c>
      <c r="O2525" t="s">
        <v>8636</v>
      </c>
      <c r="P2525" t="s">
        <v>8590</v>
      </c>
      <c r="Q2525" t="s">
        <v>41</v>
      </c>
      <c r="R2525" t="s">
        <v>8647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1</v>
      </c>
      <c r="AB2525" t="b">
        <v>1</v>
      </c>
      <c r="AC2525" t="b">
        <v>1</v>
      </c>
      <c r="AD2525" t="b">
        <v>1</v>
      </c>
      <c r="AE2525" t="b">
        <v>1</v>
      </c>
      <c r="AF2525" t="b">
        <v>1</v>
      </c>
      <c r="AG2525" t="b">
        <v>1</v>
      </c>
    </row>
    <row r="2526" spans="1:33" x14ac:dyDescent="0.25">
      <c r="A2526" t="s">
        <v>709</v>
      </c>
      <c r="B2526">
        <v>5</v>
      </c>
      <c r="C2526" t="b">
        <v>0</v>
      </c>
      <c r="D2526" t="s">
        <v>7968</v>
      </c>
      <c r="E2526" t="s">
        <v>8586</v>
      </c>
      <c r="F2526" t="s">
        <v>8648</v>
      </c>
      <c r="G2526" t="s">
        <v>8649</v>
      </c>
      <c r="H2526">
        <v>2525</v>
      </c>
      <c r="I2526" t="str">
        <f>IF(ISBLANK(Table1[[#This Row],[oid]]),"FALSE","TRUE")</f>
        <v>TRUE</v>
      </c>
      <c r="J2526" t="str" cm="1">
        <f t="array" ref="J2526">_xlfn.SWITCH(LEFT(Table1[[#This Row],[section]],1), "D", "Demographic", "S", "Social", "E", "Economic", "H", "Housing", "")</f>
        <v>Housing</v>
      </c>
      <c r="K2526" t="s">
        <v>8588</v>
      </c>
      <c r="L2526" t="s">
        <v>8589</v>
      </c>
      <c r="M2526" t="str">
        <f>IF(Table1[[#This Row],[used]], _xlfn.CONCAT("🆔 ", Table1[[#This Row],[variable]], ": ",Table1[[#This Row],[alias]]), "")</f>
        <v>🆔 B25038_008E: Owner occupied: Moved in 1969 or earlier</v>
      </c>
      <c r="O2526" t="s">
        <v>8650</v>
      </c>
      <c r="P2526" t="s">
        <v>8590</v>
      </c>
      <c r="Q2526" t="s">
        <v>41</v>
      </c>
      <c r="R2526" t="s">
        <v>8651</v>
      </c>
      <c r="S2526" t="b">
        <v>1</v>
      </c>
      <c r="T2526" t="b">
        <v>1</v>
      </c>
      <c r="U2526" t="b">
        <v>1</v>
      </c>
      <c r="V2526" t="b">
        <v>1</v>
      </c>
      <c r="W2526" t="b">
        <v>1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G2526" t="b">
        <v>0</v>
      </c>
    </row>
    <row r="2527" spans="1:33" x14ac:dyDescent="0.25">
      <c r="A2527" t="s">
        <v>8603</v>
      </c>
      <c r="B2527">
        <v>3</v>
      </c>
      <c r="C2527" t="b">
        <v>0</v>
      </c>
      <c r="D2527" t="s">
        <v>7968</v>
      </c>
      <c r="E2527" t="s">
        <v>8586</v>
      </c>
      <c r="F2527" t="s">
        <v>8648</v>
      </c>
      <c r="G2527" t="s">
        <v>8652</v>
      </c>
      <c r="H2527">
        <v>2526</v>
      </c>
      <c r="I2527" t="str">
        <f>IF(ISBLANK(Table1[[#This Row],[oid]]),"FALSE","TRUE")</f>
        <v>TRUE</v>
      </c>
      <c r="J2527" t="str" cm="1">
        <f t="array" ref="J2527">_xlfn.SWITCH(LEFT(Table1[[#This Row],[section]],1), "D", "Demographic", "S", "Social", "E", "Economic", "H", "Housing", "")</f>
        <v>Housing</v>
      </c>
      <c r="K2527" t="s">
        <v>8588</v>
      </c>
      <c r="L2527" t="s">
        <v>8589</v>
      </c>
      <c r="M2527" t="str">
        <f>IF(Table1[[#This Row],[used]], _xlfn.CONCAT("🆔 ", Table1[[#This Row],[variable]], ": ",Table1[[#This Row],[alias]]), "")</f>
        <v>🆔 B25038_008E: Owner occupied: Moved in 1979 or earlier</v>
      </c>
      <c r="O2527" t="s">
        <v>8653</v>
      </c>
      <c r="P2527" t="s">
        <v>8590</v>
      </c>
      <c r="Q2527" t="s">
        <v>41</v>
      </c>
      <c r="R2527" t="s">
        <v>8651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1</v>
      </c>
      <c r="Y2527" t="b">
        <v>1</v>
      </c>
      <c r="Z2527" t="b">
        <v>1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</row>
    <row r="2528" spans="1:33" x14ac:dyDescent="0.25">
      <c r="A2528" t="s">
        <v>3560</v>
      </c>
      <c r="B2528">
        <v>7</v>
      </c>
      <c r="C2528" t="b">
        <v>0</v>
      </c>
      <c r="D2528" t="s">
        <v>7968</v>
      </c>
      <c r="E2528" t="s">
        <v>8586</v>
      </c>
      <c r="F2528" t="s">
        <v>8648</v>
      </c>
      <c r="G2528" t="s">
        <v>8654</v>
      </c>
      <c r="H2528">
        <v>2527</v>
      </c>
      <c r="I2528" t="str">
        <f>IF(ISBLANK(Table1[[#This Row],[oid]]),"FALSE","TRUE")</f>
        <v>TRUE</v>
      </c>
      <c r="J2528" t="str" cm="1">
        <f t="array" ref="J2528">_xlfn.SWITCH(LEFT(Table1[[#This Row],[section]],1), "D", "Demographic", "S", "Social", "E", "Economic", "H", "Housing", "")</f>
        <v>Housing</v>
      </c>
      <c r="K2528" t="s">
        <v>8588</v>
      </c>
      <c r="L2528" t="s">
        <v>8589</v>
      </c>
      <c r="M2528" t="str">
        <f>IF(Table1[[#This Row],[used]], _xlfn.CONCAT("🆔 ", Table1[[#This Row],[variable]], ": ",Table1[[#This Row],[alias]]), "")</f>
        <v>🆔 B25038_008E: Owner occupied: Moved in 1989 or earlier</v>
      </c>
      <c r="O2528" t="s">
        <v>8655</v>
      </c>
      <c r="P2528" t="s">
        <v>8590</v>
      </c>
      <c r="Q2528" t="s">
        <v>41</v>
      </c>
      <c r="R2528" t="s">
        <v>8651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1</v>
      </c>
      <c r="AB2528" t="b">
        <v>1</v>
      </c>
      <c r="AC2528" t="b">
        <v>1</v>
      </c>
      <c r="AD2528" t="b">
        <v>1</v>
      </c>
      <c r="AE2528" t="b">
        <v>1</v>
      </c>
      <c r="AF2528" t="b">
        <v>1</v>
      </c>
      <c r="AG2528" t="b">
        <v>1</v>
      </c>
    </row>
    <row r="2529" spans="1:33" x14ac:dyDescent="0.25">
      <c r="A2529" t="s">
        <v>33</v>
      </c>
      <c r="B2529">
        <v>15</v>
      </c>
      <c r="C2529" t="b">
        <v>1</v>
      </c>
      <c r="D2529" t="s">
        <v>7968</v>
      </c>
      <c r="E2529" t="s">
        <v>8586</v>
      </c>
      <c r="F2529" t="s">
        <v>8656</v>
      </c>
      <c r="G2529" t="s">
        <v>7995</v>
      </c>
      <c r="H2529">
        <v>2528</v>
      </c>
      <c r="I2529" t="str">
        <f>IF(ISBLANK(Table1[[#This Row],[oid]]),"FALSE","TRUE")</f>
        <v>TRUE</v>
      </c>
      <c r="J2529" t="str" cm="1">
        <f t="array" ref="J2529">_xlfn.SWITCH(LEFT(Table1[[#This Row],[section]],1), "D", "Demographic", "S", "Social", "E", "Economic", "H", "Housing", "")</f>
        <v>Housing</v>
      </c>
      <c r="K2529" t="s">
        <v>8588</v>
      </c>
      <c r="L2529" t="s">
        <v>8589</v>
      </c>
      <c r="M2529" t="str">
        <f>IF(Table1[[#This Row],[used]], _xlfn.CONCAT("🆔 ", Table1[[#This Row],[variable]], ": ",Table1[[#This Row],[alias]]), "")</f>
        <v>🆔 B25038_009E: Renter occupied</v>
      </c>
      <c r="O2529" t="s">
        <v>7996</v>
      </c>
      <c r="P2529" t="s">
        <v>8590</v>
      </c>
      <c r="Q2529" t="s">
        <v>41</v>
      </c>
      <c r="R2529" t="s">
        <v>8657</v>
      </c>
      <c r="S2529" t="b">
        <v>1</v>
      </c>
      <c r="T2529" t="b">
        <v>1</v>
      </c>
      <c r="U2529" t="b">
        <v>1</v>
      </c>
      <c r="V2529" t="b">
        <v>1</v>
      </c>
      <c r="W2529" t="b">
        <v>1</v>
      </c>
      <c r="X2529" t="b">
        <v>1</v>
      </c>
      <c r="Y2529" t="b">
        <v>1</v>
      </c>
      <c r="Z2529" t="b">
        <v>1</v>
      </c>
      <c r="AA2529" t="b">
        <v>1</v>
      </c>
      <c r="AB2529" t="b">
        <v>1</v>
      </c>
      <c r="AC2529" t="b">
        <v>1</v>
      </c>
      <c r="AD2529" t="b">
        <v>1</v>
      </c>
      <c r="AE2529" t="b">
        <v>1</v>
      </c>
      <c r="AF2529" t="b">
        <v>1</v>
      </c>
      <c r="AG2529" t="b">
        <v>1</v>
      </c>
    </row>
    <row r="2530" spans="1:33" x14ac:dyDescent="0.25">
      <c r="A2530" t="s">
        <v>32</v>
      </c>
      <c r="B2530">
        <v>1</v>
      </c>
      <c r="C2530" t="b">
        <v>0</v>
      </c>
      <c r="D2530" t="s">
        <v>7968</v>
      </c>
      <c r="E2530" t="s">
        <v>8586</v>
      </c>
      <c r="F2530" t="s">
        <v>8658</v>
      </c>
      <c r="G2530" t="s">
        <v>8659</v>
      </c>
      <c r="H2530">
        <v>2529</v>
      </c>
      <c r="I2530" t="str">
        <f>IF(ISBLANK(Table1[[#This Row],[oid]]),"FALSE","TRUE")</f>
        <v>TRUE</v>
      </c>
      <c r="J2530" t="str" cm="1">
        <f t="array" ref="J2530">_xlfn.SWITCH(LEFT(Table1[[#This Row],[section]],1), "D", "Demographic", "S", "Social", "E", "Economic", "H", "Housing", "")</f>
        <v>Housing</v>
      </c>
      <c r="K2530" t="s">
        <v>8588</v>
      </c>
      <c r="L2530" t="s">
        <v>8589</v>
      </c>
      <c r="M2530" t="str">
        <f>IF(Table1[[#This Row],[used]], _xlfn.CONCAT("🆔 ", Table1[[#This Row],[variable]], ": ",Table1[[#This Row],[alias]]), "")</f>
        <v>🆔 B25038_010E: Renter occupied: Moved in 2023 or later</v>
      </c>
      <c r="O2530" t="s">
        <v>8660</v>
      </c>
      <c r="P2530" t="s">
        <v>8597</v>
      </c>
      <c r="Q2530" t="s">
        <v>41</v>
      </c>
      <c r="R2530" t="s">
        <v>8661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1</v>
      </c>
    </row>
    <row r="2531" spans="1:33" x14ac:dyDescent="0.25">
      <c r="A2531" t="s">
        <v>838</v>
      </c>
      <c r="B2531">
        <v>2</v>
      </c>
      <c r="C2531" t="b">
        <v>0</v>
      </c>
      <c r="D2531" t="s">
        <v>7968</v>
      </c>
      <c r="E2531" t="s">
        <v>8586</v>
      </c>
      <c r="F2531" t="s">
        <v>8658</v>
      </c>
      <c r="G2531" t="s">
        <v>8662</v>
      </c>
      <c r="H2531">
        <v>2530</v>
      </c>
      <c r="I2531" t="str">
        <f>IF(ISBLANK(Table1[[#This Row],[oid]]),"FALSE","TRUE")</f>
        <v>TRUE</v>
      </c>
      <c r="J2531" t="str" cm="1">
        <f t="array" ref="J2531">_xlfn.SWITCH(LEFT(Table1[[#This Row],[section]],1), "D", "Demographic", "S", "Social", "E", "Economic", "H", "Housing", "")</f>
        <v>Housing</v>
      </c>
      <c r="K2531" t="s">
        <v>8588</v>
      </c>
      <c r="L2531" t="s">
        <v>8589</v>
      </c>
      <c r="M2531" t="str">
        <f>IF(Table1[[#This Row],[used]], _xlfn.CONCAT("🆔 ", Table1[[#This Row],[variable]], ": ",Table1[[#This Row],[alias]]), "")</f>
        <v>🆔 B25038_010E: Renter occupied: Moved in 2005 or later</v>
      </c>
      <c r="O2531" t="s">
        <v>8663</v>
      </c>
      <c r="P2531" t="s">
        <v>8590</v>
      </c>
      <c r="Q2531" t="s">
        <v>41</v>
      </c>
      <c r="R2531" t="s">
        <v>8661</v>
      </c>
      <c r="S2531" t="b">
        <v>1</v>
      </c>
      <c r="T2531" t="b">
        <v>1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</row>
    <row r="2532" spans="1:33" x14ac:dyDescent="0.25">
      <c r="A2532" t="s">
        <v>8105</v>
      </c>
      <c r="B2532">
        <v>3</v>
      </c>
      <c r="C2532" t="b">
        <v>0</v>
      </c>
      <c r="D2532" t="s">
        <v>7968</v>
      </c>
      <c r="E2532" t="s">
        <v>8586</v>
      </c>
      <c r="F2532" t="s">
        <v>8658</v>
      </c>
      <c r="G2532" t="s">
        <v>8664</v>
      </c>
      <c r="H2532">
        <v>2531</v>
      </c>
      <c r="I2532" t="str">
        <f>IF(ISBLANK(Table1[[#This Row],[oid]]),"FALSE","TRUE")</f>
        <v>TRUE</v>
      </c>
      <c r="J2532" t="str" cm="1">
        <f t="array" ref="J2532">_xlfn.SWITCH(LEFT(Table1[[#This Row],[section]],1), "D", "Demographic", "S", "Social", "E", "Economic", "H", "Housing", "")</f>
        <v>Housing</v>
      </c>
      <c r="K2532" t="s">
        <v>8588</v>
      </c>
      <c r="L2532" t="s">
        <v>8589</v>
      </c>
      <c r="M2532" t="str">
        <f>IF(Table1[[#This Row],[used]], _xlfn.CONCAT("🆔 ", Table1[[#This Row],[variable]], ": ",Table1[[#This Row],[alias]]), "")</f>
        <v>🆔 B25038_010E: Renter occupied: Moved in 2010 or later</v>
      </c>
      <c r="O2532" t="s">
        <v>8665</v>
      </c>
      <c r="P2532" t="s">
        <v>8590</v>
      </c>
      <c r="Q2532" t="s">
        <v>41</v>
      </c>
      <c r="R2532" t="s">
        <v>8661</v>
      </c>
      <c r="S2532" t="b">
        <v>0</v>
      </c>
      <c r="T2532" t="b">
        <v>0</v>
      </c>
      <c r="U2532" t="b">
        <v>1</v>
      </c>
      <c r="V2532" t="b">
        <v>1</v>
      </c>
      <c r="W2532" t="b">
        <v>1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</row>
    <row r="2533" spans="1:33" x14ac:dyDescent="0.25">
      <c r="A2533" t="s">
        <v>8603</v>
      </c>
      <c r="B2533">
        <v>3</v>
      </c>
      <c r="C2533" t="b">
        <v>0</v>
      </c>
      <c r="D2533" t="s">
        <v>7968</v>
      </c>
      <c r="E2533" t="s">
        <v>8586</v>
      </c>
      <c r="F2533" t="s">
        <v>8658</v>
      </c>
      <c r="G2533" t="s">
        <v>8666</v>
      </c>
      <c r="H2533">
        <v>2532</v>
      </c>
      <c r="I2533" t="str">
        <f>IF(ISBLANK(Table1[[#This Row],[oid]]),"FALSE","TRUE")</f>
        <v>TRUE</v>
      </c>
      <c r="J2533" t="str" cm="1">
        <f t="array" ref="J2533">_xlfn.SWITCH(LEFT(Table1[[#This Row],[section]],1), "D", "Demographic", "S", "Social", "E", "Economic", "H", "Housing", "")</f>
        <v>Housing</v>
      </c>
      <c r="K2533" t="s">
        <v>8588</v>
      </c>
      <c r="L2533" t="s">
        <v>8589</v>
      </c>
      <c r="M2533" t="str">
        <f>IF(Table1[[#This Row],[used]], _xlfn.CONCAT("🆔 ", Table1[[#This Row],[variable]], ": ",Table1[[#This Row],[alias]]), "")</f>
        <v>🆔 B25038_010E: Renter occupied: Moved in 2015 or later</v>
      </c>
      <c r="O2533" t="s">
        <v>8667</v>
      </c>
      <c r="P2533" t="s">
        <v>8590</v>
      </c>
      <c r="Q2533" t="s">
        <v>41</v>
      </c>
      <c r="R2533" t="s">
        <v>8661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  <c r="X2533" t="b">
        <v>1</v>
      </c>
      <c r="Y2533" t="b">
        <v>1</v>
      </c>
      <c r="Z2533" t="b">
        <v>1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</row>
    <row r="2534" spans="1:33" x14ac:dyDescent="0.25">
      <c r="A2534" t="s">
        <v>8606</v>
      </c>
      <c r="B2534">
        <v>2</v>
      </c>
      <c r="C2534" t="b">
        <v>0</v>
      </c>
      <c r="D2534" t="s">
        <v>7968</v>
      </c>
      <c r="E2534" t="s">
        <v>8586</v>
      </c>
      <c r="F2534" t="s">
        <v>8658</v>
      </c>
      <c r="G2534" t="s">
        <v>8668</v>
      </c>
      <c r="H2534">
        <v>2533</v>
      </c>
      <c r="I2534" t="str">
        <f>IF(ISBLANK(Table1[[#This Row],[oid]]),"FALSE","TRUE")</f>
        <v>TRUE</v>
      </c>
      <c r="J2534" t="str" cm="1">
        <f t="array" ref="J2534">_xlfn.SWITCH(LEFT(Table1[[#This Row],[section]],1), "D", "Demographic", "S", "Social", "E", "Economic", "H", "Housing", "")</f>
        <v>Housing</v>
      </c>
      <c r="K2534" t="s">
        <v>8588</v>
      </c>
      <c r="L2534" t="s">
        <v>8589</v>
      </c>
      <c r="M2534" t="str">
        <f>IF(Table1[[#This Row],[used]], _xlfn.CONCAT("🆔 ", Table1[[#This Row],[variable]], ": ",Table1[[#This Row],[alias]]), "")</f>
        <v>🆔 B25038_010E: Renter occupied: Moved in 2017 or later</v>
      </c>
      <c r="O2534" t="s">
        <v>8669</v>
      </c>
      <c r="P2534" t="s">
        <v>8590</v>
      </c>
      <c r="Q2534" t="s">
        <v>41</v>
      </c>
      <c r="R2534" t="s">
        <v>8661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1</v>
      </c>
      <c r="AB2534" t="b">
        <v>1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</row>
    <row r="2535" spans="1:33" x14ac:dyDescent="0.25">
      <c r="A2535" t="s">
        <v>8609</v>
      </c>
      <c r="B2535">
        <v>2</v>
      </c>
      <c r="C2535" t="b">
        <v>0</v>
      </c>
      <c r="D2535" t="s">
        <v>7968</v>
      </c>
      <c r="E2535" t="s">
        <v>8586</v>
      </c>
      <c r="F2535" t="s">
        <v>8658</v>
      </c>
      <c r="G2535" t="s">
        <v>8670</v>
      </c>
      <c r="H2535">
        <v>2534</v>
      </c>
      <c r="I2535" t="str">
        <f>IF(ISBLANK(Table1[[#This Row],[oid]]),"FALSE","TRUE")</f>
        <v>TRUE</v>
      </c>
      <c r="J2535" t="str" cm="1">
        <f t="array" ref="J2535">_xlfn.SWITCH(LEFT(Table1[[#This Row],[section]],1), "D", "Demographic", "S", "Social", "E", "Economic", "H", "Housing", "")</f>
        <v>Housing</v>
      </c>
      <c r="K2535" t="s">
        <v>8588</v>
      </c>
      <c r="L2535" t="s">
        <v>8589</v>
      </c>
      <c r="M2535" t="str">
        <f>IF(Table1[[#This Row],[used]], _xlfn.CONCAT("🆔 ", Table1[[#This Row],[variable]], ": ",Table1[[#This Row],[alias]]), "")</f>
        <v>🆔 B25038_010E: Renter occupied: Moved in 2019 or later</v>
      </c>
      <c r="O2535" t="s">
        <v>8671</v>
      </c>
      <c r="P2535" t="s">
        <v>8590</v>
      </c>
      <c r="Q2535" t="s">
        <v>41</v>
      </c>
      <c r="R2535" t="s">
        <v>8661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1</v>
      </c>
      <c r="AD2535" t="b">
        <v>1</v>
      </c>
      <c r="AE2535" t="b">
        <v>0</v>
      </c>
      <c r="AF2535" t="b">
        <v>0</v>
      </c>
      <c r="AG2535" t="b">
        <v>0</v>
      </c>
    </row>
    <row r="2536" spans="1:33" x14ac:dyDescent="0.25">
      <c r="A2536" t="s">
        <v>8612</v>
      </c>
      <c r="B2536">
        <v>2</v>
      </c>
      <c r="C2536" t="b">
        <v>0</v>
      </c>
      <c r="D2536" t="s">
        <v>7968</v>
      </c>
      <c r="E2536" t="s">
        <v>8586</v>
      </c>
      <c r="F2536" t="s">
        <v>8658</v>
      </c>
      <c r="G2536" t="s">
        <v>8672</v>
      </c>
      <c r="H2536">
        <v>2535</v>
      </c>
      <c r="I2536" t="str">
        <f>IF(ISBLANK(Table1[[#This Row],[oid]]),"FALSE","TRUE")</f>
        <v>TRUE</v>
      </c>
      <c r="J2536" t="str" cm="1">
        <f t="array" ref="J2536">_xlfn.SWITCH(LEFT(Table1[[#This Row],[section]],1), "D", "Demographic", "S", "Social", "E", "Economic", "H", "Housing", "")</f>
        <v>Housing</v>
      </c>
      <c r="K2536" t="s">
        <v>8588</v>
      </c>
      <c r="L2536" t="s">
        <v>8589</v>
      </c>
      <c r="M2536" t="str">
        <f>IF(Table1[[#This Row],[used]], _xlfn.CONCAT("🆔 ", Table1[[#This Row],[variable]], ": ",Table1[[#This Row],[alias]]), "")</f>
        <v>🆔 B25038_010E: Renter occupied: Moved in 2021 or later</v>
      </c>
      <c r="O2536" t="s">
        <v>8673</v>
      </c>
      <c r="P2536" t="s">
        <v>8597</v>
      </c>
      <c r="Q2536" t="s">
        <v>41</v>
      </c>
      <c r="R2536" t="s">
        <v>8661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  <c r="AD2536" t="b">
        <v>0</v>
      </c>
      <c r="AE2536" t="b">
        <v>1</v>
      </c>
      <c r="AF2536" t="b">
        <v>1</v>
      </c>
      <c r="AG2536" t="b">
        <v>0</v>
      </c>
    </row>
    <row r="2537" spans="1:33" x14ac:dyDescent="0.25">
      <c r="A2537" t="s">
        <v>32</v>
      </c>
      <c r="B2537">
        <v>1</v>
      </c>
      <c r="C2537" t="b">
        <v>0</v>
      </c>
      <c r="D2537" t="s">
        <v>7968</v>
      </c>
      <c r="E2537" t="s">
        <v>8586</v>
      </c>
      <c r="F2537" t="s">
        <v>8674</v>
      </c>
      <c r="G2537" t="s">
        <v>8675</v>
      </c>
      <c r="H2537">
        <v>2536</v>
      </c>
      <c r="I2537" t="str">
        <f>IF(ISBLANK(Table1[[#This Row],[oid]]),"FALSE","TRUE")</f>
        <v>TRUE</v>
      </c>
      <c r="J2537" t="str" cm="1">
        <f t="array" ref="J2537">_xlfn.SWITCH(LEFT(Table1[[#This Row],[section]],1), "D", "Demographic", "S", "Social", "E", "Economic", "H", "Housing", "")</f>
        <v>Housing</v>
      </c>
      <c r="K2537" t="s">
        <v>8588</v>
      </c>
      <c r="L2537" t="s">
        <v>8589</v>
      </c>
      <c r="M2537" t="str">
        <f>IF(Table1[[#This Row],[used]], _xlfn.CONCAT("🆔 ", Table1[[#This Row],[variable]], ": ",Table1[[#This Row],[alias]]), "")</f>
        <v>🆔 B25038_011E: Renter occupied: Moved in 2020 to 2022</v>
      </c>
      <c r="O2537" t="s">
        <v>8676</v>
      </c>
      <c r="P2537" t="s">
        <v>8597</v>
      </c>
      <c r="Q2537" t="s">
        <v>41</v>
      </c>
      <c r="R2537" t="s">
        <v>8677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1</v>
      </c>
    </row>
    <row r="2538" spans="1:33" x14ac:dyDescent="0.25">
      <c r="A2538" t="s">
        <v>838</v>
      </c>
      <c r="B2538">
        <v>2</v>
      </c>
      <c r="C2538" t="b">
        <v>0</v>
      </c>
      <c r="D2538" t="s">
        <v>7968</v>
      </c>
      <c r="E2538" t="s">
        <v>8586</v>
      </c>
      <c r="F2538" t="s">
        <v>8674</v>
      </c>
      <c r="G2538" t="s">
        <v>8678</v>
      </c>
      <c r="H2538">
        <v>2537</v>
      </c>
      <c r="I2538" t="str">
        <f>IF(ISBLANK(Table1[[#This Row],[oid]]),"FALSE","TRUE")</f>
        <v>TRUE</v>
      </c>
      <c r="J2538" t="str" cm="1">
        <f t="array" ref="J2538">_xlfn.SWITCH(LEFT(Table1[[#This Row],[section]],1), "D", "Demographic", "S", "Social", "E", "Economic", "H", "Housing", "")</f>
        <v>Housing</v>
      </c>
      <c r="K2538" t="s">
        <v>8588</v>
      </c>
      <c r="L2538" t="s">
        <v>8589</v>
      </c>
      <c r="M2538" t="str">
        <f>IF(Table1[[#This Row],[used]], _xlfn.CONCAT("🆔 ", Table1[[#This Row],[variable]], ": ",Table1[[#This Row],[alias]]), "")</f>
        <v>🆔 B25038_011E: Renter occupied: Moved in 2000 to 2004</v>
      </c>
      <c r="O2538" t="s">
        <v>8679</v>
      </c>
      <c r="P2538" t="s">
        <v>8590</v>
      </c>
      <c r="Q2538" t="s">
        <v>41</v>
      </c>
      <c r="R2538" t="s">
        <v>8677</v>
      </c>
      <c r="S2538" t="b">
        <v>1</v>
      </c>
      <c r="T2538" t="b">
        <v>1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</row>
    <row r="2539" spans="1:33" x14ac:dyDescent="0.25">
      <c r="A2539" t="s">
        <v>8105</v>
      </c>
      <c r="B2539">
        <v>3</v>
      </c>
      <c r="C2539" t="b">
        <v>0</v>
      </c>
      <c r="D2539" t="s">
        <v>7968</v>
      </c>
      <c r="E2539" t="s">
        <v>8586</v>
      </c>
      <c r="F2539" t="s">
        <v>8674</v>
      </c>
      <c r="G2539" t="s">
        <v>8680</v>
      </c>
      <c r="H2539">
        <v>2538</v>
      </c>
      <c r="I2539" t="str">
        <f>IF(ISBLANK(Table1[[#This Row],[oid]]),"FALSE","TRUE")</f>
        <v>TRUE</v>
      </c>
      <c r="J2539" t="str" cm="1">
        <f t="array" ref="J2539">_xlfn.SWITCH(LEFT(Table1[[#This Row],[section]],1), "D", "Demographic", "S", "Social", "E", "Economic", "H", "Housing", "")</f>
        <v>Housing</v>
      </c>
      <c r="K2539" t="s">
        <v>8588</v>
      </c>
      <c r="L2539" t="s">
        <v>8589</v>
      </c>
      <c r="M2539" t="str">
        <f>IF(Table1[[#This Row],[used]], _xlfn.CONCAT("🆔 ", Table1[[#This Row],[variable]], ": ",Table1[[#This Row],[alias]]), "")</f>
        <v>🆔 B25038_011E: Renter occupied: Moved in 2000 to 2009</v>
      </c>
      <c r="O2539" t="s">
        <v>8681</v>
      </c>
      <c r="P2539" t="s">
        <v>8590</v>
      </c>
      <c r="Q2539" t="s">
        <v>41</v>
      </c>
      <c r="R2539" t="s">
        <v>8677</v>
      </c>
      <c r="S2539" t="b">
        <v>0</v>
      </c>
      <c r="T2539" t="b">
        <v>0</v>
      </c>
      <c r="U2539" t="b">
        <v>1</v>
      </c>
      <c r="V2539" t="b">
        <v>1</v>
      </c>
      <c r="W2539" t="b">
        <v>1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</row>
    <row r="2540" spans="1:33" x14ac:dyDescent="0.25">
      <c r="A2540" t="s">
        <v>8603</v>
      </c>
      <c r="B2540">
        <v>3</v>
      </c>
      <c r="C2540" t="b">
        <v>0</v>
      </c>
      <c r="D2540" t="s">
        <v>7968</v>
      </c>
      <c r="E2540" t="s">
        <v>8586</v>
      </c>
      <c r="F2540" t="s">
        <v>8674</v>
      </c>
      <c r="G2540" t="s">
        <v>8682</v>
      </c>
      <c r="H2540">
        <v>2539</v>
      </c>
      <c r="I2540" t="str">
        <f>IF(ISBLANK(Table1[[#This Row],[oid]]),"FALSE","TRUE")</f>
        <v>TRUE</v>
      </c>
      <c r="J2540" t="str" cm="1">
        <f t="array" ref="J2540">_xlfn.SWITCH(LEFT(Table1[[#This Row],[section]],1), "D", "Demographic", "S", "Social", "E", "Economic", "H", "Housing", "")</f>
        <v>Housing</v>
      </c>
      <c r="K2540" t="s">
        <v>8588</v>
      </c>
      <c r="L2540" t="s">
        <v>8589</v>
      </c>
      <c r="M2540" t="str">
        <f>IF(Table1[[#This Row],[used]], _xlfn.CONCAT("🆔 ", Table1[[#This Row],[variable]], ": ",Table1[[#This Row],[alias]]), "")</f>
        <v>🆔 B25038_011E: Renter occupied: Moved in 2010 to 2014</v>
      </c>
      <c r="O2540" t="s">
        <v>8683</v>
      </c>
      <c r="P2540" t="s">
        <v>8590</v>
      </c>
      <c r="Q2540" t="s">
        <v>41</v>
      </c>
      <c r="R2540" t="s">
        <v>8677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  <c r="X2540" t="b">
        <v>1</v>
      </c>
      <c r="Y2540" t="b">
        <v>1</v>
      </c>
      <c r="Z2540" t="b">
        <v>1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</row>
    <row r="2541" spans="1:33" x14ac:dyDescent="0.25">
      <c r="A2541" t="s">
        <v>8606</v>
      </c>
      <c r="B2541">
        <v>2</v>
      </c>
      <c r="C2541" t="b">
        <v>0</v>
      </c>
      <c r="D2541" t="s">
        <v>7968</v>
      </c>
      <c r="E2541" t="s">
        <v>8586</v>
      </c>
      <c r="F2541" t="s">
        <v>8674</v>
      </c>
      <c r="G2541" t="s">
        <v>8684</v>
      </c>
      <c r="H2541">
        <v>2540</v>
      </c>
      <c r="I2541" t="str">
        <f>IF(ISBLANK(Table1[[#This Row],[oid]]),"FALSE","TRUE")</f>
        <v>TRUE</v>
      </c>
      <c r="J2541" t="str" cm="1">
        <f t="array" ref="J2541">_xlfn.SWITCH(LEFT(Table1[[#This Row],[section]],1), "D", "Demographic", "S", "Social", "E", "Economic", "H", "Housing", "")</f>
        <v>Housing</v>
      </c>
      <c r="K2541" t="s">
        <v>8588</v>
      </c>
      <c r="L2541" t="s">
        <v>8589</v>
      </c>
      <c r="M2541" t="str">
        <f>IF(Table1[[#This Row],[used]], _xlfn.CONCAT("🆔 ", Table1[[#This Row],[variable]], ": ",Table1[[#This Row],[alias]]), "")</f>
        <v>🆔 B25038_011E: Renter occupied: Moved in 2015 to 2016</v>
      </c>
      <c r="O2541" t="s">
        <v>8685</v>
      </c>
      <c r="P2541" t="s">
        <v>8590</v>
      </c>
      <c r="Q2541" t="s">
        <v>41</v>
      </c>
      <c r="R2541" t="s">
        <v>8677</v>
      </c>
      <c r="S2541" t="b">
        <v>0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1</v>
      </c>
      <c r="AB2541" t="b">
        <v>1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</row>
    <row r="2542" spans="1:33" x14ac:dyDescent="0.25">
      <c r="A2542" t="s">
        <v>8609</v>
      </c>
      <c r="B2542">
        <v>2</v>
      </c>
      <c r="C2542" t="b">
        <v>0</v>
      </c>
      <c r="D2542" t="s">
        <v>7968</v>
      </c>
      <c r="E2542" t="s">
        <v>8586</v>
      </c>
      <c r="F2542" t="s">
        <v>8674</v>
      </c>
      <c r="G2542" t="s">
        <v>8686</v>
      </c>
      <c r="H2542">
        <v>2541</v>
      </c>
      <c r="I2542" t="str">
        <f>IF(ISBLANK(Table1[[#This Row],[oid]]),"FALSE","TRUE")</f>
        <v>TRUE</v>
      </c>
      <c r="J2542" t="str" cm="1">
        <f t="array" ref="J2542">_xlfn.SWITCH(LEFT(Table1[[#This Row],[section]],1), "D", "Demographic", "S", "Social", "E", "Economic", "H", "Housing", "")</f>
        <v>Housing</v>
      </c>
      <c r="K2542" t="s">
        <v>8588</v>
      </c>
      <c r="L2542" t="s">
        <v>8589</v>
      </c>
      <c r="M2542" t="str">
        <f>IF(Table1[[#This Row],[used]], _xlfn.CONCAT("🆔 ", Table1[[#This Row],[variable]], ": ",Table1[[#This Row],[alias]]), "")</f>
        <v>🆔 B25038_011E: Renter occupied: Moved in 2015 to 2018</v>
      </c>
      <c r="O2542" t="s">
        <v>8687</v>
      </c>
      <c r="P2542" t="s">
        <v>8590</v>
      </c>
      <c r="Q2542" t="s">
        <v>41</v>
      </c>
      <c r="R2542" t="s">
        <v>8677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1</v>
      </c>
      <c r="AD2542" t="b">
        <v>1</v>
      </c>
      <c r="AE2542" t="b">
        <v>0</v>
      </c>
      <c r="AF2542" t="b">
        <v>0</v>
      </c>
      <c r="AG2542" t="b">
        <v>0</v>
      </c>
    </row>
    <row r="2543" spans="1:33" x14ac:dyDescent="0.25">
      <c r="A2543" t="s">
        <v>8612</v>
      </c>
      <c r="B2543">
        <v>2</v>
      </c>
      <c r="C2543" t="b">
        <v>0</v>
      </c>
      <c r="D2543" t="s">
        <v>7968</v>
      </c>
      <c r="E2543" t="s">
        <v>8586</v>
      </c>
      <c r="F2543" t="s">
        <v>8674</v>
      </c>
      <c r="G2543" t="s">
        <v>8688</v>
      </c>
      <c r="H2543">
        <v>2542</v>
      </c>
      <c r="I2543" t="str">
        <f>IF(ISBLANK(Table1[[#This Row],[oid]]),"FALSE","TRUE")</f>
        <v>TRUE</v>
      </c>
      <c r="J2543" t="str" cm="1">
        <f t="array" ref="J2543">_xlfn.SWITCH(LEFT(Table1[[#This Row],[section]],1), "D", "Demographic", "S", "Social", "E", "Economic", "H", "Housing", "")</f>
        <v>Housing</v>
      </c>
      <c r="K2543" t="s">
        <v>8588</v>
      </c>
      <c r="L2543" t="s">
        <v>8589</v>
      </c>
      <c r="M2543" t="str">
        <f>IF(Table1[[#This Row],[used]], _xlfn.CONCAT("🆔 ", Table1[[#This Row],[variable]], ": ",Table1[[#This Row],[alias]]), "")</f>
        <v>🆔 B25038_011E: Renter occupied: Moved in 2018 to 2020</v>
      </c>
      <c r="O2543" t="s">
        <v>8689</v>
      </c>
      <c r="P2543" t="s">
        <v>8597</v>
      </c>
      <c r="Q2543" t="s">
        <v>41</v>
      </c>
      <c r="R2543" t="s">
        <v>8677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1</v>
      </c>
      <c r="AF2543" t="b">
        <v>1</v>
      </c>
      <c r="AG2543" t="b">
        <v>0</v>
      </c>
    </row>
    <row r="2544" spans="1:33" x14ac:dyDescent="0.25">
      <c r="A2544" t="s">
        <v>32</v>
      </c>
      <c r="B2544">
        <v>1</v>
      </c>
      <c r="C2544" t="b">
        <v>0</v>
      </c>
      <c r="D2544" t="s">
        <v>7968</v>
      </c>
      <c r="E2544" t="s">
        <v>8586</v>
      </c>
      <c r="F2544" t="s">
        <v>8690</v>
      </c>
      <c r="G2544" t="s">
        <v>8691</v>
      </c>
      <c r="H2544">
        <v>2543</v>
      </c>
      <c r="I2544" t="str">
        <f>IF(ISBLANK(Table1[[#This Row],[oid]]),"FALSE","TRUE")</f>
        <v>TRUE</v>
      </c>
      <c r="J2544" t="str" cm="1">
        <f t="array" ref="J2544">_xlfn.SWITCH(LEFT(Table1[[#This Row],[section]],1), "D", "Demographic", "S", "Social", "E", "Economic", "H", "Housing", "")</f>
        <v>Housing</v>
      </c>
      <c r="K2544" t="s">
        <v>8588</v>
      </c>
      <c r="L2544" t="s">
        <v>8589</v>
      </c>
      <c r="M2544" t="str">
        <f>IF(Table1[[#This Row],[used]], _xlfn.CONCAT("🆔 ", Table1[[#This Row],[variable]], ": ",Table1[[#This Row],[alias]]), "")</f>
        <v>🆔 B25038_012E: Renter occupied: Moved in 2010 to 2019</v>
      </c>
      <c r="O2544" t="s">
        <v>8692</v>
      </c>
      <c r="P2544" t="s">
        <v>8597</v>
      </c>
      <c r="Q2544" t="s">
        <v>41</v>
      </c>
      <c r="R2544" t="s">
        <v>8693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1</v>
      </c>
    </row>
    <row r="2545" spans="1:33" x14ac:dyDescent="0.25">
      <c r="A2545" t="s">
        <v>709</v>
      </c>
      <c r="B2545">
        <v>5</v>
      </c>
      <c r="C2545" t="b">
        <v>0</v>
      </c>
      <c r="D2545" t="s">
        <v>7968</v>
      </c>
      <c r="E2545" t="s">
        <v>8586</v>
      </c>
      <c r="F2545" t="s">
        <v>8690</v>
      </c>
      <c r="G2545" t="s">
        <v>8694</v>
      </c>
      <c r="H2545">
        <v>2544</v>
      </c>
      <c r="I2545" t="str">
        <f>IF(ISBLANK(Table1[[#This Row],[oid]]),"FALSE","TRUE")</f>
        <v>TRUE</v>
      </c>
      <c r="J2545" t="str" cm="1">
        <f t="array" ref="J2545">_xlfn.SWITCH(LEFT(Table1[[#This Row],[section]],1), "D", "Demographic", "S", "Social", "E", "Economic", "H", "Housing", "")</f>
        <v>Housing</v>
      </c>
      <c r="K2545" t="s">
        <v>8588</v>
      </c>
      <c r="L2545" t="s">
        <v>8589</v>
      </c>
      <c r="M2545" t="str">
        <f>IF(Table1[[#This Row],[used]], _xlfn.CONCAT("🆔 ", Table1[[#This Row],[variable]], ": ",Table1[[#This Row],[alias]]), "")</f>
        <v>🆔 B25038_012E: Renter occupied: Moved in 1990 to 1999</v>
      </c>
      <c r="O2545" t="s">
        <v>8695</v>
      </c>
      <c r="P2545" t="s">
        <v>8590</v>
      </c>
      <c r="Q2545" t="s">
        <v>41</v>
      </c>
      <c r="R2545" t="s">
        <v>8693</v>
      </c>
      <c r="S2545" t="b">
        <v>1</v>
      </c>
      <c r="T2545" t="b">
        <v>1</v>
      </c>
      <c r="U2545" t="b">
        <v>1</v>
      </c>
      <c r="V2545" t="b">
        <v>1</v>
      </c>
      <c r="W2545" t="b">
        <v>1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</row>
    <row r="2546" spans="1:33" x14ac:dyDescent="0.25">
      <c r="A2546" t="s">
        <v>8603</v>
      </c>
      <c r="B2546">
        <v>3</v>
      </c>
      <c r="C2546" t="b">
        <v>0</v>
      </c>
      <c r="D2546" t="s">
        <v>7968</v>
      </c>
      <c r="E2546" t="s">
        <v>8586</v>
      </c>
      <c r="F2546" t="s">
        <v>8690</v>
      </c>
      <c r="G2546" t="s">
        <v>8680</v>
      </c>
      <c r="H2546">
        <v>2545</v>
      </c>
      <c r="I2546" t="str">
        <f>IF(ISBLANK(Table1[[#This Row],[oid]]),"FALSE","TRUE")</f>
        <v>TRUE</v>
      </c>
      <c r="J2546" t="str" cm="1">
        <f t="array" ref="J2546">_xlfn.SWITCH(LEFT(Table1[[#This Row],[section]],1), "D", "Demographic", "S", "Social", "E", "Economic", "H", "Housing", "")</f>
        <v>Housing</v>
      </c>
      <c r="K2546" t="s">
        <v>8588</v>
      </c>
      <c r="L2546" t="s">
        <v>8589</v>
      </c>
      <c r="M2546" t="str">
        <f>IF(Table1[[#This Row],[used]], _xlfn.CONCAT("🆔 ", Table1[[#This Row],[variable]], ": ",Table1[[#This Row],[alias]]), "")</f>
        <v>🆔 B25038_012E: Renter occupied: Moved in 2000 to 2009</v>
      </c>
      <c r="O2546" t="s">
        <v>8681</v>
      </c>
      <c r="P2546" t="s">
        <v>8590</v>
      </c>
      <c r="Q2546" t="s">
        <v>41</v>
      </c>
      <c r="R2546" t="s">
        <v>8693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1</v>
      </c>
      <c r="Y2546" t="b">
        <v>1</v>
      </c>
      <c r="Z2546" t="b">
        <v>1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</row>
    <row r="2547" spans="1:33" x14ac:dyDescent="0.25">
      <c r="A2547" t="s">
        <v>8637</v>
      </c>
      <c r="B2547">
        <v>4</v>
      </c>
      <c r="C2547" t="b">
        <v>0</v>
      </c>
      <c r="D2547" t="s">
        <v>7968</v>
      </c>
      <c r="E2547" t="s">
        <v>8586</v>
      </c>
      <c r="F2547" t="s">
        <v>8690</v>
      </c>
      <c r="G2547" t="s">
        <v>8682</v>
      </c>
      <c r="H2547">
        <v>2546</v>
      </c>
      <c r="I2547" t="str">
        <f>IF(ISBLANK(Table1[[#This Row],[oid]]),"FALSE","TRUE")</f>
        <v>TRUE</v>
      </c>
      <c r="J2547" t="str" cm="1">
        <f t="array" ref="J2547">_xlfn.SWITCH(LEFT(Table1[[#This Row],[section]],1), "D", "Demographic", "S", "Social", "E", "Economic", "H", "Housing", "")</f>
        <v>Housing</v>
      </c>
      <c r="K2547" t="s">
        <v>8588</v>
      </c>
      <c r="L2547" t="s">
        <v>8589</v>
      </c>
      <c r="M2547" t="str">
        <f>IF(Table1[[#This Row],[used]], _xlfn.CONCAT("🆔 ", Table1[[#This Row],[variable]], ": ",Table1[[#This Row],[alias]]), "")</f>
        <v>🆔 B25038_012E: Renter occupied: Moved in 2010 to 2014</v>
      </c>
      <c r="O2547" t="s">
        <v>8683</v>
      </c>
      <c r="P2547" t="s">
        <v>8590</v>
      </c>
      <c r="Q2547" t="s">
        <v>41</v>
      </c>
      <c r="R2547" t="s">
        <v>8693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1</v>
      </c>
      <c r="AB2547" t="b">
        <v>1</v>
      </c>
      <c r="AC2547" t="b">
        <v>1</v>
      </c>
      <c r="AD2547" t="b">
        <v>1</v>
      </c>
      <c r="AE2547" t="b">
        <v>0</v>
      </c>
      <c r="AF2547" t="b">
        <v>0</v>
      </c>
      <c r="AG2547" t="b">
        <v>0</v>
      </c>
    </row>
    <row r="2548" spans="1:33" x14ac:dyDescent="0.25">
      <c r="A2548" t="s">
        <v>8612</v>
      </c>
      <c r="B2548">
        <v>2</v>
      </c>
      <c r="C2548" t="b">
        <v>0</v>
      </c>
      <c r="D2548" t="s">
        <v>7968</v>
      </c>
      <c r="E2548" t="s">
        <v>8586</v>
      </c>
      <c r="F2548" t="s">
        <v>8690</v>
      </c>
      <c r="G2548" t="s">
        <v>8696</v>
      </c>
      <c r="H2548">
        <v>2547</v>
      </c>
      <c r="I2548" t="str">
        <f>IF(ISBLANK(Table1[[#This Row],[oid]]),"FALSE","TRUE")</f>
        <v>TRUE</v>
      </c>
      <c r="J2548" t="str" cm="1">
        <f t="array" ref="J2548">_xlfn.SWITCH(LEFT(Table1[[#This Row],[section]],1), "D", "Demographic", "S", "Social", "E", "Economic", "H", "Housing", "")</f>
        <v>Housing</v>
      </c>
      <c r="K2548" t="s">
        <v>8588</v>
      </c>
      <c r="L2548" t="s">
        <v>8589</v>
      </c>
      <c r="M2548" t="str">
        <f>IF(Table1[[#This Row],[used]], _xlfn.CONCAT("🆔 ", Table1[[#This Row],[variable]], ": ",Table1[[#This Row],[alias]]), "")</f>
        <v>🆔 B25038_012E: Renter occupied: Moved in 2010 to 2017</v>
      </c>
      <c r="O2548" t="s">
        <v>8697</v>
      </c>
      <c r="P2548" t="s">
        <v>8597</v>
      </c>
      <c r="Q2548" t="s">
        <v>41</v>
      </c>
      <c r="R2548" t="s">
        <v>8693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1</v>
      </c>
      <c r="AF2548" t="b">
        <v>1</v>
      </c>
      <c r="AG2548" t="b">
        <v>0</v>
      </c>
    </row>
    <row r="2549" spans="1:33" x14ac:dyDescent="0.25">
      <c r="A2549" t="s">
        <v>709</v>
      </c>
      <c r="B2549">
        <v>5</v>
      </c>
      <c r="C2549" t="b">
        <v>0</v>
      </c>
      <c r="D2549" t="s">
        <v>7968</v>
      </c>
      <c r="E2549" t="s">
        <v>8586</v>
      </c>
      <c r="F2549" t="s">
        <v>8698</v>
      </c>
      <c r="G2549" t="s">
        <v>8699</v>
      </c>
      <c r="H2549">
        <v>2548</v>
      </c>
      <c r="I2549" t="str">
        <f>IF(ISBLANK(Table1[[#This Row],[oid]]),"FALSE","TRUE")</f>
        <v>TRUE</v>
      </c>
      <c r="J2549" t="str" cm="1">
        <f t="array" ref="J2549">_xlfn.SWITCH(LEFT(Table1[[#This Row],[section]],1), "D", "Demographic", "S", "Social", "E", "Economic", "H", "Housing", "")</f>
        <v>Housing</v>
      </c>
      <c r="K2549" t="s">
        <v>8588</v>
      </c>
      <c r="L2549" t="s">
        <v>8589</v>
      </c>
      <c r="M2549" t="str">
        <f>IF(Table1[[#This Row],[used]], _xlfn.CONCAT("🆔 ", Table1[[#This Row],[variable]], ": ",Table1[[#This Row],[alias]]), "")</f>
        <v>🆔 B25038_013E: Renter occupied: Moved in 1980 to 1989</v>
      </c>
      <c r="O2549" t="s">
        <v>8700</v>
      </c>
      <c r="P2549" t="s">
        <v>8590</v>
      </c>
      <c r="Q2549" t="s">
        <v>41</v>
      </c>
      <c r="R2549" t="s">
        <v>8701</v>
      </c>
      <c r="S2549" t="b">
        <v>1</v>
      </c>
      <c r="T2549" t="b">
        <v>1</v>
      </c>
      <c r="U2549" t="b">
        <v>1</v>
      </c>
      <c r="V2549" t="b">
        <v>1</v>
      </c>
      <c r="W2549" t="b">
        <v>1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</row>
    <row r="2550" spans="1:33" x14ac:dyDescent="0.25">
      <c r="A2550" t="s">
        <v>8603</v>
      </c>
      <c r="B2550">
        <v>3</v>
      </c>
      <c r="C2550" t="b">
        <v>0</v>
      </c>
      <c r="D2550" t="s">
        <v>7968</v>
      </c>
      <c r="E2550" t="s">
        <v>8586</v>
      </c>
      <c r="F2550" t="s">
        <v>8698</v>
      </c>
      <c r="G2550" t="s">
        <v>8694</v>
      </c>
      <c r="H2550">
        <v>2549</v>
      </c>
      <c r="I2550" t="str">
        <f>IF(ISBLANK(Table1[[#This Row],[oid]]),"FALSE","TRUE")</f>
        <v>TRUE</v>
      </c>
      <c r="J2550" t="str" cm="1">
        <f t="array" ref="J2550">_xlfn.SWITCH(LEFT(Table1[[#This Row],[section]],1), "D", "Demographic", "S", "Social", "E", "Economic", "H", "Housing", "")</f>
        <v>Housing</v>
      </c>
      <c r="K2550" t="s">
        <v>8588</v>
      </c>
      <c r="L2550" t="s">
        <v>8589</v>
      </c>
      <c r="M2550" t="str">
        <f>IF(Table1[[#This Row],[used]], _xlfn.CONCAT("🆔 ", Table1[[#This Row],[variable]], ": ",Table1[[#This Row],[alias]]), "")</f>
        <v>🆔 B25038_013E: Renter occupied: Moved in 1990 to 1999</v>
      </c>
      <c r="O2550" t="s">
        <v>8695</v>
      </c>
      <c r="P2550" t="s">
        <v>8590</v>
      </c>
      <c r="Q2550" t="s">
        <v>41</v>
      </c>
      <c r="R2550" t="s">
        <v>8701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1</v>
      </c>
      <c r="Y2550" t="b">
        <v>1</v>
      </c>
      <c r="Z2550" t="b">
        <v>1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</row>
    <row r="2551" spans="1:33" x14ac:dyDescent="0.25">
      <c r="A2551" t="s">
        <v>3560</v>
      </c>
      <c r="B2551">
        <v>7</v>
      </c>
      <c r="C2551" t="b">
        <v>0</v>
      </c>
      <c r="D2551" t="s">
        <v>7968</v>
      </c>
      <c r="E2551" t="s">
        <v>8586</v>
      </c>
      <c r="F2551" t="s">
        <v>8698</v>
      </c>
      <c r="G2551" t="s">
        <v>8680</v>
      </c>
      <c r="H2551">
        <v>2550</v>
      </c>
      <c r="I2551" t="str">
        <f>IF(ISBLANK(Table1[[#This Row],[oid]]),"FALSE","TRUE")</f>
        <v>TRUE</v>
      </c>
      <c r="J2551" t="str" cm="1">
        <f t="array" ref="J2551">_xlfn.SWITCH(LEFT(Table1[[#This Row],[section]],1), "D", "Demographic", "S", "Social", "E", "Economic", "H", "Housing", "")</f>
        <v>Housing</v>
      </c>
      <c r="K2551" t="s">
        <v>8588</v>
      </c>
      <c r="L2551" t="s">
        <v>8589</v>
      </c>
      <c r="M2551" t="str">
        <f>IF(Table1[[#This Row],[used]], _xlfn.CONCAT("🆔 ", Table1[[#This Row],[variable]], ": ",Table1[[#This Row],[alias]]), "")</f>
        <v>🆔 B25038_013E: Renter occupied: Moved in 2000 to 2009</v>
      </c>
      <c r="O2551" t="s">
        <v>8681</v>
      </c>
      <c r="P2551" t="s">
        <v>8590</v>
      </c>
      <c r="Q2551" t="s">
        <v>41</v>
      </c>
      <c r="R2551" t="s">
        <v>8701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b">
        <v>1</v>
      </c>
      <c r="AB2551" t="b">
        <v>1</v>
      </c>
      <c r="AC2551" t="b">
        <v>1</v>
      </c>
      <c r="AD2551" t="b">
        <v>1</v>
      </c>
      <c r="AE2551" t="b">
        <v>1</v>
      </c>
      <c r="AF2551" t="b">
        <v>1</v>
      </c>
      <c r="AG2551" t="b">
        <v>1</v>
      </c>
    </row>
    <row r="2552" spans="1:33" x14ac:dyDescent="0.25">
      <c r="A2552" t="s">
        <v>709</v>
      </c>
      <c r="B2552">
        <v>5</v>
      </c>
      <c r="C2552" t="b">
        <v>0</v>
      </c>
      <c r="D2552" t="s">
        <v>7968</v>
      </c>
      <c r="E2552" t="s">
        <v>8586</v>
      </c>
      <c r="F2552" t="s">
        <v>8702</v>
      </c>
      <c r="G2552" t="s">
        <v>8703</v>
      </c>
      <c r="H2552">
        <v>2551</v>
      </c>
      <c r="I2552" t="str">
        <f>IF(ISBLANK(Table1[[#This Row],[oid]]),"FALSE","TRUE")</f>
        <v>TRUE</v>
      </c>
      <c r="J2552" t="str" cm="1">
        <f t="array" ref="J2552">_xlfn.SWITCH(LEFT(Table1[[#This Row],[section]],1), "D", "Demographic", "S", "Social", "E", "Economic", "H", "Housing", "")</f>
        <v>Housing</v>
      </c>
      <c r="K2552" t="s">
        <v>8588</v>
      </c>
      <c r="L2552" t="s">
        <v>8589</v>
      </c>
      <c r="M2552" t="str">
        <f>IF(Table1[[#This Row],[used]], _xlfn.CONCAT("🆔 ", Table1[[#This Row],[variable]], ": ",Table1[[#This Row],[alias]]), "")</f>
        <v>🆔 B25038_014E: Renter occupied: Moved in 1970 to 1979</v>
      </c>
      <c r="O2552" t="s">
        <v>8704</v>
      </c>
      <c r="P2552" t="s">
        <v>8590</v>
      </c>
      <c r="Q2552" t="s">
        <v>41</v>
      </c>
      <c r="R2552" t="s">
        <v>8705</v>
      </c>
      <c r="S2552" t="b">
        <v>1</v>
      </c>
      <c r="T2552" t="b">
        <v>1</v>
      </c>
      <c r="U2552" t="b">
        <v>1</v>
      </c>
      <c r="V2552" t="b">
        <v>1</v>
      </c>
      <c r="W2552" t="b">
        <v>1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</row>
    <row r="2553" spans="1:33" x14ac:dyDescent="0.25">
      <c r="A2553" t="s">
        <v>8603</v>
      </c>
      <c r="B2553">
        <v>3</v>
      </c>
      <c r="C2553" t="b">
        <v>0</v>
      </c>
      <c r="D2553" t="s">
        <v>7968</v>
      </c>
      <c r="E2553" t="s">
        <v>8586</v>
      </c>
      <c r="F2553" t="s">
        <v>8702</v>
      </c>
      <c r="G2553" t="s">
        <v>8699</v>
      </c>
      <c r="H2553">
        <v>2552</v>
      </c>
      <c r="I2553" t="str">
        <f>IF(ISBLANK(Table1[[#This Row],[oid]]),"FALSE","TRUE")</f>
        <v>TRUE</v>
      </c>
      <c r="J2553" t="str" cm="1">
        <f t="array" ref="J2553">_xlfn.SWITCH(LEFT(Table1[[#This Row],[section]],1), "D", "Demographic", "S", "Social", "E", "Economic", "H", "Housing", "")</f>
        <v>Housing</v>
      </c>
      <c r="K2553" t="s">
        <v>8588</v>
      </c>
      <c r="L2553" t="s">
        <v>8589</v>
      </c>
      <c r="M2553" t="str">
        <f>IF(Table1[[#This Row],[used]], _xlfn.CONCAT("🆔 ", Table1[[#This Row],[variable]], ": ",Table1[[#This Row],[alias]]), "")</f>
        <v>🆔 B25038_014E: Renter occupied: Moved in 1980 to 1989</v>
      </c>
      <c r="O2553" t="s">
        <v>8700</v>
      </c>
      <c r="P2553" t="s">
        <v>8590</v>
      </c>
      <c r="Q2553" t="s">
        <v>41</v>
      </c>
      <c r="R2553" t="s">
        <v>8705</v>
      </c>
      <c r="S2553" t="b">
        <v>0</v>
      </c>
      <c r="T2553" t="b">
        <v>0</v>
      </c>
      <c r="U2553" t="b">
        <v>0</v>
      </c>
      <c r="V2553" t="b">
        <v>0</v>
      </c>
      <c r="W2553" t="b">
        <v>0</v>
      </c>
      <c r="X2553" t="b">
        <v>1</v>
      </c>
      <c r="Y2553" t="b">
        <v>1</v>
      </c>
      <c r="Z2553" t="b">
        <v>1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</row>
    <row r="2554" spans="1:33" x14ac:dyDescent="0.25">
      <c r="A2554" t="s">
        <v>3560</v>
      </c>
      <c r="B2554">
        <v>7</v>
      </c>
      <c r="C2554" t="b">
        <v>0</v>
      </c>
      <c r="D2554" t="s">
        <v>7968</v>
      </c>
      <c r="E2554" t="s">
        <v>8586</v>
      </c>
      <c r="F2554" t="s">
        <v>8702</v>
      </c>
      <c r="G2554" t="s">
        <v>8694</v>
      </c>
      <c r="H2554">
        <v>2553</v>
      </c>
      <c r="I2554" t="str">
        <f>IF(ISBLANK(Table1[[#This Row],[oid]]),"FALSE","TRUE")</f>
        <v>TRUE</v>
      </c>
      <c r="J2554" t="str" cm="1">
        <f t="array" ref="J2554">_xlfn.SWITCH(LEFT(Table1[[#This Row],[section]],1), "D", "Demographic", "S", "Social", "E", "Economic", "H", "Housing", "")</f>
        <v>Housing</v>
      </c>
      <c r="K2554" t="s">
        <v>8588</v>
      </c>
      <c r="L2554" t="s">
        <v>8589</v>
      </c>
      <c r="M2554" t="str">
        <f>IF(Table1[[#This Row],[used]], _xlfn.CONCAT("🆔 ", Table1[[#This Row],[variable]], ": ",Table1[[#This Row],[alias]]), "")</f>
        <v>🆔 B25038_014E: Renter occupied: Moved in 1990 to 1999</v>
      </c>
      <c r="O2554" t="s">
        <v>8695</v>
      </c>
      <c r="P2554" t="s">
        <v>8590</v>
      </c>
      <c r="Q2554" t="s">
        <v>41</v>
      </c>
      <c r="R2554" t="s">
        <v>8705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1</v>
      </c>
      <c r="AB2554" t="b">
        <v>1</v>
      </c>
      <c r="AC2554" t="b">
        <v>1</v>
      </c>
      <c r="AD2554" t="b">
        <v>1</v>
      </c>
      <c r="AE2554" t="b">
        <v>1</v>
      </c>
      <c r="AF2554" t="b">
        <v>1</v>
      </c>
      <c r="AG2554" t="b">
        <v>1</v>
      </c>
    </row>
    <row r="2555" spans="1:33" x14ac:dyDescent="0.25">
      <c r="A2555" t="s">
        <v>709</v>
      </c>
      <c r="B2555">
        <v>5</v>
      </c>
      <c r="C2555" t="b">
        <v>0</v>
      </c>
      <c r="D2555" t="s">
        <v>7968</v>
      </c>
      <c r="E2555" t="s">
        <v>8586</v>
      </c>
      <c r="F2555" t="s">
        <v>8706</v>
      </c>
      <c r="G2555" t="s">
        <v>8707</v>
      </c>
      <c r="H2555">
        <v>2554</v>
      </c>
      <c r="I2555" t="str">
        <f>IF(ISBLANK(Table1[[#This Row],[oid]]),"FALSE","TRUE")</f>
        <v>TRUE</v>
      </c>
      <c r="J2555" t="str" cm="1">
        <f t="array" ref="J2555">_xlfn.SWITCH(LEFT(Table1[[#This Row],[section]],1), "D", "Demographic", "S", "Social", "E", "Economic", "H", "Housing", "")</f>
        <v>Housing</v>
      </c>
      <c r="K2555" t="s">
        <v>8588</v>
      </c>
      <c r="L2555" t="s">
        <v>8589</v>
      </c>
      <c r="M2555" t="str">
        <f>IF(Table1[[#This Row],[used]], _xlfn.CONCAT("🆔 ", Table1[[#This Row],[variable]], ": ",Table1[[#This Row],[alias]]), "")</f>
        <v>🆔 B25038_015E: Renter occupied: Moved in 1969 or earlier</v>
      </c>
      <c r="O2555" t="s">
        <v>8708</v>
      </c>
      <c r="P2555" t="s">
        <v>8590</v>
      </c>
      <c r="Q2555" t="s">
        <v>41</v>
      </c>
      <c r="R2555" t="s">
        <v>8709</v>
      </c>
      <c r="S2555" t="b">
        <v>1</v>
      </c>
      <c r="T2555" t="b">
        <v>1</v>
      </c>
      <c r="U2555" t="b">
        <v>1</v>
      </c>
      <c r="V2555" t="b">
        <v>1</v>
      </c>
      <c r="W2555" t="b">
        <v>1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0</v>
      </c>
    </row>
    <row r="2556" spans="1:33" x14ac:dyDescent="0.25">
      <c r="A2556" t="s">
        <v>8603</v>
      </c>
      <c r="B2556">
        <v>3</v>
      </c>
      <c r="C2556" t="b">
        <v>0</v>
      </c>
      <c r="D2556" t="s">
        <v>7968</v>
      </c>
      <c r="E2556" t="s">
        <v>8586</v>
      </c>
      <c r="F2556" t="s">
        <v>8706</v>
      </c>
      <c r="G2556" t="s">
        <v>8710</v>
      </c>
      <c r="H2556">
        <v>2555</v>
      </c>
      <c r="I2556" t="str">
        <f>IF(ISBLANK(Table1[[#This Row],[oid]]),"FALSE","TRUE")</f>
        <v>TRUE</v>
      </c>
      <c r="J2556" t="str" cm="1">
        <f t="array" ref="J2556">_xlfn.SWITCH(LEFT(Table1[[#This Row],[section]],1), "D", "Demographic", "S", "Social", "E", "Economic", "H", "Housing", "")</f>
        <v>Housing</v>
      </c>
      <c r="K2556" t="s">
        <v>8588</v>
      </c>
      <c r="L2556" t="s">
        <v>8589</v>
      </c>
      <c r="M2556" t="str">
        <f>IF(Table1[[#This Row],[used]], _xlfn.CONCAT("🆔 ", Table1[[#This Row],[variable]], ": ",Table1[[#This Row],[alias]]), "")</f>
        <v>🆔 B25038_015E: Renter occupied: Moved in 1979 or earlier</v>
      </c>
      <c r="O2556" t="s">
        <v>8711</v>
      </c>
      <c r="P2556" t="s">
        <v>8590</v>
      </c>
      <c r="Q2556" t="s">
        <v>41</v>
      </c>
      <c r="R2556" t="s">
        <v>8709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1</v>
      </c>
      <c r="Y2556" t="b">
        <v>1</v>
      </c>
      <c r="Z2556" t="b">
        <v>1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</row>
    <row r="2557" spans="1:33" x14ac:dyDescent="0.25">
      <c r="A2557" t="s">
        <v>3560</v>
      </c>
      <c r="B2557">
        <v>7</v>
      </c>
      <c r="C2557" t="b">
        <v>0</v>
      </c>
      <c r="D2557" t="s">
        <v>7968</v>
      </c>
      <c r="E2557" t="s">
        <v>8586</v>
      </c>
      <c r="F2557" t="s">
        <v>8706</v>
      </c>
      <c r="G2557" t="s">
        <v>8712</v>
      </c>
      <c r="H2557">
        <v>2556</v>
      </c>
      <c r="I2557" t="str">
        <f>IF(ISBLANK(Table1[[#This Row],[oid]]),"FALSE","TRUE")</f>
        <v>TRUE</v>
      </c>
      <c r="J2557" t="str" cm="1">
        <f t="array" ref="J2557">_xlfn.SWITCH(LEFT(Table1[[#This Row],[section]],1), "D", "Demographic", "S", "Social", "E", "Economic", "H", "Housing", "")</f>
        <v>Housing</v>
      </c>
      <c r="K2557" t="s">
        <v>8588</v>
      </c>
      <c r="L2557" t="s">
        <v>8589</v>
      </c>
      <c r="M2557" t="str">
        <f>IF(Table1[[#This Row],[used]], _xlfn.CONCAT("🆔 ", Table1[[#This Row],[variable]], ": ",Table1[[#This Row],[alias]]), "")</f>
        <v>🆔 B25038_015E: Renter occupied: Moved in 1989 or earlier</v>
      </c>
      <c r="O2557" t="s">
        <v>8713</v>
      </c>
      <c r="P2557" t="s">
        <v>8590</v>
      </c>
      <c r="Q2557" t="s">
        <v>41</v>
      </c>
      <c r="R2557" t="s">
        <v>8709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1</v>
      </c>
      <c r="AB2557" t="b">
        <v>1</v>
      </c>
      <c r="AC2557" t="b">
        <v>1</v>
      </c>
      <c r="AD2557" t="b">
        <v>1</v>
      </c>
      <c r="AE2557" t="b">
        <v>1</v>
      </c>
      <c r="AF2557" t="b">
        <v>1</v>
      </c>
      <c r="AG2557" t="b">
        <v>1</v>
      </c>
    </row>
    <row r="2558" spans="1:33" x14ac:dyDescent="0.25">
      <c r="A2558" t="s">
        <v>33</v>
      </c>
      <c r="B2558">
        <v>15</v>
      </c>
      <c r="C2558" t="b">
        <v>1</v>
      </c>
      <c r="D2558" t="s">
        <v>7968</v>
      </c>
      <c r="E2558" t="s">
        <v>8714</v>
      </c>
      <c r="F2558" t="s">
        <v>8715</v>
      </c>
      <c r="G2558" t="s">
        <v>8716</v>
      </c>
      <c r="H2558">
        <v>2557</v>
      </c>
      <c r="I2558" t="str">
        <f>IF(ISBLANK(Table1[[#This Row],[oid]]),"FALSE","TRUE")</f>
        <v>TRUE</v>
      </c>
      <c r="J2558" t="str" cm="1">
        <f t="array" ref="J2558">_xlfn.SWITCH(LEFT(Table1[[#This Row],[section]],1), "D", "Demographic", "S", "Social", "E", "Economic", "H", "Housing", "")</f>
        <v>Housing</v>
      </c>
      <c r="K2558" t="s">
        <v>8588</v>
      </c>
      <c r="L2558" t="s">
        <v>8589</v>
      </c>
      <c r="M2558" t="str">
        <f>IF(Table1[[#This Row],[used]], _xlfn.CONCAT("🆔 ", Table1[[#This Row],[variable]], ": ",Table1[[#This Row],[alias]]), "")</f>
        <v>🆔 B25039_001E: Median year householder moved into unit: Total</v>
      </c>
      <c r="O2558" t="s">
        <v>8717</v>
      </c>
      <c r="P2558" t="s">
        <v>8718</v>
      </c>
      <c r="Q2558" t="s">
        <v>8159</v>
      </c>
      <c r="R2558" t="s">
        <v>8719</v>
      </c>
      <c r="S2558" t="b">
        <v>1</v>
      </c>
      <c r="T2558" t="b">
        <v>1</v>
      </c>
      <c r="U2558" t="b">
        <v>1</v>
      </c>
      <c r="V2558" t="b">
        <v>1</v>
      </c>
      <c r="W2558" t="b">
        <v>1</v>
      </c>
      <c r="X2558" t="b">
        <v>1</v>
      </c>
      <c r="Y2558" t="b">
        <v>1</v>
      </c>
      <c r="Z2558" t="b">
        <v>1</v>
      </c>
      <c r="AA2558" t="b">
        <v>1</v>
      </c>
      <c r="AB2558" t="b">
        <v>1</v>
      </c>
      <c r="AC2558" t="b">
        <v>1</v>
      </c>
      <c r="AD2558" t="b">
        <v>1</v>
      </c>
      <c r="AE2558" t="b">
        <v>1</v>
      </c>
      <c r="AF2558" t="b">
        <v>1</v>
      </c>
      <c r="AG2558" t="b">
        <v>1</v>
      </c>
    </row>
    <row r="2559" spans="1:33" x14ac:dyDescent="0.25">
      <c r="A2559" t="s">
        <v>676</v>
      </c>
      <c r="B2559">
        <v>9</v>
      </c>
      <c r="C2559" t="b">
        <v>0</v>
      </c>
      <c r="D2559" t="s">
        <v>7968</v>
      </c>
      <c r="E2559" t="s">
        <v>8714</v>
      </c>
      <c r="F2559" t="s">
        <v>8720</v>
      </c>
      <c r="G2559" t="s">
        <v>8721</v>
      </c>
      <c r="H2559">
        <v>2558</v>
      </c>
      <c r="I2559" t="str">
        <f>IF(ISBLANK(Table1[[#This Row],[oid]]),"FALSE","TRUE")</f>
        <v>TRUE</v>
      </c>
      <c r="J2559" t="str" cm="1">
        <f t="array" ref="J2559">_xlfn.SWITCH(LEFT(Table1[[#This Row],[section]],1), "D", "Demographic", "S", "Social", "E", "Economic", "H", "Housing", "")</f>
        <v>Housing</v>
      </c>
      <c r="K2559" t="s">
        <v>8588</v>
      </c>
      <c r="L2559" t="s">
        <v>8589</v>
      </c>
      <c r="M2559" t="str">
        <f>IF(Table1[[#This Row],[used]], _xlfn.CONCAT("🆔 ", Table1[[#This Row],[variable]], ": ",Table1[[#This Row],[alias]]), "")</f>
        <v>🆔 B25039_002E: Median year householder moved into unit: Owner occupied</v>
      </c>
      <c r="O2559" t="s">
        <v>8722</v>
      </c>
      <c r="P2559" t="s">
        <v>8718</v>
      </c>
      <c r="Q2559" t="s">
        <v>8159</v>
      </c>
      <c r="R2559" t="s">
        <v>8723</v>
      </c>
      <c r="S2559" t="b">
        <v>1</v>
      </c>
      <c r="T2559" t="b">
        <v>1</v>
      </c>
      <c r="U2559" t="b">
        <v>1</v>
      </c>
      <c r="V2559" t="b">
        <v>1</v>
      </c>
      <c r="W2559" t="b">
        <v>1</v>
      </c>
      <c r="X2559" t="b">
        <v>1</v>
      </c>
      <c r="Y2559" t="b">
        <v>1</v>
      </c>
      <c r="Z2559" t="b">
        <v>1</v>
      </c>
      <c r="AA2559" t="b">
        <v>1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0</v>
      </c>
    </row>
    <row r="2560" spans="1:33" x14ac:dyDescent="0.25">
      <c r="A2560" t="s">
        <v>681</v>
      </c>
      <c r="B2560">
        <v>6</v>
      </c>
      <c r="C2560" t="b">
        <v>0</v>
      </c>
      <c r="D2560" t="s">
        <v>7968</v>
      </c>
      <c r="E2560" t="s">
        <v>8714</v>
      </c>
      <c r="F2560" t="s">
        <v>8720</v>
      </c>
      <c r="G2560" t="s">
        <v>8721</v>
      </c>
      <c r="H2560">
        <v>2559</v>
      </c>
      <c r="I2560" t="str">
        <f>IF(ISBLANK(Table1[[#This Row],[oid]]),"FALSE","TRUE")</f>
        <v>TRUE</v>
      </c>
      <c r="J2560" t="str" cm="1">
        <f t="array" ref="J2560">_xlfn.SWITCH(LEFT(Table1[[#This Row],[section]],1), "D", "Demographic", "S", "Social", "E", "Economic", "H", "Housing", "")</f>
        <v>Housing</v>
      </c>
      <c r="K2560" t="s">
        <v>8588</v>
      </c>
      <c r="L2560" t="s">
        <v>8589</v>
      </c>
      <c r="M2560" t="str">
        <f>IF(Table1[[#This Row],[used]], _xlfn.CONCAT("🆔 ", Table1[[#This Row],[variable]], ": ",Table1[[#This Row],[alias]]), "")</f>
        <v>🆔 B25039_002E: Median year householder moved into unit: Owner occupied</v>
      </c>
      <c r="O2560" t="s">
        <v>8724</v>
      </c>
      <c r="P2560" t="s">
        <v>8718</v>
      </c>
      <c r="Q2560" t="s">
        <v>8159</v>
      </c>
      <c r="R2560" t="s">
        <v>8723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1</v>
      </c>
      <c r="AC2560" t="b">
        <v>1</v>
      </c>
      <c r="AD2560" t="b">
        <v>1</v>
      </c>
      <c r="AE2560" t="b">
        <v>1</v>
      </c>
      <c r="AF2560" t="b">
        <v>1</v>
      </c>
      <c r="AG2560" t="b">
        <v>1</v>
      </c>
    </row>
    <row r="2561" spans="1:33" x14ac:dyDescent="0.25">
      <c r="A2561" t="s">
        <v>676</v>
      </c>
      <c r="B2561">
        <v>9</v>
      </c>
      <c r="C2561" t="b">
        <v>0</v>
      </c>
      <c r="D2561" t="s">
        <v>7968</v>
      </c>
      <c r="E2561" t="s">
        <v>8714</v>
      </c>
      <c r="F2561" t="s">
        <v>8725</v>
      </c>
      <c r="G2561" t="s">
        <v>8726</v>
      </c>
      <c r="H2561">
        <v>2560</v>
      </c>
      <c r="I2561" t="str">
        <f>IF(ISBLANK(Table1[[#This Row],[oid]]),"FALSE","TRUE")</f>
        <v>TRUE</v>
      </c>
      <c r="J2561" t="str" cm="1">
        <f t="array" ref="J2561">_xlfn.SWITCH(LEFT(Table1[[#This Row],[section]],1), "D", "Demographic", "S", "Social", "E", "Economic", "H", "Housing", "")</f>
        <v>Housing</v>
      </c>
      <c r="K2561" t="s">
        <v>8588</v>
      </c>
      <c r="L2561" t="s">
        <v>8589</v>
      </c>
      <c r="M2561" t="str">
        <f>IF(Table1[[#This Row],[used]], _xlfn.CONCAT("🆔 ", Table1[[#This Row],[variable]], ": ",Table1[[#This Row],[alias]]), "")</f>
        <v>🆔 B25039_003E: Median year householder moved into unit: Renter occupied</v>
      </c>
      <c r="O2561" t="s">
        <v>8727</v>
      </c>
      <c r="P2561" t="s">
        <v>8718</v>
      </c>
      <c r="Q2561" t="s">
        <v>8159</v>
      </c>
      <c r="R2561" t="s">
        <v>8728</v>
      </c>
      <c r="S2561" t="b">
        <v>1</v>
      </c>
      <c r="T2561" t="b">
        <v>1</v>
      </c>
      <c r="U2561" t="b">
        <v>1</v>
      </c>
      <c r="V2561" t="b">
        <v>1</v>
      </c>
      <c r="W2561" t="b">
        <v>1</v>
      </c>
      <c r="X2561" t="b">
        <v>1</v>
      </c>
      <c r="Y2561" t="b">
        <v>1</v>
      </c>
      <c r="Z2561" t="b">
        <v>1</v>
      </c>
      <c r="AA2561" t="b">
        <v>1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</row>
    <row r="2562" spans="1:33" x14ac:dyDescent="0.25">
      <c r="A2562" t="s">
        <v>681</v>
      </c>
      <c r="B2562">
        <v>6</v>
      </c>
      <c r="C2562" t="b">
        <v>0</v>
      </c>
      <c r="D2562" t="s">
        <v>7968</v>
      </c>
      <c r="E2562" t="s">
        <v>8714</v>
      </c>
      <c r="F2562" t="s">
        <v>8725</v>
      </c>
      <c r="G2562" t="s">
        <v>8726</v>
      </c>
      <c r="H2562">
        <v>2561</v>
      </c>
      <c r="I2562" t="str">
        <f>IF(ISBLANK(Table1[[#This Row],[oid]]),"FALSE","TRUE")</f>
        <v>TRUE</v>
      </c>
      <c r="J2562" t="str" cm="1">
        <f t="array" ref="J2562">_xlfn.SWITCH(LEFT(Table1[[#This Row],[section]],1), "D", "Demographic", "S", "Social", "E", "Economic", "H", "Housing", "")</f>
        <v>Housing</v>
      </c>
      <c r="K2562" t="s">
        <v>8588</v>
      </c>
      <c r="L2562" t="s">
        <v>8589</v>
      </c>
      <c r="M2562" t="str">
        <f>IF(Table1[[#This Row],[used]], _xlfn.CONCAT("🆔 ", Table1[[#This Row],[variable]], ": ",Table1[[#This Row],[alias]]), "")</f>
        <v>🆔 B25039_003E: Median year householder moved into unit: Renter occupied</v>
      </c>
      <c r="O2562" t="s">
        <v>8729</v>
      </c>
      <c r="P2562" t="s">
        <v>8718</v>
      </c>
      <c r="Q2562" t="s">
        <v>8159</v>
      </c>
      <c r="R2562" t="s">
        <v>8728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1</v>
      </c>
      <c r="AC2562" t="b">
        <v>1</v>
      </c>
      <c r="AD2562" t="b">
        <v>1</v>
      </c>
      <c r="AE2562" t="b">
        <v>1</v>
      </c>
      <c r="AF2562" t="b">
        <v>1</v>
      </c>
      <c r="AG2562" t="b">
        <v>1</v>
      </c>
    </row>
    <row r="2563" spans="1:33" x14ac:dyDescent="0.25">
      <c r="A2563" t="s">
        <v>33</v>
      </c>
      <c r="B2563">
        <v>15</v>
      </c>
      <c r="C2563" t="b">
        <v>1</v>
      </c>
      <c r="D2563" t="s">
        <v>7968</v>
      </c>
      <c r="E2563" t="s">
        <v>8730</v>
      </c>
      <c r="F2563" t="s">
        <v>8731</v>
      </c>
      <c r="G2563" t="s">
        <v>8545</v>
      </c>
      <c r="H2563">
        <v>2562</v>
      </c>
      <c r="I2563" t="str">
        <f>IF(ISBLANK(Table1[[#This Row],[oid]]),"FALSE","TRUE")</f>
        <v>TRUE</v>
      </c>
      <c r="J2563" t="str" cm="1">
        <f t="array" ref="J2563">_xlfn.SWITCH(LEFT(Table1[[#This Row],[section]],1), "D", "Demographic", "S", "Social", "E", "Economic", "H", "Housing", "")</f>
        <v>Housing</v>
      </c>
      <c r="K2563" t="s">
        <v>8732</v>
      </c>
      <c r="L2563" t="s">
        <v>8733</v>
      </c>
      <c r="M2563" t="str">
        <f>IF(Table1[[#This Row],[used]], _xlfn.CONCAT("🆔 ", Table1[[#This Row],[variable]], ": ",Table1[[#This Row],[alias]]), "")</f>
        <v>🆔 B25044_001E: Occupied Housing Units</v>
      </c>
      <c r="O2563" t="s">
        <v>39</v>
      </c>
      <c r="P2563" t="s">
        <v>8734</v>
      </c>
      <c r="Q2563" t="s">
        <v>41</v>
      </c>
      <c r="R2563" t="s">
        <v>8735</v>
      </c>
      <c r="S2563" t="b">
        <v>1</v>
      </c>
      <c r="T2563" t="b">
        <v>1</v>
      </c>
      <c r="U2563" t="b">
        <v>1</v>
      </c>
      <c r="V2563" t="b">
        <v>1</v>
      </c>
      <c r="W2563" t="b">
        <v>1</v>
      </c>
      <c r="X2563" t="b">
        <v>1</v>
      </c>
      <c r="Y2563" t="b">
        <v>1</v>
      </c>
      <c r="Z2563" t="b">
        <v>1</v>
      </c>
      <c r="AA2563" t="b">
        <v>1</v>
      </c>
      <c r="AB2563" t="b">
        <v>1</v>
      </c>
      <c r="AC2563" t="b">
        <v>1</v>
      </c>
      <c r="AD2563" t="b">
        <v>1</v>
      </c>
      <c r="AE2563" t="b">
        <v>1</v>
      </c>
      <c r="AF2563" t="b">
        <v>1</v>
      </c>
      <c r="AG2563" t="b">
        <v>1</v>
      </c>
    </row>
    <row r="2564" spans="1:33" x14ac:dyDescent="0.25">
      <c r="A2564" t="s">
        <v>33</v>
      </c>
      <c r="B2564">
        <v>15</v>
      </c>
      <c r="C2564" t="b">
        <v>1</v>
      </c>
      <c r="D2564" t="s">
        <v>7968</v>
      </c>
      <c r="E2564" t="s">
        <v>8730</v>
      </c>
      <c r="F2564" t="s">
        <v>8736</v>
      </c>
      <c r="G2564" t="s">
        <v>7991</v>
      </c>
      <c r="H2564">
        <v>2563</v>
      </c>
      <c r="I2564" t="str">
        <f>IF(ISBLANK(Table1[[#This Row],[oid]]),"FALSE","TRUE")</f>
        <v>TRUE</v>
      </c>
      <c r="J2564" t="str" cm="1">
        <f t="array" ref="J2564">_xlfn.SWITCH(LEFT(Table1[[#This Row],[section]],1), "D", "Demographic", "S", "Social", "E", "Economic", "H", "Housing", "")</f>
        <v>Housing</v>
      </c>
      <c r="K2564" t="s">
        <v>8732</v>
      </c>
      <c r="L2564" t="s">
        <v>8733</v>
      </c>
      <c r="M2564" t="str">
        <f>IF(Table1[[#This Row],[used]], _xlfn.CONCAT("🆔 ", Table1[[#This Row],[variable]], ": ",Table1[[#This Row],[alias]]), "")</f>
        <v>🆔 B25044_002E: Owner occupied</v>
      </c>
      <c r="O2564" t="s">
        <v>7992</v>
      </c>
      <c r="P2564" t="s">
        <v>8734</v>
      </c>
      <c r="Q2564" t="s">
        <v>41</v>
      </c>
      <c r="R2564" t="s">
        <v>8737</v>
      </c>
      <c r="S2564" t="b">
        <v>1</v>
      </c>
      <c r="T2564" t="b">
        <v>1</v>
      </c>
      <c r="U2564" t="b">
        <v>1</v>
      </c>
      <c r="V2564" t="b">
        <v>1</v>
      </c>
      <c r="W2564" t="b">
        <v>1</v>
      </c>
      <c r="X2564" t="b">
        <v>1</v>
      </c>
      <c r="Y2564" t="b">
        <v>1</v>
      </c>
      <c r="Z2564" t="b">
        <v>1</v>
      </c>
      <c r="AA2564" t="b">
        <v>1</v>
      </c>
      <c r="AB2564" t="b">
        <v>1</v>
      </c>
      <c r="AC2564" t="b">
        <v>1</v>
      </c>
      <c r="AD2564" t="b">
        <v>1</v>
      </c>
      <c r="AE2564" t="b">
        <v>1</v>
      </c>
      <c r="AF2564" t="b">
        <v>1</v>
      </c>
      <c r="AG2564" t="b">
        <v>1</v>
      </c>
    </row>
    <row r="2565" spans="1:33" x14ac:dyDescent="0.25">
      <c r="A2565" t="s">
        <v>33</v>
      </c>
      <c r="B2565">
        <v>15</v>
      </c>
      <c r="C2565" t="b">
        <v>1</v>
      </c>
      <c r="D2565" t="s">
        <v>7968</v>
      </c>
      <c r="E2565" t="s">
        <v>8730</v>
      </c>
      <c r="F2565" t="s">
        <v>8738</v>
      </c>
      <c r="G2565" t="s">
        <v>8739</v>
      </c>
      <c r="H2565">
        <v>2564</v>
      </c>
      <c r="I2565" t="str">
        <f>IF(ISBLANK(Table1[[#This Row],[oid]]),"FALSE","TRUE")</f>
        <v>TRUE</v>
      </c>
      <c r="J2565" t="str" cm="1">
        <f t="array" ref="J2565">_xlfn.SWITCH(LEFT(Table1[[#This Row],[section]],1), "D", "Demographic", "S", "Social", "E", "Economic", "H", "Housing", "")</f>
        <v>Housing</v>
      </c>
      <c r="K2565" t="s">
        <v>8732</v>
      </c>
      <c r="L2565" t="s">
        <v>8733</v>
      </c>
      <c r="M2565" t="str">
        <f>IF(Table1[[#This Row],[used]], _xlfn.CONCAT("🆔 ", Table1[[#This Row],[variable]], ": ",Table1[[#This Row],[alias]]), "")</f>
        <v>🆔 B25044_003E: Owner occupied: No vehicle available</v>
      </c>
      <c r="O2565" t="s">
        <v>8740</v>
      </c>
      <c r="P2565" t="s">
        <v>8734</v>
      </c>
      <c r="Q2565" t="s">
        <v>41</v>
      </c>
      <c r="R2565" t="s">
        <v>8741</v>
      </c>
      <c r="S2565" t="b">
        <v>1</v>
      </c>
      <c r="T2565" t="b">
        <v>1</v>
      </c>
      <c r="U2565" t="b">
        <v>1</v>
      </c>
      <c r="V2565" t="b">
        <v>1</v>
      </c>
      <c r="W2565" t="b">
        <v>1</v>
      </c>
      <c r="X2565" t="b">
        <v>1</v>
      </c>
      <c r="Y2565" t="b">
        <v>1</v>
      </c>
      <c r="Z2565" t="b">
        <v>1</v>
      </c>
      <c r="AA2565" t="b">
        <v>1</v>
      </c>
      <c r="AB2565" t="b">
        <v>1</v>
      </c>
      <c r="AC2565" t="b">
        <v>1</v>
      </c>
      <c r="AD2565" t="b">
        <v>1</v>
      </c>
      <c r="AE2565" t="b">
        <v>1</v>
      </c>
      <c r="AF2565" t="b">
        <v>1</v>
      </c>
      <c r="AG2565" t="b">
        <v>1</v>
      </c>
    </row>
    <row r="2566" spans="1:33" x14ac:dyDescent="0.25">
      <c r="A2566" t="s">
        <v>33</v>
      </c>
      <c r="B2566">
        <v>15</v>
      </c>
      <c r="C2566" t="b">
        <v>1</v>
      </c>
      <c r="D2566" t="s">
        <v>7968</v>
      </c>
      <c r="E2566" t="s">
        <v>8730</v>
      </c>
      <c r="F2566" t="s">
        <v>8742</v>
      </c>
      <c r="G2566" t="s">
        <v>8743</v>
      </c>
      <c r="H2566">
        <v>2565</v>
      </c>
      <c r="I2566" t="str">
        <f>IF(ISBLANK(Table1[[#This Row],[oid]]),"FALSE","TRUE")</f>
        <v>TRUE</v>
      </c>
      <c r="J2566" t="str" cm="1">
        <f t="array" ref="J2566">_xlfn.SWITCH(LEFT(Table1[[#This Row],[section]],1), "D", "Demographic", "S", "Social", "E", "Economic", "H", "Housing", "")</f>
        <v>Housing</v>
      </c>
      <c r="K2566" t="s">
        <v>8732</v>
      </c>
      <c r="L2566" t="s">
        <v>8733</v>
      </c>
      <c r="M2566" t="str">
        <f>IF(Table1[[#This Row],[used]], _xlfn.CONCAT("🆔 ", Table1[[#This Row],[variable]], ": ",Table1[[#This Row],[alias]]), "")</f>
        <v>🆔 B25044_004E: Owner occupied: 1 vehicle available</v>
      </c>
      <c r="O2566" t="s">
        <v>8744</v>
      </c>
      <c r="P2566" t="s">
        <v>8734</v>
      </c>
      <c r="Q2566" t="s">
        <v>41</v>
      </c>
      <c r="R2566" t="s">
        <v>8745</v>
      </c>
      <c r="S2566" t="b">
        <v>1</v>
      </c>
      <c r="T2566" t="b">
        <v>1</v>
      </c>
      <c r="U2566" t="b">
        <v>1</v>
      </c>
      <c r="V2566" t="b">
        <v>1</v>
      </c>
      <c r="W2566" t="b">
        <v>1</v>
      </c>
      <c r="X2566" t="b">
        <v>1</v>
      </c>
      <c r="Y2566" t="b">
        <v>1</v>
      </c>
      <c r="Z2566" t="b">
        <v>1</v>
      </c>
      <c r="AA2566" t="b">
        <v>1</v>
      </c>
      <c r="AB2566" t="b">
        <v>1</v>
      </c>
      <c r="AC2566" t="b">
        <v>1</v>
      </c>
      <c r="AD2566" t="b">
        <v>1</v>
      </c>
      <c r="AE2566" t="b">
        <v>1</v>
      </c>
      <c r="AF2566" t="b">
        <v>1</v>
      </c>
      <c r="AG2566" t="b">
        <v>1</v>
      </c>
    </row>
    <row r="2567" spans="1:33" x14ac:dyDescent="0.25">
      <c r="A2567" t="s">
        <v>33</v>
      </c>
      <c r="B2567">
        <v>15</v>
      </c>
      <c r="C2567" t="b">
        <v>1</v>
      </c>
      <c r="D2567" t="s">
        <v>7968</v>
      </c>
      <c r="E2567" t="s">
        <v>8730</v>
      </c>
      <c r="F2567" t="s">
        <v>8746</v>
      </c>
      <c r="G2567" t="s">
        <v>8747</v>
      </c>
      <c r="H2567">
        <v>2566</v>
      </c>
      <c r="I2567" t="str">
        <f>IF(ISBLANK(Table1[[#This Row],[oid]]),"FALSE","TRUE")</f>
        <v>TRUE</v>
      </c>
      <c r="J2567" t="str" cm="1">
        <f t="array" ref="J2567">_xlfn.SWITCH(LEFT(Table1[[#This Row],[section]],1), "D", "Demographic", "S", "Social", "E", "Economic", "H", "Housing", "")</f>
        <v>Housing</v>
      </c>
      <c r="K2567" t="s">
        <v>8732</v>
      </c>
      <c r="L2567" t="s">
        <v>8733</v>
      </c>
      <c r="M2567" t="str">
        <f>IF(Table1[[#This Row],[used]], _xlfn.CONCAT("🆔 ", Table1[[#This Row],[variable]], ": ",Table1[[#This Row],[alias]]), "")</f>
        <v>🆔 B25044_005E: Owner occupied: 2 vehicles available</v>
      </c>
      <c r="O2567" t="s">
        <v>8748</v>
      </c>
      <c r="P2567" t="s">
        <v>8734</v>
      </c>
      <c r="Q2567" t="s">
        <v>41</v>
      </c>
      <c r="R2567" t="s">
        <v>8749</v>
      </c>
      <c r="S2567" t="b">
        <v>1</v>
      </c>
      <c r="T2567" t="b">
        <v>1</v>
      </c>
      <c r="U2567" t="b">
        <v>1</v>
      </c>
      <c r="V2567" t="b">
        <v>1</v>
      </c>
      <c r="W2567" t="b">
        <v>1</v>
      </c>
      <c r="X2567" t="b">
        <v>1</v>
      </c>
      <c r="Y2567" t="b">
        <v>1</v>
      </c>
      <c r="Z2567" t="b">
        <v>1</v>
      </c>
      <c r="AA2567" t="b">
        <v>1</v>
      </c>
      <c r="AB2567" t="b">
        <v>1</v>
      </c>
      <c r="AC2567" t="b">
        <v>1</v>
      </c>
      <c r="AD2567" t="b">
        <v>1</v>
      </c>
      <c r="AE2567" t="b">
        <v>1</v>
      </c>
      <c r="AF2567" t="b">
        <v>1</v>
      </c>
      <c r="AG2567" t="b">
        <v>1</v>
      </c>
    </row>
    <row r="2568" spans="1:33" x14ac:dyDescent="0.25">
      <c r="A2568" t="s">
        <v>33</v>
      </c>
      <c r="B2568">
        <v>15</v>
      </c>
      <c r="C2568" t="b">
        <v>1</v>
      </c>
      <c r="D2568" t="s">
        <v>7968</v>
      </c>
      <c r="E2568" t="s">
        <v>8730</v>
      </c>
      <c r="F2568" t="s">
        <v>8750</v>
      </c>
      <c r="G2568" t="s">
        <v>8751</v>
      </c>
      <c r="H2568">
        <v>2567</v>
      </c>
      <c r="I2568" t="str">
        <f>IF(ISBLANK(Table1[[#This Row],[oid]]),"FALSE","TRUE")</f>
        <v>TRUE</v>
      </c>
      <c r="J2568" t="str" cm="1">
        <f t="array" ref="J2568">_xlfn.SWITCH(LEFT(Table1[[#This Row],[section]],1), "D", "Demographic", "S", "Social", "E", "Economic", "H", "Housing", "")</f>
        <v>Housing</v>
      </c>
      <c r="K2568" t="s">
        <v>8732</v>
      </c>
      <c r="L2568" t="s">
        <v>8733</v>
      </c>
      <c r="M2568" t="str">
        <f>IF(Table1[[#This Row],[used]], _xlfn.CONCAT("🆔 ", Table1[[#This Row],[variable]], ": ",Table1[[#This Row],[alias]]), "")</f>
        <v>🆔 B25044_006E: Owner occupied: 3 vehicles available</v>
      </c>
      <c r="O2568" t="s">
        <v>8752</v>
      </c>
      <c r="P2568" t="s">
        <v>8734</v>
      </c>
      <c r="Q2568" t="s">
        <v>41</v>
      </c>
      <c r="R2568" t="s">
        <v>8753</v>
      </c>
      <c r="S2568" t="b">
        <v>1</v>
      </c>
      <c r="T2568" t="b">
        <v>1</v>
      </c>
      <c r="U2568" t="b">
        <v>1</v>
      </c>
      <c r="V2568" t="b">
        <v>1</v>
      </c>
      <c r="W2568" t="b">
        <v>1</v>
      </c>
      <c r="X2568" t="b">
        <v>1</v>
      </c>
      <c r="Y2568" t="b">
        <v>1</v>
      </c>
      <c r="Z2568" t="b">
        <v>1</v>
      </c>
      <c r="AA2568" t="b">
        <v>1</v>
      </c>
      <c r="AB2568" t="b">
        <v>1</v>
      </c>
      <c r="AC2568" t="b">
        <v>1</v>
      </c>
      <c r="AD2568" t="b">
        <v>1</v>
      </c>
      <c r="AE2568" t="b">
        <v>1</v>
      </c>
      <c r="AF2568" t="b">
        <v>1</v>
      </c>
      <c r="AG2568" t="b">
        <v>1</v>
      </c>
    </row>
    <row r="2569" spans="1:33" x14ac:dyDescent="0.25">
      <c r="A2569" t="s">
        <v>33</v>
      </c>
      <c r="B2569">
        <v>15</v>
      </c>
      <c r="C2569" t="b">
        <v>1</v>
      </c>
      <c r="D2569" t="s">
        <v>7968</v>
      </c>
      <c r="E2569" t="s">
        <v>8730</v>
      </c>
      <c r="F2569" t="s">
        <v>8754</v>
      </c>
      <c r="G2569" t="s">
        <v>8755</v>
      </c>
      <c r="H2569">
        <v>2568</v>
      </c>
      <c r="I2569" t="str">
        <f>IF(ISBLANK(Table1[[#This Row],[oid]]),"FALSE","TRUE")</f>
        <v>TRUE</v>
      </c>
      <c r="J2569" t="str" cm="1">
        <f t="array" ref="J2569">_xlfn.SWITCH(LEFT(Table1[[#This Row],[section]],1), "D", "Demographic", "S", "Social", "E", "Economic", "H", "Housing", "")</f>
        <v>Housing</v>
      </c>
      <c r="K2569" t="s">
        <v>8732</v>
      </c>
      <c r="L2569" t="s">
        <v>8733</v>
      </c>
      <c r="M2569" t="str">
        <f>IF(Table1[[#This Row],[used]], _xlfn.CONCAT("🆔 ", Table1[[#This Row],[variable]], ": ",Table1[[#This Row],[alias]]), "")</f>
        <v>🆔 B25044_007E: Owner occupied: 4 vehicles available</v>
      </c>
      <c r="O2569" t="s">
        <v>8756</v>
      </c>
      <c r="P2569" t="s">
        <v>8734</v>
      </c>
      <c r="Q2569" t="s">
        <v>41</v>
      </c>
      <c r="R2569" t="s">
        <v>8757</v>
      </c>
      <c r="S2569" t="b">
        <v>1</v>
      </c>
      <c r="T2569" t="b">
        <v>1</v>
      </c>
      <c r="U2569" t="b">
        <v>1</v>
      </c>
      <c r="V2569" t="b">
        <v>1</v>
      </c>
      <c r="W2569" t="b">
        <v>1</v>
      </c>
      <c r="X2569" t="b">
        <v>1</v>
      </c>
      <c r="Y2569" t="b">
        <v>1</v>
      </c>
      <c r="Z2569" t="b">
        <v>1</v>
      </c>
      <c r="AA2569" t="b">
        <v>1</v>
      </c>
      <c r="AB2569" t="b">
        <v>1</v>
      </c>
      <c r="AC2569" t="b">
        <v>1</v>
      </c>
      <c r="AD2569" t="b">
        <v>1</v>
      </c>
      <c r="AE2569" t="b">
        <v>1</v>
      </c>
      <c r="AF2569" t="b">
        <v>1</v>
      </c>
      <c r="AG2569" t="b">
        <v>1</v>
      </c>
    </row>
    <row r="2570" spans="1:33" x14ac:dyDescent="0.25">
      <c r="A2570" t="s">
        <v>33</v>
      </c>
      <c r="B2570">
        <v>15</v>
      </c>
      <c r="C2570" t="b">
        <v>1</v>
      </c>
      <c r="D2570" t="s">
        <v>7968</v>
      </c>
      <c r="E2570" t="s">
        <v>8730</v>
      </c>
      <c r="F2570" t="s">
        <v>8758</v>
      </c>
      <c r="G2570" t="s">
        <v>8759</v>
      </c>
      <c r="H2570">
        <v>2569</v>
      </c>
      <c r="I2570" t="str">
        <f>IF(ISBLANK(Table1[[#This Row],[oid]]),"FALSE","TRUE")</f>
        <v>TRUE</v>
      </c>
      <c r="J2570" t="str" cm="1">
        <f t="array" ref="J2570">_xlfn.SWITCH(LEFT(Table1[[#This Row],[section]],1), "D", "Demographic", "S", "Social", "E", "Economic", "H", "Housing", "")</f>
        <v>Housing</v>
      </c>
      <c r="K2570" t="s">
        <v>8732</v>
      </c>
      <c r="L2570" t="s">
        <v>8733</v>
      </c>
      <c r="M2570" t="str">
        <f>IF(Table1[[#This Row],[used]], _xlfn.CONCAT("🆔 ", Table1[[#This Row],[variable]], ": ",Table1[[#This Row],[alias]]), "")</f>
        <v>🆔 B25044_008E: Owner occupied: 5 or more vehicles available</v>
      </c>
      <c r="O2570" t="s">
        <v>8760</v>
      </c>
      <c r="P2570" t="s">
        <v>8734</v>
      </c>
      <c r="Q2570" t="s">
        <v>41</v>
      </c>
      <c r="R2570" t="s">
        <v>8761</v>
      </c>
      <c r="S2570" t="b">
        <v>1</v>
      </c>
      <c r="T2570" t="b">
        <v>1</v>
      </c>
      <c r="U2570" t="b">
        <v>1</v>
      </c>
      <c r="V2570" t="b">
        <v>1</v>
      </c>
      <c r="W2570" t="b">
        <v>1</v>
      </c>
      <c r="X2570" t="b">
        <v>1</v>
      </c>
      <c r="Y2570" t="b">
        <v>1</v>
      </c>
      <c r="Z2570" t="b">
        <v>1</v>
      </c>
      <c r="AA2570" t="b">
        <v>1</v>
      </c>
      <c r="AB2570" t="b">
        <v>1</v>
      </c>
      <c r="AC2570" t="b">
        <v>1</v>
      </c>
      <c r="AD2570" t="b">
        <v>1</v>
      </c>
      <c r="AE2570" t="b">
        <v>1</v>
      </c>
      <c r="AF2570" t="b">
        <v>1</v>
      </c>
      <c r="AG2570" t="b">
        <v>1</v>
      </c>
    </row>
    <row r="2571" spans="1:33" x14ac:dyDescent="0.25">
      <c r="A2571" t="s">
        <v>33</v>
      </c>
      <c r="B2571">
        <v>15</v>
      </c>
      <c r="C2571" t="b">
        <v>1</v>
      </c>
      <c r="D2571" t="s">
        <v>7968</v>
      </c>
      <c r="E2571" t="s">
        <v>8730</v>
      </c>
      <c r="F2571" t="s">
        <v>8762</v>
      </c>
      <c r="G2571" t="s">
        <v>7995</v>
      </c>
      <c r="H2571">
        <v>2570</v>
      </c>
      <c r="I2571" t="str">
        <f>IF(ISBLANK(Table1[[#This Row],[oid]]),"FALSE","TRUE")</f>
        <v>TRUE</v>
      </c>
      <c r="J2571" t="str" cm="1">
        <f t="array" ref="J2571">_xlfn.SWITCH(LEFT(Table1[[#This Row],[section]],1), "D", "Demographic", "S", "Social", "E", "Economic", "H", "Housing", "")</f>
        <v>Housing</v>
      </c>
      <c r="K2571" t="s">
        <v>8732</v>
      </c>
      <c r="L2571" t="s">
        <v>8733</v>
      </c>
      <c r="M2571" t="str">
        <f>IF(Table1[[#This Row],[used]], _xlfn.CONCAT("🆔 ", Table1[[#This Row],[variable]], ": ",Table1[[#This Row],[alias]]), "")</f>
        <v>🆔 B25044_009E: Renter occupied</v>
      </c>
      <c r="O2571" t="s">
        <v>7996</v>
      </c>
      <c r="P2571" t="s">
        <v>8734</v>
      </c>
      <c r="Q2571" t="s">
        <v>41</v>
      </c>
      <c r="R2571" t="s">
        <v>8763</v>
      </c>
      <c r="S2571" t="b">
        <v>1</v>
      </c>
      <c r="T2571" t="b">
        <v>1</v>
      </c>
      <c r="U2571" t="b">
        <v>1</v>
      </c>
      <c r="V2571" t="b">
        <v>1</v>
      </c>
      <c r="W2571" t="b">
        <v>1</v>
      </c>
      <c r="X2571" t="b">
        <v>1</v>
      </c>
      <c r="Y2571" t="b">
        <v>1</v>
      </c>
      <c r="Z2571" t="b">
        <v>1</v>
      </c>
      <c r="AA2571" t="b">
        <v>1</v>
      </c>
      <c r="AB2571" t="b">
        <v>1</v>
      </c>
      <c r="AC2571" t="b">
        <v>1</v>
      </c>
      <c r="AD2571" t="b">
        <v>1</v>
      </c>
      <c r="AE2571" t="b">
        <v>1</v>
      </c>
      <c r="AF2571" t="b">
        <v>1</v>
      </c>
      <c r="AG2571" t="b">
        <v>1</v>
      </c>
    </row>
    <row r="2572" spans="1:33" x14ac:dyDescent="0.25">
      <c r="A2572" t="s">
        <v>33</v>
      </c>
      <c r="B2572">
        <v>15</v>
      </c>
      <c r="C2572" t="b">
        <v>1</v>
      </c>
      <c r="D2572" t="s">
        <v>7968</v>
      </c>
      <c r="E2572" t="s">
        <v>8730</v>
      </c>
      <c r="F2572" t="s">
        <v>8764</v>
      </c>
      <c r="G2572" t="s">
        <v>8765</v>
      </c>
      <c r="H2572">
        <v>2571</v>
      </c>
      <c r="I2572" t="str">
        <f>IF(ISBLANK(Table1[[#This Row],[oid]]),"FALSE","TRUE")</f>
        <v>TRUE</v>
      </c>
      <c r="J2572" t="str" cm="1">
        <f t="array" ref="J2572">_xlfn.SWITCH(LEFT(Table1[[#This Row],[section]],1), "D", "Demographic", "S", "Social", "E", "Economic", "H", "Housing", "")</f>
        <v>Housing</v>
      </c>
      <c r="K2572" t="s">
        <v>8732</v>
      </c>
      <c r="L2572" t="s">
        <v>8733</v>
      </c>
      <c r="M2572" t="str">
        <f>IF(Table1[[#This Row],[used]], _xlfn.CONCAT("🆔 ", Table1[[#This Row],[variable]], ": ",Table1[[#This Row],[alias]]), "")</f>
        <v>🆔 B25044_010E: Renter occupied: No vehicle available</v>
      </c>
      <c r="O2572" t="s">
        <v>8766</v>
      </c>
      <c r="P2572" t="s">
        <v>8734</v>
      </c>
      <c r="Q2572" t="s">
        <v>41</v>
      </c>
      <c r="R2572" t="s">
        <v>8767</v>
      </c>
      <c r="S2572" t="b">
        <v>1</v>
      </c>
      <c r="T2572" t="b">
        <v>1</v>
      </c>
      <c r="U2572" t="b">
        <v>1</v>
      </c>
      <c r="V2572" t="b">
        <v>1</v>
      </c>
      <c r="W2572" t="b">
        <v>1</v>
      </c>
      <c r="X2572" t="b">
        <v>1</v>
      </c>
      <c r="Y2572" t="b">
        <v>1</v>
      </c>
      <c r="Z2572" t="b">
        <v>1</v>
      </c>
      <c r="AA2572" t="b">
        <v>1</v>
      </c>
      <c r="AB2572" t="b">
        <v>1</v>
      </c>
      <c r="AC2572" t="b">
        <v>1</v>
      </c>
      <c r="AD2572" t="b">
        <v>1</v>
      </c>
      <c r="AE2572" t="b">
        <v>1</v>
      </c>
      <c r="AF2572" t="b">
        <v>1</v>
      </c>
      <c r="AG2572" t="b">
        <v>1</v>
      </c>
    </row>
    <row r="2573" spans="1:33" x14ac:dyDescent="0.25">
      <c r="A2573" t="s">
        <v>33</v>
      </c>
      <c r="B2573">
        <v>15</v>
      </c>
      <c r="C2573" t="b">
        <v>1</v>
      </c>
      <c r="D2573" t="s">
        <v>7968</v>
      </c>
      <c r="E2573" t="s">
        <v>8730</v>
      </c>
      <c r="F2573" t="s">
        <v>8768</v>
      </c>
      <c r="G2573" t="s">
        <v>8769</v>
      </c>
      <c r="H2573">
        <v>2572</v>
      </c>
      <c r="I2573" t="str">
        <f>IF(ISBLANK(Table1[[#This Row],[oid]]),"FALSE","TRUE")</f>
        <v>TRUE</v>
      </c>
      <c r="J2573" t="str" cm="1">
        <f t="array" ref="J2573">_xlfn.SWITCH(LEFT(Table1[[#This Row],[section]],1), "D", "Demographic", "S", "Social", "E", "Economic", "H", "Housing", "")</f>
        <v>Housing</v>
      </c>
      <c r="K2573" t="s">
        <v>8732</v>
      </c>
      <c r="L2573" t="s">
        <v>8733</v>
      </c>
      <c r="M2573" t="str">
        <f>IF(Table1[[#This Row],[used]], _xlfn.CONCAT("🆔 ", Table1[[#This Row],[variable]], ": ",Table1[[#This Row],[alias]]), "")</f>
        <v>🆔 B25044_011E: Renter occupied: 1 vehicle available</v>
      </c>
      <c r="O2573" t="s">
        <v>8770</v>
      </c>
      <c r="P2573" t="s">
        <v>8734</v>
      </c>
      <c r="Q2573" t="s">
        <v>41</v>
      </c>
      <c r="R2573" t="s">
        <v>8771</v>
      </c>
      <c r="S2573" t="b">
        <v>1</v>
      </c>
      <c r="T2573" t="b">
        <v>1</v>
      </c>
      <c r="U2573" t="b">
        <v>1</v>
      </c>
      <c r="V2573" t="b">
        <v>1</v>
      </c>
      <c r="W2573" t="b">
        <v>1</v>
      </c>
      <c r="X2573" t="b">
        <v>1</v>
      </c>
      <c r="Y2573" t="b">
        <v>1</v>
      </c>
      <c r="Z2573" t="b">
        <v>1</v>
      </c>
      <c r="AA2573" t="b">
        <v>1</v>
      </c>
      <c r="AB2573" t="b">
        <v>1</v>
      </c>
      <c r="AC2573" t="b">
        <v>1</v>
      </c>
      <c r="AD2573" t="b">
        <v>1</v>
      </c>
      <c r="AE2573" t="b">
        <v>1</v>
      </c>
      <c r="AF2573" t="b">
        <v>1</v>
      </c>
      <c r="AG2573" t="b">
        <v>1</v>
      </c>
    </row>
    <row r="2574" spans="1:33" x14ac:dyDescent="0.25">
      <c r="A2574" t="s">
        <v>33</v>
      </c>
      <c r="B2574">
        <v>15</v>
      </c>
      <c r="C2574" t="b">
        <v>1</v>
      </c>
      <c r="D2574" t="s">
        <v>7968</v>
      </c>
      <c r="E2574" t="s">
        <v>8730</v>
      </c>
      <c r="F2574" t="s">
        <v>8772</v>
      </c>
      <c r="G2574" t="s">
        <v>8773</v>
      </c>
      <c r="H2574">
        <v>2573</v>
      </c>
      <c r="I2574" t="str">
        <f>IF(ISBLANK(Table1[[#This Row],[oid]]),"FALSE","TRUE")</f>
        <v>TRUE</v>
      </c>
      <c r="J2574" t="str" cm="1">
        <f t="array" ref="J2574">_xlfn.SWITCH(LEFT(Table1[[#This Row],[section]],1), "D", "Demographic", "S", "Social", "E", "Economic", "H", "Housing", "")</f>
        <v>Housing</v>
      </c>
      <c r="K2574" t="s">
        <v>8732</v>
      </c>
      <c r="L2574" t="s">
        <v>8733</v>
      </c>
      <c r="M2574" t="str">
        <f>IF(Table1[[#This Row],[used]], _xlfn.CONCAT("🆔 ", Table1[[#This Row],[variable]], ": ",Table1[[#This Row],[alias]]), "")</f>
        <v>🆔 B25044_012E: Renter occupied: 2 vehicles available</v>
      </c>
      <c r="O2574" t="s">
        <v>8774</v>
      </c>
      <c r="P2574" t="s">
        <v>8734</v>
      </c>
      <c r="Q2574" t="s">
        <v>41</v>
      </c>
      <c r="R2574" t="s">
        <v>8775</v>
      </c>
      <c r="S2574" t="b">
        <v>1</v>
      </c>
      <c r="T2574" t="b">
        <v>1</v>
      </c>
      <c r="U2574" t="b">
        <v>1</v>
      </c>
      <c r="V2574" t="b">
        <v>1</v>
      </c>
      <c r="W2574" t="b">
        <v>1</v>
      </c>
      <c r="X2574" t="b">
        <v>1</v>
      </c>
      <c r="Y2574" t="b">
        <v>1</v>
      </c>
      <c r="Z2574" t="b">
        <v>1</v>
      </c>
      <c r="AA2574" t="b">
        <v>1</v>
      </c>
      <c r="AB2574" t="b">
        <v>1</v>
      </c>
      <c r="AC2574" t="b">
        <v>1</v>
      </c>
      <c r="AD2574" t="b">
        <v>1</v>
      </c>
      <c r="AE2574" t="b">
        <v>1</v>
      </c>
      <c r="AF2574" t="b">
        <v>1</v>
      </c>
      <c r="AG2574" t="b">
        <v>1</v>
      </c>
    </row>
    <row r="2575" spans="1:33" x14ac:dyDescent="0.25">
      <c r="A2575" t="s">
        <v>33</v>
      </c>
      <c r="B2575">
        <v>15</v>
      </c>
      <c r="C2575" t="b">
        <v>1</v>
      </c>
      <c r="D2575" t="s">
        <v>7968</v>
      </c>
      <c r="E2575" t="s">
        <v>8730</v>
      </c>
      <c r="F2575" t="s">
        <v>8776</v>
      </c>
      <c r="G2575" t="s">
        <v>8777</v>
      </c>
      <c r="H2575">
        <v>2574</v>
      </c>
      <c r="I2575" t="str">
        <f>IF(ISBLANK(Table1[[#This Row],[oid]]),"FALSE","TRUE")</f>
        <v>TRUE</v>
      </c>
      <c r="J2575" t="str" cm="1">
        <f t="array" ref="J2575">_xlfn.SWITCH(LEFT(Table1[[#This Row],[section]],1), "D", "Demographic", "S", "Social", "E", "Economic", "H", "Housing", "")</f>
        <v>Housing</v>
      </c>
      <c r="K2575" t="s">
        <v>8732</v>
      </c>
      <c r="L2575" t="s">
        <v>8733</v>
      </c>
      <c r="M2575" t="str">
        <f>IF(Table1[[#This Row],[used]], _xlfn.CONCAT("🆔 ", Table1[[#This Row],[variable]], ": ",Table1[[#This Row],[alias]]), "")</f>
        <v>🆔 B25044_013E: Renter occupied: 3 vehicles available</v>
      </c>
      <c r="O2575" t="s">
        <v>8778</v>
      </c>
      <c r="P2575" t="s">
        <v>8734</v>
      </c>
      <c r="Q2575" t="s">
        <v>41</v>
      </c>
      <c r="R2575" t="s">
        <v>8779</v>
      </c>
      <c r="S2575" t="b">
        <v>1</v>
      </c>
      <c r="T2575" t="b">
        <v>1</v>
      </c>
      <c r="U2575" t="b">
        <v>1</v>
      </c>
      <c r="V2575" t="b">
        <v>1</v>
      </c>
      <c r="W2575" t="b">
        <v>1</v>
      </c>
      <c r="X2575" t="b">
        <v>1</v>
      </c>
      <c r="Y2575" t="b">
        <v>1</v>
      </c>
      <c r="Z2575" t="b">
        <v>1</v>
      </c>
      <c r="AA2575" t="b">
        <v>1</v>
      </c>
      <c r="AB2575" t="b">
        <v>1</v>
      </c>
      <c r="AC2575" t="b">
        <v>1</v>
      </c>
      <c r="AD2575" t="b">
        <v>1</v>
      </c>
      <c r="AE2575" t="b">
        <v>1</v>
      </c>
      <c r="AF2575" t="b">
        <v>1</v>
      </c>
      <c r="AG2575" t="b">
        <v>1</v>
      </c>
    </row>
    <row r="2576" spans="1:33" x14ac:dyDescent="0.25">
      <c r="A2576" t="s">
        <v>33</v>
      </c>
      <c r="B2576">
        <v>15</v>
      </c>
      <c r="C2576" t="b">
        <v>1</v>
      </c>
      <c r="D2576" t="s">
        <v>7968</v>
      </c>
      <c r="E2576" t="s">
        <v>8730</v>
      </c>
      <c r="F2576" t="s">
        <v>8780</v>
      </c>
      <c r="G2576" t="s">
        <v>8781</v>
      </c>
      <c r="H2576">
        <v>2575</v>
      </c>
      <c r="I2576" t="str">
        <f>IF(ISBLANK(Table1[[#This Row],[oid]]),"FALSE","TRUE")</f>
        <v>TRUE</v>
      </c>
      <c r="J2576" t="str" cm="1">
        <f t="array" ref="J2576">_xlfn.SWITCH(LEFT(Table1[[#This Row],[section]],1), "D", "Demographic", "S", "Social", "E", "Economic", "H", "Housing", "")</f>
        <v>Housing</v>
      </c>
      <c r="K2576" t="s">
        <v>8732</v>
      </c>
      <c r="L2576" t="s">
        <v>8733</v>
      </c>
      <c r="M2576" t="str">
        <f>IF(Table1[[#This Row],[used]], _xlfn.CONCAT("🆔 ", Table1[[#This Row],[variable]], ": ",Table1[[#This Row],[alias]]), "")</f>
        <v>🆔 B25044_014E: Renter occupied: 4 vehicles available</v>
      </c>
      <c r="O2576" t="s">
        <v>8782</v>
      </c>
      <c r="P2576" t="s">
        <v>8734</v>
      </c>
      <c r="Q2576" t="s">
        <v>41</v>
      </c>
      <c r="R2576" t="s">
        <v>8783</v>
      </c>
      <c r="S2576" t="b">
        <v>1</v>
      </c>
      <c r="T2576" t="b">
        <v>1</v>
      </c>
      <c r="U2576" t="b">
        <v>1</v>
      </c>
      <c r="V2576" t="b">
        <v>1</v>
      </c>
      <c r="W2576" t="b">
        <v>1</v>
      </c>
      <c r="X2576" t="b">
        <v>1</v>
      </c>
      <c r="Y2576" t="b">
        <v>1</v>
      </c>
      <c r="Z2576" t="b">
        <v>1</v>
      </c>
      <c r="AA2576" t="b">
        <v>1</v>
      </c>
      <c r="AB2576" t="b">
        <v>1</v>
      </c>
      <c r="AC2576" t="b">
        <v>1</v>
      </c>
      <c r="AD2576" t="b">
        <v>1</v>
      </c>
      <c r="AE2576" t="b">
        <v>1</v>
      </c>
      <c r="AF2576" t="b">
        <v>1</v>
      </c>
      <c r="AG2576" t="b">
        <v>1</v>
      </c>
    </row>
    <row r="2577" spans="1:33" x14ac:dyDescent="0.25">
      <c r="A2577" t="s">
        <v>33</v>
      </c>
      <c r="B2577">
        <v>15</v>
      </c>
      <c r="C2577" t="b">
        <v>1</v>
      </c>
      <c r="D2577" t="s">
        <v>7968</v>
      </c>
      <c r="E2577" t="s">
        <v>8730</v>
      </c>
      <c r="F2577" t="s">
        <v>8784</v>
      </c>
      <c r="G2577" t="s">
        <v>8785</v>
      </c>
      <c r="H2577">
        <v>2576</v>
      </c>
      <c r="I2577" t="str">
        <f>IF(ISBLANK(Table1[[#This Row],[oid]]),"FALSE","TRUE")</f>
        <v>TRUE</v>
      </c>
      <c r="J2577" t="str" cm="1">
        <f t="array" ref="J2577">_xlfn.SWITCH(LEFT(Table1[[#This Row],[section]],1), "D", "Demographic", "S", "Social", "E", "Economic", "H", "Housing", "")</f>
        <v>Housing</v>
      </c>
      <c r="K2577" t="s">
        <v>8732</v>
      </c>
      <c r="L2577" t="s">
        <v>8733</v>
      </c>
      <c r="M2577" t="str">
        <f>IF(Table1[[#This Row],[used]], _xlfn.CONCAT("🆔 ", Table1[[#This Row],[variable]], ": ",Table1[[#This Row],[alias]]), "")</f>
        <v>🆔 B25044_015E: Renter occupied: 5 or more vehicles available</v>
      </c>
      <c r="O2577" t="s">
        <v>8786</v>
      </c>
      <c r="P2577" t="s">
        <v>8734</v>
      </c>
      <c r="Q2577" t="s">
        <v>41</v>
      </c>
      <c r="R2577" t="s">
        <v>8787</v>
      </c>
      <c r="S2577" t="b">
        <v>1</v>
      </c>
      <c r="T2577" t="b">
        <v>1</v>
      </c>
      <c r="U2577" t="b">
        <v>1</v>
      </c>
      <c r="V2577" t="b">
        <v>1</v>
      </c>
      <c r="W2577" t="b">
        <v>1</v>
      </c>
      <c r="X2577" t="b">
        <v>1</v>
      </c>
      <c r="Y2577" t="b">
        <v>1</v>
      </c>
      <c r="Z2577" t="b">
        <v>1</v>
      </c>
      <c r="AA2577" t="b">
        <v>1</v>
      </c>
      <c r="AB2577" t="b">
        <v>1</v>
      </c>
      <c r="AC2577" t="b">
        <v>1</v>
      </c>
      <c r="AD2577" t="b">
        <v>1</v>
      </c>
      <c r="AE2577" t="b">
        <v>1</v>
      </c>
      <c r="AF2577" t="b">
        <v>1</v>
      </c>
      <c r="AG2577" t="b">
        <v>1</v>
      </c>
    </row>
    <row r="2578" spans="1:33" x14ac:dyDescent="0.25">
      <c r="A2578" t="s">
        <v>33</v>
      </c>
      <c r="B2578">
        <v>15</v>
      </c>
      <c r="C2578" t="b">
        <v>1</v>
      </c>
      <c r="D2578" t="s">
        <v>7968</v>
      </c>
      <c r="E2578" t="s">
        <v>8788</v>
      </c>
      <c r="F2578" t="s">
        <v>8789</v>
      </c>
      <c r="G2578" t="s">
        <v>8545</v>
      </c>
      <c r="H2578">
        <v>2577</v>
      </c>
      <c r="I2578" t="str">
        <f>IF(ISBLANK(Table1[[#This Row],[oid]]),"FALSE","TRUE")</f>
        <v>TRUE</v>
      </c>
      <c r="J2578" t="str" cm="1">
        <f t="array" ref="J2578">_xlfn.SWITCH(LEFT(Table1[[#This Row],[section]],1), "D", "Demographic", "S", "Social", "E", "Economic", "H", "Housing", "")</f>
        <v>Housing</v>
      </c>
      <c r="K2578" t="s">
        <v>8790</v>
      </c>
      <c r="L2578" t="s">
        <v>8791</v>
      </c>
      <c r="M2578" t="str">
        <f>IF(Table1[[#This Row],[used]], _xlfn.CONCAT("🆔 ", Table1[[#This Row],[variable]], ": ",Table1[[#This Row],[alias]]), "")</f>
        <v>🆔 B25040_001E: Occupied Housing Units</v>
      </c>
      <c r="O2578" t="s">
        <v>39</v>
      </c>
      <c r="P2578" t="s">
        <v>8792</v>
      </c>
      <c r="Q2578" t="s">
        <v>41</v>
      </c>
      <c r="R2578" t="s">
        <v>8793</v>
      </c>
      <c r="S2578" t="b">
        <v>1</v>
      </c>
      <c r="T2578" t="b">
        <v>1</v>
      </c>
      <c r="U2578" t="b">
        <v>1</v>
      </c>
      <c r="V2578" t="b">
        <v>1</v>
      </c>
      <c r="W2578" t="b">
        <v>1</v>
      </c>
      <c r="X2578" t="b">
        <v>1</v>
      </c>
      <c r="Y2578" t="b">
        <v>1</v>
      </c>
      <c r="Z2578" t="b">
        <v>1</v>
      </c>
      <c r="AA2578" t="b">
        <v>1</v>
      </c>
      <c r="AB2578" t="b">
        <v>1</v>
      </c>
      <c r="AC2578" t="b">
        <v>1</v>
      </c>
      <c r="AD2578" t="b">
        <v>1</v>
      </c>
      <c r="AE2578" t="b">
        <v>1</v>
      </c>
      <c r="AF2578" t="b">
        <v>1</v>
      </c>
      <c r="AG2578" t="b">
        <v>1</v>
      </c>
    </row>
    <row r="2579" spans="1:33" x14ac:dyDescent="0.25">
      <c r="A2579" t="s">
        <v>33</v>
      </c>
      <c r="B2579">
        <v>15</v>
      </c>
      <c r="C2579" t="b">
        <v>1</v>
      </c>
      <c r="D2579" t="s">
        <v>7968</v>
      </c>
      <c r="E2579" t="s">
        <v>8788</v>
      </c>
      <c r="F2579" t="s">
        <v>8794</v>
      </c>
      <c r="G2579" t="s">
        <v>8795</v>
      </c>
      <c r="H2579">
        <v>2578</v>
      </c>
      <c r="I2579" t="str">
        <f>IF(ISBLANK(Table1[[#This Row],[oid]]),"FALSE","TRUE")</f>
        <v>TRUE</v>
      </c>
      <c r="J2579" t="str" cm="1">
        <f t="array" ref="J2579">_xlfn.SWITCH(LEFT(Table1[[#This Row],[section]],1), "D", "Demographic", "S", "Social", "E", "Economic", "H", "Housing", "")</f>
        <v>Housing</v>
      </c>
      <c r="K2579" t="s">
        <v>8790</v>
      </c>
      <c r="L2579" t="s">
        <v>8791</v>
      </c>
      <c r="M2579" t="str">
        <f>IF(Table1[[#This Row],[used]], _xlfn.CONCAT("🆔 ", Table1[[#This Row],[variable]], ": ",Table1[[#This Row],[alias]]), "")</f>
        <v>🆔 B25040_002E: Utility gas</v>
      </c>
      <c r="O2579" t="s">
        <v>8796</v>
      </c>
      <c r="P2579" t="s">
        <v>8792</v>
      </c>
      <c r="Q2579" t="s">
        <v>41</v>
      </c>
      <c r="R2579" t="s">
        <v>8797</v>
      </c>
      <c r="S2579" t="b">
        <v>1</v>
      </c>
      <c r="T2579" t="b">
        <v>1</v>
      </c>
      <c r="U2579" t="b">
        <v>1</v>
      </c>
      <c r="V2579" t="b">
        <v>1</v>
      </c>
      <c r="W2579" t="b">
        <v>1</v>
      </c>
      <c r="X2579" t="b">
        <v>1</v>
      </c>
      <c r="Y2579" t="b">
        <v>1</v>
      </c>
      <c r="Z2579" t="b">
        <v>1</v>
      </c>
      <c r="AA2579" t="b">
        <v>1</v>
      </c>
      <c r="AB2579" t="b">
        <v>1</v>
      </c>
      <c r="AC2579" t="b">
        <v>1</v>
      </c>
      <c r="AD2579" t="b">
        <v>1</v>
      </c>
      <c r="AE2579" t="b">
        <v>1</v>
      </c>
      <c r="AF2579" t="b">
        <v>1</v>
      </c>
      <c r="AG2579" t="b">
        <v>1</v>
      </c>
    </row>
    <row r="2580" spans="1:33" x14ac:dyDescent="0.25">
      <c r="A2580" t="s">
        <v>32</v>
      </c>
      <c r="B2580">
        <v>1</v>
      </c>
      <c r="C2580" t="b">
        <v>0</v>
      </c>
      <c r="D2580" t="s">
        <v>7968</v>
      </c>
      <c r="E2580" t="s">
        <v>8788</v>
      </c>
      <c r="F2580" t="s">
        <v>8798</v>
      </c>
      <c r="G2580" t="s">
        <v>8799</v>
      </c>
      <c r="H2580">
        <v>2579</v>
      </c>
      <c r="I2580" t="str">
        <f>IF(ISBLANK(Table1[[#This Row],[oid]]),"FALSE","TRUE")</f>
        <v>TRUE</v>
      </c>
      <c r="J2580" t="str" cm="1">
        <f t="array" ref="J2580">_xlfn.SWITCH(LEFT(Table1[[#This Row],[section]],1), "D", "Demographic", "S", "Social", "E", "Economic", "H", "Housing", "")</f>
        <v>Housing</v>
      </c>
      <c r="K2580" t="s">
        <v>8790</v>
      </c>
      <c r="L2580" t="s">
        <v>8791</v>
      </c>
      <c r="M2580" t="str">
        <f>IF(Table1[[#This Row],[used]], _xlfn.CONCAT("🆔 ", Table1[[#This Row],[variable]], ": ",Table1[[#This Row],[alias]]), "")</f>
        <v>🆔 B25040_003E: Bottled or tank gas propane butane etc</v>
      </c>
      <c r="O2580" t="s">
        <v>8800</v>
      </c>
      <c r="P2580" t="s">
        <v>8791</v>
      </c>
      <c r="Q2580" t="s">
        <v>41</v>
      </c>
      <c r="R2580" t="s">
        <v>8801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0</v>
      </c>
      <c r="AE2580" t="b">
        <v>0</v>
      </c>
      <c r="AF2580" t="b">
        <v>0</v>
      </c>
      <c r="AG2580" t="b">
        <v>1</v>
      </c>
    </row>
    <row r="2581" spans="1:33" x14ac:dyDescent="0.25">
      <c r="A2581" t="s">
        <v>4309</v>
      </c>
      <c r="B2581">
        <v>14</v>
      </c>
      <c r="C2581" t="b">
        <v>0</v>
      </c>
      <c r="D2581" t="s">
        <v>7968</v>
      </c>
      <c r="E2581" t="s">
        <v>8788</v>
      </c>
      <c r="F2581" t="s">
        <v>8798</v>
      </c>
      <c r="G2581" t="s">
        <v>8802</v>
      </c>
      <c r="H2581">
        <v>2580</v>
      </c>
      <c r="I2581" t="str">
        <f>IF(ISBLANK(Table1[[#This Row],[oid]]),"FALSE","TRUE")</f>
        <v>TRUE</v>
      </c>
      <c r="J2581" t="str" cm="1">
        <f t="array" ref="J2581">_xlfn.SWITCH(LEFT(Table1[[#This Row],[section]],1), "D", "Demographic", "S", "Social", "E", "Economic", "H", "Housing", "")</f>
        <v>Housing</v>
      </c>
      <c r="K2581" t="s">
        <v>8790</v>
      </c>
      <c r="L2581" t="s">
        <v>8791</v>
      </c>
      <c r="M2581" t="str">
        <f>IF(Table1[[#This Row],[used]], _xlfn.CONCAT("🆔 ", Table1[[#This Row],[variable]], ": ",Table1[[#This Row],[alias]]), "")</f>
        <v>🆔 B25040_003E: Bottled tank or LP gas</v>
      </c>
      <c r="O2581" t="s">
        <v>8803</v>
      </c>
      <c r="P2581" t="s">
        <v>8792</v>
      </c>
      <c r="Q2581" t="s">
        <v>41</v>
      </c>
      <c r="R2581" t="s">
        <v>8801</v>
      </c>
      <c r="S2581" t="b">
        <v>1</v>
      </c>
      <c r="T2581" t="b">
        <v>1</v>
      </c>
      <c r="U2581" t="b">
        <v>1</v>
      </c>
      <c r="V2581" t="b">
        <v>1</v>
      </c>
      <c r="W2581" t="b">
        <v>1</v>
      </c>
      <c r="X2581" t="b">
        <v>1</v>
      </c>
      <c r="Y2581" t="b">
        <v>1</v>
      </c>
      <c r="Z2581" t="b">
        <v>1</v>
      </c>
      <c r="AA2581" t="b">
        <v>1</v>
      </c>
      <c r="AB2581" t="b">
        <v>1</v>
      </c>
      <c r="AC2581" t="b">
        <v>1</v>
      </c>
      <c r="AD2581" t="b">
        <v>1</v>
      </c>
      <c r="AE2581" t="b">
        <v>1</v>
      </c>
      <c r="AF2581" t="b">
        <v>1</v>
      </c>
      <c r="AG2581" t="b">
        <v>0</v>
      </c>
    </row>
    <row r="2582" spans="1:33" x14ac:dyDescent="0.25">
      <c r="A2582" t="s">
        <v>33</v>
      </c>
      <c r="B2582">
        <v>15</v>
      </c>
      <c r="C2582" t="b">
        <v>1</v>
      </c>
      <c r="D2582" t="s">
        <v>7968</v>
      </c>
      <c r="E2582" t="s">
        <v>8788</v>
      </c>
      <c r="F2582" t="s">
        <v>8804</v>
      </c>
      <c r="G2582" t="s">
        <v>8805</v>
      </c>
      <c r="H2582">
        <v>2581</v>
      </c>
      <c r="I2582" t="str">
        <f>IF(ISBLANK(Table1[[#This Row],[oid]]),"FALSE","TRUE")</f>
        <v>TRUE</v>
      </c>
      <c r="J2582" t="str" cm="1">
        <f t="array" ref="J2582">_xlfn.SWITCH(LEFT(Table1[[#This Row],[section]],1), "D", "Demographic", "S", "Social", "E", "Economic", "H", "Housing", "")</f>
        <v>Housing</v>
      </c>
      <c r="K2582" t="s">
        <v>8790</v>
      </c>
      <c r="L2582" t="s">
        <v>8791</v>
      </c>
      <c r="M2582" t="str">
        <f>IF(Table1[[#This Row],[used]], _xlfn.CONCAT("🆔 ", Table1[[#This Row],[variable]], ": ",Table1[[#This Row],[alias]]), "")</f>
        <v>🆔 B25040_004E: Electricity</v>
      </c>
      <c r="O2582" t="s">
        <v>8806</v>
      </c>
      <c r="P2582" t="s">
        <v>8792</v>
      </c>
      <c r="Q2582" t="s">
        <v>41</v>
      </c>
      <c r="R2582" t="s">
        <v>8807</v>
      </c>
      <c r="S2582" t="b">
        <v>1</v>
      </c>
      <c r="T2582" t="b">
        <v>1</v>
      </c>
      <c r="U2582" t="b">
        <v>1</v>
      </c>
      <c r="V2582" t="b">
        <v>1</v>
      </c>
      <c r="W2582" t="b">
        <v>1</v>
      </c>
      <c r="X2582" t="b">
        <v>1</v>
      </c>
      <c r="Y2582" t="b">
        <v>1</v>
      </c>
      <c r="Z2582" t="b">
        <v>1</v>
      </c>
      <c r="AA2582" t="b">
        <v>1</v>
      </c>
      <c r="AB2582" t="b">
        <v>1</v>
      </c>
      <c r="AC2582" t="b">
        <v>1</v>
      </c>
      <c r="AD2582" t="b">
        <v>1</v>
      </c>
      <c r="AE2582" t="b">
        <v>1</v>
      </c>
      <c r="AF2582" t="b">
        <v>1</v>
      </c>
      <c r="AG2582" t="b">
        <v>1</v>
      </c>
    </row>
    <row r="2583" spans="1:33" x14ac:dyDescent="0.25">
      <c r="A2583" t="s">
        <v>33</v>
      </c>
      <c r="B2583">
        <v>15</v>
      </c>
      <c r="C2583" t="b">
        <v>1</v>
      </c>
      <c r="D2583" t="s">
        <v>7968</v>
      </c>
      <c r="E2583" t="s">
        <v>8788</v>
      </c>
      <c r="F2583" t="s">
        <v>8808</v>
      </c>
      <c r="G2583" t="s">
        <v>8809</v>
      </c>
      <c r="H2583">
        <v>2582</v>
      </c>
      <c r="I2583" t="str">
        <f>IF(ISBLANK(Table1[[#This Row],[oid]]),"FALSE","TRUE")</f>
        <v>TRUE</v>
      </c>
      <c r="J2583" t="str" cm="1">
        <f t="array" ref="J2583">_xlfn.SWITCH(LEFT(Table1[[#This Row],[section]],1), "D", "Demographic", "S", "Social", "E", "Economic", "H", "Housing", "")</f>
        <v>Housing</v>
      </c>
      <c r="K2583" t="s">
        <v>8790</v>
      </c>
      <c r="L2583" t="s">
        <v>8791</v>
      </c>
      <c r="M2583" t="str">
        <f>IF(Table1[[#This Row],[used]], _xlfn.CONCAT("🆔 ", Table1[[#This Row],[variable]], ": ",Table1[[#This Row],[alias]]), "")</f>
        <v>🆔 B25040_005E: Fuel oil kerosene etc</v>
      </c>
      <c r="O2583" t="s">
        <v>8810</v>
      </c>
      <c r="P2583" t="s">
        <v>8792</v>
      </c>
      <c r="Q2583" t="s">
        <v>41</v>
      </c>
      <c r="R2583" t="s">
        <v>8811</v>
      </c>
      <c r="S2583" t="b">
        <v>1</v>
      </c>
      <c r="T2583" t="b">
        <v>1</v>
      </c>
      <c r="U2583" t="b">
        <v>1</v>
      </c>
      <c r="V2583" t="b">
        <v>1</v>
      </c>
      <c r="W2583" t="b">
        <v>1</v>
      </c>
      <c r="X2583" t="b">
        <v>1</v>
      </c>
      <c r="Y2583" t="b">
        <v>1</v>
      </c>
      <c r="Z2583" t="b">
        <v>1</v>
      </c>
      <c r="AA2583" t="b">
        <v>1</v>
      </c>
      <c r="AB2583" t="b">
        <v>1</v>
      </c>
      <c r="AC2583" t="b">
        <v>1</v>
      </c>
      <c r="AD2583" t="b">
        <v>1</v>
      </c>
      <c r="AE2583" t="b">
        <v>1</v>
      </c>
      <c r="AF2583" t="b">
        <v>1</v>
      </c>
      <c r="AG2583" t="b">
        <v>1</v>
      </c>
    </row>
    <row r="2584" spans="1:33" x14ac:dyDescent="0.25">
      <c r="A2584" t="s">
        <v>33</v>
      </c>
      <c r="B2584">
        <v>15</v>
      </c>
      <c r="C2584" t="b">
        <v>1</v>
      </c>
      <c r="D2584" t="s">
        <v>7968</v>
      </c>
      <c r="E2584" t="s">
        <v>8788</v>
      </c>
      <c r="F2584" t="s">
        <v>8812</v>
      </c>
      <c r="G2584" t="s">
        <v>8813</v>
      </c>
      <c r="H2584">
        <v>2583</v>
      </c>
      <c r="I2584" t="str">
        <f>IF(ISBLANK(Table1[[#This Row],[oid]]),"FALSE","TRUE")</f>
        <v>TRUE</v>
      </c>
      <c r="J2584" t="str" cm="1">
        <f t="array" ref="J2584">_xlfn.SWITCH(LEFT(Table1[[#This Row],[section]],1), "D", "Demographic", "S", "Social", "E", "Economic", "H", "Housing", "")</f>
        <v>Housing</v>
      </c>
      <c r="K2584" t="s">
        <v>8790</v>
      </c>
      <c r="L2584" t="s">
        <v>8791</v>
      </c>
      <c r="M2584" t="str">
        <f>IF(Table1[[#This Row],[used]], _xlfn.CONCAT("🆔 ", Table1[[#This Row],[variable]], ": ",Table1[[#This Row],[alias]]), "")</f>
        <v>🆔 B25040_006E: Coal or coke</v>
      </c>
      <c r="O2584" t="s">
        <v>8814</v>
      </c>
      <c r="P2584" t="s">
        <v>8792</v>
      </c>
      <c r="Q2584" t="s">
        <v>41</v>
      </c>
      <c r="R2584" t="s">
        <v>8815</v>
      </c>
      <c r="S2584" t="b">
        <v>1</v>
      </c>
      <c r="T2584" t="b">
        <v>1</v>
      </c>
      <c r="U2584" t="b">
        <v>1</v>
      </c>
      <c r="V2584" t="b">
        <v>1</v>
      </c>
      <c r="W2584" t="b">
        <v>1</v>
      </c>
      <c r="X2584" t="b">
        <v>1</v>
      </c>
      <c r="Y2584" t="b">
        <v>1</v>
      </c>
      <c r="Z2584" t="b">
        <v>1</v>
      </c>
      <c r="AA2584" t="b">
        <v>1</v>
      </c>
      <c r="AB2584" t="b">
        <v>1</v>
      </c>
      <c r="AC2584" t="b">
        <v>1</v>
      </c>
      <c r="AD2584" t="b">
        <v>1</v>
      </c>
      <c r="AE2584" t="b">
        <v>1</v>
      </c>
      <c r="AF2584" t="b">
        <v>1</v>
      </c>
      <c r="AG2584" t="b">
        <v>1</v>
      </c>
    </row>
    <row r="2585" spans="1:33" x14ac:dyDescent="0.25">
      <c r="A2585" t="s">
        <v>33</v>
      </c>
      <c r="B2585">
        <v>15</v>
      </c>
      <c r="C2585" t="b">
        <v>1</v>
      </c>
      <c r="D2585" t="s">
        <v>7968</v>
      </c>
      <c r="E2585" t="s">
        <v>8788</v>
      </c>
      <c r="F2585" t="s">
        <v>8816</v>
      </c>
      <c r="G2585" t="s">
        <v>8817</v>
      </c>
      <c r="H2585">
        <v>2584</v>
      </c>
      <c r="I2585" t="str">
        <f>IF(ISBLANK(Table1[[#This Row],[oid]]),"FALSE","TRUE")</f>
        <v>TRUE</v>
      </c>
      <c r="J2585" t="str" cm="1">
        <f t="array" ref="J2585">_xlfn.SWITCH(LEFT(Table1[[#This Row],[section]],1), "D", "Demographic", "S", "Social", "E", "Economic", "H", "Housing", "")</f>
        <v>Housing</v>
      </c>
      <c r="K2585" t="s">
        <v>8790</v>
      </c>
      <c r="L2585" t="s">
        <v>8791</v>
      </c>
      <c r="M2585" t="str">
        <f>IF(Table1[[#This Row],[used]], _xlfn.CONCAT("🆔 ", Table1[[#This Row],[variable]], ": ",Table1[[#This Row],[alias]]), "")</f>
        <v>🆔 B25040_007E: Wood</v>
      </c>
      <c r="O2585" t="s">
        <v>8818</v>
      </c>
      <c r="P2585" t="s">
        <v>8792</v>
      </c>
      <c r="Q2585" t="s">
        <v>41</v>
      </c>
      <c r="R2585" t="s">
        <v>8819</v>
      </c>
      <c r="S2585" t="b">
        <v>1</v>
      </c>
      <c r="T2585" t="b">
        <v>1</v>
      </c>
      <c r="U2585" t="b">
        <v>1</v>
      </c>
      <c r="V2585" t="b">
        <v>1</v>
      </c>
      <c r="W2585" t="b">
        <v>1</v>
      </c>
      <c r="X2585" t="b">
        <v>1</v>
      </c>
      <c r="Y2585" t="b">
        <v>1</v>
      </c>
      <c r="Z2585" t="b">
        <v>1</v>
      </c>
      <c r="AA2585" t="b">
        <v>1</v>
      </c>
      <c r="AB2585" t="b">
        <v>1</v>
      </c>
      <c r="AC2585" t="b">
        <v>1</v>
      </c>
      <c r="AD2585" t="b">
        <v>1</v>
      </c>
      <c r="AE2585" t="b">
        <v>1</v>
      </c>
      <c r="AF2585" t="b">
        <v>1</v>
      </c>
      <c r="AG2585" t="b">
        <v>1</v>
      </c>
    </row>
    <row r="2586" spans="1:33" x14ac:dyDescent="0.25">
      <c r="A2586" t="s">
        <v>33</v>
      </c>
      <c r="B2586">
        <v>15</v>
      </c>
      <c r="C2586" t="b">
        <v>1</v>
      </c>
      <c r="D2586" t="s">
        <v>7968</v>
      </c>
      <c r="E2586" t="s">
        <v>8788</v>
      </c>
      <c r="F2586" t="s">
        <v>8820</v>
      </c>
      <c r="G2586" t="s">
        <v>8821</v>
      </c>
      <c r="H2586">
        <v>2585</v>
      </c>
      <c r="I2586" t="str">
        <f>IF(ISBLANK(Table1[[#This Row],[oid]]),"FALSE","TRUE")</f>
        <v>TRUE</v>
      </c>
      <c r="J2586" t="str" cm="1">
        <f t="array" ref="J2586">_xlfn.SWITCH(LEFT(Table1[[#This Row],[section]],1), "D", "Demographic", "S", "Social", "E", "Economic", "H", "Housing", "")</f>
        <v>Housing</v>
      </c>
      <c r="K2586" t="s">
        <v>8790</v>
      </c>
      <c r="L2586" t="s">
        <v>8791</v>
      </c>
      <c r="M2586" t="str">
        <f>IF(Table1[[#This Row],[used]], _xlfn.CONCAT("🆔 ", Table1[[#This Row],[variable]], ": ",Table1[[#This Row],[alias]]), "")</f>
        <v>🆔 B25040_008E: Solar energy</v>
      </c>
      <c r="O2586" t="s">
        <v>8822</v>
      </c>
      <c r="P2586" t="s">
        <v>8792</v>
      </c>
      <c r="Q2586" t="s">
        <v>41</v>
      </c>
      <c r="R2586" t="s">
        <v>8823</v>
      </c>
      <c r="S2586" t="b">
        <v>1</v>
      </c>
      <c r="T2586" t="b">
        <v>1</v>
      </c>
      <c r="U2586" t="b">
        <v>1</v>
      </c>
      <c r="V2586" t="b">
        <v>1</v>
      </c>
      <c r="W2586" t="b">
        <v>1</v>
      </c>
      <c r="X2586" t="b">
        <v>1</v>
      </c>
      <c r="Y2586" t="b">
        <v>1</v>
      </c>
      <c r="Z2586" t="b">
        <v>1</v>
      </c>
      <c r="AA2586" t="b">
        <v>1</v>
      </c>
      <c r="AB2586" t="b">
        <v>1</v>
      </c>
      <c r="AC2586" t="b">
        <v>1</v>
      </c>
      <c r="AD2586" t="b">
        <v>1</v>
      </c>
      <c r="AE2586" t="b">
        <v>1</v>
      </c>
      <c r="AF2586" t="b">
        <v>1</v>
      </c>
      <c r="AG2586" t="b">
        <v>1</v>
      </c>
    </row>
    <row r="2587" spans="1:33" x14ac:dyDescent="0.25">
      <c r="A2587" t="s">
        <v>33</v>
      </c>
      <c r="B2587">
        <v>15</v>
      </c>
      <c r="C2587" t="b">
        <v>1</v>
      </c>
      <c r="D2587" t="s">
        <v>7968</v>
      </c>
      <c r="E2587" t="s">
        <v>8788</v>
      </c>
      <c r="F2587" t="s">
        <v>8824</v>
      </c>
      <c r="G2587" t="s">
        <v>8825</v>
      </c>
      <c r="H2587">
        <v>2586</v>
      </c>
      <c r="I2587" t="str">
        <f>IF(ISBLANK(Table1[[#This Row],[oid]]),"FALSE","TRUE")</f>
        <v>TRUE</v>
      </c>
      <c r="J2587" t="str" cm="1">
        <f t="array" ref="J2587">_xlfn.SWITCH(LEFT(Table1[[#This Row],[section]],1), "D", "Demographic", "S", "Social", "E", "Economic", "H", "Housing", "")</f>
        <v>Housing</v>
      </c>
      <c r="K2587" t="s">
        <v>8790</v>
      </c>
      <c r="L2587" t="s">
        <v>8791</v>
      </c>
      <c r="M2587" t="str">
        <f>IF(Table1[[#This Row],[used]], _xlfn.CONCAT("🆔 ", Table1[[#This Row],[variable]], ": ",Table1[[#This Row],[alias]]), "")</f>
        <v>🆔 B25040_009E: Other fuel</v>
      </c>
      <c r="O2587" t="s">
        <v>8826</v>
      </c>
      <c r="P2587" t="s">
        <v>8792</v>
      </c>
      <c r="Q2587" t="s">
        <v>41</v>
      </c>
      <c r="R2587" t="s">
        <v>8827</v>
      </c>
      <c r="S2587" t="b">
        <v>1</v>
      </c>
      <c r="T2587" t="b">
        <v>1</v>
      </c>
      <c r="U2587" t="b">
        <v>1</v>
      </c>
      <c r="V2587" t="b">
        <v>1</v>
      </c>
      <c r="W2587" t="b">
        <v>1</v>
      </c>
      <c r="X2587" t="b">
        <v>1</v>
      </c>
      <c r="Y2587" t="b">
        <v>1</v>
      </c>
      <c r="Z2587" t="b">
        <v>1</v>
      </c>
      <c r="AA2587" t="b">
        <v>1</v>
      </c>
      <c r="AB2587" t="b">
        <v>1</v>
      </c>
      <c r="AC2587" t="b">
        <v>1</v>
      </c>
      <c r="AD2587" t="b">
        <v>1</v>
      </c>
      <c r="AE2587" t="b">
        <v>1</v>
      </c>
      <c r="AF2587" t="b">
        <v>1</v>
      </c>
      <c r="AG2587" t="b">
        <v>1</v>
      </c>
    </row>
    <row r="2588" spans="1:33" x14ac:dyDescent="0.25">
      <c r="A2588" t="s">
        <v>33</v>
      </c>
      <c r="B2588">
        <v>15</v>
      </c>
      <c r="C2588" t="b">
        <v>1</v>
      </c>
      <c r="D2588" t="s">
        <v>7968</v>
      </c>
      <c r="E2588" t="s">
        <v>8788</v>
      </c>
      <c r="F2588" t="s">
        <v>8828</v>
      </c>
      <c r="G2588" t="s">
        <v>8829</v>
      </c>
      <c r="H2588">
        <v>2587</v>
      </c>
      <c r="I2588" t="str">
        <f>IF(ISBLANK(Table1[[#This Row],[oid]]),"FALSE","TRUE")</f>
        <v>TRUE</v>
      </c>
      <c r="J2588" t="str" cm="1">
        <f t="array" ref="J2588">_xlfn.SWITCH(LEFT(Table1[[#This Row],[section]],1), "D", "Demographic", "S", "Social", "E", "Economic", "H", "Housing", "")</f>
        <v>Housing</v>
      </c>
      <c r="K2588" t="s">
        <v>8790</v>
      </c>
      <c r="L2588" t="s">
        <v>8791</v>
      </c>
      <c r="M2588" t="str">
        <f>IF(Table1[[#This Row],[used]], _xlfn.CONCAT("🆔 ", Table1[[#This Row],[variable]], ": ",Table1[[#This Row],[alias]]), "")</f>
        <v>🆔 B25040_010E: No fuel used</v>
      </c>
      <c r="O2588" t="s">
        <v>8830</v>
      </c>
      <c r="P2588" t="s">
        <v>8792</v>
      </c>
      <c r="Q2588" t="s">
        <v>41</v>
      </c>
      <c r="R2588" t="s">
        <v>8831</v>
      </c>
      <c r="S2588" t="b">
        <v>1</v>
      </c>
      <c r="T2588" t="b">
        <v>1</v>
      </c>
      <c r="U2588" t="b">
        <v>1</v>
      </c>
      <c r="V2588" t="b">
        <v>1</v>
      </c>
      <c r="W2588" t="b">
        <v>1</v>
      </c>
      <c r="X2588" t="b">
        <v>1</v>
      </c>
      <c r="Y2588" t="b">
        <v>1</v>
      </c>
      <c r="Z2588" t="b">
        <v>1</v>
      </c>
      <c r="AA2588" t="b">
        <v>1</v>
      </c>
      <c r="AB2588" t="b">
        <v>1</v>
      </c>
      <c r="AC2588" t="b">
        <v>1</v>
      </c>
      <c r="AD2588" t="b">
        <v>1</v>
      </c>
      <c r="AE2588" t="b">
        <v>1</v>
      </c>
      <c r="AF2588" t="b">
        <v>1</v>
      </c>
      <c r="AG2588" t="b">
        <v>1</v>
      </c>
    </row>
    <row r="2589" spans="1:33" x14ac:dyDescent="0.25">
      <c r="A2589" t="s">
        <v>33</v>
      </c>
      <c r="B2589">
        <v>15</v>
      </c>
      <c r="C2589" t="b">
        <v>1</v>
      </c>
      <c r="D2589" t="s">
        <v>7968</v>
      </c>
      <c r="E2589" t="s">
        <v>8832</v>
      </c>
      <c r="F2589" t="s">
        <v>8833</v>
      </c>
      <c r="G2589" t="s">
        <v>8545</v>
      </c>
      <c r="H2589">
        <v>2588</v>
      </c>
      <c r="I2589" t="str">
        <f>IF(ISBLANK(Table1[[#This Row],[oid]]),"FALSE","TRUE")</f>
        <v>TRUE</v>
      </c>
      <c r="J2589" t="str" cm="1">
        <f t="array" ref="J2589">_xlfn.SWITCH(LEFT(Table1[[#This Row],[section]],1), "D", "Demographic", "S", "Social", "E", "Economic", "H", "Housing", "")</f>
        <v>Housing</v>
      </c>
      <c r="K2589" t="s">
        <v>8834</v>
      </c>
      <c r="L2589" t="s">
        <v>8835</v>
      </c>
      <c r="M2589" t="str">
        <f>IF(Table1[[#This Row],[used]], _xlfn.CONCAT("🆔 ", Table1[[#This Row],[variable]], ": ",Table1[[#This Row],[alias]]), "")</f>
        <v>🆔 B25016_001E: Occupied Housing Units</v>
      </c>
      <c r="O2589" t="s">
        <v>39</v>
      </c>
      <c r="P2589" t="s">
        <v>8836</v>
      </c>
      <c r="Q2589" t="s">
        <v>41</v>
      </c>
      <c r="R2589" t="s">
        <v>8837</v>
      </c>
      <c r="S2589" t="b">
        <v>1</v>
      </c>
      <c r="T2589" t="b">
        <v>1</v>
      </c>
      <c r="U2589" t="b">
        <v>1</v>
      </c>
      <c r="V2589" t="b">
        <v>1</v>
      </c>
      <c r="W2589" t="b">
        <v>1</v>
      </c>
      <c r="X2589" t="b">
        <v>1</v>
      </c>
      <c r="Y2589" t="b">
        <v>1</v>
      </c>
      <c r="Z2589" t="b">
        <v>1</v>
      </c>
      <c r="AA2589" t="b">
        <v>1</v>
      </c>
      <c r="AB2589" t="b">
        <v>1</v>
      </c>
      <c r="AC2589" t="b">
        <v>1</v>
      </c>
      <c r="AD2589" t="b">
        <v>1</v>
      </c>
      <c r="AE2589" t="b">
        <v>1</v>
      </c>
      <c r="AF2589" t="b">
        <v>1</v>
      </c>
      <c r="AG2589" t="b">
        <v>1</v>
      </c>
    </row>
    <row r="2590" spans="1:33" x14ac:dyDescent="0.25">
      <c r="A2590" t="s">
        <v>33</v>
      </c>
      <c r="B2590">
        <v>15</v>
      </c>
      <c r="C2590" t="b">
        <v>1</v>
      </c>
      <c r="D2590" t="s">
        <v>7968</v>
      </c>
      <c r="E2590" t="s">
        <v>8832</v>
      </c>
      <c r="F2590" t="s">
        <v>8838</v>
      </c>
      <c r="G2590" t="s">
        <v>7991</v>
      </c>
      <c r="H2590">
        <v>2589</v>
      </c>
      <c r="I2590" t="str">
        <f>IF(ISBLANK(Table1[[#This Row],[oid]]),"FALSE","TRUE")</f>
        <v>TRUE</v>
      </c>
      <c r="J2590" t="str" cm="1">
        <f t="array" ref="J2590">_xlfn.SWITCH(LEFT(Table1[[#This Row],[section]],1), "D", "Demographic", "S", "Social", "E", "Economic", "H", "Housing", "")</f>
        <v>Housing</v>
      </c>
      <c r="K2590" t="s">
        <v>8834</v>
      </c>
      <c r="L2590" t="s">
        <v>8835</v>
      </c>
      <c r="M2590" t="str">
        <f>IF(Table1[[#This Row],[used]], _xlfn.CONCAT("🆔 ", Table1[[#This Row],[variable]], ": ",Table1[[#This Row],[alias]]), "")</f>
        <v>🆔 B25016_002E: Owner occupied</v>
      </c>
      <c r="O2590" t="s">
        <v>7992</v>
      </c>
      <c r="P2590" t="s">
        <v>8836</v>
      </c>
      <c r="Q2590" t="s">
        <v>41</v>
      </c>
      <c r="R2590" t="s">
        <v>8839</v>
      </c>
      <c r="S2590" t="b">
        <v>1</v>
      </c>
      <c r="T2590" t="b">
        <v>1</v>
      </c>
      <c r="U2590" t="b">
        <v>1</v>
      </c>
      <c r="V2590" t="b">
        <v>1</v>
      </c>
      <c r="W2590" t="b">
        <v>1</v>
      </c>
      <c r="X2590" t="b">
        <v>1</v>
      </c>
      <c r="Y2590" t="b">
        <v>1</v>
      </c>
      <c r="Z2590" t="b">
        <v>1</v>
      </c>
      <c r="AA2590" t="b">
        <v>1</v>
      </c>
      <c r="AB2590" t="b">
        <v>1</v>
      </c>
      <c r="AC2590" t="b">
        <v>1</v>
      </c>
      <c r="AD2590" t="b">
        <v>1</v>
      </c>
      <c r="AE2590" t="b">
        <v>1</v>
      </c>
      <c r="AF2590" t="b">
        <v>1</v>
      </c>
      <c r="AG2590" t="b">
        <v>1</v>
      </c>
    </row>
    <row r="2591" spans="1:33" x14ac:dyDescent="0.25">
      <c r="A2591" t="s">
        <v>33</v>
      </c>
      <c r="B2591">
        <v>15</v>
      </c>
      <c r="C2591" t="b">
        <v>1</v>
      </c>
      <c r="D2591" t="s">
        <v>7968</v>
      </c>
      <c r="E2591" t="s">
        <v>8832</v>
      </c>
      <c r="F2591" t="s">
        <v>8840</v>
      </c>
      <c r="G2591" t="s">
        <v>8841</v>
      </c>
      <c r="H2591">
        <v>2590</v>
      </c>
      <c r="I2591" t="str">
        <f>IF(ISBLANK(Table1[[#This Row],[oid]]),"FALSE","TRUE")</f>
        <v>TRUE</v>
      </c>
      <c r="J2591" t="str" cm="1">
        <f t="array" ref="J2591">_xlfn.SWITCH(LEFT(Table1[[#This Row],[section]],1), "D", "Demographic", "S", "Social", "E", "Economic", "H", "Housing", "")</f>
        <v>Housing</v>
      </c>
      <c r="K2591" t="s">
        <v>8834</v>
      </c>
      <c r="L2591" t="s">
        <v>8835</v>
      </c>
      <c r="M2591" t="str">
        <f>IF(Table1[[#This Row],[used]], _xlfn.CONCAT("🆔 ", Table1[[#This Row],[variable]], ": ",Table1[[#This Row],[alias]]), "")</f>
        <v>🆔 B25016_003E: Owner occupied: Complete plumbing facilities</v>
      </c>
      <c r="O2591" t="s">
        <v>8842</v>
      </c>
      <c r="P2591" t="s">
        <v>8836</v>
      </c>
      <c r="Q2591" t="s">
        <v>41</v>
      </c>
      <c r="R2591" t="s">
        <v>8843</v>
      </c>
      <c r="S2591" t="b">
        <v>1</v>
      </c>
      <c r="T2591" t="b">
        <v>1</v>
      </c>
      <c r="U2591" t="b">
        <v>1</v>
      </c>
      <c r="V2591" t="b">
        <v>1</v>
      </c>
      <c r="W2591" t="b">
        <v>1</v>
      </c>
      <c r="X2591" t="b">
        <v>1</v>
      </c>
      <c r="Y2591" t="b">
        <v>1</v>
      </c>
      <c r="Z2591" t="b">
        <v>1</v>
      </c>
      <c r="AA2591" t="b">
        <v>1</v>
      </c>
      <c r="AB2591" t="b">
        <v>1</v>
      </c>
      <c r="AC2591" t="b">
        <v>1</v>
      </c>
      <c r="AD2591" t="b">
        <v>1</v>
      </c>
      <c r="AE2591" t="b">
        <v>1</v>
      </c>
      <c r="AF2591" t="b">
        <v>1</v>
      </c>
      <c r="AG2591" t="b">
        <v>1</v>
      </c>
    </row>
    <row r="2592" spans="1:33" x14ac:dyDescent="0.25">
      <c r="A2592" t="s">
        <v>33</v>
      </c>
      <c r="B2592">
        <v>15</v>
      </c>
      <c r="C2592" t="b">
        <v>1</v>
      </c>
      <c r="D2592" t="s">
        <v>7968</v>
      </c>
      <c r="E2592" t="s">
        <v>8832</v>
      </c>
      <c r="F2592" t="s">
        <v>8844</v>
      </c>
      <c r="G2592" t="s">
        <v>8845</v>
      </c>
      <c r="H2592">
        <v>2591</v>
      </c>
      <c r="I2592" t="str">
        <f>IF(ISBLANK(Table1[[#This Row],[oid]]),"FALSE","TRUE")</f>
        <v>TRUE</v>
      </c>
      <c r="J2592" t="str" cm="1">
        <f t="array" ref="J2592">_xlfn.SWITCH(LEFT(Table1[[#This Row],[section]],1), "D", "Demographic", "S", "Social", "E", "Economic", "H", "Housing", "")</f>
        <v>Housing</v>
      </c>
      <c r="K2592" t="s">
        <v>8834</v>
      </c>
      <c r="L2592" t="s">
        <v>8835</v>
      </c>
      <c r="M2592" t="str">
        <f>IF(Table1[[#This Row],[used]], _xlfn.CONCAT("🆔 ", Table1[[#This Row],[variable]], ": ",Table1[[#This Row],[alias]]), "")</f>
        <v>🆔 B25016_007E: Owner occupied: Lacking complete plumbing facilities</v>
      </c>
      <c r="O2592" t="s">
        <v>8846</v>
      </c>
      <c r="P2592" t="s">
        <v>8836</v>
      </c>
      <c r="Q2592" t="s">
        <v>41</v>
      </c>
      <c r="R2592" t="s">
        <v>8847</v>
      </c>
      <c r="S2592" t="b">
        <v>1</v>
      </c>
      <c r="T2592" t="b">
        <v>1</v>
      </c>
      <c r="U2592" t="b">
        <v>1</v>
      </c>
      <c r="V2592" t="b">
        <v>1</v>
      </c>
      <c r="W2592" t="b">
        <v>1</v>
      </c>
      <c r="X2592" t="b">
        <v>1</v>
      </c>
      <c r="Y2592" t="b">
        <v>1</v>
      </c>
      <c r="Z2592" t="b">
        <v>1</v>
      </c>
      <c r="AA2592" t="b">
        <v>1</v>
      </c>
      <c r="AB2592" t="b">
        <v>1</v>
      </c>
      <c r="AC2592" t="b">
        <v>1</v>
      </c>
      <c r="AD2592" t="b">
        <v>1</v>
      </c>
      <c r="AE2592" t="b">
        <v>1</v>
      </c>
      <c r="AF2592" t="b">
        <v>1</v>
      </c>
      <c r="AG2592" t="b">
        <v>1</v>
      </c>
    </row>
    <row r="2593" spans="1:33" x14ac:dyDescent="0.25">
      <c r="A2593" t="s">
        <v>33</v>
      </c>
      <c r="B2593">
        <v>15</v>
      </c>
      <c r="C2593" t="b">
        <v>1</v>
      </c>
      <c r="D2593" t="s">
        <v>7968</v>
      </c>
      <c r="E2593" t="s">
        <v>8832</v>
      </c>
      <c r="F2593" t="s">
        <v>8848</v>
      </c>
      <c r="G2593" t="s">
        <v>8849</v>
      </c>
      <c r="H2593">
        <v>2592</v>
      </c>
      <c r="I2593" t="str">
        <f>IF(ISBLANK(Table1[[#This Row],[oid]]),"FALSE","TRUE")</f>
        <v>TRUE</v>
      </c>
      <c r="J2593" t="str" cm="1">
        <f t="array" ref="J2593">_xlfn.SWITCH(LEFT(Table1[[#This Row],[section]],1), "D", "Demographic", "S", "Social", "E", "Economic", "H", "Housing", "")</f>
        <v>Housing</v>
      </c>
      <c r="K2593" t="s">
        <v>8834</v>
      </c>
      <c r="L2593" t="s">
        <v>8835</v>
      </c>
      <c r="M2593" t="str">
        <f>IF(Table1[[#This Row],[used]], _xlfn.CONCAT("🆔 ", Table1[[#This Row],[variable]], ": ",Table1[[#This Row],[alias]]), "")</f>
        <v>🆔 B25016_012E: Renter occupied: Complete plumbing facilities</v>
      </c>
      <c r="O2593" t="s">
        <v>8850</v>
      </c>
      <c r="P2593" t="s">
        <v>8836</v>
      </c>
      <c r="Q2593" t="s">
        <v>41</v>
      </c>
      <c r="R2593" t="s">
        <v>8851</v>
      </c>
      <c r="S2593" t="b">
        <v>1</v>
      </c>
      <c r="T2593" t="b">
        <v>1</v>
      </c>
      <c r="U2593" t="b">
        <v>1</v>
      </c>
      <c r="V2593" t="b">
        <v>1</v>
      </c>
      <c r="W2593" t="b">
        <v>1</v>
      </c>
      <c r="X2593" t="b">
        <v>1</v>
      </c>
      <c r="Y2593" t="b">
        <v>1</v>
      </c>
      <c r="Z2593" t="b">
        <v>1</v>
      </c>
      <c r="AA2593" t="b">
        <v>1</v>
      </c>
      <c r="AB2593" t="b">
        <v>1</v>
      </c>
      <c r="AC2593" t="b">
        <v>1</v>
      </c>
      <c r="AD2593" t="b">
        <v>1</v>
      </c>
      <c r="AE2593" t="b">
        <v>1</v>
      </c>
      <c r="AF2593" t="b">
        <v>1</v>
      </c>
      <c r="AG2593" t="b">
        <v>1</v>
      </c>
    </row>
    <row r="2594" spans="1:33" x14ac:dyDescent="0.25">
      <c r="A2594" t="s">
        <v>33</v>
      </c>
      <c r="B2594">
        <v>15</v>
      </c>
      <c r="C2594" t="b">
        <v>1</v>
      </c>
      <c r="D2594" t="s">
        <v>7968</v>
      </c>
      <c r="E2594" t="s">
        <v>8832</v>
      </c>
      <c r="F2594" t="s">
        <v>8852</v>
      </c>
      <c r="G2594" t="s">
        <v>8853</v>
      </c>
      <c r="H2594">
        <v>2593</v>
      </c>
      <c r="I2594" t="str">
        <f>IF(ISBLANK(Table1[[#This Row],[oid]]),"FALSE","TRUE")</f>
        <v>TRUE</v>
      </c>
      <c r="J2594" t="str" cm="1">
        <f t="array" ref="J2594">_xlfn.SWITCH(LEFT(Table1[[#This Row],[section]],1), "D", "Demographic", "S", "Social", "E", "Economic", "H", "Housing", "")</f>
        <v>Housing</v>
      </c>
      <c r="K2594" t="s">
        <v>8834</v>
      </c>
      <c r="L2594" t="s">
        <v>8835</v>
      </c>
      <c r="M2594" t="str">
        <f>IF(Table1[[#This Row],[used]], _xlfn.CONCAT("🆔 ", Table1[[#This Row],[variable]], ": ",Table1[[#This Row],[alias]]), "")</f>
        <v>🆔 B25016_016E: Renter occupied: Lacking complete plumbing facilities</v>
      </c>
      <c r="O2594" t="s">
        <v>8854</v>
      </c>
      <c r="P2594" t="s">
        <v>8836</v>
      </c>
      <c r="Q2594" t="s">
        <v>41</v>
      </c>
      <c r="R2594" t="s">
        <v>8855</v>
      </c>
      <c r="S2594" t="b">
        <v>1</v>
      </c>
      <c r="T2594" t="b">
        <v>1</v>
      </c>
      <c r="U2594" t="b">
        <v>1</v>
      </c>
      <c r="V2594" t="b">
        <v>1</v>
      </c>
      <c r="W2594" t="b">
        <v>1</v>
      </c>
      <c r="X2594" t="b">
        <v>1</v>
      </c>
      <c r="Y2594" t="b">
        <v>1</v>
      </c>
      <c r="Z2594" t="b">
        <v>1</v>
      </c>
      <c r="AA2594" t="b">
        <v>1</v>
      </c>
      <c r="AB2594" t="b">
        <v>1</v>
      </c>
      <c r="AC2594" t="b">
        <v>1</v>
      </c>
      <c r="AD2594" t="b">
        <v>1</v>
      </c>
      <c r="AE2594" t="b">
        <v>1</v>
      </c>
      <c r="AF2594" t="b">
        <v>1</v>
      </c>
      <c r="AG2594" t="b">
        <v>1</v>
      </c>
    </row>
    <row r="2595" spans="1:33" x14ac:dyDescent="0.25">
      <c r="A2595" t="s">
        <v>33</v>
      </c>
      <c r="B2595">
        <v>15</v>
      </c>
      <c r="C2595" t="b">
        <v>1</v>
      </c>
      <c r="D2595" t="s">
        <v>7968</v>
      </c>
      <c r="E2595" t="s">
        <v>8856</v>
      </c>
      <c r="F2595" t="s">
        <v>8857</v>
      </c>
      <c r="G2595" t="s">
        <v>8858</v>
      </c>
      <c r="H2595">
        <v>2594</v>
      </c>
      <c r="I2595" t="str">
        <f>IF(ISBLANK(Table1[[#This Row],[oid]]),"FALSE","TRUE")</f>
        <v>TRUE</v>
      </c>
      <c r="J2595" t="str" cm="1">
        <f t="array" ref="J2595">_xlfn.SWITCH(LEFT(Table1[[#This Row],[section]],1), "D", "Demographic", "S", "Social", "E", "Economic", "H", "Housing", "")</f>
        <v>Housing</v>
      </c>
      <c r="K2595" t="s">
        <v>8834</v>
      </c>
      <c r="L2595" t="s">
        <v>8835</v>
      </c>
      <c r="M2595" t="str">
        <f>IF(Table1[[#This Row],[used]], _xlfn.CONCAT("🆔 ", Table1[[#This Row],[variable]], ": ",Table1[[#This Row],[alias]]), "")</f>
        <v>🆔 B25043_003E: Owner occupied: With telephone service available</v>
      </c>
      <c r="O2595" t="s">
        <v>8859</v>
      </c>
      <c r="P2595" t="s">
        <v>8860</v>
      </c>
      <c r="Q2595" t="s">
        <v>41</v>
      </c>
      <c r="R2595" t="s">
        <v>8861</v>
      </c>
      <c r="S2595" t="b">
        <v>1</v>
      </c>
      <c r="T2595" t="b">
        <v>1</v>
      </c>
      <c r="U2595" t="b">
        <v>1</v>
      </c>
      <c r="V2595" t="b">
        <v>1</v>
      </c>
      <c r="W2595" t="b">
        <v>1</v>
      </c>
      <c r="X2595" t="b">
        <v>1</v>
      </c>
      <c r="Y2595" t="b">
        <v>1</v>
      </c>
      <c r="Z2595" t="b">
        <v>1</v>
      </c>
      <c r="AA2595" t="b">
        <v>1</v>
      </c>
      <c r="AB2595" t="b">
        <v>1</v>
      </c>
      <c r="AC2595" t="b">
        <v>1</v>
      </c>
      <c r="AD2595" t="b">
        <v>1</v>
      </c>
      <c r="AE2595" t="b">
        <v>1</v>
      </c>
      <c r="AF2595" t="b">
        <v>1</v>
      </c>
      <c r="AG2595" t="b">
        <v>1</v>
      </c>
    </row>
    <row r="2596" spans="1:33" x14ac:dyDescent="0.25">
      <c r="A2596" t="s">
        <v>33</v>
      </c>
      <c r="B2596">
        <v>15</v>
      </c>
      <c r="C2596" t="b">
        <v>1</v>
      </c>
      <c r="D2596" t="s">
        <v>7968</v>
      </c>
      <c r="E2596" t="s">
        <v>8856</v>
      </c>
      <c r="F2596" t="s">
        <v>8862</v>
      </c>
      <c r="G2596" t="s">
        <v>8863</v>
      </c>
      <c r="H2596">
        <v>2595</v>
      </c>
      <c r="I2596" t="str">
        <f>IF(ISBLANK(Table1[[#This Row],[oid]]),"FALSE","TRUE")</f>
        <v>TRUE</v>
      </c>
      <c r="J2596" t="str" cm="1">
        <f t="array" ref="J2596">_xlfn.SWITCH(LEFT(Table1[[#This Row],[section]],1), "D", "Demographic", "S", "Social", "E", "Economic", "H", "Housing", "")</f>
        <v>Housing</v>
      </c>
      <c r="K2596" t="s">
        <v>8834</v>
      </c>
      <c r="L2596" t="s">
        <v>8835</v>
      </c>
      <c r="M2596" t="str">
        <f>IF(Table1[[#This Row],[used]], _xlfn.CONCAT("🆔 ", Table1[[#This Row],[variable]], ": ",Table1[[#This Row],[alias]]), "")</f>
        <v>🆔 B25043_007E: Owner occupied: No telephone service available</v>
      </c>
      <c r="O2596" t="s">
        <v>8864</v>
      </c>
      <c r="P2596" t="s">
        <v>8860</v>
      </c>
      <c r="Q2596" t="s">
        <v>41</v>
      </c>
      <c r="R2596" t="s">
        <v>8865</v>
      </c>
      <c r="S2596" t="b">
        <v>1</v>
      </c>
      <c r="T2596" t="b">
        <v>1</v>
      </c>
      <c r="U2596" t="b">
        <v>1</v>
      </c>
      <c r="V2596" t="b">
        <v>1</v>
      </c>
      <c r="W2596" t="b">
        <v>1</v>
      </c>
      <c r="X2596" t="b">
        <v>1</v>
      </c>
      <c r="Y2596" t="b">
        <v>1</v>
      </c>
      <c r="Z2596" t="b">
        <v>1</v>
      </c>
      <c r="AA2596" t="b">
        <v>1</v>
      </c>
      <c r="AB2596" t="b">
        <v>1</v>
      </c>
      <c r="AC2596" t="b">
        <v>1</v>
      </c>
      <c r="AD2596" t="b">
        <v>1</v>
      </c>
      <c r="AE2596" t="b">
        <v>1</v>
      </c>
      <c r="AF2596" t="b">
        <v>1</v>
      </c>
      <c r="AG2596" t="b">
        <v>1</v>
      </c>
    </row>
    <row r="2597" spans="1:33" x14ac:dyDescent="0.25">
      <c r="A2597" t="s">
        <v>33</v>
      </c>
      <c r="B2597">
        <v>15</v>
      </c>
      <c r="C2597" t="b">
        <v>1</v>
      </c>
      <c r="D2597" t="s">
        <v>7968</v>
      </c>
      <c r="E2597" t="s">
        <v>8856</v>
      </c>
      <c r="F2597" t="s">
        <v>8866</v>
      </c>
      <c r="G2597" t="s">
        <v>8867</v>
      </c>
      <c r="H2597">
        <v>2596</v>
      </c>
      <c r="I2597" t="str">
        <f>IF(ISBLANK(Table1[[#This Row],[oid]]),"FALSE","TRUE")</f>
        <v>TRUE</v>
      </c>
      <c r="J2597" t="str" cm="1">
        <f t="array" ref="J2597">_xlfn.SWITCH(LEFT(Table1[[#This Row],[section]],1), "D", "Demographic", "S", "Social", "E", "Economic", "H", "Housing", "")</f>
        <v>Housing</v>
      </c>
      <c r="K2597" t="s">
        <v>8834</v>
      </c>
      <c r="L2597" t="s">
        <v>8835</v>
      </c>
      <c r="M2597" t="str">
        <f>IF(Table1[[#This Row],[used]], _xlfn.CONCAT("🆔 ", Table1[[#This Row],[variable]], ": ",Table1[[#This Row],[alias]]), "")</f>
        <v>🆔 B25043_012E: Renter occupied: With telephone service available</v>
      </c>
      <c r="O2597" t="s">
        <v>8868</v>
      </c>
      <c r="P2597" t="s">
        <v>8860</v>
      </c>
      <c r="Q2597" t="s">
        <v>41</v>
      </c>
      <c r="R2597" t="s">
        <v>8869</v>
      </c>
      <c r="S2597" t="b">
        <v>1</v>
      </c>
      <c r="T2597" t="b">
        <v>1</v>
      </c>
      <c r="U2597" t="b">
        <v>1</v>
      </c>
      <c r="V2597" t="b">
        <v>1</v>
      </c>
      <c r="W2597" t="b">
        <v>1</v>
      </c>
      <c r="X2597" t="b">
        <v>1</v>
      </c>
      <c r="Y2597" t="b">
        <v>1</v>
      </c>
      <c r="Z2597" t="b">
        <v>1</v>
      </c>
      <c r="AA2597" t="b">
        <v>1</v>
      </c>
      <c r="AB2597" t="b">
        <v>1</v>
      </c>
      <c r="AC2597" t="b">
        <v>1</v>
      </c>
      <c r="AD2597" t="b">
        <v>1</v>
      </c>
      <c r="AE2597" t="b">
        <v>1</v>
      </c>
      <c r="AF2597" t="b">
        <v>1</v>
      </c>
      <c r="AG2597" t="b">
        <v>1</v>
      </c>
    </row>
    <row r="2598" spans="1:33" x14ac:dyDescent="0.25">
      <c r="A2598" t="s">
        <v>33</v>
      </c>
      <c r="B2598">
        <v>15</v>
      </c>
      <c r="C2598" t="b">
        <v>1</v>
      </c>
      <c r="D2598" t="s">
        <v>7968</v>
      </c>
      <c r="E2598" t="s">
        <v>8856</v>
      </c>
      <c r="F2598" t="s">
        <v>8870</v>
      </c>
      <c r="G2598" t="s">
        <v>8871</v>
      </c>
      <c r="H2598">
        <v>2597</v>
      </c>
      <c r="I2598" t="str">
        <f>IF(ISBLANK(Table1[[#This Row],[oid]]),"FALSE","TRUE")</f>
        <v>TRUE</v>
      </c>
      <c r="J2598" t="str" cm="1">
        <f t="array" ref="J2598">_xlfn.SWITCH(LEFT(Table1[[#This Row],[section]],1), "D", "Demographic", "S", "Social", "E", "Economic", "H", "Housing", "")</f>
        <v>Housing</v>
      </c>
      <c r="K2598" t="s">
        <v>8834</v>
      </c>
      <c r="L2598" t="s">
        <v>8835</v>
      </c>
      <c r="M2598" t="str">
        <f>IF(Table1[[#This Row],[used]], _xlfn.CONCAT("🆔 ", Table1[[#This Row],[variable]], ": ",Table1[[#This Row],[alias]]), "")</f>
        <v>🆔 B25043_016E: Renter occupied: No telephone service available</v>
      </c>
      <c r="O2598" t="s">
        <v>8872</v>
      </c>
      <c r="P2598" t="s">
        <v>8860</v>
      </c>
      <c r="Q2598" t="s">
        <v>41</v>
      </c>
      <c r="R2598" t="s">
        <v>8873</v>
      </c>
      <c r="S2598" t="b">
        <v>1</v>
      </c>
      <c r="T2598" t="b">
        <v>1</v>
      </c>
      <c r="U2598" t="b">
        <v>1</v>
      </c>
      <c r="V2598" t="b">
        <v>1</v>
      </c>
      <c r="W2598" t="b">
        <v>1</v>
      </c>
      <c r="X2598" t="b">
        <v>1</v>
      </c>
      <c r="Y2598" t="b">
        <v>1</v>
      </c>
      <c r="Z2598" t="b">
        <v>1</v>
      </c>
      <c r="AA2598" t="b">
        <v>1</v>
      </c>
      <c r="AB2598" t="b">
        <v>1</v>
      </c>
      <c r="AC2598" t="b">
        <v>1</v>
      </c>
      <c r="AD2598" t="b">
        <v>1</v>
      </c>
      <c r="AE2598" t="b">
        <v>1</v>
      </c>
      <c r="AF2598" t="b">
        <v>1</v>
      </c>
      <c r="AG2598" t="b">
        <v>1</v>
      </c>
    </row>
    <row r="2599" spans="1:33" x14ac:dyDescent="0.25">
      <c r="A2599" t="s">
        <v>33</v>
      </c>
      <c r="B2599">
        <v>15</v>
      </c>
      <c r="C2599" t="b">
        <v>1</v>
      </c>
      <c r="D2599" t="s">
        <v>7968</v>
      </c>
      <c r="E2599" t="s">
        <v>8874</v>
      </c>
      <c r="F2599" t="s">
        <v>8875</v>
      </c>
      <c r="G2599" t="s">
        <v>8739</v>
      </c>
      <c r="H2599">
        <v>2598</v>
      </c>
      <c r="I2599" t="str">
        <f>IF(ISBLANK(Table1[[#This Row],[oid]]),"FALSE","TRUE")</f>
        <v>TRUE</v>
      </c>
      <c r="J2599" t="str" cm="1">
        <f t="array" ref="J2599">_xlfn.SWITCH(LEFT(Table1[[#This Row],[section]],1), "D", "Demographic", "S", "Social", "E", "Economic", "H", "Housing", "")</f>
        <v>Housing</v>
      </c>
      <c r="K2599" t="s">
        <v>8834</v>
      </c>
      <c r="L2599" t="s">
        <v>8835</v>
      </c>
      <c r="M2599" t="str">
        <f>IF(Table1[[#This Row],[used]], _xlfn.CONCAT("🆔 ", Table1[[#This Row],[variable]], ": ",Table1[[#This Row],[alias]]), "")</f>
        <v>🆔 B25045_003E: Owner occupied: No vehicle available</v>
      </c>
      <c r="O2599" t="s">
        <v>8740</v>
      </c>
      <c r="P2599" t="s">
        <v>8876</v>
      </c>
      <c r="Q2599" t="s">
        <v>41</v>
      </c>
      <c r="R2599" t="s">
        <v>8877</v>
      </c>
      <c r="S2599" t="b">
        <v>1</v>
      </c>
      <c r="T2599" t="b">
        <v>1</v>
      </c>
      <c r="U2599" t="b">
        <v>1</v>
      </c>
      <c r="V2599" t="b">
        <v>1</v>
      </c>
      <c r="W2599" t="b">
        <v>1</v>
      </c>
      <c r="X2599" t="b">
        <v>1</v>
      </c>
      <c r="Y2599" t="b">
        <v>1</v>
      </c>
      <c r="Z2599" t="b">
        <v>1</v>
      </c>
      <c r="AA2599" t="b">
        <v>1</v>
      </c>
      <c r="AB2599" t="b">
        <v>1</v>
      </c>
      <c r="AC2599" t="b">
        <v>1</v>
      </c>
      <c r="AD2599" t="b">
        <v>1</v>
      </c>
      <c r="AE2599" t="b">
        <v>1</v>
      </c>
      <c r="AF2599" t="b">
        <v>1</v>
      </c>
      <c r="AG2599" t="b">
        <v>1</v>
      </c>
    </row>
    <row r="2600" spans="1:33" x14ac:dyDescent="0.25">
      <c r="A2600" t="s">
        <v>33</v>
      </c>
      <c r="B2600">
        <v>15</v>
      </c>
      <c r="C2600" t="b">
        <v>1</v>
      </c>
      <c r="D2600" t="s">
        <v>7968</v>
      </c>
      <c r="E2600" t="s">
        <v>8874</v>
      </c>
      <c r="F2600" t="s">
        <v>8878</v>
      </c>
      <c r="G2600" t="s">
        <v>8879</v>
      </c>
      <c r="H2600">
        <v>2599</v>
      </c>
      <c r="I2600" t="str">
        <f>IF(ISBLANK(Table1[[#This Row],[oid]]),"FALSE","TRUE")</f>
        <v>TRUE</v>
      </c>
      <c r="J2600" t="str" cm="1">
        <f t="array" ref="J2600">_xlfn.SWITCH(LEFT(Table1[[#This Row],[section]],1), "D", "Demographic", "S", "Social", "E", "Economic", "H", "Housing", "")</f>
        <v>Housing</v>
      </c>
      <c r="K2600" t="s">
        <v>8834</v>
      </c>
      <c r="L2600" t="s">
        <v>8835</v>
      </c>
      <c r="M2600" t="str">
        <f>IF(Table1[[#This Row],[used]], _xlfn.CONCAT("🆔 ", Table1[[#This Row],[variable]], ": ",Table1[[#This Row],[alias]]), "")</f>
        <v>🆔 B25045_007E: Owner occupied: 1 or more vehicles available</v>
      </c>
      <c r="O2600" t="s">
        <v>8880</v>
      </c>
      <c r="P2600" t="s">
        <v>8876</v>
      </c>
      <c r="Q2600" t="s">
        <v>41</v>
      </c>
      <c r="R2600" t="s">
        <v>8881</v>
      </c>
      <c r="S2600" t="b">
        <v>1</v>
      </c>
      <c r="T2600" t="b">
        <v>1</v>
      </c>
      <c r="U2600" t="b">
        <v>1</v>
      </c>
      <c r="V2600" t="b">
        <v>1</v>
      </c>
      <c r="W2600" t="b">
        <v>1</v>
      </c>
      <c r="X2600" t="b">
        <v>1</v>
      </c>
      <c r="Y2600" t="b">
        <v>1</v>
      </c>
      <c r="Z2600" t="b">
        <v>1</v>
      </c>
      <c r="AA2600" t="b">
        <v>1</v>
      </c>
      <c r="AB2600" t="b">
        <v>1</v>
      </c>
      <c r="AC2600" t="b">
        <v>1</v>
      </c>
      <c r="AD2600" t="b">
        <v>1</v>
      </c>
      <c r="AE2600" t="b">
        <v>1</v>
      </c>
      <c r="AF2600" t="b">
        <v>1</v>
      </c>
      <c r="AG2600" t="b">
        <v>1</v>
      </c>
    </row>
    <row r="2601" spans="1:33" x14ac:dyDescent="0.25">
      <c r="A2601" t="s">
        <v>33</v>
      </c>
      <c r="B2601">
        <v>15</v>
      </c>
      <c r="C2601" t="b">
        <v>1</v>
      </c>
      <c r="D2601" t="s">
        <v>7968</v>
      </c>
      <c r="E2601" t="s">
        <v>8874</v>
      </c>
      <c r="F2601" t="s">
        <v>8882</v>
      </c>
      <c r="G2601" t="s">
        <v>8765</v>
      </c>
      <c r="H2601">
        <v>2600</v>
      </c>
      <c r="I2601" t="str">
        <f>IF(ISBLANK(Table1[[#This Row],[oid]]),"FALSE","TRUE")</f>
        <v>TRUE</v>
      </c>
      <c r="J2601" t="str" cm="1">
        <f t="array" ref="J2601">_xlfn.SWITCH(LEFT(Table1[[#This Row],[section]],1), "D", "Demographic", "S", "Social", "E", "Economic", "H", "Housing", "")</f>
        <v>Housing</v>
      </c>
      <c r="K2601" t="s">
        <v>8834</v>
      </c>
      <c r="L2601" t="s">
        <v>8835</v>
      </c>
      <c r="M2601" t="str">
        <f>IF(Table1[[#This Row],[used]], _xlfn.CONCAT("🆔 ", Table1[[#This Row],[variable]], ": ",Table1[[#This Row],[alias]]), "")</f>
        <v>🆔 B25045_012E: Renter occupied: No vehicle available</v>
      </c>
      <c r="O2601" t="s">
        <v>8766</v>
      </c>
      <c r="P2601" t="s">
        <v>8876</v>
      </c>
      <c r="Q2601" t="s">
        <v>41</v>
      </c>
      <c r="R2601" t="s">
        <v>8883</v>
      </c>
      <c r="S2601" t="b">
        <v>1</v>
      </c>
      <c r="T2601" t="b">
        <v>1</v>
      </c>
      <c r="U2601" t="b">
        <v>1</v>
      </c>
      <c r="V2601" t="b">
        <v>1</v>
      </c>
      <c r="W2601" t="b">
        <v>1</v>
      </c>
      <c r="X2601" t="b">
        <v>1</v>
      </c>
      <c r="Y2601" t="b">
        <v>1</v>
      </c>
      <c r="Z2601" t="b">
        <v>1</v>
      </c>
      <c r="AA2601" t="b">
        <v>1</v>
      </c>
      <c r="AB2601" t="b">
        <v>1</v>
      </c>
      <c r="AC2601" t="b">
        <v>1</v>
      </c>
      <c r="AD2601" t="b">
        <v>1</v>
      </c>
      <c r="AE2601" t="b">
        <v>1</v>
      </c>
      <c r="AF2601" t="b">
        <v>1</v>
      </c>
      <c r="AG2601" t="b">
        <v>1</v>
      </c>
    </row>
    <row r="2602" spans="1:33" x14ac:dyDescent="0.25">
      <c r="A2602" t="s">
        <v>33</v>
      </c>
      <c r="B2602">
        <v>15</v>
      </c>
      <c r="C2602" t="b">
        <v>1</v>
      </c>
      <c r="D2602" t="s">
        <v>7968</v>
      </c>
      <c r="E2602" t="s">
        <v>8874</v>
      </c>
      <c r="F2602" t="s">
        <v>8884</v>
      </c>
      <c r="G2602" t="s">
        <v>8885</v>
      </c>
      <c r="H2602">
        <v>2601</v>
      </c>
      <c r="I2602" t="str">
        <f>IF(ISBLANK(Table1[[#This Row],[oid]]),"FALSE","TRUE")</f>
        <v>TRUE</v>
      </c>
      <c r="J2602" t="str" cm="1">
        <f t="array" ref="J2602">_xlfn.SWITCH(LEFT(Table1[[#This Row],[section]],1), "D", "Demographic", "S", "Social", "E", "Economic", "H", "Housing", "")</f>
        <v>Housing</v>
      </c>
      <c r="K2602" t="s">
        <v>8834</v>
      </c>
      <c r="L2602" t="s">
        <v>8835</v>
      </c>
      <c r="M2602" t="str">
        <f>IF(Table1[[#This Row],[used]], _xlfn.CONCAT("🆔 ", Table1[[#This Row],[variable]], ": ",Table1[[#This Row],[alias]]), "")</f>
        <v>🆔 B25045_016E: Renter occupied: 1 or more vehicles available</v>
      </c>
      <c r="O2602" t="s">
        <v>8886</v>
      </c>
      <c r="P2602" t="s">
        <v>8876</v>
      </c>
      <c r="Q2602" t="s">
        <v>41</v>
      </c>
      <c r="R2602" t="s">
        <v>8887</v>
      </c>
      <c r="S2602" t="b">
        <v>1</v>
      </c>
      <c r="T2602" t="b">
        <v>1</v>
      </c>
      <c r="U2602" t="b">
        <v>1</v>
      </c>
      <c r="V2602" t="b">
        <v>1</v>
      </c>
      <c r="W2602" t="b">
        <v>1</v>
      </c>
      <c r="X2602" t="b">
        <v>1</v>
      </c>
      <c r="Y2602" t="b">
        <v>1</v>
      </c>
      <c r="Z2602" t="b">
        <v>1</v>
      </c>
      <c r="AA2602" t="b">
        <v>1</v>
      </c>
      <c r="AB2602" t="b">
        <v>1</v>
      </c>
      <c r="AC2602" t="b">
        <v>1</v>
      </c>
      <c r="AD2602" t="b">
        <v>1</v>
      </c>
      <c r="AE2602" t="b">
        <v>1</v>
      </c>
      <c r="AF2602" t="b">
        <v>1</v>
      </c>
      <c r="AG2602" t="b">
        <v>1</v>
      </c>
    </row>
    <row r="2603" spans="1:33" x14ac:dyDescent="0.25">
      <c r="A2603" t="s">
        <v>33</v>
      </c>
      <c r="B2603">
        <v>15</v>
      </c>
      <c r="C2603" t="b">
        <v>1</v>
      </c>
      <c r="D2603" t="s">
        <v>7968</v>
      </c>
      <c r="E2603" t="s">
        <v>8888</v>
      </c>
      <c r="F2603" t="s">
        <v>8889</v>
      </c>
      <c r="G2603" t="s">
        <v>8890</v>
      </c>
      <c r="H2603">
        <v>2602</v>
      </c>
      <c r="I2603" t="str">
        <f>IF(ISBLANK(Table1[[#This Row],[oid]]),"FALSE","TRUE")</f>
        <v>TRUE</v>
      </c>
      <c r="J2603" t="str" cm="1">
        <f t="array" ref="J2603">_xlfn.SWITCH(LEFT(Table1[[#This Row],[section]],1), "D", "Demographic", "S", "Social", "E", "Economic", "H", "Housing", "")</f>
        <v>Housing</v>
      </c>
      <c r="K2603" t="s">
        <v>8834</v>
      </c>
      <c r="L2603" t="s">
        <v>8835</v>
      </c>
      <c r="M2603" t="str">
        <f>IF(Table1[[#This Row],[used]], _xlfn.CONCAT("🆔 ", Table1[[#This Row],[variable]], ": ",Table1[[#This Row],[alias]]), "")</f>
        <v>🆔 B25046_002E: Aggregate number of vehicles available: Owner occupied</v>
      </c>
      <c r="O2603" t="s">
        <v>8891</v>
      </c>
      <c r="P2603" t="s">
        <v>8892</v>
      </c>
      <c r="Q2603" t="s">
        <v>41</v>
      </c>
      <c r="R2603" t="s">
        <v>8893</v>
      </c>
      <c r="S2603" t="b">
        <v>1</v>
      </c>
      <c r="T2603" t="b">
        <v>1</v>
      </c>
      <c r="U2603" t="b">
        <v>1</v>
      </c>
      <c r="V2603" t="b">
        <v>1</v>
      </c>
      <c r="W2603" t="b">
        <v>1</v>
      </c>
      <c r="X2603" t="b">
        <v>1</v>
      </c>
      <c r="Y2603" t="b">
        <v>1</v>
      </c>
      <c r="Z2603" t="b">
        <v>1</v>
      </c>
      <c r="AA2603" t="b">
        <v>1</v>
      </c>
      <c r="AB2603" t="b">
        <v>1</v>
      </c>
      <c r="AC2603" t="b">
        <v>1</v>
      </c>
      <c r="AD2603" t="b">
        <v>1</v>
      </c>
      <c r="AE2603" t="b">
        <v>1</v>
      </c>
      <c r="AF2603" t="b">
        <v>1</v>
      </c>
      <c r="AG2603" t="b">
        <v>1</v>
      </c>
    </row>
    <row r="2604" spans="1:33" x14ac:dyDescent="0.25">
      <c r="A2604" t="s">
        <v>33</v>
      </c>
      <c r="B2604">
        <v>15</v>
      </c>
      <c r="C2604" t="b">
        <v>1</v>
      </c>
      <c r="D2604" t="s">
        <v>7968</v>
      </c>
      <c r="E2604" t="s">
        <v>8888</v>
      </c>
      <c r="F2604" t="s">
        <v>8894</v>
      </c>
      <c r="G2604" t="s">
        <v>8895</v>
      </c>
      <c r="H2604">
        <v>2603</v>
      </c>
      <c r="I2604" t="str">
        <f>IF(ISBLANK(Table1[[#This Row],[oid]]),"FALSE","TRUE")</f>
        <v>TRUE</v>
      </c>
      <c r="J2604" t="str" cm="1">
        <f t="array" ref="J2604">_xlfn.SWITCH(LEFT(Table1[[#This Row],[section]],1), "D", "Demographic", "S", "Social", "E", "Economic", "H", "Housing", "")</f>
        <v>Housing</v>
      </c>
      <c r="K2604" t="s">
        <v>8834</v>
      </c>
      <c r="L2604" t="s">
        <v>8835</v>
      </c>
      <c r="M2604" t="str">
        <f>IF(Table1[[#This Row],[used]], _xlfn.CONCAT("🆔 ", Table1[[#This Row],[variable]], ": ",Table1[[#This Row],[alias]]), "")</f>
        <v>🆔 B25046_003E: Aggregate number of vehicles available: Renter occupied</v>
      </c>
      <c r="O2604" t="s">
        <v>8896</v>
      </c>
      <c r="P2604" t="s">
        <v>8892</v>
      </c>
      <c r="Q2604" t="s">
        <v>41</v>
      </c>
      <c r="R2604" t="s">
        <v>8897</v>
      </c>
      <c r="S2604" t="b">
        <v>1</v>
      </c>
      <c r="T2604" t="b">
        <v>1</v>
      </c>
      <c r="U2604" t="b">
        <v>1</v>
      </c>
      <c r="V2604" t="b">
        <v>1</v>
      </c>
      <c r="W2604" t="b">
        <v>1</v>
      </c>
      <c r="X2604" t="b">
        <v>1</v>
      </c>
      <c r="Y2604" t="b">
        <v>1</v>
      </c>
      <c r="Z2604" t="b">
        <v>1</v>
      </c>
      <c r="AA2604" t="b">
        <v>1</v>
      </c>
      <c r="AB2604" t="b">
        <v>1</v>
      </c>
      <c r="AC2604" t="b">
        <v>1</v>
      </c>
      <c r="AD2604" t="b">
        <v>1</v>
      </c>
      <c r="AE2604" t="b">
        <v>1</v>
      </c>
      <c r="AF2604" t="b">
        <v>1</v>
      </c>
      <c r="AG2604" t="b">
        <v>1</v>
      </c>
    </row>
    <row r="2605" spans="1:33" x14ac:dyDescent="0.25">
      <c r="A2605" t="s">
        <v>33</v>
      </c>
      <c r="B2605">
        <v>15</v>
      </c>
      <c r="C2605" t="b">
        <v>1</v>
      </c>
      <c r="D2605" t="s">
        <v>7968</v>
      </c>
      <c r="E2605" t="s">
        <v>8898</v>
      </c>
      <c r="F2605" t="s">
        <v>8899</v>
      </c>
      <c r="G2605" t="s">
        <v>8900</v>
      </c>
      <c r="H2605">
        <v>2604</v>
      </c>
      <c r="I2605" t="str">
        <f>IF(ISBLANK(Table1[[#This Row],[oid]]),"FALSE","TRUE")</f>
        <v>TRUE</v>
      </c>
      <c r="J2605" t="str" cm="1">
        <f t="array" ref="J2605">_xlfn.SWITCH(LEFT(Table1[[#This Row],[section]],1), "D", "Demographic", "S", "Social", "E", "Economic", "H", "Housing", "")</f>
        <v>Housing</v>
      </c>
      <c r="K2605" t="s">
        <v>8834</v>
      </c>
      <c r="L2605" t="s">
        <v>8835</v>
      </c>
      <c r="M2605" t="str">
        <f>IF(Table1[[#This Row],[used]], _xlfn.CONCAT("🆔 ", Table1[[#This Row],[variable]], ": ",Table1[[#This Row],[alias]]), "")</f>
        <v>🆔 B25053_003E: Owner occupied: Complete kitchen facilities</v>
      </c>
      <c r="O2605" t="s">
        <v>8901</v>
      </c>
      <c r="P2605" t="s">
        <v>8902</v>
      </c>
      <c r="Q2605" t="s">
        <v>41</v>
      </c>
      <c r="R2605" t="s">
        <v>8903</v>
      </c>
      <c r="S2605" t="b">
        <v>1</v>
      </c>
      <c r="T2605" t="b">
        <v>1</v>
      </c>
      <c r="U2605" t="b">
        <v>1</v>
      </c>
      <c r="V2605" t="b">
        <v>1</v>
      </c>
      <c r="W2605" t="b">
        <v>1</v>
      </c>
      <c r="X2605" t="b">
        <v>1</v>
      </c>
      <c r="Y2605" t="b">
        <v>1</v>
      </c>
      <c r="Z2605" t="b">
        <v>1</v>
      </c>
      <c r="AA2605" t="b">
        <v>1</v>
      </c>
      <c r="AB2605" t="b">
        <v>1</v>
      </c>
      <c r="AC2605" t="b">
        <v>1</v>
      </c>
      <c r="AD2605" t="b">
        <v>1</v>
      </c>
      <c r="AE2605" t="b">
        <v>1</v>
      </c>
      <c r="AF2605" t="b">
        <v>1</v>
      </c>
      <c r="AG2605" t="b">
        <v>1</v>
      </c>
    </row>
    <row r="2606" spans="1:33" x14ac:dyDescent="0.25">
      <c r="A2606" t="s">
        <v>33</v>
      </c>
      <c r="B2606">
        <v>15</v>
      </c>
      <c r="C2606" t="b">
        <v>1</v>
      </c>
      <c r="D2606" t="s">
        <v>7968</v>
      </c>
      <c r="E2606" t="s">
        <v>8898</v>
      </c>
      <c r="F2606" t="s">
        <v>8904</v>
      </c>
      <c r="G2606" t="s">
        <v>8905</v>
      </c>
      <c r="H2606">
        <v>2605</v>
      </c>
      <c r="I2606" t="str">
        <f>IF(ISBLANK(Table1[[#This Row],[oid]]),"FALSE","TRUE")</f>
        <v>TRUE</v>
      </c>
      <c r="J2606" t="str" cm="1">
        <f t="array" ref="J2606">_xlfn.SWITCH(LEFT(Table1[[#This Row],[section]],1), "D", "Demographic", "S", "Social", "E", "Economic", "H", "Housing", "")</f>
        <v>Housing</v>
      </c>
      <c r="K2606" t="s">
        <v>8834</v>
      </c>
      <c r="L2606" t="s">
        <v>8835</v>
      </c>
      <c r="M2606" t="str">
        <f>IF(Table1[[#This Row],[used]], _xlfn.CONCAT("🆔 ", Table1[[#This Row],[variable]], ": ",Table1[[#This Row],[alias]]), "")</f>
        <v>🆔 B25053_004E: Owner occupied: Lacking complete kitchen facilities</v>
      </c>
      <c r="O2606" t="s">
        <v>8906</v>
      </c>
      <c r="P2606" t="s">
        <v>8902</v>
      </c>
      <c r="Q2606" t="s">
        <v>41</v>
      </c>
      <c r="R2606" t="s">
        <v>8907</v>
      </c>
      <c r="S2606" t="b">
        <v>1</v>
      </c>
      <c r="T2606" t="b">
        <v>1</v>
      </c>
      <c r="U2606" t="b">
        <v>1</v>
      </c>
      <c r="V2606" t="b">
        <v>1</v>
      </c>
      <c r="W2606" t="b">
        <v>1</v>
      </c>
      <c r="X2606" t="b">
        <v>1</v>
      </c>
      <c r="Y2606" t="b">
        <v>1</v>
      </c>
      <c r="Z2606" t="b">
        <v>1</v>
      </c>
      <c r="AA2606" t="b">
        <v>1</v>
      </c>
      <c r="AB2606" t="b">
        <v>1</v>
      </c>
      <c r="AC2606" t="b">
        <v>1</v>
      </c>
      <c r="AD2606" t="b">
        <v>1</v>
      </c>
      <c r="AE2606" t="b">
        <v>1</v>
      </c>
      <c r="AF2606" t="b">
        <v>1</v>
      </c>
      <c r="AG2606" t="b">
        <v>1</v>
      </c>
    </row>
    <row r="2607" spans="1:33" x14ac:dyDescent="0.25">
      <c r="A2607" t="s">
        <v>33</v>
      </c>
      <c r="B2607">
        <v>15</v>
      </c>
      <c r="C2607" t="b">
        <v>1</v>
      </c>
      <c r="D2607" t="s">
        <v>7968</v>
      </c>
      <c r="E2607" t="s">
        <v>8898</v>
      </c>
      <c r="F2607" t="s">
        <v>8908</v>
      </c>
      <c r="G2607" t="s">
        <v>8909</v>
      </c>
      <c r="H2607">
        <v>2606</v>
      </c>
      <c r="I2607" t="str">
        <f>IF(ISBLANK(Table1[[#This Row],[oid]]),"FALSE","TRUE")</f>
        <v>TRUE</v>
      </c>
      <c r="J2607" t="str" cm="1">
        <f t="array" ref="J2607">_xlfn.SWITCH(LEFT(Table1[[#This Row],[section]],1), "D", "Demographic", "S", "Social", "E", "Economic", "H", "Housing", "")</f>
        <v>Housing</v>
      </c>
      <c r="K2607" t="s">
        <v>8834</v>
      </c>
      <c r="L2607" t="s">
        <v>8835</v>
      </c>
      <c r="M2607" t="str">
        <f>IF(Table1[[#This Row],[used]], _xlfn.CONCAT("🆔 ", Table1[[#This Row],[variable]], ": ",Table1[[#This Row],[alias]]), "")</f>
        <v>🆔 B25053_006E: Renter occupied: Complete kitchen facilities</v>
      </c>
      <c r="O2607" t="s">
        <v>8910</v>
      </c>
      <c r="P2607" t="s">
        <v>8902</v>
      </c>
      <c r="Q2607" t="s">
        <v>41</v>
      </c>
      <c r="R2607" t="s">
        <v>8911</v>
      </c>
      <c r="S2607" t="b">
        <v>1</v>
      </c>
      <c r="T2607" t="b">
        <v>1</v>
      </c>
      <c r="U2607" t="b">
        <v>1</v>
      </c>
      <c r="V2607" t="b">
        <v>1</v>
      </c>
      <c r="W2607" t="b">
        <v>1</v>
      </c>
      <c r="X2607" t="b">
        <v>1</v>
      </c>
      <c r="Y2607" t="b">
        <v>1</v>
      </c>
      <c r="Z2607" t="b">
        <v>1</v>
      </c>
      <c r="AA2607" t="b">
        <v>1</v>
      </c>
      <c r="AB2607" t="b">
        <v>1</v>
      </c>
      <c r="AC2607" t="b">
        <v>1</v>
      </c>
      <c r="AD2607" t="b">
        <v>1</v>
      </c>
      <c r="AE2607" t="b">
        <v>1</v>
      </c>
      <c r="AF2607" t="b">
        <v>1</v>
      </c>
      <c r="AG2607" t="b">
        <v>1</v>
      </c>
    </row>
    <row r="2608" spans="1:33" x14ac:dyDescent="0.25">
      <c r="A2608" t="s">
        <v>33</v>
      </c>
      <c r="B2608">
        <v>15</v>
      </c>
      <c r="C2608" t="b">
        <v>1</v>
      </c>
      <c r="D2608" t="s">
        <v>7968</v>
      </c>
      <c r="E2608" t="s">
        <v>8898</v>
      </c>
      <c r="F2608" t="s">
        <v>8912</v>
      </c>
      <c r="G2608" t="s">
        <v>8913</v>
      </c>
      <c r="H2608">
        <v>2607</v>
      </c>
      <c r="I2608" t="str">
        <f>IF(ISBLANK(Table1[[#This Row],[oid]]),"FALSE","TRUE")</f>
        <v>TRUE</v>
      </c>
      <c r="J2608" t="str" cm="1">
        <f t="array" ref="J2608">_xlfn.SWITCH(LEFT(Table1[[#This Row],[section]],1), "D", "Demographic", "S", "Social", "E", "Economic", "H", "Housing", "")</f>
        <v>Housing</v>
      </c>
      <c r="K2608" t="s">
        <v>8834</v>
      </c>
      <c r="L2608" t="s">
        <v>8835</v>
      </c>
      <c r="M2608" t="str">
        <f>IF(Table1[[#This Row],[used]], _xlfn.CONCAT("🆔 ", Table1[[#This Row],[variable]], ": ",Table1[[#This Row],[alias]]), "")</f>
        <v>🆔 B25053_007E: Renter occupied: Lacking complete kitchen facilities</v>
      </c>
      <c r="O2608" t="s">
        <v>8914</v>
      </c>
      <c r="P2608" t="s">
        <v>8902</v>
      </c>
      <c r="Q2608" t="s">
        <v>41</v>
      </c>
      <c r="R2608" t="s">
        <v>8915</v>
      </c>
      <c r="S2608" t="b">
        <v>1</v>
      </c>
      <c r="T2608" t="b">
        <v>1</v>
      </c>
      <c r="U2608" t="b">
        <v>1</v>
      </c>
      <c r="V2608" t="b">
        <v>1</v>
      </c>
      <c r="W2608" t="b">
        <v>1</v>
      </c>
      <c r="X2608" t="b">
        <v>1</v>
      </c>
      <c r="Y2608" t="b">
        <v>1</v>
      </c>
      <c r="Z2608" t="b">
        <v>1</v>
      </c>
      <c r="AA2608" t="b">
        <v>1</v>
      </c>
      <c r="AB2608" t="b">
        <v>1</v>
      </c>
      <c r="AC2608" t="b">
        <v>1</v>
      </c>
      <c r="AD2608" t="b">
        <v>1</v>
      </c>
      <c r="AE2608" t="b">
        <v>1</v>
      </c>
      <c r="AF2608" t="b">
        <v>1</v>
      </c>
      <c r="AG2608" t="b">
        <v>1</v>
      </c>
    </row>
    <row r="2609" spans="1:33" x14ac:dyDescent="0.25">
      <c r="A2609" t="s">
        <v>33</v>
      </c>
      <c r="B2609">
        <v>15</v>
      </c>
      <c r="C2609" t="b">
        <v>1</v>
      </c>
      <c r="D2609" t="s">
        <v>7968</v>
      </c>
      <c r="E2609" t="s">
        <v>8916</v>
      </c>
      <c r="F2609" t="s">
        <v>8917</v>
      </c>
      <c r="G2609" t="s">
        <v>8545</v>
      </c>
      <c r="H2609">
        <v>2608</v>
      </c>
      <c r="I2609" t="str">
        <f>IF(ISBLANK(Table1[[#This Row],[oid]]),"FALSE","TRUE")</f>
        <v>TRUE</v>
      </c>
      <c r="J2609" t="str" cm="1">
        <f t="array" ref="J2609">_xlfn.SWITCH(LEFT(Table1[[#This Row],[section]],1), "D", "Demographic", "S", "Social", "E", "Economic", "H", "Housing", "")</f>
        <v>Housing</v>
      </c>
      <c r="K2609" t="s">
        <v>8918</v>
      </c>
      <c r="L2609" t="s">
        <v>8919</v>
      </c>
      <c r="M2609" t="str">
        <f>IF(Table1[[#This Row],[used]], _xlfn.CONCAT("🆔 ", Table1[[#This Row],[variable]], ": ",Table1[[#This Row],[alias]]), "")</f>
        <v>🆔 B25014_001E: Occupied Housing Units</v>
      </c>
      <c r="O2609" t="s">
        <v>39</v>
      </c>
      <c r="P2609" t="s">
        <v>8920</v>
      </c>
      <c r="Q2609" t="s">
        <v>41</v>
      </c>
      <c r="R2609" t="s">
        <v>8921</v>
      </c>
      <c r="S2609" t="b">
        <v>1</v>
      </c>
      <c r="T2609" t="b">
        <v>1</v>
      </c>
      <c r="U2609" t="b">
        <v>1</v>
      </c>
      <c r="V2609" t="b">
        <v>1</v>
      </c>
      <c r="W2609" t="b">
        <v>1</v>
      </c>
      <c r="X2609" t="b">
        <v>1</v>
      </c>
      <c r="Y2609" t="b">
        <v>1</v>
      </c>
      <c r="Z2609" t="b">
        <v>1</v>
      </c>
      <c r="AA2609" t="b">
        <v>1</v>
      </c>
      <c r="AB2609" t="b">
        <v>1</v>
      </c>
      <c r="AC2609" t="b">
        <v>1</v>
      </c>
      <c r="AD2609" t="b">
        <v>1</v>
      </c>
      <c r="AE2609" t="b">
        <v>1</v>
      </c>
      <c r="AF2609" t="b">
        <v>1</v>
      </c>
      <c r="AG2609" t="b">
        <v>1</v>
      </c>
    </row>
    <row r="2610" spans="1:33" x14ac:dyDescent="0.25">
      <c r="A2610" t="s">
        <v>33</v>
      </c>
      <c r="B2610">
        <v>15</v>
      </c>
      <c r="C2610" t="b">
        <v>1</v>
      </c>
      <c r="D2610" t="s">
        <v>7968</v>
      </c>
      <c r="E2610" t="s">
        <v>8916</v>
      </c>
      <c r="F2610" t="s">
        <v>8922</v>
      </c>
      <c r="G2610" t="s">
        <v>7991</v>
      </c>
      <c r="H2610">
        <v>2609</v>
      </c>
      <c r="I2610" t="str">
        <f>IF(ISBLANK(Table1[[#This Row],[oid]]),"FALSE","TRUE")</f>
        <v>TRUE</v>
      </c>
      <c r="J2610" t="str" cm="1">
        <f t="array" ref="J2610">_xlfn.SWITCH(LEFT(Table1[[#This Row],[section]],1), "D", "Demographic", "S", "Social", "E", "Economic", "H", "Housing", "")</f>
        <v>Housing</v>
      </c>
      <c r="K2610" t="s">
        <v>8918</v>
      </c>
      <c r="L2610" t="s">
        <v>8919</v>
      </c>
      <c r="M2610" t="str">
        <f>IF(Table1[[#This Row],[used]], _xlfn.CONCAT("🆔 ", Table1[[#This Row],[variable]], ": ",Table1[[#This Row],[alias]]), "")</f>
        <v>🆔 B25014_002E: Owner occupied</v>
      </c>
      <c r="O2610" t="s">
        <v>7992</v>
      </c>
      <c r="P2610" t="s">
        <v>8920</v>
      </c>
      <c r="Q2610" t="s">
        <v>41</v>
      </c>
      <c r="R2610" t="s">
        <v>8923</v>
      </c>
      <c r="S2610" t="b">
        <v>1</v>
      </c>
      <c r="T2610" t="b">
        <v>1</v>
      </c>
      <c r="U2610" t="b">
        <v>1</v>
      </c>
      <c r="V2610" t="b">
        <v>1</v>
      </c>
      <c r="W2610" t="b">
        <v>1</v>
      </c>
      <c r="X2610" t="b">
        <v>1</v>
      </c>
      <c r="Y2610" t="b">
        <v>1</v>
      </c>
      <c r="Z2610" t="b">
        <v>1</v>
      </c>
      <c r="AA2610" t="b">
        <v>1</v>
      </c>
      <c r="AB2610" t="b">
        <v>1</v>
      </c>
      <c r="AC2610" t="b">
        <v>1</v>
      </c>
      <c r="AD2610" t="b">
        <v>1</v>
      </c>
      <c r="AE2610" t="b">
        <v>1</v>
      </c>
      <c r="AF2610" t="b">
        <v>1</v>
      </c>
      <c r="AG2610" t="b">
        <v>1</v>
      </c>
    </row>
    <row r="2611" spans="1:33" x14ac:dyDescent="0.25">
      <c r="A2611" t="s">
        <v>33</v>
      </c>
      <c r="B2611">
        <v>15</v>
      </c>
      <c r="C2611" t="b">
        <v>1</v>
      </c>
      <c r="D2611" t="s">
        <v>7968</v>
      </c>
      <c r="E2611" t="s">
        <v>8916</v>
      </c>
      <c r="F2611" t="s">
        <v>8924</v>
      </c>
      <c r="G2611" t="s">
        <v>8925</v>
      </c>
      <c r="H2611">
        <v>2610</v>
      </c>
      <c r="I2611" t="str">
        <f>IF(ISBLANK(Table1[[#This Row],[oid]]),"FALSE","TRUE")</f>
        <v>TRUE</v>
      </c>
      <c r="J2611" t="str" cm="1">
        <f t="array" ref="J2611">_xlfn.SWITCH(LEFT(Table1[[#This Row],[section]],1), "D", "Demographic", "S", "Social", "E", "Economic", "H", "Housing", "")</f>
        <v>Housing</v>
      </c>
      <c r="K2611" t="s">
        <v>8918</v>
      </c>
      <c r="L2611" t="s">
        <v>8919</v>
      </c>
      <c r="M2611" t="str">
        <f>IF(Table1[[#This Row],[used]], _xlfn.CONCAT("🆔 ", Table1[[#This Row],[variable]], ": ",Table1[[#This Row],[alias]]), "")</f>
        <v>🆔 B25014_003E: Owner occupied: 0.5 or less occupants per room</v>
      </c>
      <c r="O2611" t="s">
        <v>8926</v>
      </c>
      <c r="P2611" t="s">
        <v>8920</v>
      </c>
      <c r="Q2611" t="s">
        <v>41</v>
      </c>
      <c r="R2611" t="s">
        <v>8927</v>
      </c>
      <c r="S2611" t="b">
        <v>1</v>
      </c>
      <c r="T2611" t="b">
        <v>1</v>
      </c>
      <c r="U2611" t="b">
        <v>1</v>
      </c>
      <c r="V2611" t="b">
        <v>1</v>
      </c>
      <c r="W2611" t="b">
        <v>1</v>
      </c>
      <c r="X2611" t="b">
        <v>1</v>
      </c>
      <c r="Y2611" t="b">
        <v>1</v>
      </c>
      <c r="Z2611" t="b">
        <v>1</v>
      </c>
      <c r="AA2611" t="b">
        <v>1</v>
      </c>
      <c r="AB2611" t="b">
        <v>1</v>
      </c>
      <c r="AC2611" t="b">
        <v>1</v>
      </c>
      <c r="AD2611" t="b">
        <v>1</v>
      </c>
      <c r="AE2611" t="b">
        <v>1</v>
      </c>
      <c r="AF2611" t="b">
        <v>1</v>
      </c>
      <c r="AG2611" t="b">
        <v>1</v>
      </c>
    </row>
    <row r="2612" spans="1:33" x14ac:dyDescent="0.25">
      <c r="A2612" t="s">
        <v>33</v>
      </c>
      <c r="B2612">
        <v>15</v>
      </c>
      <c r="C2612" t="b">
        <v>1</v>
      </c>
      <c r="D2612" t="s">
        <v>7968</v>
      </c>
      <c r="E2612" t="s">
        <v>8916</v>
      </c>
      <c r="F2612" t="s">
        <v>8928</v>
      </c>
      <c r="G2612" t="s">
        <v>8929</v>
      </c>
      <c r="H2612">
        <v>2611</v>
      </c>
      <c r="I2612" t="str">
        <f>IF(ISBLANK(Table1[[#This Row],[oid]]),"FALSE","TRUE")</f>
        <v>TRUE</v>
      </c>
      <c r="J2612" t="str" cm="1">
        <f t="array" ref="J2612">_xlfn.SWITCH(LEFT(Table1[[#This Row],[section]],1), "D", "Demographic", "S", "Social", "E", "Economic", "H", "Housing", "")</f>
        <v>Housing</v>
      </c>
      <c r="K2612" t="s">
        <v>8918</v>
      </c>
      <c r="L2612" t="s">
        <v>8919</v>
      </c>
      <c r="M2612" t="str">
        <f>IF(Table1[[#This Row],[used]], _xlfn.CONCAT("🆔 ", Table1[[#This Row],[variable]], ": ",Table1[[#This Row],[alias]]), "")</f>
        <v>🆔 B25014_004E: Owner occupied: 0.51 to 1.00 occupants per room</v>
      </c>
      <c r="O2612" t="s">
        <v>8930</v>
      </c>
      <c r="P2612" t="s">
        <v>8920</v>
      </c>
      <c r="Q2612" t="s">
        <v>41</v>
      </c>
      <c r="R2612" t="s">
        <v>8931</v>
      </c>
      <c r="S2612" t="b">
        <v>1</v>
      </c>
      <c r="T2612" t="b">
        <v>1</v>
      </c>
      <c r="U2612" t="b">
        <v>1</v>
      </c>
      <c r="V2612" t="b">
        <v>1</v>
      </c>
      <c r="W2612" t="b">
        <v>1</v>
      </c>
      <c r="X2612" t="b">
        <v>1</v>
      </c>
      <c r="Y2612" t="b">
        <v>1</v>
      </c>
      <c r="Z2612" t="b">
        <v>1</v>
      </c>
      <c r="AA2612" t="b">
        <v>1</v>
      </c>
      <c r="AB2612" t="b">
        <v>1</v>
      </c>
      <c r="AC2612" t="b">
        <v>1</v>
      </c>
      <c r="AD2612" t="b">
        <v>1</v>
      </c>
      <c r="AE2612" t="b">
        <v>1</v>
      </c>
      <c r="AF2612" t="b">
        <v>1</v>
      </c>
      <c r="AG2612" t="b">
        <v>1</v>
      </c>
    </row>
    <row r="2613" spans="1:33" x14ac:dyDescent="0.25">
      <c r="A2613" t="s">
        <v>33</v>
      </c>
      <c r="B2613">
        <v>15</v>
      </c>
      <c r="C2613" t="b">
        <v>1</v>
      </c>
      <c r="D2613" t="s">
        <v>7968</v>
      </c>
      <c r="E2613" t="s">
        <v>8916</v>
      </c>
      <c r="F2613" t="s">
        <v>8932</v>
      </c>
      <c r="G2613" t="s">
        <v>8933</v>
      </c>
      <c r="H2613">
        <v>2612</v>
      </c>
      <c r="I2613" t="str">
        <f>IF(ISBLANK(Table1[[#This Row],[oid]]),"FALSE","TRUE")</f>
        <v>TRUE</v>
      </c>
      <c r="J2613" t="str" cm="1">
        <f t="array" ref="J2613">_xlfn.SWITCH(LEFT(Table1[[#This Row],[section]],1), "D", "Demographic", "S", "Social", "E", "Economic", "H", "Housing", "")</f>
        <v>Housing</v>
      </c>
      <c r="K2613" t="s">
        <v>8918</v>
      </c>
      <c r="L2613" t="s">
        <v>8919</v>
      </c>
      <c r="M2613" t="str">
        <f>IF(Table1[[#This Row],[used]], _xlfn.CONCAT("🆔 ", Table1[[#This Row],[variable]], ": ",Table1[[#This Row],[alias]]), "")</f>
        <v>🆔 B25014_005E: Owner occupied: 1.01 to 1,50 occupants per room</v>
      </c>
      <c r="O2613" t="s">
        <v>8934</v>
      </c>
      <c r="P2613" t="s">
        <v>8920</v>
      </c>
      <c r="Q2613" t="s">
        <v>41</v>
      </c>
      <c r="R2613" t="s">
        <v>8935</v>
      </c>
      <c r="S2613" t="b">
        <v>1</v>
      </c>
      <c r="T2613" t="b">
        <v>1</v>
      </c>
      <c r="U2613" t="b">
        <v>1</v>
      </c>
      <c r="V2613" t="b">
        <v>1</v>
      </c>
      <c r="W2613" t="b">
        <v>1</v>
      </c>
      <c r="X2613" t="b">
        <v>1</v>
      </c>
      <c r="Y2613" t="b">
        <v>1</v>
      </c>
      <c r="Z2613" t="b">
        <v>1</v>
      </c>
      <c r="AA2613" t="b">
        <v>1</v>
      </c>
      <c r="AB2613" t="b">
        <v>1</v>
      </c>
      <c r="AC2613" t="b">
        <v>1</v>
      </c>
      <c r="AD2613" t="b">
        <v>1</v>
      </c>
      <c r="AE2613" t="b">
        <v>1</v>
      </c>
      <c r="AF2613" t="b">
        <v>1</v>
      </c>
      <c r="AG2613" t="b">
        <v>1</v>
      </c>
    </row>
    <row r="2614" spans="1:33" x14ac:dyDescent="0.25">
      <c r="A2614" t="s">
        <v>33</v>
      </c>
      <c r="B2614">
        <v>15</v>
      </c>
      <c r="C2614" t="b">
        <v>1</v>
      </c>
      <c r="D2614" t="s">
        <v>7968</v>
      </c>
      <c r="E2614" t="s">
        <v>8916</v>
      </c>
      <c r="F2614" t="s">
        <v>8936</v>
      </c>
      <c r="G2614" t="s">
        <v>8937</v>
      </c>
      <c r="H2614">
        <v>2613</v>
      </c>
      <c r="I2614" t="str">
        <f>IF(ISBLANK(Table1[[#This Row],[oid]]),"FALSE","TRUE")</f>
        <v>TRUE</v>
      </c>
      <c r="J2614" t="str" cm="1">
        <f t="array" ref="J2614">_xlfn.SWITCH(LEFT(Table1[[#This Row],[section]],1), "D", "Demographic", "S", "Social", "E", "Economic", "H", "Housing", "")</f>
        <v>Housing</v>
      </c>
      <c r="K2614" t="s">
        <v>8918</v>
      </c>
      <c r="L2614" t="s">
        <v>8919</v>
      </c>
      <c r="M2614" t="str">
        <f>IF(Table1[[#This Row],[used]], _xlfn.CONCAT("🆔 ", Table1[[#This Row],[variable]], ": ",Table1[[#This Row],[alias]]), "")</f>
        <v>🆔 B25014_006E: Owner occupied: 1.51 to 2.00 occupants per room</v>
      </c>
      <c r="O2614" t="s">
        <v>8938</v>
      </c>
      <c r="P2614" t="s">
        <v>8920</v>
      </c>
      <c r="Q2614" t="s">
        <v>41</v>
      </c>
      <c r="R2614" t="s">
        <v>8939</v>
      </c>
      <c r="S2614" t="b">
        <v>1</v>
      </c>
      <c r="T2614" t="b">
        <v>1</v>
      </c>
      <c r="U2614" t="b">
        <v>1</v>
      </c>
      <c r="V2614" t="b">
        <v>1</v>
      </c>
      <c r="W2614" t="b">
        <v>1</v>
      </c>
      <c r="X2614" t="b">
        <v>1</v>
      </c>
      <c r="Y2614" t="b">
        <v>1</v>
      </c>
      <c r="Z2614" t="b">
        <v>1</v>
      </c>
      <c r="AA2614" t="b">
        <v>1</v>
      </c>
      <c r="AB2614" t="b">
        <v>1</v>
      </c>
      <c r="AC2614" t="b">
        <v>1</v>
      </c>
      <c r="AD2614" t="b">
        <v>1</v>
      </c>
      <c r="AE2614" t="b">
        <v>1</v>
      </c>
      <c r="AF2614" t="b">
        <v>1</v>
      </c>
      <c r="AG2614" t="b">
        <v>1</v>
      </c>
    </row>
    <row r="2615" spans="1:33" x14ac:dyDescent="0.25">
      <c r="A2615" t="s">
        <v>33</v>
      </c>
      <c r="B2615">
        <v>15</v>
      </c>
      <c r="C2615" t="b">
        <v>1</v>
      </c>
      <c r="D2615" t="s">
        <v>7968</v>
      </c>
      <c r="E2615" t="s">
        <v>8916</v>
      </c>
      <c r="F2615" t="s">
        <v>8940</v>
      </c>
      <c r="G2615" t="s">
        <v>8941</v>
      </c>
      <c r="H2615">
        <v>2614</v>
      </c>
      <c r="I2615" t="str">
        <f>IF(ISBLANK(Table1[[#This Row],[oid]]),"FALSE","TRUE")</f>
        <v>TRUE</v>
      </c>
      <c r="J2615" t="str" cm="1">
        <f t="array" ref="J2615">_xlfn.SWITCH(LEFT(Table1[[#This Row],[section]],1), "D", "Demographic", "S", "Social", "E", "Economic", "H", "Housing", "")</f>
        <v>Housing</v>
      </c>
      <c r="K2615" t="s">
        <v>8918</v>
      </c>
      <c r="L2615" t="s">
        <v>8919</v>
      </c>
      <c r="M2615" t="str">
        <f>IF(Table1[[#This Row],[used]], _xlfn.CONCAT("🆔 ", Table1[[#This Row],[variable]], ": ",Table1[[#This Row],[alias]]), "")</f>
        <v>🆔 B25014_007E: Owner occupied: 2.01 or more occupants per room</v>
      </c>
      <c r="O2615" t="s">
        <v>8942</v>
      </c>
      <c r="P2615" t="s">
        <v>8920</v>
      </c>
      <c r="Q2615" t="s">
        <v>41</v>
      </c>
      <c r="R2615" t="s">
        <v>8943</v>
      </c>
      <c r="S2615" t="b">
        <v>1</v>
      </c>
      <c r="T2615" t="b">
        <v>1</v>
      </c>
      <c r="U2615" t="b">
        <v>1</v>
      </c>
      <c r="V2615" t="b">
        <v>1</v>
      </c>
      <c r="W2615" t="b">
        <v>1</v>
      </c>
      <c r="X2615" t="b">
        <v>1</v>
      </c>
      <c r="Y2615" t="b">
        <v>1</v>
      </c>
      <c r="Z2615" t="b">
        <v>1</v>
      </c>
      <c r="AA2615" t="b">
        <v>1</v>
      </c>
      <c r="AB2615" t="b">
        <v>1</v>
      </c>
      <c r="AC2615" t="b">
        <v>1</v>
      </c>
      <c r="AD2615" t="b">
        <v>1</v>
      </c>
      <c r="AE2615" t="b">
        <v>1</v>
      </c>
      <c r="AF2615" t="b">
        <v>1</v>
      </c>
      <c r="AG2615" t="b">
        <v>1</v>
      </c>
    </row>
    <row r="2616" spans="1:33" x14ac:dyDescent="0.25">
      <c r="A2616" t="s">
        <v>33</v>
      </c>
      <c r="B2616">
        <v>15</v>
      </c>
      <c r="C2616" t="b">
        <v>1</v>
      </c>
      <c r="D2616" t="s">
        <v>7968</v>
      </c>
      <c r="E2616" t="s">
        <v>8916</v>
      </c>
      <c r="F2616" t="s">
        <v>8944</v>
      </c>
      <c r="G2616" t="s">
        <v>7995</v>
      </c>
      <c r="H2616">
        <v>2615</v>
      </c>
      <c r="I2616" t="str">
        <f>IF(ISBLANK(Table1[[#This Row],[oid]]),"FALSE","TRUE")</f>
        <v>TRUE</v>
      </c>
      <c r="J2616" t="str" cm="1">
        <f t="array" ref="J2616">_xlfn.SWITCH(LEFT(Table1[[#This Row],[section]],1), "D", "Demographic", "S", "Social", "E", "Economic", "H", "Housing", "")</f>
        <v>Housing</v>
      </c>
      <c r="K2616" t="s">
        <v>8918</v>
      </c>
      <c r="L2616" t="s">
        <v>8919</v>
      </c>
      <c r="M2616" t="str">
        <f>IF(Table1[[#This Row],[used]], _xlfn.CONCAT("🆔 ", Table1[[#This Row],[variable]], ": ",Table1[[#This Row],[alias]]), "")</f>
        <v>🆔 B25014_008E: Renter occupied</v>
      </c>
      <c r="O2616" t="s">
        <v>7996</v>
      </c>
      <c r="P2616" t="s">
        <v>8920</v>
      </c>
      <c r="Q2616" t="s">
        <v>41</v>
      </c>
      <c r="R2616" t="s">
        <v>8945</v>
      </c>
      <c r="S2616" t="b">
        <v>1</v>
      </c>
      <c r="T2616" t="b">
        <v>1</v>
      </c>
      <c r="U2616" t="b">
        <v>1</v>
      </c>
      <c r="V2616" t="b">
        <v>1</v>
      </c>
      <c r="W2616" t="b">
        <v>1</v>
      </c>
      <c r="X2616" t="b">
        <v>1</v>
      </c>
      <c r="Y2616" t="b">
        <v>1</v>
      </c>
      <c r="Z2616" t="b">
        <v>1</v>
      </c>
      <c r="AA2616" t="b">
        <v>1</v>
      </c>
      <c r="AB2616" t="b">
        <v>1</v>
      </c>
      <c r="AC2616" t="b">
        <v>1</v>
      </c>
      <c r="AD2616" t="b">
        <v>1</v>
      </c>
      <c r="AE2616" t="b">
        <v>1</v>
      </c>
      <c r="AF2616" t="b">
        <v>1</v>
      </c>
      <c r="AG2616" t="b">
        <v>1</v>
      </c>
    </row>
    <row r="2617" spans="1:33" x14ac:dyDescent="0.25">
      <c r="A2617" t="s">
        <v>33</v>
      </c>
      <c r="B2617">
        <v>15</v>
      </c>
      <c r="C2617" t="b">
        <v>1</v>
      </c>
      <c r="D2617" t="s">
        <v>7968</v>
      </c>
      <c r="E2617" t="s">
        <v>8916</v>
      </c>
      <c r="F2617" t="s">
        <v>8946</v>
      </c>
      <c r="G2617" t="s">
        <v>8947</v>
      </c>
      <c r="H2617">
        <v>2616</v>
      </c>
      <c r="I2617" t="str">
        <f>IF(ISBLANK(Table1[[#This Row],[oid]]),"FALSE","TRUE")</f>
        <v>TRUE</v>
      </c>
      <c r="J2617" t="str" cm="1">
        <f t="array" ref="J2617">_xlfn.SWITCH(LEFT(Table1[[#This Row],[section]],1), "D", "Demographic", "S", "Social", "E", "Economic", "H", "Housing", "")</f>
        <v>Housing</v>
      </c>
      <c r="K2617" t="s">
        <v>8918</v>
      </c>
      <c r="L2617" t="s">
        <v>8919</v>
      </c>
      <c r="M2617" t="str">
        <f>IF(Table1[[#This Row],[used]], _xlfn.CONCAT("🆔 ", Table1[[#This Row],[variable]], ": ",Table1[[#This Row],[alias]]), "")</f>
        <v>🆔 B25014_009E: Renter occupied: 0.50 or less occupants per room</v>
      </c>
      <c r="O2617" t="s">
        <v>8948</v>
      </c>
      <c r="P2617" t="s">
        <v>8920</v>
      </c>
      <c r="Q2617" t="s">
        <v>41</v>
      </c>
      <c r="R2617" t="s">
        <v>8949</v>
      </c>
      <c r="S2617" t="b">
        <v>1</v>
      </c>
      <c r="T2617" t="b">
        <v>1</v>
      </c>
      <c r="U2617" t="b">
        <v>1</v>
      </c>
      <c r="V2617" t="b">
        <v>1</v>
      </c>
      <c r="W2617" t="b">
        <v>1</v>
      </c>
      <c r="X2617" t="b">
        <v>1</v>
      </c>
      <c r="Y2617" t="b">
        <v>1</v>
      </c>
      <c r="Z2617" t="b">
        <v>1</v>
      </c>
      <c r="AA2617" t="b">
        <v>1</v>
      </c>
      <c r="AB2617" t="b">
        <v>1</v>
      </c>
      <c r="AC2617" t="b">
        <v>1</v>
      </c>
      <c r="AD2617" t="b">
        <v>1</v>
      </c>
      <c r="AE2617" t="b">
        <v>1</v>
      </c>
      <c r="AF2617" t="b">
        <v>1</v>
      </c>
      <c r="AG2617" t="b">
        <v>1</v>
      </c>
    </row>
    <row r="2618" spans="1:33" x14ac:dyDescent="0.25">
      <c r="A2618" t="s">
        <v>33</v>
      </c>
      <c r="B2618">
        <v>15</v>
      </c>
      <c r="C2618" t="b">
        <v>1</v>
      </c>
      <c r="D2618" t="s">
        <v>7968</v>
      </c>
      <c r="E2618" t="s">
        <v>8916</v>
      </c>
      <c r="F2618" t="s">
        <v>8950</v>
      </c>
      <c r="G2618" t="s">
        <v>8951</v>
      </c>
      <c r="H2618">
        <v>2617</v>
      </c>
      <c r="I2618" t="str">
        <f>IF(ISBLANK(Table1[[#This Row],[oid]]),"FALSE","TRUE")</f>
        <v>TRUE</v>
      </c>
      <c r="J2618" t="str" cm="1">
        <f t="array" ref="J2618">_xlfn.SWITCH(LEFT(Table1[[#This Row],[section]],1), "D", "Demographic", "S", "Social", "E", "Economic", "H", "Housing", "")</f>
        <v>Housing</v>
      </c>
      <c r="K2618" t="s">
        <v>8918</v>
      </c>
      <c r="L2618" t="s">
        <v>8919</v>
      </c>
      <c r="M2618" t="str">
        <f>IF(Table1[[#This Row],[used]], _xlfn.CONCAT("🆔 ", Table1[[#This Row],[variable]], ": ",Table1[[#This Row],[alias]]), "")</f>
        <v>🆔 B25014_010E: Renter occupied: 0.51 to 1.00 occupants per room</v>
      </c>
      <c r="O2618" t="s">
        <v>8952</v>
      </c>
      <c r="P2618" t="s">
        <v>8920</v>
      </c>
      <c r="Q2618" t="s">
        <v>41</v>
      </c>
      <c r="R2618" t="s">
        <v>8953</v>
      </c>
      <c r="S2618" t="b">
        <v>1</v>
      </c>
      <c r="T2618" t="b">
        <v>1</v>
      </c>
      <c r="U2618" t="b">
        <v>1</v>
      </c>
      <c r="V2618" t="b">
        <v>1</v>
      </c>
      <c r="W2618" t="b">
        <v>1</v>
      </c>
      <c r="X2618" t="b">
        <v>1</v>
      </c>
      <c r="Y2618" t="b">
        <v>1</v>
      </c>
      <c r="Z2618" t="b">
        <v>1</v>
      </c>
      <c r="AA2618" t="b">
        <v>1</v>
      </c>
      <c r="AB2618" t="b">
        <v>1</v>
      </c>
      <c r="AC2618" t="b">
        <v>1</v>
      </c>
      <c r="AD2618" t="b">
        <v>1</v>
      </c>
      <c r="AE2618" t="b">
        <v>1</v>
      </c>
      <c r="AF2618" t="b">
        <v>1</v>
      </c>
      <c r="AG2618" t="b">
        <v>1</v>
      </c>
    </row>
    <row r="2619" spans="1:33" x14ac:dyDescent="0.25">
      <c r="A2619" t="s">
        <v>33</v>
      </c>
      <c r="B2619">
        <v>15</v>
      </c>
      <c r="C2619" t="b">
        <v>1</v>
      </c>
      <c r="D2619" t="s">
        <v>7968</v>
      </c>
      <c r="E2619" t="s">
        <v>8916</v>
      </c>
      <c r="F2619" t="s">
        <v>8954</v>
      </c>
      <c r="G2619" t="s">
        <v>8955</v>
      </c>
      <c r="H2619">
        <v>2618</v>
      </c>
      <c r="I2619" t="str">
        <f>IF(ISBLANK(Table1[[#This Row],[oid]]),"FALSE","TRUE")</f>
        <v>TRUE</v>
      </c>
      <c r="J2619" t="str" cm="1">
        <f t="array" ref="J2619">_xlfn.SWITCH(LEFT(Table1[[#This Row],[section]],1), "D", "Demographic", "S", "Social", "E", "Economic", "H", "Housing", "")</f>
        <v>Housing</v>
      </c>
      <c r="K2619" t="s">
        <v>8918</v>
      </c>
      <c r="L2619" t="s">
        <v>8919</v>
      </c>
      <c r="M2619" t="str">
        <f>IF(Table1[[#This Row],[used]], _xlfn.CONCAT("🆔 ", Table1[[#This Row],[variable]], ": ",Table1[[#This Row],[alias]]), "")</f>
        <v>🆔 B25014_011E: Renter occupied: 1.01 to 1.50 occupants per room</v>
      </c>
      <c r="O2619" t="s">
        <v>8956</v>
      </c>
      <c r="P2619" t="s">
        <v>8920</v>
      </c>
      <c r="Q2619" t="s">
        <v>41</v>
      </c>
      <c r="R2619" t="s">
        <v>8957</v>
      </c>
      <c r="S2619" t="b">
        <v>1</v>
      </c>
      <c r="T2619" t="b">
        <v>1</v>
      </c>
      <c r="U2619" t="b">
        <v>1</v>
      </c>
      <c r="V2619" t="b">
        <v>1</v>
      </c>
      <c r="W2619" t="b">
        <v>1</v>
      </c>
      <c r="X2619" t="b">
        <v>1</v>
      </c>
      <c r="Y2619" t="b">
        <v>1</v>
      </c>
      <c r="Z2619" t="b">
        <v>1</v>
      </c>
      <c r="AA2619" t="b">
        <v>1</v>
      </c>
      <c r="AB2619" t="b">
        <v>1</v>
      </c>
      <c r="AC2619" t="b">
        <v>1</v>
      </c>
      <c r="AD2619" t="b">
        <v>1</v>
      </c>
      <c r="AE2619" t="b">
        <v>1</v>
      </c>
      <c r="AF2619" t="b">
        <v>1</v>
      </c>
      <c r="AG2619" t="b">
        <v>1</v>
      </c>
    </row>
    <row r="2620" spans="1:33" x14ac:dyDescent="0.25">
      <c r="A2620" t="s">
        <v>33</v>
      </c>
      <c r="B2620">
        <v>15</v>
      </c>
      <c r="C2620" t="b">
        <v>1</v>
      </c>
      <c r="D2620" t="s">
        <v>7968</v>
      </c>
      <c r="E2620" t="s">
        <v>8916</v>
      </c>
      <c r="F2620" t="s">
        <v>8958</v>
      </c>
      <c r="G2620" t="s">
        <v>8959</v>
      </c>
      <c r="H2620">
        <v>2619</v>
      </c>
      <c r="I2620" t="str">
        <f>IF(ISBLANK(Table1[[#This Row],[oid]]),"FALSE","TRUE")</f>
        <v>TRUE</v>
      </c>
      <c r="J2620" t="str" cm="1">
        <f t="array" ref="J2620">_xlfn.SWITCH(LEFT(Table1[[#This Row],[section]],1), "D", "Demographic", "S", "Social", "E", "Economic", "H", "Housing", "")</f>
        <v>Housing</v>
      </c>
      <c r="K2620" t="s">
        <v>8918</v>
      </c>
      <c r="L2620" t="s">
        <v>8919</v>
      </c>
      <c r="M2620" t="str">
        <f>IF(Table1[[#This Row],[used]], _xlfn.CONCAT("🆔 ", Table1[[#This Row],[variable]], ": ",Table1[[#This Row],[alias]]), "")</f>
        <v>🆔 B25014_012E: Renter occupied: 1.51 to 2.00 occupants per room</v>
      </c>
      <c r="O2620" t="s">
        <v>8960</v>
      </c>
      <c r="P2620" t="s">
        <v>8920</v>
      </c>
      <c r="Q2620" t="s">
        <v>41</v>
      </c>
      <c r="R2620" t="s">
        <v>8961</v>
      </c>
      <c r="S2620" t="b">
        <v>1</v>
      </c>
      <c r="T2620" t="b">
        <v>1</v>
      </c>
      <c r="U2620" t="b">
        <v>1</v>
      </c>
      <c r="V2620" t="b">
        <v>1</v>
      </c>
      <c r="W2620" t="b">
        <v>1</v>
      </c>
      <c r="X2620" t="b">
        <v>1</v>
      </c>
      <c r="Y2620" t="b">
        <v>1</v>
      </c>
      <c r="Z2620" t="b">
        <v>1</v>
      </c>
      <c r="AA2620" t="b">
        <v>1</v>
      </c>
      <c r="AB2620" t="b">
        <v>1</v>
      </c>
      <c r="AC2620" t="b">
        <v>1</v>
      </c>
      <c r="AD2620" t="b">
        <v>1</v>
      </c>
      <c r="AE2620" t="b">
        <v>1</v>
      </c>
      <c r="AF2620" t="b">
        <v>1</v>
      </c>
      <c r="AG2620" t="b">
        <v>1</v>
      </c>
    </row>
    <row r="2621" spans="1:33" x14ac:dyDescent="0.25">
      <c r="A2621" t="s">
        <v>33</v>
      </c>
      <c r="B2621">
        <v>15</v>
      </c>
      <c r="C2621" t="b">
        <v>1</v>
      </c>
      <c r="D2621" t="s">
        <v>7968</v>
      </c>
      <c r="E2621" t="s">
        <v>8916</v>
      </c>
      <c r="F2621" t="s">
        <v>8962</v>
      </c>
      <c r="G2621" t="s">
        <v>8963</v>
      </c>
      <c r="H2621">
        <v>2620</v>
      </c>
      <c r="I2621" t="str">
        <f>IF(ISBLANK(Table1[[#This Row],[oid]]),"FALSE","TRUE")</f>
        <v>TRUE</v>
      </c>
      <c r="J2621" t="str" cm="1">
        <f t="array" ref="J2621">_xlfn.SWITCH(LEFT(Table1[[#This Row],[section]],1), "D", "Demographic", "S", "Social", "E", "Economic", "H", "Housing", "")</f>
        <v>Housing</v>
      </c>
      <c r="K2621" t="s">
        <v>8918</v>
      </c>
      <c r="L2621" t="s">
        <v>8919</v>
      </c>
      <c r="M2621" t="str">
        <f>IF(Table1[[#This Row],[used]], _xlfn.CONCAT("🆔 ", Table1[[#This Row],[variable]], ": ",Table1[[#This Row],[alias]]), "")</f>
        <v>🆔 B25014_013E: Renter occupied: 2.01 or more occupants per room</v>
      </c>
      <c r="O2621" t="s">
        <v>8964</v>
      </c>
      <c r="P2621" t="s">
        <v>8920</v>
      </c>
      <c r="Q2621" t="s">
        <v>41</v>
      </c>
      <c r="R2621" t="s">
        <v>8965</v>
      </c>
      <c r="S2621" t="b">
        <v>1</v>
      </c>
      <c r="T2621" t="b">
        <v>1</v>
      </c>
      <c r="U2621" t="b">
        <v>1</v>
      </c>
      <c r="V2621" t="b">
        <v>1</v>
      </c>
      <c r="W2621" t="b">
        <v>1</v>
      </c>
      <c r="X2621" t="b">
        <v>1</v>
      </c>
      <c r="Y2621" t="b">
        <v>1</v>
      </c>
      <c r="Z2621" t="b">
        <v>1</v>
      </c>
      <c r="AA2621" t="b">
        <v>1</v>
      </c>
      <c r="AB2621" t="b">
        <v>1</v>
      </c>
      <c r="AC2621" t="b">
        <v>1</v>
      </c>
      <c r="AD2621" t="b">
        <v>1</v>
      </c>
      <c r="AE2621" t="b">
        <v>1</v>
      </c>
      <c r="AF2621" t="b">
        <v>1</v>
      </c>
      <c r="AG2621" t="b">
        <v>1</v>
      </c>
    </row>
    <row r="2622" spans="1:33" x14ac:dyDescent="0.25">
      <c r="A2622" t="s">
        <v>33</v>
      </c>
      <c r="B2622">
        <v>15</v>
      </c>
      <c r="C2622" t="b">
        <v>1</v>
      </c>
      <c r="D2622" t="s">
        <v>7968</v>
      </c>
      <c r="E2622" t="s">
        <v>8966</v>
      </c>
      <c r="F2622" t="s">
        <v>8967</v>
      </c>
      <c r="G2622" t="s">
        <v>8968</v>
      </c>
      <c r="H2622">
        <v>2621</v>
      </c>
      <c r="I2622" t="str">
        <f>IF(ISBLANK(Table1[[#This Row],[oid]]),"FALSE","TRUE")</f>
        <v>TRUE</v>
      </c>
      <c r="J2622" t="str" cm="1">
        <f t="array" ref="J2622">_xlfn.SWITCH(LEFT(Table1[[#This Row],[section]],1), "D", "Demographic", "S", "Social", "E", "Economic", "H", "Housing", "")</f>
        <v>Housing</v>
      </c>
      <c r="K2622" t="s">
        <v>8969</v>
      </c>
      <c r="L2622" t="s">
        <v>8970</v>
      </c>
      <c r="M2622" t="str">
        <f>IF(Table1[[#This Row],[used]], _xlfn.CONCAT("🆔 ", Table1[[#This Row],[variable]], ": ",Table1[[#This Row],[alias]]), "")</f>
        <v>🆔 B25075_001E: Owner-occupied units</v>
      </c>
      <c r="O2622" t="s">
        <v>39</v>
      </c>
      <c r="P2622" t="s">
        <v>8971</v>
      </c>
      <c r="Q2622" t="s">
        <v>41</v>
      </c>
      <c r="R2622" t="s">
        <v>8972</v>
      </c>
      <c r="S2622" t="b">
        <v>1</v>
      </c>
      <c r="T2622" t="b">
        <v>1</v>
      </c>
      <c r="U2622" t="b">
        <v>1</v>
      </c>
      <c r="V2622" t="b">
        <v>1</v>
      </c>
      <c r="W2622" t="b">
        <v>1</v>
      </c>
      <c r="X2622" t="b">
        <v>1</v>
      </c>
      <c r="Y2622" t="b">
        <v>1</v>
      </c>
      <c r="Z2622" t="b">
        <v>1</v>
      </c>
      <c r="AA2622" t="b">
        <v>1</v>
      </c>
      <c r="AB2622" t="b">
        <v>1</v>
      </c>
      <c r="AC2622" t="b">
        <v>1</v>
      </c>
      <c r="AD2622" t="b">
        <v>1</v>
      </c>
      <c r="AE2622" t="b">
        <v>1</v>
      </c>
      <c r="AF2622" t="b">
        <v>1</v>
      </c>
      <c r="AG2622" t="b">
        <v>1</v>
      </c>
    </row>
    <row r="2623" spans="1:33" x14ac:dyDescent="0.25">
      <c r="A2623" t="s">
        <v>33</v>
      </c>
      <c r="B2623">
        <v>15</v>
      </c>
      <c r="C2623" t="b">
        <v>1</v>
      </c>
      <c r="D2623" t="s">
        <v>7968</v>
      </c>
      <c r="E2623" t="s">
        <v>8966</v>
      </c>
      <c r="F2623" t="s">
        <v>8973</v>
      </c>
      <c r="G2623" t="s">
        <v>5309</v>
      </c>
      <c r="H2623">
        <v>2622</v>
      </c>
      <c r="I2623" t="str">
        <f>IF(ISBLANK(Table1[[#This Row],[oid]]),"FALSE","TRUE")</f>
        <v>TRUE</v>
      </c>
      <c r="J2623" t="str" cm="1">
        <f t="array" ref="J2623">_xlfn.SWITCH(LEFT(Table1[[#This Row],[section]],1), "D", "Demographic", "S", "Social", "E", "Economic", "H", "Housing", "")</f>
        <v>Housing</v>
      </c>
      <c r="K2623" t="s">
        <v>8969</v>
      </c>
      <c r="L2623" t="s">
        <v>8970</v>
      </c>
      <c r="M2623" t="str">
        <f>IF(Table1[[#This Row],[used]], _xlfn.CONCAT("🆔 ", Table1[[#This Row],[variable]], ": ",Table1[[#This Row],[alias]]), "")</f>
        <v>🆔 B25075_002E: Less than $10,000</v>
      </c>
      <c r="O2623" t="s">
        <v>5310</v>
      </c>
      <c r="P2623" t="s">
        <v>8971</v>
      </c>
      <c r="Q2623" t="s">
        <v>41</v>
      </c>
      <c r="R2623" t="s">
        <v>8974</v>
      </c>
      <c r="S2623" t="b">
        <v>1</v>
      </c>
      <c r="T2623" t="b">
        <v>1</v>
      </c>
      <c r="U2623" t="b">
        <v>1</v>
      </c>
      <c r="V2623" t="b">
        <v>1</v>
      </c>
      <c r="W2623" t="b">
        <v>1</v>
      </c>
      <c r="X2623" t="b">
        <v>1</v>
      </c>
      <c r="Y2623" t="b">
        <v>1</v>
      </c>
      <c r="Z2623" t="b">
        <v>1</v>
      </c>
      <c r="AA2623" t="b">
        <v>1</v>
      </c>
      <c r="AB2623" t="b">
        <v>1</v>
      </c>
      <c r="AC2623" t="b">
        <v>1</v>
      </c>
      <c r="AD2623" t="b">
        <v>1</v>
      </c>
      <c r="AE2623" t="b">
        <v>1</v>
      </c>
      <c r="AF2623" t="b">
        <v>1</v>
      </c>
      <c r="AG2623" t="b">
        <v>1</v>
      </c>
    </row>
    <row r="2624" spans="1:33" x14ac:dyDescent="0.25">
      <c r="A2624" t="s">
        <v>33</v>
      </c>
      <c r="B2624">
        <v>15</v>
      </c>
      <c r="C2624" t="b">
        <v>1</v>
      </c>
      <c r="D2624" t="s">
        <v>7968</v>
      </c>
      <c r="E2624" t="s">
        <v>8966</v>
      </c>
      <c r="F2624" t="s">
        <v>8975</v>
      </c>
      <c r="G2624" t="s">
        <v>5313</v>
      </c>
      <c r="H2624">
        <v>2623</v>
      </c>
      <c r="I2624" t="str">
        <f>IF(ISBLANK(Table1[[#This Row],[oid]]),"FALSE","TRUE")</f>
        <v>TRUE</v>
      </c>
      <c r="J2624" t="str" cm="1">
        <f t="array" ref="J2624">_xlfn.SWITCH(LEFT(Table1[[#This Row],[section]],1), "D", "Demographic", "S", "Social", "E", "Economic", "H", "Housing", "")</f>
        <v>Housing</v>
      </c>
      <c r="K2624" t="s">
        <v>8969</v>
      </c>
      <c r="L2624" t="s">
        <v>8970</v>
      </c>
      <c r="M2624" t="str">
        <f>IF(Table1[[#This Row],[used]], _xlfn.CONCAT("🆔 ", Table1[[#This Row],[variable]], ": ",Table1[[#This Row],[alias]]), "")</f>
        <v>🆔 B25075_003E: $10,000 to $14,999</v>
      </c>
      <c r="O2624" t="s">
        <v>5314</v>
      </c>
      <c r="P2624" t="s">
        <v>8971</v>
      </c>
      <c r="Q2624" t="s">
        <v>41</v>
      </c>
      <c r="R2624" t="s">
        <v>8976</v>
      </c>
      <c r="S2624" t="b">
        <v>1</v>
      </c>
      <c r="T2624" t="b">
        <v>1</v>
      </c>
      <c r="U2624" t="b">
        <v>1</v>
      </c>
      <c r="V2624" t="b">
        <v>1</v>
      </c>
      <c r="W2624" t="b">
        <v>1</v>
      </c>
      <c r="X2624" t="b">
        <v>1</v>
      </c>
      <c r="Y2624" t="b">
        <v>1</v>
      </c>
      <c r="Z2624" t="b">
        <v>1</v>
      </c>
      <c r="AA2624" t="b">
        <v>1</v>
      </c>
      <c r="AB2624" t="b">
        <v>1</v>
      </c>
      <c r="AC2624" t="b">
        <v>1</v>
      </c>
      <c r="AD2624" t="b">
        <v>1</v>
      </c>
      <c r="AE2624" t="b">
        <v>1</v>
      </c>
      <c r="AF2624" t="b">
        <v>1</v>
      </c>
      <c r="AG2624" t="b">
        <v>1</v>
      </c>
    </row>
    <row r="2625" spans="1:33" x14ac:dyDescent="0.25">
      <c r="A2625" t="s">
        <v>33</v>
      </c>
      <c r="B2625">
        <v>15</v>
      </c>
      <c r="C2625" t="b">
        <v>1</v>
      </c>
      <c r="D2625" t="s">
        <v>7968</v>
      </c>
      <c r="E2625" t="s">
        <v>8966</v>
      </c>
      <c r="F2625" t="s">
        <v>8977</v>
      </c>
      <c r="G2625" t="s">
        <v>5317</v>
      </c>
      <c r="H2625">
        <v>2624</v>
      </c>
      <c r="I2625" t="str">
        <f>IF(ISBLANK(Table1[[#This Row],[oid]]),"FALSE","TRUE")</f>
        <v>TRUE</v>
      </c>
      <c r="J2625" t="str" cm="1">
        <f t="array" ref="J2625">_xlfn.SWITCH(LEFT(Table1[[#This Row],[section]],1), "D", "Demographic", "S", "Social", "E", "Economic", "H", "Housing", "")</f>
        <v>Housing</v>
      </c>
      <c r="K2625" t="s">
        <v>8969</v>
      </c>
      <c r="L2625" t="s">
        <v>8970</v>
      </c>
      <c r="M2625" t="str">
        <f>IF(Table1[[#This Row],[used]], _xlfn.CONCAT("🆔 ", Table1[[#This Row],[variable]], ": ",Table1[[#This Row],[alias]]), "")</f>
        <v>🆔 B25075_004E: $15,000 to $19,999</v>
      </c>
      <c r="O2625" t="s">
        <v>5318</v>
      </c>
      <c r="P2625" t="s">
        <v>8971</v>
      </c>
      <c r="Q2625" t="s">
        <v>41</v>
      </c>
      <c r="R2625" t="s">
        <v>8978</v>
      </c>
      <c r="S2625" t="b">
        <v>1</v>
      </c>
      <c r="T2625" t="b">
        <v>1</v>
      </c>
      <c r="U2625" t="b">
        <v>1</v>
      </c>
      <c r="V2625" t="b">
        <v>1</v>
      </c>
      <c r="W2625" t="b">
        <v>1</v>
      </c>
      <c r="X2625" t="b">
        <v>1</v>
      </c>
      <c r="Y2625" t="b">
        <v>1</v>
      </c>
      <c r="Z2625" t="b">
        <v>1</v>
      </c>
      <c r="AA2625" t="b">
        <v>1</v>
      </c>
      <c r="AB2625" t="b">
        <v>1</v>
      </c>
      <c r="AC2625" t="b">
        <v>1</v>
      </c>
      <c r="AD2625" t="b">
        <v>1</v>
      </c>
      <c r="AE2625" t="b">
        <v>1</v>
      </c>
      <c r="AF2625" t="b">
        <v>1</v>
      </c>
      <c r="AG2625" t="b">
        <v>1</v>
      </c>
    </row>
    <row r="2626" spans="1:33" x14ac:dyDescent="0.25">
      <c r="A2626" t="s">
        <v>33</v>
      </c>
      <c r="B2626">
        <v>15</v>
      </c>
      <c r="C2626" t="b">
        <v>1</v>
      </c>
      <c r="D2626" t="s">
        <v>7968</v>
      </c>
      <c r="E2626" t="s">
        <v>8966</v>
      </c>
      <c r="F2626" t="s">
        <v>8979</v>
      </c>
      <c r="G2626" t="s">
        <v>5321</v>
      </c>
      <c r="H2626">
        <v>2625</v>
      </c>
      <c r="I2626" t="str">
        <f>IF(ISBLANK(Table1[[#This Row],[oid]]),"FALSE","TRUE")</f>
        <v>TRUE</v>
      </c>
      <c r="J2626" t="str" cm="1">
        <f t="array" ref="J2626">_xlfn.SWITCH(LEFT(Table1[[#This Row],[section]],1), "D", "Demographic", "S", "Social", "E", "Economic", "H", "Housing", "")</f>
        <v>Housing</v>
      </c>
      <c r="K2626" t="s">
        <v>8969</v>
      </c>
      <c r="L2626" t="s">
        <v>8970</v>
      </c>
      <c r="M2626" t="str">
        <f>IF(Table1[[#This Row],[used]], _xlfn.CONCAT("🆔 ", Table1[[#This Row],[variable]], ": ",Table1[[#This Row],[alias]]), "")</f>
        <v>🆔 B25075_005E: $20,000 to $24,999</v>
      </c>
      <c r="O2626" t="s">
        <v>5322</v>
      </c>
      <c r="P2626" t="s">
        <v>8971</v>
      </c>
      <c r="Q2626" t="s">
        <v>41</v>
      </c>
      <c r="R2626" t="s">
        <v>8980</v>
      </c>
      <c r="S2626" t="b">
        <v>1</v>
      </c>
      <c r="T2626" t="b">
        <v>1</v>
      </c>
      <c r="U2626" t="b">
        <v>1</v>
      </c>
      <c r="V2626" t="b">
        <v>1</v>
      </c>
      <c r="W2626" t="b">
        <v>1</v>
      </c>
      <c r="X2626" t="b">
        <v>1</v>
      </c>
      <c r="Y2626" t="b">
        <v>1</v>
      </c>
      <c r="Z2626" t="b">
        <v>1</v>
      </c>
      <c r="AA2626" t="b">
        <v>1</v>
      </c>
      <c r="AB2626" t="b">
        <v>1</v>
      </c>
      <c r="AC2626" t="b">
        <v>1</v>
      </c>
      <c r="AD2626" t="b">
        <v>1</v>
      </c>
      <c r="AE2626" t="b">
        <v>1</v>
      </c>
      <c r="AF2626" t="b">
        <v>1</v>
      </c>
      <c r="AG2626" t="b">
        <v>1</v>
      </c>
    </row>
    <row r="2627" spans="1:33" x14ac:dyDescent="0.25">
      <c r="A2627" t="s">
        <v>33</v>
      </c>
      <c r="B2627">
        <v>15</v>
      </c>
      <c r="C2627" t="b">
        <v>1</v>
      </c>
      <c r="D2627" t="s">
        <v>7968</v>
      </c>
      <c r="E2627" t="s">
        <v>8966</v>
      </c>
      <c r="F2627" t="s">
        <v>8981</v>
      </c>
      <c r="G2627" t="s">
        <v>5325</v>
      </c>
      <c r="H2627">
        <v>2626</v>
      </c>
      <c r="I2627" t="str">
        <f>IF(ISBLANK(Table1[[#This Row],[oid]]),"FALSE","TRUE")</f>
        <v>TRUE</v>
      </c>
      <c r="J2627" t="str" cm="1">
        <f t="array" ref="J2627">_xlfn.SWITCH(LEFT(Table1[[#This Row],[section]],1), "D", "Demographic", "S", "Social", "E", "Economic", "H", "Housing", "")</f>
        <v>Housing</v>
      </c>
      <c r="K2627" t="s">
        <v>8969</v>
      </c>
      <c r="L2627" t="s">
        <v>8970</v>
      </c>
      <c r="M2627" t="str">
        <f>IF(Table1[[#This Row],[used]], _xlfn.CONCAT("🆔 ", Table1[[#This Row],[variable]], ": ",Table1[[#This Row],[alias]]), "")</f>
        <v>🆔 B25075_006E: $25,000 to $29,999</v>
      </c>
      <c r="O2627" t="s">
        <v>5326</v>
      </c>
      <c r="P2627" t="s">
        <v>8971</v>
      </c>
      <c r="Q2627" t="s">
        <v>41</v>
      </c>
      <c r="R2627" t="s">
        <v>8982</v>
      </c>
      <c r="S2627" t="b">
        <v>1</v>
      </c>
      <c r="T2627" t="b">
        <v>1</v>
      </c>
      <c r="U2627" t="b">
        <v>1</v>
      </c>
      <c r="V2627" t="b">
        <v>1</v>
      </c>
      <c r="W2627" t="b">
        <v>1</v>
      </c>
      <c r="X2627" t="b">
        <v>1</v>
      </c>
      <c r="Y2627" t="b">
        <v>1</v>
      </c>
      <c r="Z2627" t="b">
        <v>1</v>
      </c>
      <c r="AA2627" t="b">
        <v>1</v>
      </c>
      <c r="AB2627" t="b">
        <v>1</v>
      </c>
      <c r="AC2627" t="b">
        <v>1</v>
      </c>
      <c r="AD2627" t="b">
        <v>1</v>
      </c>
      <c r="AE2627" t="b">
        <v>1</v>
      </c>
      <c r="AF2627" t="b">
        <v>1</v>
      </c>
      <c r="AG2627" t="b">
        <v>1</v>
      </c>
    </row>
    <row r="2628" spans="1:33" x14ac:dyDescent="0.25">
      <c r="A2628" t="s">
        <v>33</v>
      </c>
      <c r="B2628">
        <v>15</v>
      </c>
      <c r="C2628" t="b">
        <v>1</v>
      </c>
      <c r="D2628" t="s">
        <v>7968</v>
      </c>
      <c r="E2628" t="s">
        <v>8966</v>
      </c>
      <c r="F2628" t="s">
        <v>8983</v>
      </c>
      <c r="G2628" t="s">
        <v>5329</v>
      </c>
      <c r="H2628">
        <v>2627</v>
      </c>
      <c r="I2628" t="str">
        <f>IF(ISBLANK(Table1[[#This Row],[oid]]),"FALSE","TRUE")</f>
        <v>TRUE</v>
      </c>
      <c r="J2628" t="str" cm="1">
        <f t="array" ref="J2628">_xlfn.SWITCH(LEFT(Table1[[#This Row],[section]],1), "D", "Demographic", "S", "Social", "E", "Economic", "H", "Housing", "")</f>
        <v>Housing</v>
      </c>
      <c r="K2628" t="s">
        <v>8969</v>
      </c>
      <c r="L2628" t="s">
        <v>8970</v>
      </c>
      <c r="M2628" t="str">
        <f>IF(Table1[[#This Row],[used]], _xlfn.CONCAT("🆔 ", Table1[[#This Row],[variable]], ": ",Table1[[#This Row],[alias]]), "")</f>
        <v>🆔 B25075_007E: $30,000 to $34,999</v>
      </c>
      <c r="O2628" t="s">
        <v>5330</v>
      </c>
      <c r="P2628" t="s">
        <v>8971</v>
      </c>
      <c r="Q2628" t="s">
        <v>41</v>
      </c>
      <c r="R2628" t="s">
        <v>8984</v>
      </c>
      <c r="S2628" t="b">
        <v>1</v>
      </c>
      <c r="T2628" t="b">
        <v>1</v>
      </c>
      <c r="U2628" t="b">
        <v>1</v>
      </c>
      <c r="V2628" t="b">
        <v>1</v>
      </c>
      <c r="W2628" t="b">
        <v>1</v>
      </c>
      <c r="X2628" t="b">
        <v>1</v>
      </c>
      <c r="Y2628" t="b">
        <v>1</v>
      </c>
      <c r="Z2628" t="b">
        <v>1</v>
      </c>
      <c r="AA2628" t="b">
        <v>1</v>
      </c>
      <c r="AB2628" t="b">
        <v>1</v>
      </c>
      <c r="AC2628" t="b">
        <v>1</v>
      </c>
      <c r="AD2628" t="b">
        <v>1</v>
      </c>
      <c r="AE2628" t="b">
        <v>1</v>
      </c>
      <c r="AF2628" t="b">
        <v>1</v>
      </c>
      <c r="AG2628" t="b">
        <v>1</v>
      </c>
    </row>
    <row r="2629" spans="1:33" x14ac:dyDescent="0.25">
      <c r="A2629" t="s">
        <v>33</v>
      </c>
      <c r="B2629">
        <v>15</v>
      </c>
      <c r="C2629" t="b">
        <v>1</v>
      </c>
      <c r="D2629" t="s">
        <v>7968</v>
      </c>
      <c r="E2629" t="s">
        <v>8966</v>
      </c>
      <c r="F2629" t="s">
        <v>8985</v>
      </c>
      <c r="G2629" t="s">
        <v>5333</v>
      </c>
      <c r="H2629">
        <v>2628</v>
      </c>
      <c r="I2629" t="str">
        <f>IF(ISBLANK(Table1[[#This Row],[oid]]),"FALSE","TRUE")</f>
        <v>TRUE</v>
      </c>
      <c r="J2629" t="str" cm="1">
        <f t="array" ref="J2629">_xlfn.SWITCH(LEFT(Table1[[#This Row],[section]],1), "D", "Demographic", "S", "Social", "E", "Economic", "H", "Housing", "")</f>
        <v>Housing</v>
      </c>
      <c r="K2629" t="s">
        <v>8969</v>
      </c>
      <c r="L2629" t="s">
        <v>8970</v>
      </c>
      <c r="M2629" t="str">
        <f>IF(Table1[[#This Row],[used]], _xlfn.CONCAT("🆔 ", Table1[[#This Row],[variable]], ": ",Table1[[#This Row],[alias]]), "")</f>
        <v>🆔 B25075_008E: $35,000 to $39,999</v>
      </c>
      <c r="O2629" t="s">
        <v>5334</v>
      </c>
      <c r="P2629" t="s">
        <v>8971</v>
      </c>
      <c r="Q2629" t="s">
        <v>41</v>
      </c>
      <c r="R2629" t="s">
        <v>8986</v>
      </c>
      <c r="S2629" t="b">
        <v>1</v>
      </c>
      <c r="T2629" t="b">
        <v>1</v>
      </c>
      <c r="U2629" t="b">
        <v>1</v>
      </c>
      <c r="V2629" t="b">
        <v>1</v>
      </c>
      <c r="W2629" t="b">
        <v>1</v>
      </c>
      <c r="X2629" t="b">
        <v>1</v>
      </c>
      <c r="Y2629" t="b">
        <v>1</v>
      </c>
      <c r="Z2629" t="b">
        <v>1</v>
      </c>
      <c r="AA2629" t="b">
        <v>1</v>
      </c>
      <c r="AB2629" t="b">
        <v>1</v>
      </c>
      <c r="AC2629" t="b">
        <v>1</v>
      </c>
      <c r="AD2629" t="b">
        <v>1</v>
      </c>
      <c r="AE2629" t="b">
        <v>1</v>
      </c>
      <c r="AF2629" t="b">
        <v>1</v>
      </c>
      <c r="AG2629" t="b">
        <v>1</v>
      </c>
    </row>
    <row r="2630" spans="1:33" x14ac:dyDescent="0.25">
      <c r="A2630" t="s">
        <v>33</v>
      </c>
      <c r="B2630">
        <v>15</v>
      </c>
      <c r="C2630" t="b">
        <v>1</v>
      </c>
      <c r="D2630" t="s">
        <v>7968</v>
      </c>
      <c r="E2630" t="s">
        <v>8966</v>
      </c>
      <c r="F2630" t="s">
        <v>8987</v>
      </c>
      <c r="G2630" t="s">
        <v>8988</v>
      </c>
      <c r="H2630">
        <v>2629</v>
      </c>
      <c r="I2630" t="str">
        <f>IF(ISBLANK(Table1[[#This Row],[oid]]),"FALSE","TRUE")</f>
        <v>TRUE</v>
      </c>
      <c r="J2630" t="str" cm="1">
        <f t="array" ref="J2630">_xlfn.SWITCH(LEFT(Table1[[#This Row],[section]],1), "D", "Demographic", "S", "Social", "E", "Economic", "H", "Housing", "")</f>
        <v>Housing</v>
      </c>
      <c r="K2630" t="s">
        <v>8969</v>
      </c>
      <c r="L2630" t="s">
        <v>8970</v>
      </c>
      <c r="M2630" t="str">
        <f>IF(Table1[[#This Row],[used]], _xlfn.CONCAT("🆔 ", Table1[[#This Row],[variable]], ": ",Table1[[#This Row],[alias]]), "")</f>
        <v>🆔 B25075_009E: $40,000 to $49,999</v>
      </c>
      <c r="O2630" t="s">
        <v>8989</v>
      </c>
      <c r="P2630" t="s">
        <v>8971</v>
      </c>
      <c r="Q2630" t="s">
        <v>41</v>
      </c>
      <c r="R2630" t="s">
        <v>8990</v>
      </c>
      <c r="S2630" t="b">
        <v>1</v>
      </c>
      <c r="T2630" t="b">
        <v>1</v>
      </c>
      <c r="U2630" t="b">
        <v>1</v>
      </c>
      <c r="V2630" t="b">
        <v>1</v>
      </c>
      <c r="W2630" t="b">
        <v>1</v>
      </c>
      <c r="X2630" t="b">
        <v>1</v>
      </c>
      <c r="Y2630" t="b">
        <v>1</v>
      </c>
      <c r="Z2630" t="b">
        <v>1</v>
      </c>
      <c r="AA2630" t="b">
        <v>1</v>
      </c>
      <c r="AB2630" t="b">
        <v>1</v>
      </c>
      <c r="AC2630" t="b">
        <v>1</v>
      </c>
      <c r="AD2630" t="b">
        <v>1</v>
      </c>
      <c r="AE2630" t="b">
        <v>1</v>
      </c>
      <c r="AF2630" t="b">
        <v>1</v>
      </c>
      <c r="AG2630" t="b">
        <v>1</v>
      </c>
    </row>
    <row r="2631" spans="1:33" x14ac:dyDescent="0.25">
      <c r="A2631" t="s">
        <v>33</v>
      </c>
      <c r="B2631">
        <v>15</v>
      </c>
      <c r="C2631" t="b">
        <v>1</v>
      </c>
      <c r="D2631" t="s">
        <v>7968</v>
      </c>
      <c r="E2631" t="s">
        <v>8966</v>
      </c>
      <c r="F2631" t="s">
        <v>8991</v>
      </c>
      <c r="G2631" t="s">
        <v>5345</v>
      </c>
      <c r="H2631">
        <v>2630</v>
      </c>
      <c r="I2631" t="str">
        <f>IF(ISBLANK(Table1[[#This Row],[oid]]),"FALSE","TRUE")</f>
        <v>TRUE</v>
      </c>
      <c r="J2631" t="str" cm="1">
        <f t="array" ref="J2631">_xlfn.SWITCH(LEFT(Table1[[#This Row],[section]],1), "D", "Demographic", "S", "Social", "E", "Economic", "H", "Housing", "")</f>
        <v>Housing</v>
      </c>
      <c r="K2631" t="s">
        <v>8969</v>
      </c>
      <c r="L2631" t="s">
        <v>8970</v>
      </c>
      <c r="M2631" t="str">
        <f>IF(Table1[[#This Row],[used]], _xlfn.CONCAT("🆔 ", Table1[[#This Row],[variable]], ": ",Table1[[#This Row],[alias]]), "")</f>
        <v>🆔 B25075_010E: $50,000 to $59,999</v>
      </c>
      <c r="O2631" t="s">
        <v>5346</v>
      </c>
      <c r="P2631" t="s">
        <v>8971</v>
      </c>
      <c r="Q2631" t="s">
        <v>41</v>
      </c>
      <c r="R2631" t="s">
        <v>8992</v>
      </c>
      <c r="S2631" t="b">
        <v>1</v>
      </c>
      <c r="T2631" t="b">
        <v>1</v>
      </c>
      <c r="U2631" t="b">
        <v>1</v>
      </c>
      <c r="V2631" t="b">
        <v>1</v>
      </c>
      <c r="W2631" t="b">
        <v>1</v>
      </c>
      <c r="X2631" t="b">
        <v>1</v>
      </c>
      <c r="Y2631" t="b">
        <v>1</v>
      </c>
      <c r="Z2631" t="b">
        <v>1</v>
      </c>
      <c r="AA2631" t="b">
        <v>1</v>
      </c>
      <c r="AB2631" t="b">
        <v>1</v>
      </c>
      <c r="AC2631" t="b">
        <v>1</v>
      </c>
      <c r="AD2631" t="b">
        <v>1</v>
      </c>
      <c r="AE2631" t="b">
        <v>1</v>
      </c>
      <c r="AF2631" t="b">
        <v>1</v>
      </c>
      <c r="AG2631" t="b">
        <v>1</v>
      </c>
    </row>
    <row r="2632" spans="1:33" x14ac:dyDescent="0.25">
      <c r="A2632" t="s">
        <v>33</v>
      </c>
      <c r="B2632">
        <v>15</v>
      </c>
      <c r="C2632" t="b">
        <v>1</v>
      </c>
      <c r="D2632" t="s">
        <v>7968</v>
      </c>
      <c r="E2632" t="s">
        <v>8966</v>
      </c>
      <c r="F2632" t="s">
        <v>8993</v>
      </c>
      <c r="G2632" t="s">
        <v>8994</v>
      </c>
      <c r="H2632">
        <v>2631</v>
      </c>
      <c r="I2632" t="str">
        <f>IF(ISBLANK(Table1[[#This Row],[oid]]),"FALSE","TRUE")</f>
        <v>TRUE</v>
      </c>
      <c r="J2632" t="str" cm="1">
        <f t="array" ref="J2632">_xlfn.SWITCH(LEFT(Table1[[#This Row],[section]],1), "D", "Demographic", "S", "Social", "E", "Economic", "H", "Housing", "")</f>
        <v>Housing</v>
      </c>
      <c r="K2632" t="s">
        <v>8969</v>
      </c>
      <c r="L2632" t="s">
        <v>8970</v>
      </c>
      <c r="M2632" t="str">
        <f>IF(Table1[[#This Row],[used]], _xlfn.CONCAT("🆔 ", Table1[[#This Row],[variable]], ": ",Table1[[#This Row],[alias]]), "")</f>
        <v>🆔 B25075_011E: $60,000 to $69,999</v>
      </c>
      <c r="O2632" t="s">
        <v>8995</v>
      </c>
      <c r="P2632" t="s">
        <v>8971</v>
      </c>
      <c r="Q2632" t="s">
        <v>41</v>
      </c>
      <c r="R2632" t="s">
        <v>8996</v>
      </c>
      <c r="S2632" t="b">
        <v>1</v>
      </c>
      <c r="T2632" t="b">
        <v>1</v>
      </c>
      <c r="U2632" t="b">
        <v>1</v>
      </c>
      <c r="V2632" t="b">
        <v>1</v>
      </c>
      <c r="W2632" t="b">
        <v>1</v>
      </c>
      <c r="X2632" t="b">
        <v>1</v>
      </c>
      <c r="Y2632" t="b">
        <v>1</v>
      </c>
      <c r="Z2632" t="b">
        <v>1</v>
      </c>
      <c r="AA2632" t="b">
        <v>1</v>
      </c>
      <c r="AB2632" t="b">
        <v>1</v>
      </c>
      <c r="AC2632" t="b">
        <v>1</v>
      </c>
      <c r="AD2632" t="b">
        <v>1</v>
      </c>
      <c r="AE2632" t="b">
        <v>1</v>
      </c>
      <c r="AF2632" t="b">
        <v>1</v>
      </c>
      <c r="AG2632" t="b">
        <v>1</v>
      </c>
    </row>
    <row r="2633" spans="1:33" x14ac:dyDescent="0.25">
      <c r="A2633" t="s">
        <v>33</v>
      </c>
      <c r="B2633">
        <v>15</v>
      </c>
      <c r="C2633" t="b">
        <v>1</v>
      </c>
      <c r="D2633" t="s">
        <v>7968</v>
      </c>
      <c r="E2633" t="s">
        <v>8966</v>
      </c>
      <c r="F2633" t="s">
        <v>8997</v>
      </c>
      <c r="G2633" t="s">
        <v>8998</v>
      </c>
      <c r="H2633">
        <v>2632</v>
      </c>
      <c r="I2633" t="str">
        <f>IF(ISBLANK(Table1[[#This Row],[oid]]),"FALSE","TRUE")</f>
        <v>TRUE</v>
      </c>
      <c r="J2633" t="str" cm="1">
        <f t="array" ref="J2633">_xlfn.SWITCH(LEFT(Table1[[#This Row],[section]],1), "D", "Demographic", "S", "Social", "E", "Economic", "H", "Housing", "")</f>
        <v>Housing</v>
      </c>
      <c r="K2633" t="s">
        <v>8969</v>
      </c>
      <c r="L2633" t="s">
        <v>8970</v>
      </c>
      <c r="M2633" t="str">
        <f>IF(Table1[[#This Row],[used]], _xlfn.CONCAT("🆔 ", Table1[[#This Row],[variable]], ": ",Table1[[#This Row],[alias]]), "")</f>
        <v>🆔 B25075_012E: $70,000 to $79,999</v>
      </c>
      <c r="O2633" t="s">
        <v>8999</v>
      </c>
      <c r="P2633" t="s">
        <v>8971</v>
      </c>
      <c r="Q2633" t="s">
        <v>41</v>
      </c>
      <c r="R2633" t="s">
        <v>9000</v>
      </c>
      <c r="S2633" t="b">
        <v>1</v>
      </c>
      <c r="T2633" t="b">
        <v>1</v>
      </c>
      <c r="U2633" t="b">
        <v>1</v>
      </c>
      <c r="V2633" t="b">
        <v>1</v>
      </c>
      <c r="W2633" t="b">
        <v>1</v>
      </c>
      <c r="X2633" t="b">
        <v>1</v>
      </c>
      <c r="Y2633" t="b">
        <v>1</v>
      </c>
      <c r="Z2633" t="b">
        <v>1</v>
      </c>
      <c r="AA2633" t="b">
        <v>1</v>
      </c>
      <c r="AB2633" t="b">
        <v>1</v>
      </c>
      <c r="AC2633" t="b">
        <v>1</v>
      </c>
      <c r="AD2633" t="b">
        <v>1</v>
      </c>
      <c r="AE2633" t="b">
        <v>1</v>
      </c>
      <c r="AF2633" t="b">
        <v>1</v>
      </c>
      <c r="AG2633" t="b">
        <v>1</v>
      </c>
    </row>
    <row r="2634" spans="1:33" x14ac:dyDescent="0.25">
      <c r="A2634" t="s">
        <v>33</v>
      </c>
      <c r="B2634">
        <v>15</v>
      </c>
      <c r="C2634" t="b">
        <v>1</v>
      </c>
      <c r="D2634" t="s">
        <v>7968</v>
      </c>
      <c r="E2634" t="s">
        <v>8966</v>
      </c>
      <c r="F2634" t="s">
        <v>9001</v>
      </c>
      <c r="G2634" t="s">
        <v>9002</v>
      </c>
      <c r="H2634">
        <v>2633</v>
      </c>
      <c r="I2634" t="str">
        <f>IF(ISBLANK(Table1[[#This Row],[oid]]),"FALSE","TRUE")</f>
        <v>TRUE</v>
      </c>
      <c r="J2634" t="str" cm="1">
        <f t="array" ref="J2634">_xlfn.SWITCH(LEFT(Table1[[#This Row],[section]],1), "D", "Demographic", "S", "Social", "E", "Economic", "H", "Housing", "")</f>
        <v>Housing</v>
      </c>
      <c r="K2634" t="s">
        <v>8969</v>
      </c>
      <c r="L2634" t="s">
        <v>8970</v>
      </c>
      <c r="M2634" t="str">
        <f>IF(Table1[[#This Row],[used]], _xlfn.CONCAT("🆔 ", Table1[[#This Row],[variable]], ": ",Table1[[#This Row],[alias]]), "")</f>
        <v>🆔 B25075_013E: $80,000 to $89,999</v>
      </c>
      <c r="O2634" t="s">
        <v>9003</v>
      </c>
      <c r="P2634" t="s">
        <v>8971</v>
      </c>
      <c r="Q2634" t="s">
        <v>41</v>
      </c>
      <c r="R2634" t="s">
        <v>9004</v>
      </c>
      <c r="S2634" t="b">
        <v>1</v>
      </c>
      <c r="T2634" t="b">
        <v>1</v>
      </c>
      <c r="U2634" t="b">
        <v>1</v>
      </c>
      <c r="V2634" t="b">
        <v>1</v>
      </c>
      <c r="W2634" t="b">
        <v>1</v>
      </c>
      <c r="X2634" t="b">
        <v>1</v>
      </c>
      <c r="Y2634" t="b">
        <v>1</v>
      </c>
      <c r="Z2634" t="b">
        <v>1</v>
      </c>
      <c r="AA2634" t="b">
        <v>1</v>
      </c>
      <c r="AB2634" t="b">
        <v>1</v>
      </c>
      <c r="AC2634" t="b">
        <v>1</v>
      </c>
      <c r="AD2634" t="b">
        <v>1</v>
      </c>
      <c r="AE2634" t="b">
        <v>1</v>
      </c>
      <c r="AF2634" t="b">
        <v>1</v>
      </c>
      <c r="AG2634" t="b">
        <v>1</v>
      </c>
    </row>
    <row r="2635" spans="1:33" x14ac:dyDescent="0.25">
      <c r="A2635" t="s">
        <v>33</v>
      </c>
      <c r="B2635">
        <v>15</v>
      </c>
      <c r="C2635" t="b">
        <v>1</v>
      </c>
      <c r="D2635" t="s">
        <v>7968</v>
      </c>
      <c r="E2635" t="s">
        <v>8966</v>
      </c>
      <c r="F2635" t="s">
        <v>9005</v>
      </c>
      <c r="G2635" t="s">
        <v>9006</v>
      </c>
      <c r="H2635">
        <v>2634</v>
      </c>
      <c r="I2635" t="str">
        <f>IF(ISBLANK(Table1[[#This Row],[oid]]),"FALSE","TRUE")</f>
        <v>TRUE</v>
      </c>
      <c r="J2635" t="str" cm="1">
        <f t="array" ref="J2635">_xlfn.SWITCH(LEFT(Table1[[#This Row],[section]],1), "D", "Demographic", "S", "Social", "E", "Economic", "H", "Housing", "")</f>
        <v>Housing</v>
      </c>
      <c r="K2635" t="s">
        <v>8969</v>
      </c>
      <c r="L2635" t="s">
        <v>8970</v>
      </c>
      <c r="M2635" t="str">
        <f>IF(Table1[[#This Row],[used]], _xlfn.CONCAT("🆔 ", Table1[[#This Row],[variable]], ": ",Table1[[#This Row],[alias]]), "")</f>
        <v>🆔 B25075_014E: $90,000 to $99,999</v>
      </c>
      <c r="O2635" t="s">
        <v>9007</v>
      </c>
      <c r="P2635" t="s">
        <v>8971</v>
      </c>
      <c r="Q2635" t="s">
        <v>41</v>
      </c>
      <c r="R2635" t="s">
        <v>9008</v>
      </c>
      <c r="S2635" t="b">
        <v>1</v>
      </c>
      <c r="T2635" t="b">
        <v>1</v>
      </c>
      <c r="U2635" t="b">
        <v>1</v>
      </c>
      <c r="V2635" t="b">
        <v>1</v>
      </c>
      <c r="W2635" t="b">
        <v>1</v>
      </c>
      <c r="X2635" t="b">
        <v>1</v>
      </c>
      <c r="Y2635" t="b">
        <v>1</v>
      </c>
      <c r="Z2635" t="b">
        <v>1</v>
      </c>
      <c r="AA2635" t="b">
        <v>1</v>
      </c>
      <c r="AB2635" t="b">
        <v>1</v>
      </c>
      <c r="AC2635" t="b">
        <v>1</v>
      </c>
      <c r="AD2635" t="b">
        <v>1</v>
      </c>
      <c r="AE2635" t="b">
        <v>1</v>
      </c>
      <c r="AF2635" t="b">
        <v>1</v>
      </c>
      <c r="AG2635" t="b">
        <v>1</v>
      </c>
    </row>
    <row r="2636" spans="1:33" x14ac:dyDescent="0.25">
      <c r="A2636" t="s">
        <v>33</v>
      </c>
      <c r="B2636">
        <v>15</v>
      </c>
      <c r="C2636" t="b">
        <v>1</v>
      </c>
      <c r="D2636" t="s">
        <v>7968</v>
      </c>
      <c r="E2636" t="s">
        <v>8966</v>
      </c>
      <c r="F2636" t="s">
        <v>9009</v>
      </c>
      <c r="G2636" t="s">
        <v>5357</v>
      </c>
      <c r="H2636">
        <v>2635</v>
      </c>
      <c r="I2636" t="str">
        <f>IF(ISBLANK(Table1[[#This Row],[oid]]),"FALSE","TRUE")</f>
        <v>TRUE</v>
      </c>
      <c r="J2636" t="str" cm="1">
        <f t="array" ref="J2636">_xlfn.SWITCH(LEFT(Table1[[#This Row],[section]],1), "D", "Demographic", "S", "Social", "E", "Economic", "H", "Housing", "")</f>
        <v>Housing</v>
      </c>
      <c r="K2636" t="s">
        <v>8969</v>
      </c>
      <c r="L2636" t="s">
        <v>8970</v>
      </c>
      <c r="M2636" t="str">
        <f>IF(Table1[[#This Row],[used]], _xlfn.CONCAT("🆔 ", Table1[[#This Row],[variable]], ": ",Table1[[#This Row],[alias]]), "")</f>
        <v>🆔 B25075_015E: $100,000 to $124,999</v>
      </c>
      <c r="O2636" t="s">
        <v>5358</v>
      </c>
      <c r="P2636" t="s">
        <v>8971</v>
      </c>
      <c r="Q2636" t="s">
        <v>41</v>
      </c>
      <c r="R2636" t="s">
        <v>9010</v>
      </c>
      <c r="S2636" t="b">
        <v>1</v>
      </c>
      <c r="T2636" t="b">
        <v>1</v>
      </c>
      <c r="U2636" t="b">
        <v>1</v>
      </c>
      <c r="V2636" t="b">
        <v>1</v>
      </c>
      <c r="W2636" t="b">
        <v>1</v>
      </c>
      <c r="X2636" t="b">
        <v>1</v>
      </c>
      <c r="Y2636" t="b">
        <v>1</v>
      </c>
      <c r="Z2636" t="b">
        <v>1</v>
      </c>
      <c r="AA2636" t="b">
        <v>1</v>
      </c>
      <c r="AB2636" t="b">
        <v>1</v>
      </c>
      <c r="AC2636" t="b">
        <v>1</v>
      </c>
      <c r="AD2636" t="b">
        <v>1</v>
      </c>
      <c r="AE2636" t="b">
        <v>1</v>
      </c>
      <c r="AF2636" t="b">
        <v>1</v>
      </c>
      <c r="AG2636" t="b">
        <v>1</v>
      </c>
    </row>
    <row r="2637" spans="1:33" x14ac:dyDescent="0.25">
      <c r="A2637" t="s">
        <v>33</v>
      </c>
      <c r="B2637">
        <v>15</v>
      </c>
      <c r="C2637" t="b">
        <v>1</v>
      </c>
      <c r="D2637" t="s">
        <v>7968</v>
      </c>
      <c r="E2637" t="s">
        <v>8966</v>
      </c>
      <c r="F2637" t="s">
        <v>9011</v>
      </c>
      <c r="G2637" t="s">
        <v>5361</v>
      </c>
      <c r="H2637">
        <v>2636</v>
      </c>
      <c r="I2637" t="str">
        <f>IF(ISBLANK(Table1[[#This Row],[oid]]),"FALSE","TRUE")</f>
        <v>TRUE</v>
      </c>
      <c r="J2637" t="str" cm="1">
        <f t="array" ref="J2637">_xlfn.SWITCH(LEFT(Table1[[#This Row],[section]],1), "D", "Demographic", "S", "Social", "E", "Economic", "H", "Housing", "")</f>
        <v>Housing</v>
      </c>
      <c r="K2637" t="s">
        <v>8969</v>
      </c>
      <c r="L2637" t="s">
        <v>8970</v>
      </c>
      <c r="M2637" t="str">
        <f>IF(Table1[[#This Row],[used]], _xlfn.CONCAT("🆔 ", Table1[[#This Row],[variable]], ": ",Table1[[#This Row],[alias]]), "")</f>
        <v>🆔 B25075_016E: $125,000 to $149,999</v>
      </c>
      <c r="O2637" t="s">
        <v>5362</v>
      </c>
      <c r="P2637" t="s">
        <v>8971</v>
      </c>
      <c r="Q2637" t="s">
        <v>41</v>
      </c>
      <c r="R2637" t="s">
        <v>9012</v>
      </c>
      <c r="S2637" t="b">
        <v>1</v>
      </c>
      <c r="T2637" t="b">
        <v>1</v>
      </c>
      <c r="U2637" t="b">
        <v>1</v>
      </c>
      <c r="V2637" t="b">
        <v>1</v>
      </c>
      <c r="W2637" t="b">
        <v>1</v>
      </c>
      <c r="X2637" t="b">
        <v>1</v>
      </c>
      <c r="Y2637" t="b">
        <v>1</v>
      </c>
      <c r="Z2637" t="b">
        <v>1</v>
      </c>
      <c r="AA2637" t="b">
        <v>1</v>
      </c>
      <c r="AB2637" t="b">
        <v>1</v>
      </c>
      <c r="AC2637" t="b">
        <v>1</v>
      </c>
      <c r="AD2637" t="b">
        <v>1</v>
      </c>
      <c r="AE2637" t="b">
        <v>1</v>
      </c>
      <c r="AF2637" t="b">
        <v>1</v>
      </c>
      <c r="AG2637" t="b">
        <v>1</v>
      </c>
    </row>
    <row r="2638" spans="1:33" x14ac:dyDescent="0.25">
      <c r="A2638" t="s">
        <v>33</v>
      </c>
      <c r="B2638">
        <v>15</v>
      </c>
      <c r="C2638" t="b">
        <v>1</v>
      </c>
      <c r="D2638" t="s">
        <v>7968</v>
      </c>
      <c r="E2638" t="s">
        <v>8966</v>
      </c>
      <c r="F2638" t="s">
        <v>9013</v>
      </c>
      <c r="G2638" t="s">
        <v>9014</v>
      </c>
      <c r="H2638">
        <v>2637</v>
      </c>
      <c r="I2638" t="str">
        <f>IF(ISBLANK(Table1[[#This Row],[oid]]),"FALSE","TRUE")</f>
        <v>TRUE</v>
      </c>
      <c r="J2638" t="str" cm="1">
        <f t="array" ref="J2638">_xlfn.SWITCH(LEFT(Table1[[#This Row],[section]],1), "D", "Demographic", "S", "Social", "E", "Economic", "H", "Housing", "")</f>
        <v>Housing</v>
      </c>
      <c r="K2638" t="s">
        <v>8969</v>
      </c>
      <c r="L2638" t="s">
        <v>8970</v>
      </c>
      <c r="M2638" t="str">
        <f>IF(Table1[[#This Row],[used]], _xlfn.CONCAT("🆔 ", Table1[[#This Row],[variable]], ": ",Table1[[#This Row],[alias]]), "")</f>
        <v>🆔 B25075_017E: $150,000 to $174,999</v>
      </c>
      <c r="O2638" t="s">
        <v>9015</v>
      </c>
      <c r="P2638" t="s">
        <v>8971</v>
      </c>
      <c r="Q2638" t="s">
        <v>41</v>
      </c>
      <c r="R2638" t="s">
        <v>9016</v>
      </c>
      <c r="S2638" t="b">
        <v>1</v>
      </c>
      <c r="T2638" t="b">
        <v>1</v>
      </c>
      <c r="U2638" t="b">
        <v>1</v>
      </c>
      <c r="V2638" t="b">
        <v>1</v>
      </c>
      <c r="W2638" t="b">
        <v>1</v>
      </c>
      <c r="X2638" t="b">
        <v>1</v>
      </c>
      <c r="Y2638" t="b">
        <v>1</v>
      </c>
      <c r="Z2638" t="b">
        <v>1</v>
      </c>
      <c r="AA2638" t="b">
        <v>1</v>
      </c>
      <c r="AB2638" t="b">
        <v>1</v>
      </c>
      <c r="AC2638" t="b">
        <v>1</v>
      </c>
      <c r="AD2638" t="b">
        <v>1</v>
      </c>
      <c r="AE2638" t="b">
        <v>1</v>
      </c>
      <c r="AF2638" t="b">
        <v>1</v>
      </c>
      <c r="AG2638" t="b">
        <v>1</v>
      </c>
    </row>
    <row r="2639" spans="1:33" x14ac:dyDescent="0.25">
      <c r="A2639" t="s">
        <v>33</v>
      </c>
      <c r="B2639">
        <v>15</v>
      </c>
      <c r="C2639" t="b">
        <v>1</v>
      </c>
      <c r="D2639" t="s">
        <v>7968</v>
      </c>
      <c r="E2639" t="s">
        <v>8966</v>
      </c>
      <c r="F2639" t="s">
        <v>9017</v>
      </c>
      <c r="G2639" t="s">
        <v>9018</v>
      </c>
      <c r="H2639">
        <v>2638</v>
      </c>
      <c r="I2639" t="str">
        <f>IF(ISBLANK(Table1[[#This Row],[oid]]),"FALSE","TRUE")</f>
        <v>TRUE</v>
      </c>
      <c r="J2639" t="str" cm="1">
        <f t="array" ref="J2639">_xlfn.SWITCH(LEFT(Table1[[#This Row],[section]],1), "D", "Demographic", "S", "Social", "E", "Economic", "H", "Housing", "")</f>
        <v>Housing</v>
      </c>
      <c r="K2639" t="s">
        <v>8969</v>
      </c>
      <c r="L2639" t="s">
        <v>8970</v>
      </c>
      <c r="M2639" t="str">
        <f>IF(Table1[[#This Row],[used]], _xlfn.CONCAT("🆔 ", Table1[[#This Row],[variable]], ": ",Table1[[#This Row],[alias]]), "")</f>
        <v>🆔 B25075_018E: $175,000 to $199,999</v>
      </c>
      <c r="O2639" t="s">
        <v>9019</v>
      </c>
      <c r="P2639" t="s">
        <v>8971</v>
      </c>
      <c r="Q2639" t="s">
        <v>41</v>
      </c>
      <c r="R2639" t="s">
        <v>9020</v>
      </c>
      <c r="S2639" t="b">
        <v>1</v>
      </c>
      <c r="T2639" t="b">
        <v>1</v>
      </c>
      <c r="U2639" t="b">
        <v>1</v>
      </c>
      <c r="V2639" t="b">
        <v>1</v>
      </c>
      <c r="W2639" t="b">
        <v>1</v>
      </c>
      <c r="X2639" t="b">
        <v>1</v>
      </c>
      <c r="Y2639" t="b">
        <v>1</v>
      </c>
      <c r="Z2639" t="b">
        <v>1</v>
      </c>
      <c r="AA2639" t="b">
        <v>1</v>
      </c>
      <c r="AB2639" t="b">
        <v>1</v>
      </c>
      <c r="AC2639" t="b">
        <v>1</v>
      </c>
      <c r="AD2639" t="b">
        <v>1</v>
      </c>
      <c r="AE2639" t="b">
        <v>1</v>
      </c>
      <c r="AF2639" t="b">
        <v>1</v>
      </c>
      <c r="AG2639" t="b">
        <v>1</v>
      </c>
    </row>
    <row r="2640" spans="1:33" x14ac:dyDescent="0.25">
      <c r="A2640" t="s">
        <v>33</v>
      </c>
      <c r="B2640">
        <v>15</v>
      </c>
      <c r="C2640" t="b">
        <v>1</v>
      </c>
      <c r="D2640" t="s">
        <v>7968</v>
      </c>
      <c r="E2640" t="s">
        <v>8966</v>
      </c>
      <c r="F2640" t="s">
        <v>9021</v>
      </c>
      <c r="G2640" t="s">
        <v>9022</v>
      </c>
      <c r="H2640">
        <v>2639</v>
      </c>
      <c r="I2640" t="str">
        <f>IF(ISBLANK(Table1[[#This Row],[oid]]),"FALSE","TRUE")</f>
        <v>TRUE</v>
      </c>
      <c r="J2640" t="str" cm="1">
        <f t="array" ref="J2640">_xlfn.SWITCH(LEFT(Table1[[#This Row],[section]],1), "D", "Demographic", "S", "Social", "E", "Economic", "H", "Housing", "")</f>
        <v>Housing</v>
      </c>
      <c r="K2640" t="s">
        <v>8969</v>
      </c>
      <c r="L2640" t="s">
        <v>8970</v>
      </c>
      <c r="M2640" t="str">
        <f>IF(Table1[[#This Row],[used]], _xlfn.CONCAT("🆔 ", Table1[[#This Row],[variable]], ": ",Table1[[#This Row],[alias]]), "")</f>
        <v>🆔 B25075_019E: $200,000 to $249,999</v>
      </c>
      <c r="O2640" t="s">
        <v>9023</v>
      </c>
      <c r="P2640" t="s">
        <v>8971</v>
      </c>
      <c r="Q2640" t="s">
        <v>41</v>
      </c>
      <c r="R2640" t="s">
        <v>9024</v>
      </c>
      <c r="S2640" t="b">
        <v>1</v>
      </c>
      <c r="T2640" t="b">
        <v>1</v>
      </c>
      <c r="U2640" t="b">
        <v>1</v>
      </c>
      <c r="V2640" t="b">
        <v>1</v>
      </c>
      <c r="W2640" t="b">
        <v>1</v>
      </c>
      <c r="X2640" t="b">
        <v>1</v>
      </c>
      <c r="Y2640" t="b">
        <v>1</v>
      </c>
      <c r="Z2640" t="b">
        <v>1</v>
      </c>
      <c r="AA2640" t="b">
        <v>1</v>
      </c>
      <c r="AB2640" t="b">
        <v>1</v>
      </c>
      <c r="AC2640" t="b">
        <v>1</v>
      </c>
      <c r="AD2640" t="b">
        <v>1</v>
      </c>
      <c r="AE2640" t="b">
        <v>1</v>
      </c>
      <c r="AF2640" t="b">
        <v>1</v>
      </c>
      <c r="AG2640" t="b">
        <v>1</v>
      </c>
    </row>
    <row r="2641" spans="1:33" x14ac:dyDescent="0.25">
      <c r="A2641" t="s">
        <v>33</v>
      </c>
      <c r="B2641">
        <v>15</v>
      </c>
      <c r="C2641" t="b">
        <v>1</v>
      </c>
      <c r="D2641" t="s">
        <v>7968</v>
      </c>
      <c r="E2641" t="s">
        <v>8966</v>
      </c>
      <c r="F2641" t="s">
        <v>9025</v>
      </c>
      <c r="G2641" t="s">
        <v>9026</v>
      </c>
      <c r="H2641">
        <v>2640</v>
      </c>
      <c r="I2641" t="str">
        <f>IF(ISBLANK(Table1[[#This Row],[oid]]),"FALSE","TRUE")</f>
        <v>TRUE</v>
      </c>
      <c r="J2641" t="str" cm="1">
        <f t="array" ref="J2641">_xlfn.SWITCH(LEFT(Table1[[#This Row],[section]],1), "D", "Demographic", "S", "Social", "E", "Economic", "H", "Housing", "")</f>
        <v>Housing</v>
      </c>
      <c r="K2641" t="s">
        <v>8969</v>
      </c>
      <c r="L2641" t="s">
        <v>8970</v>
      </c>
      <c r="M2641" t="str">
        <f>IF(Table1[[#This Row],[used]], _xlfn.CONCAT("🆔 ", Table1[[#This Row],[variable]], ": ",Table1[[#This Row],[alias]]), "")</f>
        <v>🆔 B25075_020E: $250,000 to $299,999</v>
      </c>
      <c r="O2641" t="s">
        <v>9027</v>
      </c>
      <c r="P2641" t="s">
        <v>8971</v>
      </c>
      <c r="Q2641" t="s">
        <v>41</v>
      </c>
      <c r="R2641" t="s">
        <v>9028</v>
      </c>
      <c r="S2641" t="b">
        <v>1</v>
      </c>
      <c r="T2641" t="b">
        <v>1</v>
      </c>
      <c r="U2641" t="b">
        <v>1</v>
      </c>
      <c r="V2641" t="b">
        <v>1</v>
      </c>
      <c r="W2641" t="b">
        <v>1</v>
      </c>
      <c r="X2641" t="b">
        <v>1</v>
      </c>
      <c r="Y2641" t="b">
        <v>1</v>
      </c>
      <c r="Z2641" t="b">
        <v>1</v>
      </c>
      <c r="AA2641" t="b">
        <v>1</v>
      </c>
      <c r="AB2641" t="b">
        <v>1</v>
      </c>
      <c r="AC2641" t="b">
        <v>1</v>
      </c>
      <c r="AD2641" t="b">
        <v>1</v>
      </c>
      <c r="AE2641" t="b">
        <v>1</v>
      </c>
      <c r="AF2641" t="b">
        <v>1</v>
      </c>
      <c r="AG2641" t="b">
        <v>1</v>
      </c>
    </row>
    <row r="2642" spans="1:33" x14ac:dyDescent="0.25">
      <c r="A2642" t="s">
        <v>33</v>
      </c>
      <c r="B2642">
        <v>15</v>
      </c>
      <c r="C2642" t="b">
        <v>1</v>
      </c>
      <c r="D2642" t="s">
        <v>7968</v>
      </c>
      <c r="E2642" t="s">
        <v>8966</v>
      </c>
      <c r="F2642" t="s">
        <v>9029</v>
      </c>
      <c r="G2642" t="s">
        <v>9030</v>
      </c>
      <c r="H2642">
        <v>2641</v>
      </c>
      <c r="I2642" t="str">
        <f>IF(ISBLANK(Table1[[#This Row],[oid]]),"FALSE","TRUE")</f>
        <v>TRUE</v>
      </c>
      <c r="J2642" t="str" cm="1">
        <f t="array" ref="J2642">_xlfn.SWITCH(LEFT(Table1[[#This Row],[section]],1), "D", "Demographic", "S", "Social", "E", "Economic", "H", "Housing", "")</f>
        <v>Housing</v>
      </c>
      <c r="K2642" t="s">
        <v>8969</v>
      </c>
      <c r="L2642" t="s">
        <v>8970</v>
      </c>
      <c r="M2642" t="str">
        <f>IF(Table1[[#This Row],[used]], _xlfn.CONCAT("🆔 ", Table1[[#This Row],[variable]], ": ",Table1[[#This Row],[alias]]), "")</f>
        <v>🆔 B25075_021E: $300,000 to $399,999</v>
      </c>
      <c r="O2642" t="s">
        <v>9031</v>
      </c>
      <c r="P2642" t="s">
        <v>8971</v>
      </c>
      <c r="Q2642" t="s">
        <v>41</v>
      </c>
      <c r="R2642" t="s">
        <v>9032</v>
      </c>
      <c r="S2642" t="b">
        <v>1</v>
      </c>
      <c r="T2642" t="b">
        <v>1</v>
      </c>
      <c r="U2642" t="b">
        <v>1</v>
      </c>
      <c r="V2642" t="b">
        <v>1</v>
      </c>
      <c r="W2642" t="b">
        <v>1</v>
      </c>
      <c r="X2642" t="b">
        <v>1</v>
      </c>
      <c r="Y2642" t="b">
        <v>1</v>
      </c>
      <c r="Z2642" t="b">
        <v>1</v>
      </c>
      <c r="AA2642" t="b">
        <v>1</v>
      </c>
      <c r="AB2642" t="b">
        <v>1</v>
      </c>
      <c r="AC2642" t="b">
        <v>1</v>
      </c>
      <c r="AD2642" t="b">
        <v>1</v>
      </c>
      <c r="AE2642" t="b">
        <v>1</v>
      </c>
      <c r="AF2642" t="b">
        <v>1</v>
      </c>
      <c r="AG2642" t="b">
        <v>1</v>
      </c>
    </row>
    <row r="2643" spans="1:33" x14ac:dyDescent="0.25">
      <c r="A2643" t="s">
        <v>33</v>
      </c>
      <c r="B2643">
        <v>15</v>
      </c>
      <c r="C2643" t="b">
        <v>1</v>
      </c>
      <c r="D2643" t="s">
        <v>7968</v>
      </c>
      <c r="E2643" t="s">
        <v>8966</v>
      </c>
      <c r="F2643" t="s">
        <v>9033</v>
      </c>
      <c r="G2643" t="s">
        <v>9034</v>
      </c>
      <c r="H2643">
        <v>2642</v>
      </c>
      <c r="I2643" t="str">
        <f>IF(ISBLANK(Table1[[#This Row],[oid]]),"FALSE","TRUE")</f>
        <v>TRUE</v>
      </c>
      <c r="J2643" t="str" cm="1">
        <f t="array" ref="J2643">_xlfn.SWITCH(LEFT(Table1[[#This Row],[section]],1), "D", "Demographic", "S", "Social", "E", "Economic", "H", "Housing", "")</f>
        <v>Housing</v>
      </c>
      <c r="K2643" t="s">
        <v>8969</v>
      </c>
      <c r="L2643" t="s">
        <v>8970</v>
      </c>
      <c r="M2643" t="str">
        <f>IF(Table1[[#This Row],[used]], _xlfn.CONCAT("🆔 ", Table1[[#This Row],[variable]], ": ",Table1[[#This Row],[alias]]), "")</f>
        <v>🆔 B25075_022E: $400,000 to $499,999</v>
      </c>
      <c r="O2643" t="s">
        <v>9035</v>
      </c>
      <c r="P2643" t="s">
        <v>8971</v>
      </c>
      <c r="Q2643" t="s">
        <v>41</v>
      </c>
      <c r="R2643" t="s">
        <v>9036</v>
      </c>
      <c r="S2643" t="b">
        <v>1</v>
      </c>
      <c r="T2643" t="b">
        <v>1</v>
      </c>
      <c r="U2643" t="b">
        <v>1</v>
      </c>
      <c r="V2643" t="b">
        <v>1</v>
      </c>
      <c r="W2643" t="b">
        <v>1</v>
      </c>
      <c r="X2643" t="b">
        <v>1</v>
      </c>
      <c r="Y2643" t="b">
        <v>1</v>
      </c>
      <c r="Z2643" t="b">
        <v>1</v>
      </c>
      <c r="AA2643" t="b">
        <v>1</v>
      </c>
      <c r="AB2643" t="b">
        <v>1</v>
      </c>
      <c r="AC2643" t="b">
        <v>1</v>
      </c>
      <c r="AD2643" t="b">
        <v>1</v>
      </c>
      <c r="AE2643" t="b">
        <v>1</v>
      </c>
      <c r="AF2643" t="b">
        <v>1</v>
      </c>
      <c r="AG2643" t="b">
        <v>1</v>
      </c>
    </row>
    <row r="2644" spans="1:33" x14ac:dyDescent="0.25">
      <c r="A2644" t="s">
        <v>33</v>
      </c>
      <c r="B2644">
        <v>15</v>
      </c>
      <c r="C2644" t="b">
        <v>1</v>
      </c>
      <c r="D2644" t="s">
        <v>7968</v>
      </c>
      <c r="E2644" t="s">
        <v>8966</v>
      </c>
      <c r="F2644" t="s">
        <v>9037</v>
      </c>
      <c r="G2644" t="s">
        <v>9038</v>
      </c>
      <c r="H2644">
        <v>2643</v>
      </c>
      <c r="I2644" t="str">
        <f>IF(ISBLANK(Table1[[#This Row],[oid]]),"FALSE","TRUE")</f>
        <v>TRUE</v>
      </c>
      <c r="J2644" t="str" cm="1">
        <f t="array" ref="J2644">_xlfn.SWITCH(LEFT(Table1[[#This Row],[section]],1), "D", "Demographic", "S", "Social", "E", "Economic", "H", "Housing", "")</f>
        <v>Housing</v>
      </c>
      <c r="K2644" t="s">
        <v>8969</v>
      </c>
      <c r="L2644" t="s">
        <v>8970</v>
      </c>
      <c r="M2644" t="str">
        <f>IF(Table1[[#This Row],[used]], _xlfn.CONCAT("🆔 ", Table1[[#This Row],[variable]], ": ",Table1[[#This Row],[alias]]), "")</f>
        <v>🆔 B25075_023E: $500,000 to $749,999</v>
      </c>
      <c r="O2644" t="s">
        <v>9039</v>
      </c>
      <c r="P2644" t="s">
        <v>8971</v>
      </c>
      <c r="Q2644" t="s">
        <v>41</v>
      </c>
      <c r="R2644" t="s">
        <v>9040</v>
      </c>
      <c r="S2644" t="b">
        <v>1</v>
      </c>
      <c r="T2644" t="b">
        <v>1</v>
      </c>
      <c r="U2644" t="b">
        <v>1</v>
      </c>
      <c r="V2644" t="b">
        <v>1</v>
      </c>
      <c r="W2644" t="b">
        <v>1</v>
      </c>
      <c r="X2644" t="b">
        <v>1</v>
      </c>
      <c r="Y2644" t="b">
        <v>1</v>
      </c>
      <c r="Z2644" t="b">
        <v>1</v>
      </c>
      <c r="AA2644" t="b">
        <v>1</v>
      </c>
      <c r="AB2644" t="b">
        <v>1</v>
      </c>
      <c r="AC2644" t="b">
        <v>1</v>
      </c>
      <c r="AD2644" t="b">
        <v>1</v>
      </c>
      <c r="AE2644" t="b">
        <v>1</v>
      </c>
      <c r="AF2644" t="b">
        <v>1</v>
      </c>
      <c r="AG2644" t="b">
        <v>1</v>
      </c>
    </row>
    <row r="2645" spans="1:33" x14ac:dyDescent="0.25">
      <c r="A2645" t="s">
        <v>33</v>
      </c>
      <c r="B2645">
        <v>15</v>
      </c>
      <c r="C2645" t="b">
        <v>1</v>
      </c>
      <c r="D2645" t="s">
        <v>7968</v>
      </c>
      <c r="E2645" t="s">
        <v>8966</v>
      </c>
      <c r="F2645" t="s">
        <v>9041</v>
      </c>
      <c r="G2645" t="s">
        <v>9042</v>
      </c>
      <c r="H2645">
        <v>2644</v>
      </c>
      <c r="I2645" t="str">
        <f>IF(ISBLANK(Table1[[#This Row],[oid]]),"FALSE","TRUE")</f>
        <v>TRUE</v>
      </c>
      <c r="J2645" t="str" cm="1">
        <f t="array" ref="J2645">_xlfn.SWITCH(LEFT(Table1[[#This Row],[section]],1), "D", "Demographic", "S", "Social", "E", "Economic", "H", "Housing", "")</f>
        <v>Housing</v>
      </c>
      <c r="K2645" t="s">
        <v>8969</v>
      </c>
      <c r="L2645" t="s">
        <v>8970</v>
      </c>
      <c r="M2645" t="str">
        <f>IF(Table1[[#This Row],[used]], _xlfn.CONCAT("🆔 ", Table1[[#This Row],[variable]], ": ",Table1[[#This Row],[alias]]), "")</f>
        <v>🆔 B25075_024E: $750,000 to $999,999</v>
      </c>
      <c r="O2645" t="s">
        <v>9043</v>
      </c>
      <c r="P2645" t="s">
        <v>8971</v>
      </c>
      <c r="Q2645" t="s">
        <v>41</v>
      </c>
      <c r="R2645" t="s">
        <v>9044</v>
      </c>
      <c r="S2645" t="b">
        <v>1</v>
      </c>
      <c r="T2645" t="b">
        <v>1</v>
      </c>
      <c r="U2645" t="b">
        <v>1</v>
      </c>
      <c r="V2645" t="b">
        <v>1</v>
      </c>
      <c r="W2645" t="b">
        <v>1</v>
      </c>
      <c r="X2645" t="b">
        <v>1</v>
      </c>
      <c r="Y2645" t="b">
        <v>1</v>
      </c>
      <c r="Z2645" t="b">
        <v>1</v>
      </c>
      <c r="AA2645" t="b">
        <v>1</v>
      </c>
      <c r="AB2645" t="b">
        <v>1</v>
      </c>
      <c r="AC2645" t="b">
        <v>1</v>
      </c>
      <c r="AD2645" t="b">
        <v>1</v>
      </c>
      <c r="AE2645" t="b">
        <v>1</v>
      </c>
      <c r="AF2645" t="b">
        <v>1</v>
      </c>
      <c r="AG2645" t="b">
        <v>1</v>
      </c>
    </row>
    <row r="2646" spans="1:33" x14ac:dyDescent="0.25">
      <c r="A2646" t="s">
        <v>709</v>
      </c>
      <c r="B2646">
        <v>5</v>
      </c>
      <c r="C2646" t="b">
        <v>0</v>
      </c>
      <c r="D2646" t="s">
        <v>7968</v>
      </c>
      <c r="E2646" t="s">
        <v>8966</v>
      </c>
      <c r="F2646" t="s">
        <v>9045</v>
      </c>
      <c r="G2646" t="s">
        <v>9046</v>
      </c>
      <c r="H2646">
        <v>2645</v>
      </c>
      <c r="I2646" t="str">
        <f>IF(ISBLANK(Table1[[#This Row],[oid]]),"FALSE","TRUE")</f>
        <v>TRUE</v>
      </c>
      <c r="J2646" t="str" cm="1">
        <f t="array" ref="J2646">_xlfn.SWITCH(LEFT(Table1[[#This Row],[section]],1), "D", "Demographic", "S", "Social", "E", "Economic", "H", "Housing", "")</f>
        <v>Housing</v>
      </c>
      <c r="K2646" t="s">
        <v>8969</v>
      </c>
      <c r="L2646" t="s">
        <v>8970</v>
      </c>
      <c r="M2646" t="str">
        <f>IF(Table1[[#This Row],[used]], _xlfn.CONCAT("🆔 ", Table1[[#This Row],[variable]], ": ",Table1[[#This Row],[alias]]), "")</f>
        <v>🆔 B25075_025E: $1,000,000 or more</v>
      </c>
      <c r="O2646" t="s">
        <v>9047</v>
      </c>
      <c r="P2646" t="s">
        <v>8971</v>
      </c>
      <c r="Q2646" t="s">
        <v>41</v>
      </c>
      <c r="R2646" t="s">
        <v>9048</v>
      </c>
      <c r="S2646" t="b">
        <v>1</v>
      </c>
      <c r="T2646" t="b">
        <v>1</v>
      </c>
      <c r="U2646" t="b">
        <v>1</v>
      </c>
      <c r="V2646" t="b">
        <v>1</v>
      </c>
      <c r="W2646" t="b">
        <v>1</v>
      </c>
      <c r="X2646" t="b">
        <v>0</v>
      </c>
      <c r="Y2646" t="b">
        <v>0</v>
      </c>
      <c r="Z2646" t="b">
        <v>0</v>
      </c>
      <c r="AA2646" t="b">
        <v>0</v>
      </c>
      <c r="AB2646" t="b">
        <v>0</v>
      </c>
      <c r="AC2646" t="b">
        <v>0</v>
      </c>
      <c r="AD2646" t="b">
        <v>0</v>
      </c>
      <c r="AE2646" t="b">
        <v>0</v>
      </c>
      <c r="AF2646" t="b">
        <v>0</v>
      </c>
      <c r="AG2646" t="b">
        <v>0</v>
      </c>
    </row>
    <row r="2647" spans="1:33" x14ac:dyDescent="0.25">
      <c r="A2647" t="s">
        <v>714</v>
      </c>
      <c r="B2647">
        <v>10</v>
      </c>
      <c r="C2647" t="b">
        <v>0</v>
      </c>
      <c r="D2647" t="s">
        <v>7968</v>
      </c>
      <c r="E2647" t="s">
        <v>8966</v>
      </c>
      <c r="F2647" t="s">
        <v>9045</v>
      </c>
      <c r="G2647" t="s">
        <v>9049</v>
      </c>
      <c r="H2647">
        <v>2646</v>
      </c>
      <c r="I2647" t="str">
        <f>IF(ISBLANK(Table1[[#This Row],[oid]]),"FALSE","TRUE")</f>
        <v>TRUE</v>
      </c>
      <c r="J2647" t="str" cm="1">
        <f t="array" ref="J2647">_xlfn.SWITCH(LEFT(Table1[[#This Row],[section]],1), "D", "Demographic", "S", "Social", "E", "Economic", "H", "Housing", "")</f>
        <v>Housing</v>
      </c>
      <c r="K2647" t="s">
        <v>8969</v>
      </c>
      <c r="L2647" t="s">
        <v>8970</v>
      </c>
      <c r="M2647" t="str">
        <f>IF(Table1[[#This Row],[used]], _xlfn.CONCAT("🆔 ", Table1[[#This Row],[variable]], ": ",Table1[[#This Row],[alias]]), "")</f>
        <v>🆔 B25075_025E: $1,000,000 to $1,499,999</v>
      </c>
      <c r="O2647" t="s">
        <v>9050</v>
      </c>
      <c r="P2647" t="s">
        <v>8971</v>
      </c>
      <c r="Q2647" t="s">
        <v>41</v>
      </c>
      <c r="R2647" t="s">
        <v>9048</v>
      </c>
      <c r="S2647" t="b">
        <v>0</v>
      </c>
      <c r="T2647" t="b">
        <v>0</v>
      </c>
      <c r="U2647" t="b">
        <v>0</v>
      </c>
      <c r="V2647" t="b">
        <v>0</v>
      </c>
      <c r="W2647" t="b">
        <v>0</v>
      </c>
      <c r="X2647" t="b">
        <v>1</v>
      </c>
      <c r="Y2647" t="b">
        <v>1</v>
      </c>
      <c r="Z2647" t="b">
        <v>1</v>
      </c>
      <c r="AA2647" t="b">
        <v>1</v>
      </c>
      <c r="AB2647" t="b">
        <v>1</v>
      </c>
      <c r="AC2647" t="b">
        <v>1</v>
      </c>
      <c r="AD2647" t="b">
        <v>1</v>
      </c>
      <c r="AE2647" t="b">
        <v>1</v>
      </c>
      <c r="AF2647" t="b">
        <v>1</v>
      </c>
      <c r="AG2647" t="b">
        <v>1</v>
      </c>
    </row>
    <row r="2648" spans="1:33" x14ac:dyDescent="0.25">
      <c r="A2648" t="s">
        <v>714</v>
      </c>
      <c r="B2648">
        <v>10</v>
      </c>
      <c r="C2648" t="b">
        <v>0</v>
      </c>
      <c r="D2648" t="s">
        <v>7968</v>
      </c>
      <c r="E2648" t="s">
        <v>8966</v>
      </c>
      <c r="F2648" t="s">
        <v>9051</v>
      </c>
      <c r="G2648" t="s">
        <v>9052</v>
      </c>
      <c r="H2648">
        <v>2647</v>
      </c>
      <c r="I2648" t="str">
        <f>IF(ISBLANK(Table1[[#This Row],[oid]]),"FALSE","TRUE")</f>
        <v>TRUE</v>
      </c>
      <c r="J2648" t="str" cm="1">
        <f t="array" ref="J2648">_xlfn.SWITCH(LEFT(Table1[[#This Row],[section]],1), "D", "Demographic", "S", "Social", "E", "Economic", "H", "Housing", "")</f>
        <v>Housing</v>
      </c>
      <c r="K2648" t="s">
        <v>8969</v>
      </c>
      <c r="L2648" t="s">
        <v>8970</v>
      </c>
      <c r="M2648" t="str">
        <f>IF(Table1[[#This Row],[used]], _xlfn.CONCAT("🆔 ", Table1[[#This Row],[variable]], ": ",Table1[[#This Row],[alias]]), "")</f>
        <v>🆔 B25075_026E: $1,500,000 to $1,999,999</v>
      </c>
      <c r="O2648" t="s">
        <v>9053</v>
      </c>
      <c r="P2648" t="s">
        <v>8971</v>
      </c>
      <c r="Q2648" t="s">
        <v>41</v>
      </c>
      <c r="R2648" t="s">
        <v>9054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1</v>
      </c>
      <c r="Y2648" t="b">
        <v>1</v>
      </c>
      <c r="Z2648" t="b">
        <v>1</v>
      </c>
      <c r="AA2648" t="b">
        <v>1</v>
      </c>
      <c r="AB2648" t="b">
        <v>1</v>
      </c>
      <c r="AC2648" t="b">
        <v>1</v>
      </c>
      <c r="AD2648" t="b">
        <v>1</v>
      </c>
      <c r="AE2648" t="b">
        <v>1</v>
      </c>
      <c r="AF2648" t="b">
        <v>1</v>
      </c>
      <c r="AG2648" t="b">
        <v>1</v>
      </c>
    </row>
    <row r="2649" spans="1:33" x14ac:dyDescent="0.25">
      <c r="A2649" t="s">
        <v>714</v>
      </c>
      <c r="B2649">
        <v>10</v>
      </c>
      <c r="C2649" t="b">
        <v>0</v>
      </c>
      <c r="D2649" t="s">
        <v>7968</v>
      </c>
      <c r="E2649" t="s">
        <v>8966</v>
      </c>
      <c r="F2649" t="s">
        <v>9055</v>
      </c>
      <c r="G2649" t="s">
        <v>9056</v>
      </c>
      <c r="H2649">
        <v>2648</v>
      </c>
      <c r="I2649" t="str">
        <f>IF(ISBLANK(Table1[[#This Row],[oid]]),"FALSE","TRUE")</f>
        <v>TRUE</v>
      </c>
      <c r="J2649" t="str" cm="1">
        <f t="array" ref="J2649">_xlfn.SWITCH(LEFT(Table1[[#This Row],[section]],1), "D", "Demographic", "S", "Social", "E", "Economic", "H", "Housing", "")</f>
        <v>Housing</v>
      </c>
      <c r="K2649" t="s">
        <v>8969</v>
      </c>
      <c r="L2649" t="s">
        <v>8970</v>
      </c>
      <c r="M2649" t="str">
        <f>IF(Table1[[#This Row],[used]], _xlfn.CONCAT("🆔 ", Table1[[#This Row],[variable]], ": ",Table1[[#This Row],[alias]]), "")</f>
        <v>🆔 B25075_027E: $2,000,000 or more</v>
      </c>
      <c r="O2649" t="s">
        <v>9057</v>
      </c>
      <c r="P2649" t="s">
        <v>8971</v>
      </c>
      <c r="Q2649" t="s">
        <v>41</v>
      </c>
      <c r="R2649" t="s">
        <v>9058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  <c r="X2649" t="b">
        <v>1</v>
      </c>
      <c r="Y2649" t="b">
        <v>1</v>
      </c>
      <c r="Z2649" t="b">
        <v>1</v>
      </c>
      <c r="AA2649" t="b">
        <v>1</v>
      </c>
      <c r="AB2649" t="b">
        <v>1</v>
      </c>
      <c r="AC2649" t="b">
        <v>1</v>
      </c>
      <c r="AD2649" t="b">
        <v>1</v>
      </c>
      <c r="AE2649" t="b">
        <v>1</v>
      </c>
      <c r="AF2649" t="b">
        <v>1</v>
      </c>
      <c r="AG2649" t="b">
        <v>1</v>
      </c>
    </row>
    <row r="2650" spans="1:33" x14ac:dyDescent="0.25">
      <c r="A2650" t="s">
        <v>33</v>
      </c>
      <c r="B2650">
        <v>15</v>
      </c>
      <c r="C2650" t="b">
        <v>1</v>
      </c>
      <c r="D2650" t="s">
        <v>7968</v>
      </c>
      <c r="E2650" t="s">
        <v>9059</v>
      </c>
      <c r="F2650" t="s">
        <v>9060</v>
      </c>
      <c r="G2650" t="s">
        <v>9061</v>
      </c>
      <c r="H2650">
        <v>2649</v>
      </c>
      <c r="I2650" t="str">
        <f>IF(ISBLANK(Table1[[#This Row],[oid]]),"FALSE","TRUE")</f>
        <v>TRUE</v>
      </c>
      <c r="J2650" t="str" cm="1">
        <f t="array" ref="J2650">_xlfn.SWITCH(LEFT(Table1[[#This Row],[section]],1), "D", "Demographic", "S", "Social", "E", "Economic", "H", "Housing", "")</f>
        <v>Housing</v>
      </c>
      <c r="K2650" t="s">
        <v>8969</v>
      </c>
      <c r="L2650" t="s">
        <v>8970</v>
      </c>
      <c r="M2650" t="str">
        <f>IF(Table1[[#This Row],[used]], _xlfn.CONCAT("🆔 ", Table1[[#This Row],[variable]], ": ",Table1[[#This Row],[alias]]), "")</f>
        <v>🆔 B25076_001E: Lower value quartile dollars</v>
      </c>
      <c r="O2650" t="s">
        <v>9062</v>
      </c>
      <c r="P2650" t="s">
        <v>9063</v>
      </c>
      <c r="Q2650" t="s">
        <v>41</v>
      </c>
      <c r="R2650" t="s">
        <v>9064</v>
      </c>
      <c r="S2650" t="b">
        <v>1</v>
      </c>
      <c r="T2650" t="b">
        <v>1</v>
      </c>
      <c r="U2650" t="b">
        <v>1</v>
      </c>
      <c r="V2650" t="b">
        <v>1</v>
      </c>
      <c r="W2650" t="b">
        <v>1</v>
      </c>
      <c r="X2650" t="b">
        <v>1</v>
      </c>
      <c r="Y2650" t="b">
        <v>1</v>
      </c>
      <c r="Z2650" t="b">
        <v>1</v>
      </c>
      <c r="AA2650" t="b">
        <v>1</v>
      </c>
      <c r="AB2650" t="b">
        <v>1</v>
      </c>
      <c r="AC2650" t="b">
        <v>1</v>
      </c>
      <c r="AD2650" t="b">
        <v>1</v>
      </c>
      <c r="AE2650" t="b">
        <v>1</v>
      </c>
      <c r="AF2650" t="b">
        <v>1</v>
      </c>
      <c r="AG2650" t="b">
        <v>1</v>
      </c>
    </row>
    <row r="2651" spans="1:33" x14ac:dyDescent="0.25">
      <c r="A2651" t="s">
        <v>33</v>
      </c>
      <c r="B2651">
        <v>15</v>
      </c>
      <c r="C2651" t="b">
        <v>1</v>
      </c>
      <c r="D2651" t="s">
        <v>7968</v>
      </c>
      <c r="E2651" t="s">
        <v>9065</v>
      </c>
      <c r="F2651" t="s">
        <v>9066</v>
      </c>
      <c r="G2651" t="s">
        <v>9067</v>
      </c>
      <c r="H2651">
        <v>2650</v>
      </c>
      <c r="I2651" t="str">
        <f>IF(ISBLANK(Table1[[#This Row],[oid]]),"FALSE","TRUE")</f>
        <v>TRUE</v>
      </c>
      <c r="J2651" t="str" cm="1">
        <f t="array" ref="J2651">_xlfn.SWITCH(LEFT(Table1[[#This Row],[section]],1), "D", "Demographic", "S", "Social", "E", "Economic", "H", "Housing", "")</f>
        <v>Housing</v>
      </c>
      <c r="K2651" t="s">
        <v>8969</v>
      </c>
      <c r="L2651" t="s">
        <v>8970</v>
      </c>
      <c r="M2651" t="str">
        <f>IF(Table1[[#This Row],[used]], _xlfn.CONCAT("🆔 ", Table1[[#This Row],[variable]], ": ",Table1[[#This Row],[alias]]), "")</f>
        <v>🆔 B25077_001E: Median value dollars</v>
      </c>
      <c r="O2651" t="s">
        <v>9068</v>
      </c>
      <c r="P2651" t="s">
        <v>9069</v>
      </c>
      <c r="Q2651" t="s">
        <v>41</v>
      </c>
      <c r="R2651" t="s">
        <v>9070</v>
      </c>
      <c r="S2651" t="b">
        <v>1</v>
      </c>
      <c r="T2651" t="b">
        <v>1</v>
      </c>
      <c r="U2651" t="b">
        <v>1</v>
      </c>
      <c r="V2651" t="b">
        <v>1</v>
      </c>
      <c r="W2651" t="b">
        <v>1</v>
      </c>
      <c r="X2651" t="b">
        <v>1</v>
      </c>
      <c r="Y2651" t="b">
        <v>1</v>
      </c>
      <c r="Z2651" t="b">
        <v>1</v>
      </c>
      <c r="AA2651" t="b">
        <v>1</v>
      </c>
      <c r="AB2651" t="b">
        <v>1</v>
      </c>
      <c r="AC2651" t="b">
        <v>1</v>
      </c>
      <c r="AD2651" t="b">
        <v>1</v>
      </c>
      <c r="AE2651" t="b">
        <v>1</v>
      </c>
      <c r="AF2651" t="b">
        <v>1</v>
      </c>
      <c r="AG2651" t="b">
        <v>1</v>
      </c>
    </row>
    <row r="2652" spans="1:33" x14ac:dyDescent="0.25">
      <c r="A2652" t="s">
        <v>33</v>
      </c>
      <c r="B2652">
        <v>15</v>
      </c>
      <c r="C2652" t="b">
        <v>1</v>
      </c>
      <c r="D2652" t="s">
        <v>7968</v>
      </c>
      <c r="E2652" t="s">
        <v>9071</v>
      </c>
      <c r="F2652" t="s">
        <v>9072</v>
      </c>
      <c r="G2652" t="s">
        <v>9073</v>
      </c>
      <c r="H2652">
        <v>2651</v>
      </c>
      <c r="I2652" t="str">
        <f>IF(ISBLANK(Table1[[#This Row],[oid]]),"FALSE","TRUE")</f>
        <v>TRUE</v>
      </c>
      <c r="J2652" t="str" cm="1">
        <f t="array" ref="J2652">_xlfn.SWITCH(LEFT(Table1[[#This Row],[section]],1), "D", "Demographic", "S", "Social", "E", "Economic", "H", "Housing", "")</f>
        <v>Housing</v>
      </c>
      <c r="K2652" t="s">
        <v>8969</v>
      </c>
      <c r="L2652" t="s">
        <v>8970</v>
      </c>
      <c r="M2652" t="str">
        <f>IF(Table1[[#This Row],[used]], _xlfn.CONCAT("🆔 ", Table1[[#This Row],[variable]], ": ",Table1[[#This Row],[alias]]), "")</f>
        <v>🆔 B25078_001E: Upper value quartile dollars</v>
      </c>
      <c r="O2652" t="s">
        <v>9074</v>
      </c>
      <c r="P2652" t="s">
        <v>9075</v>
      </c>
      <c r="Q2652" t="s">
        <v>41</v>
      </c>
      <c r="R2652" t="s">
        <v>9076</v>
      </c>
      <c r="S2652" t="b">
        <v>1</v>
      </c>
      <c r="T2652" t="b">
        <v>1</v>
      </c>
      <c r="U2652" t="b">
        <v>1</v>
      </c>
      <c r="V2652" t="b">
        <v>1</v>
      </c>
      <c r="W2652" t="b">
        <v>1</v>
      </c>
      <c r="X2652" t="b">
        <v>1</v>
      </c>
      <c r="Y2652" t="b">
        <v>1</v>
      </c>
      <c r="Z2652" t="b">
        <v>1</v>
      </c>
      <c r="AA2652" t="b">
        <v>1</v>
      </c>
      <c r="AB2652" t="b">
        <v>1</v>
      </c>
      <c r="AC2652" t="b">
        <v>1</v>
      </c>
      <c r="AD2652" t="b">
        <v>1</v>
      </c>
      <c r="AE2652" t="b">
        <v>1</v>
      </c>
      <c r="AF2652" t="b">
        <v>1</v>
      </c>
      <c r="AG2652" t="b">
        <v>1</v>
      </c>
    </row>
    <row r="2653" spans="1:33" x14ac:dyDescent="0.25">
      <c r="A2653" t="s">
        <v>33</v>
      </c>
      <c r="B2653">
        <v>15</v>
      </c>
      <c r="C2653" t="b">
        <v>1</v>
      </c>
      <c r="D2653" t="s">
        <v>7968</v>
      </c>
      <c r="E2653" t="s">
        <v>9077</v>
      </c>
      <c r="F2653" t="s">
        <v>9078</v>
      </c>
      <c r="G2653" t="s">
        <v>9079</v>
      </c>
      <c r="H2653">
        <v>2652</v>
      </c>
      <c r="I2653" t="str">
        <f>IF(ISBLANK(Table1[[#This Row],[oid]]),"FALSE","TRUE")</f>
        <v>TRUE</v>
      </c>
      <c r="J2653" t="str" cm="1">
        <f t="array" ref="J2653">_xlfn.SWITCH(LEFT(Table1[[#This Row],[section]],1), "D", "Demographic", "S", "Social", "E", "Economic", "H", "Housing", "")</f>
        <v>Housing</v>
      </c>
      <c r="K2653" t="s">
        <v>8969</v>
      </c>
      <c r="L2653" t="s">
        <v>8970</v>
      </c>
      <c r="M2653" t="str">
        <f>IF(Table1[[#This Row],[used]], _xlfn.CONCAT("🆔 ", Table1[[#This Row],[variable]], ": ",Table1[[#This Row],[alias]]), "")</f>
        <v>🆔 B25080_001E: Aggregate value dollars</v>
      </c>
      <c r="O2653" t="s">
        <v>9080</v>
      </c>
      <c r="P2653" t="s">
        <v>9081</v>
      </c>
      <c r="Q2653" t="s">
        <v>41</v>
      </c>
      <c r="R2653" t="s">
        <v>9082</v>
      </c>
      <c r="S2653" t="b">
        <v>1</v>
      </c>
      <c r="T2653" t="b">
        <v>1</v>
      </c>
      <c r="U2653" t="b">
        <v>1</v>
      </c>
      <c r="V2653" t="b">
        <v>1</v>
      </c>
      <c r="W2653" t="b">
        <v>1</v>
      </c>
      <c r="X2653" t="b">
        <v>1</v>
      </c>
      <c r="Y2653" t="b">
        <v>1</v>
      </c>
      <c r="Z2653" t="b">
        <v>1</v>
      </c>
      <c r="AA2653" t="b">
        <v>1</v>
      </c>
      <c r="AB2653" t="b">
        <v>1</v>
      </c>
      <c r="AC2653" t="b">
        <v>1</v>
      </c>
      <c r="AD2653" t="b">
        <v>1</v>
      </c>
      <c r="AE2653" t="b">
        <v>1</v>
      </c>
      <c r="AF2653" t="b">
        <v>1</v>
      </c>
      <c r="AG2653" t="b">
        <v>1</v>
      </c>
    </row>
    <row r="2654" spans="1:33" x14ac:dyDescent="0.25">
      <c r="A2654" t="s">
        <v>33</v>
      </c>
      <c r="B2654">
        <v>15</v>
      </c>
      <c r="C2654" t="b">
        <v>1</v>
      </c>
      <c r="D2654" t="s">
        <v>7968</v>
      </c>
      <c r="E2654" t="s">
        <v>9083</v>
      </c>
      <c r="F2654" t="s">
        <v>9084</v>
      </c>
      <c r="G2654" t="s">
        <v>9085</v>
      </c>
      <c r="H2654">
        <v>2653</v>
      </c>
      <c r="I2654" t="str">
        <f>IF(ISBLANK(Table1[[#This Row],[oid]]),"FALSE","TRUE")</f>
        <v>TRUE</v>
      </c>
      <c r="J2654" t="str" cm="1">
        <f t="array" ref="J2654">_xlfn.SWITCH(LEFT(Table1[[#This Row],[section]],1), "D", "Demographic", "S", "Social", "E", "Economic", "H", "Housing", "")</f>
        <v>Housing</v>
      </c>
      <c r="K2654" t="s">
        <v>8969</v>
      </c>
      <c r="L2654" t="s">
        <v>8970</v>
      </c>
      <c r="M2654" t="str">
        <f>IF(Table1[[#This Row],[used]], _xlfn.CONCAT("🆔 ", Table1[[#This Row],[variable]], ": ",Table1[[#This Row],[alias]]), "")</f>
        <v>🆔 B25082_002E: Aggregate value dollars: Housing units with a mortgage dollars</v>
      </c>
      <c r="O2654" t="s">
        <v>9086</v>
      </c>
      <c r="P2654" t="s">
        <v>9087</v>
      </c>
      <c r="Q2654" t="s">
        <v>41</v>
      </c>
      <c r="R2654" t="s">
        <v>9088</v>
      </c>
      <c r="S2654" t="b">
        <v>1</v>
      </c>
      <c r="T2654" t="b">
        <v>1</v>
      </c>
      <c r="U2654" t="b">
        <v>1</v>
      </c>
      <c r="V2654" t="b">
        <v>1</v>
      </c>
      <c r="W2654" t="b">
        <v>1</v>
      </c>
      <c r="X2654" t="b">
        <v>1</v>
      </c>
      <c r="Y2654" t="b">
        <v>1</v>
      </c>
      <c r="Z2654" t="b">
        <v>1</v>
      </c>
      <c r="AA2654" t="b">
        <v>1</v>
      </c>
      <c r="AB2654" t="b">
        <v>1</v>
      </c>
      <c r="AC2654" t="b">
        <v>1</v>
      </c>
      <c r="AD2654" t="b">
        <v>1</v>
      </c>
      <c r="AE2654" t="b">
        <v>1</v>
      </c>
      <c r="AF2654" t="b">
        <v>1</v>
      </c>
      <c r="AG2654" t="b">
        <v>1</v>
      </c>
    </row>
    <row r="2655" spans="1:33" x14ac:dyDescent="0.25">
      <c r="A2655" t="s">
        <v>33</v>
      </c>
      <c r="B2655">
        <v>15</v>
      </c>
      <c r="C2655" t="b">
        <v>1</v>
      </c>
      <c r="D2655" t="s">
        <v>7968</v>
      </c>
      <c r="E2655" t="s">
        <v>9083</v>
      </c>
      <c r="F2655" t="s">
        <v>9089</v>
      </c>
      <c r="G2655" t="s">
        <v>9090</v>
      </c>
      <c r="H2655">
        <v>2654</v>
      </c>
      <c r="I2655" t="str">
        <f>IF(ISBLANK(Table1[[#This Row],[oid]]),"FALSE","TRUE")</f>
        <v>TRUE</v>
      </c>
      <c r="J2655" t="str" cm="1">
        <f t="array" ref="J2655">_xlfn.SWITCH(LEFT(Table1[[#This Row],[section]],1), "D", "Demographic", "S", "Social", "E", "Economic", "H", "Housing", "")</f>
        <v>Housing</v>
      </c>
      <c r="K2655" t="s">
        <v>8969</v>
      </c>
      <c r="L2655" t="s">
        <v>8970</v>
      </c>
      <c r="M2655" t="str">
        <f>IF(Table1[[#This Row],[used]], _xlfn.CONCAT("🆔 ", Table1[[#This Row],[variable]], ": ",Table1[[#This Row],[alias]]), "")</f>
        <v>🆔 B25082_003E: Aggregate value dollars: Housing units without a mortgage dollars</v>
      </c>
      <c r="O2655" t="s">
        <v>9091</v>
      </c>
      <c r="P2655" t="s">
        <v>9087</v>
      </c>
      <c r="Q2655" t="s">
        <v>41</v>
      </c>
      <c r="R2655" t="s">
        <v>9092</v>
      </c>
      <c r="S2655" t="b">
        <v>1</v>
      </c>
      <c r="T2655" t="b">
        <v>1</v>
      </c>
      <c r="U2655" t="b">
        <v>1</v>
      </c>
      <c r="V2655" t="b">
        <v>1</v>
      </c>
      <c r="W2655" t="b">
        <v>1</v>
      </c>
      <c r="X2655" t="b">
        <v>1</v>
      </c>
      <c r="Y2655" t="b">
        <v>1</v>
      </c>
      <c r="Z2655" t="b">
        <v>1</v>
      </c>
      <c r="AA2655" t="b">
        <v>1</v>
      </c>
      <c r="AB2655" t="b">
        <v>1</v>
      </c>
      <c r="AC2655" t="b">
        <v>1</v>
      </c>
      <c r="AD2655" t="b">
        <v>1</v>
      </c>
      <c r="AE2655" t="b">
        <v>1</v>
      </c>
      <c r="AF2655" t="b">
        <v>1</v>
      </c>
      <c r="AG2655" t="b">
        <v>1</v>
      </c>
    </row>
    <row r="2656" spans="1:33" x14ac:dyDescent="0.25">
      <c r="A2656" t="s">
        <v>33</v>
      </c>
      <c r="B2656">
        <v>15</v>
      </c>
      <c r="C2656" t="b">
        <v>1</v>
      </c>
      <c r="D2656" t="s">
        <v>7968</v>
      </c>
      <c r="E2656" t="s">
        <v>9093</v>
      </c>
      <c r="F2656" t="s">
        <v>9094</v>
      </c>
      <c r="G2656" t="s">
        <v>9095</v>
      </c>
      <c r="H2656">
        <v>2655</v>
      </c>
      <c r="I2656" t="str">
        <f>IF(ISBLANK(Table1[[#This Row],[oid]]),"FALSE","TRUE")</f>
        <v>TRUE</v>
      </c>
      <c r="J2656" t="str" cm="1">
        <f t="array" ref="J2656">_xlfn.SWITCH(LEFT(Table1[[#This Row],[section]],1), "D", "Demographic", "S", "Social", "E", "Economic", "H", "Housing", "")</f>
        <v>Housing</v>
      </c>
      <c r="K2656" t="s">
        <v>8969</v>
      </c>
      <c r="L2656" t="s">
        <v>8970</v>
      </c>
      <c r="M2656" t="str">
        <f>IF(Table1[[#This Row],[used]], _xlfn.CONCAT("🆔 ", Table1[[#This Row],[variable]], ": ",Table1[[#This Row],[alias]]), "")</f>
        <v>🆔 B25083_001E: Median value dollars for mobile homes</v>
      </c>
      <c r="O2656" t="s">
        <v>9068</v>
      </c>
      <c r="P2656" t="s">
        <v>9096</v>
      </c>
      <c r="Q2656" t="s">
        <v>41</v>
      </c>
      <c r="R2656" t="s">
        <v>9097</v>
      </c>
      <c r="S2656" t="b">
        <v>1</v>
      </c>
      <c r="T2656" t="b">
        <v>1</v>
      </c>
      <c r="U2656" t="b">
        <v>1</v>
      </c>
      <c r="V2656" t="b">
        <v>1</v>
      </c>
      <c r="W2656" t="b">
        <v>1</v>
      </c>
      <c r="X2656" t="b">
        <v>1</v>
      </c>
      <c r="Y2656" t="b">
        <v>1</v>
      </c>
      <c r="Z2656" t="b">
        <v>1</v>
      </c>
      <c r="AA2656" t="b">
        <v>1</v>
      </c>
      <c r="AB2656" t="b">
        <v>1</v>
      </c>
      <c r="AC2656" t="b">
        <v>1</v>
      </c>
      <c r="AD2656" t="b">
        <v>1</v>
      </c>
      <c r="AE2656" t="b">
        <v>1</v>
      </c>
      <c r="AF2656" t="b">
        <v>1</v>
      </c>
      <c r="AG2656" t="b">
        <v>1</v>
      </c>
    </row>
    <row r="2657" spans="1:33" x14ac:dyDescent="0.25">
      <c r="A2657" t="s">
        <v>33</v>
      </c>
      <c r="B2657">
        <v>15</v>
      </c>
      <c r="C2657" t="b">
        <v>1</v>
      </c>
      <c r="D2657" t="s">
        <v>7968</v>
      </c>
      <c r="E2657" t="s">
        <v>9098</v>
      </c>
      <c r="F2657" t="s">
        <v>9099</v>
      </c>
      <c r="G2657" t="s">
        <v>9100</v>
      </c>
      <c r="H2657">
        <v>2656</v>
      </c>
      <c r="I2657" t="str">
        <f>IF(ISBLANK(Table1[[#This Row],[oid]]),"FALSE","TRUE")</f>
        <v>TRUE</v>
      </c>
      <c r="J2657" t="str" cm="1">
        <f t="array" ref="J2657">_xlfn.SWITCH(LEFT(Table1[[#This Row],[section]],1), "D", "Demographic", "S", "Social", "E", "Economic", "H", "Housing", "")</f>
        <v>Housing</v>
      </c>
      <c r="K2657" t="s">
        <v>9101</v>
      </c>
      <c r="L2657" t="s">
        <v>9102</v>
      </c>
      <c r="M2657" t="str">
        <f>IF(Table1[[#This Row],[used]], _xlfn.CONCAT("🆔 ", Table1[[#This Row],[variable]], ": ",Table1[[#This Row],[alias]]), "")</f>
        <v>🆔 B25085_001E: Total vacant for-sale only and sold, not occupied housing units</v>
      </c>
      <c r="O2657" t="s">
        <v>39</v>
      </c>
      <c r="P2657" t="s">
        <v>9103</v>
      </c>
      <c r="Q2657" t="s">
        <v>41</v>
      </c>
      <c r="R2657" t="s">
        <v>9104</v>
      </c>
      <c r="S2657" t="b">
        <v>1</v>
      </c>
      <c r="T2657" t="b">
        <v>1</v>
      </c>
      <c r="U2657" t="b">
        <v>1</v>
      </c>
      <c r="V2657" t="b">
        <v>1</v>
      </c>
      <c r="W2657" t="b">
        <v>1</v>
      </c>
      <c r="X2657" t="b">
        <v>1</v>
      </c>
      <c r="Y2657" t="b">
        <v>1</v>
      </c>
      <c r="Z2657" t="b">
        <v>1</v>
      </c>
      <c r="AA2657" t="b">
        <v>1</v>
      </c>
      <c r="AB2657" t="b">
        <v>1</v>
      </c>
      <c r="AC2657" t="b">
        <v>1</v>
      </c>
      <c r="AD2657" t="b">
        <v>1</v>
      </c>
      <c r="AE2657" t="b">
        <v>1</v>
      </c>
      <c r="AF2657" t="b">
        <v>1</v>
      </c>
      <c r="AG2657" t="b">
        <v>1</v>
      </c>
    </row>
    <row r="2658" spans="1:33" x14ac:dyDescent="0.25">
      <c r="A2658" t="s">
        <v>33</v>
      </c>
      <c r="B2658">
        <v>15</v>
      </c>
      <c r="C2658" t="b">
        <v>1</v>
      </c>
      <c r="D2658" t="s">
        <v>7968</v>
      </c>
      <c r="E2658" t="s">
        <v>9098</v>
      </c>
      <c r="F2658" t="s">
        <v>9105</v>
      </c>
      <c r="G2658" t="s">
        <v>5309</v>
      </c>
      <c r="H2658">
        <v>2657</v>
      </c>
      <c r="I2658" t="str">
        <f>IF(ISBLANK(Table1[[#This Row],[oid]]),"FALSE","TRUE")</f>
        <v>TRUE</v>
      </c>
      <c r="J2658" t="str" cm="1">
        <f t="array" ref="J2658">_xlfn.SWITCH(LEFT(Table1[[#This Row],[section]],1), "D", "Demographic", "S", "Social", "E", "Economic", "H", "Housing", "")</f>
        <v>Housing</v>
      </c>
      <c r="K2658" t="s">
        <v>9101</v>
      </c>
      <c r="L2658" t="s">
        <v>9102</v>
      </c>
      <c r="M2658" t="str">
        <f>IF(Table1[[#This Row],[used]], _xlfn.CONCAT("🆔 ", Table1[[#This Row],[variable]], ": ",Table1[[#This Row],[alias]]), "")</f>
        <v>🆔 B25085_002E: Less than $10,000</v>
      </c>
      <c r="O2658" t="s">
        <v>5310</v>
      </c>
      <c r="P2658" t="s">
        <v>9103</v>
      </c>
      <c r="Q2658" t="s">
        <v>41</v>
      </c>
      <c r="R2658" t="s">
        <v>9106</v>
      </c>
      <c r="S2658" t="b">
        <v>1</v>
      </c>
      <c r="T2658" t="b">
        <v>1</v>
      </c>
      <c r="U2658" t="b">
        <v>1</v>
      </c>
      <c r="V2658" t="b">
        <v>1</v>
      </c>
      <c r="W2658" t="b">
        <v>1</v>
      </c>
      <c r="X2658" t="b">
        <v>1</v>
      </c>
      <c r="Y2658" t="b">
        <v>1</v>
      </c>
      <c r="Z2658" t="b">
        <v>1</v>
      </c>
      <c r="AA2658" t="b">
        <v>1</v>
      </c>
      <c r="AB2658" t="b">
        <v>1</v>
      </c>
      <c r="AC2658" t="b">
        <v>1</v>
      </c>
      <c r="AD2658" t="b">
        <v>1</v>
      </c>
      <c r="AE2658" t="b">
        <v>1</v>
      </c>
      <c r="AF2658" t="b">
        <v>1</v>
      </c>
      <c r="AG2658" t="b">
        <v>1</v>
      </c>
    </row>
    <row r="2659" spans="1:33" x14ac:dyDescent="0.25">
      <c r="A2659" t="s">
        <v>33</v>
      </c>
      <c r="B2659">
        <v>15</v>
      </c>
      <c r="C2659" t="b">
        <v>1</v>
      </c>
      <c r="D2659" t="s">
        <v>7968</v>
      </c>
      <c r="E2659" t="s">
        <v>9098</v>
      </c>
      <c r="F2659" t="s">
        <v>9107</v>
      </c>
      <c r="G2659" t="s">
        <v>5313</v>
      </c>
      <c r="H2659">
        <v>2658</v>
      </c>
      <c r="I2659" t="str">
        <f>IF(ISBLANK(Table1[[#This Row],[oid]]),"FALSE","TRUE")</f>
        <v>TRUE</v>
      </c>
      <c r="J2659" t="str" cm="1">
        <f t="array" ref="J2659">_xlfn.SWITCH(LEFT(Table1[[#This Row],[section]],1), "D", "Demographic", "S", "Social", "E", "Economic", "H", "Housing", "")</f>
        <v>Housing</v>
      </c>
      <c r="K2659" t="s">
        <v>9101</v>
      </c>
      <c r="L2659" t="s">
        <v>9102</v>
      </c>
      <c r="M2659" t="str">
        <f>IF(Table1[[#This Row],[used]], _xlfn.CONCAT("🆔 ", Table1[[#This Row],[variable]], ": ",Table1[[#This Row],[alias]]), "")</f>
        <v>🆔 B25085_003E: $10,000 to $14,999</v>
      </c>
      <c r="O2659" t="s">
        <v>5314</v>
      </c>
      <c r="P2659" t="s">
        <v>9103</v>
      </c>
      <c r="Q2659" t="s">
        <v>41</v>
      </c>
      <c r="R2659" t="s">
        <v>9108</v>
      </c>
      <c r="S2659" t="b">
        <v>1</v>
      </c>
      <c r="T2659" t="b">
        <v>1</v>
      </c>
      <c r="U2659" t="b">
        <v>1</v>
      </c>
      <c r="V2659" t="b">
        <v>1</v>
      </c>
      <c r="W2659" t="b">
        <v>1</v>
      </c>
      <c r="X2659" t="b">
        <v>1</v>
      </c>
      <c r="Y2659" t="b">
        <v>1</v>
      </c>
      <c r="Z2659" t="b">
        <v>1</v>
      </c>
      <c r="AA2659" t="b">
        <v>1</v>
      </c>
      <c r="AB2659" t="b">
        <v>1</v>
      </c>
      <c r="AC2659" t="b">
        <v>1</v>
      </c>
      <c r="AD2659" t="b">
        <v>1</v>
      </c>
      <c r="AE2659" t="b">
        <v>1</v>
      </c>
      <c r="AF2659" t="b">
        <v>1</v>
      </c>
      <c r="AG2659" t="b">
        <v>1</v>
      </c>
    </row>
    <row r="2660" spans="1:33" x14ac:dyDescent="0.25">
      <c r="A2660" t="s">
        <v>33</v>
      </c>
      <c r="B2660">
        <v>15</v>
      </c>
      <c r="C2660" t="b">
        <v>1</v>
      </c>
      <c r="D2660" t="s">
        <v>7968</v>
      </c>
      <c r="E2660" t="s">
        <v>9098</v>
      </c>
      <c r="F2660" t="s">
        <v>9109</v>
      </c>
      <c r="G2660" t="s">
        <v>5317</v>
      </c>
      <c r="H2660">
        <v>2659</v>
      </c>
      <c r="I2660" t="str">
        <f>IF(ISBLANK(Table1[[#This Row],[oid]]),"FALSE","TRUE")</f>
        <v>TRUE</v>
      </c>
      <c r="J2660" t="str" cm="1">
        <f t="array" ref="J2660">_xlfn.SWITCH(LEFT(Table1[[#This Row],[section]],1), "D", "Demographic", "S", "Social", "E", "Economic", "H", "Housing", "")</f>
        <v>Housing</v>
      </c>
      <c r="K2660" t="s">
        <v>9101</v>
      </c>
      <c r="L2660" t="s">
        <v>9102</v>
      </c>
      <c r="M2660" t="str">
        <f>IF(Table1[[#This Row],[used]], _xlfn.CONCAT("🆔 ", Table1[[#This Row],[variable]], ": ",Table1[[#This Row],[alias]]), "")</f>
        <v>🆔 B25085_004E: $15,000 to $19,999</v>
      </c>
      <c r="O2660" t="s">
        <v>5318</v>
      </c>
      <c r="P2660" t="s">
        <v>9103</v>
      </c>
      <c r="Q2660" t="s">
        <v>41</v>
      </c>
      <c r="R2660" t="s">
        <v>9110</v>
      </c>
      <c r="S2660" t="b">
        <v>1</v>
      </c>
      <c r="T2660" t="b">
        <v>1</v>
      </c>
      <c r="U2660" t="b">
        <v>1</v>
      </c>
      <c r="V2660" t="b">
        <v>1</v>
      </c>
      <c r="W2660" t="b">
        <v>1</v>
      </c>
      <c r="X2660" t="b">
        <v>1</v>
      </c>
      <c r="Y2660" t="b">
        <v>1</v>
      </c>
      <c r="Z2660" t="b">
        <v>1</v>
      </c>
      <c r="AA2660" t="b">
        <v>1</v>
      </c>
      <c r="AB2660" t="b">
        <v>1</v>
      </c>
      <c r="AC2660" t="b">
        <v>1</v>
      </c>
      <c r="AD2660" t="b">
        <v>1</v>
      </c>
      <c r="AE2660" t="b">
        <v>1</v>
      </c>
      <c r="AF2660" t="b">
        <v>1</v>
      </c>
      <c r="AG2660" t="b">
        <v>1</v>
      </c>
    </row>
    <row r="2661" spans="1:33" x14ac:dyDescent="0.25">
      <c r="A2661" t="s">
        <v>33</v>
      </c>
      <c r="B2661">
        <v>15</v>
      </c>
      <c r="C2661" t="b">
        <v>1</v>
      </c>
      <c r="D2661" t="s">
        <v>7968</v>
      </c>
      <c r="E2661" t="s">
        <v>9098</v>
      </c>
      <c r="F2661" t="s">
        <v>9111</v>
      </c>
      <c r="G2661" t="s">
        <v>5321</v>
      </c>
      <c r="H2661">
        <v>2660</v>
      </c>
      <c r="I2661" t="str">
        <f>IF(ISBLANK(Table1[[#This Row],[oid]]),"FALSE","TRUE")</f>
        <v>TRUE</v>
      </c>
      <c r="J2661" t="str" cm="1">
        <f t="array" ref="J2661">_xlfn.SWITCH(LEFT(Table1[[#This Row],[section]],1), "D", "Demographic", "S", "Social", "E", "Economic", "H", "Housing", "")</f>
        <v>Housing</v>
      </c>
      <c r="K2661" t="s">
        <v>9101</v>
      </c>
      <c r="L2661" t="s">
        <v>9102</v>
      </c>
      <c r="M2661" t="str">
        <f>IF(Table1[[#This Row],[used]], _xlfn.CONCAT("🆔 ", Table1[[#This Row],[variable]], ": ",Table1[[#This Row],[alias]]), "")</f>
        <v>🆔 B25085_005E: $20,000 to $24,999</v>
      </c>
      <c r="O2661" t="s">
        <v>5322</v>
      </c>
      <c r="P2661" t="s">
        <v>9103</v>
      </c>
      <c r="Q2661" t="s">
        <v>41</v>
      </c>
      <c r="R2661" t="s">
        <v>9112</v>
      </c>
      <c r="S2661" t="b">
        <v>1</v>
      </c>
      <c r="T2661" t="b">
        <v>1</v>
      </c>
      <c r="U2661" t="b">
        <v>1</v>
      </c>
      <c r="V2661" t="b">
        <v>1</v>
      </c>
      <c r="W2661" t="b">
        <v>1</v>
      </c>
      <c r="X2661" t="b">
        <v>1</v>
      </c>
      <c r="Y2661" t="b">
        <v>1</v>
      </c>
      <c r="Z2661" t="b">
        <v>1</v>
      </c>
      <c r="AA2661" t="b">
        <v>1</v>
      </c>
      <c r="AB2661" t="b">
        <v>1</v>
      </c>
      <c r="AC2661" t="b">
        <v>1</v>
      </c>
      <c r="AD2661" t="b">
        <v>1</v>
      </c>
      <c r="AE2661" t="b">
        <v>1</v>
      </c>
      <c r="AF2661" t="b">
        <v>1</v>
      </c>
      <c r="AG2661" t="b">
        <v>1</v>
      </c>
    </row>
    <row r="2662" spans="1:33" x14ac:dyDescent="0.25">
      <c r="A2662" t="s">
        <v>33</v>
      </c>
      <c r="B2662">
        <v>15</v>
      </c>
      <c r="C2662" t="b">
        <v>1</v>
      </c>
      <c r="D2662" t="s">
        <v>7968</v>
      </c>
      <c r="E2662" t="s">
        <v>9098</v>
      </c>
      <c r="F2662" t="s">
        <v>9113</v>
      </c>
      <c r="G2662" t="s">
        <v>9114</v>
      </c>
      <c r="H2662">
        <v>2661</v>
      </c>
      <c r="I2662" t="str">
        <f>IF(ISBLANK(Table1[[#This Row],[oid]]),"FALSE","TRUE")</f>
        <v>TRUE</v>
      </c>
      <c r="J2662" t="str" cm="1">
        <f t="array" ref="J2662">_xlfn.SWITCH(LEFT(Table1[[#This Row],[section]],1), "D", "Demographic", "S", "Social", "E", "Economic", "H", "Housing", "")</f>
        <v>Housing</v>
      </c>
      <c r="K2662" t="s">
        <v>9101</v>
      </c>
      <c r="L2662" t="s">
        <v>9102</v>
      </c>
      <c r="M2662" t="str">
        <f>IF(Table1[[#This Row],[used]], _xlfn.CONCAT("🆔 ", Table1[[#This Row],[variable]], ": ",Table1[[#This Row],[alias]]), "")</f>
        <v>🆔 B25085_006E: $25000 to $29,999</v>
      </c>
      <c r="O2662" t="s">
        <v>5326</v>
      </c>
      <c r="P2662" t="s">
        <v>9103</v>
      </c>
      <c r="Q2662" t="s">
        <v>41</v>
      </c>
      <c r="R2662" t="s">
        <v>9115</v>
      </c>
      <c r="S2662" t="b">
        <v>1</v>
      </c>
      <c r="T2662" t="b">
        <v>1</v>
      </c>
      <c r="U2662" t="b">
        <v>1</v>
      </c>
      <c r="V2662" t="b">
        <v>1</v>
      </c>
      <c r="W2662" t="b">
        <v>1</v>
      </c>
      <c r="X2662" t="b">
        <v>1</v>
      </c>
      <c r="Y2662" t="b">
        <v>1</v>
      </c>
      <c r="Z2662" t="b">
        <v>1</v>
      </c>
      <c r="AA2662" t="b">
        <v>1</v>
      </c>
      <c r="AB2662" t="b">
        <v>1</v>
      </c>
      <c r="AC2662" t="b">
        <v>1</v>
      </c>
      <c r="AD2662" t="b">
        <v>1</v>
      </c>
      <c r="AE2662" t="b">
        <v>1</v>
      </c>
      <c r="AF2662" t="b">
        <v>1</v>
      </c>
      <c r="AG2662" t="b">
        <v>1</v>
      </c>
    </row>
    <row r="2663" spans="1:33" x14ac:dyDescent="0.25">
      <c r="A2663" t="s">
        <v>33</v>
      </c>
      <c r="B2663">
        <v>15</v>
      </c>
      <c r="C2663" t="b">
        <v>1</v>
      </c>
      <c r="D2663" t="s">
        <v>7968</v>
      </c>
      <c r="E2663" t="s">
        <v>9098</v>
      </c>
      <c r="F2663" t="s">
        <v>9116</v>
      </c>
      <c r="G2663" t="s">
        <v>5329</v>
      </c>
      <c r="H2663">
        <v>2662</v>
      </c>
      <c r="I2663" t="str">
        <f>IF(ISBLANK(Table1[[#This Row],[oid]]),"FALSE","TRUE")</f>
        <v>TRUE</v>
      </c>
      <c r="J2663" t="str" cm="1">
        <f t="array" ref="J2663">_xlfn.SWITCH(LEFT(Table1[[#This Row],[section]],1), "D", "Demographic", "S", "Social", "E", "Economic", "H", "Housing", "")</f>
        <v>Housing</v>
      </c>
      <c r="K2663" t="s">
        <v>9101</v>
      </c>
      <c r="L2663" t="s">
        <v>9102</v>
      </c>
      <c r="M2663" t="str">
        <f>IF(Table1[[#This Row],[used]], _xlfn.CONCAT("🆔 ", Table1[[#This Row],[variable]], ": ",Table1[[#This Row],[alias]]), "")</f>
        <v>🆔 B25085_007E: $30,000 to $34,999</v>
      </c>
      <c r="O2663" t="s">
        <v>5330</v>
      </c>
      <c r="P2663" t="s">
        <v>9103</v>
      </c>
      <c r="Q2663" t="s">
        <v>41</v>
      </c>
      <c r="R2663" t="s">
        <v>9117</v>
      </c>
      <c r="S2663" t="b">
        <v>1</v>
      </c>
      <c r="T2663" t="b">
        <v>1</v>
      </c>
      <c r="U2663" t="b">
        <v>1</v>
      </c>
      <c r="V2663" t="b">
        <v>1</v>
      </c>
      <c r="W2663" t="b">
        <v>1</v>
      </c>
      <c r="X2663" t="b">
        <v>1</v>
      </c>
      <c r="Y2663" t="b">
        <v>1</v>
      </c>
      <c r="Z2663" t="b">
        <v>1</v>
      </c>
      <c r="AA2663" t="b">
        <v>1</v>
      </c>
      <c r="AB2663" t="b">
        <v>1</v>
      </c>
      <c r="AC2663" t="b">
        <v>1</v>
      </c>
      <c r="AD2663" t="b">
        <v>1</v>
      </c>
      <c r="AE2663" t="b">
        <v>1</v>
      </c>
      <c r="AF2663" t="b">
        <v>1</v>
      </c>
      <c r="AG2663" t="b">
        <v>1</v>
      </c>
    </row>
    <row r="2664" spans="1:33" x14ac:dyDescent="0.25">
      <c r="A2664" t="s">
        <v>33</v>
      </c>
      <c r="B2664">
        <v>15</v>
      </c>
      <c r="C2664" t="b">
        <v>1</v>
      </c>
      <c r="D2664" t="s">
        <v>7968</v>
      </c>
      <c r="E2664" t="s">
        <v>9098</v>
      </c>
      <c r="F2664" t="s">
        <v>9118</v>
      </c>
      <c r="G2664" t="s">
        <v>5333</v>
      </c>
      <c r="H2664">
        <v>2663</v>
      </c>
      <c r="I2664" t="str">
        <f>IF(ISBLANK(Table1[[#This Row],[oid]]),"FALSE","TRUE")</f>
        <v>TRUE</v>
      </c>
      <c r="J2664" t="str" cm="1">
        <f t="array" ref="J2664">_xlfn.SWITCH(LEFT(Table1[[#This Row],[section]],1), "D", "Demographic", "S", "Social", "E", "Economic", "H", "Housing", "")</f>
        <v>Housing</v>
      </c>
      <c r="K2664" t="s">
        <v>9101</v>
      </c>
      <c r="L2664" t="s">
        <v>9102</v>
      </c>
      <c r="M2664" t="str">
        <f>IF(Table1[[#This Row],[used]], _xlfn.CONCAT("🆔 ", Table1[[#This Row],[variable]], ": ",Table1[[#This Row],[alias]]), "")</f>
        <v>🆔 B25085_008E: $35,000 to $39,999</v>
      </c>
      <c r="O2664" t="s">
        <v>5334</v>
      </c>
      <c r="P2664" t="s">
        <v>9103</v>
      </c>
      <c r="Q2664" t="s">
        <v>41</v>
      </c>
      <c r="R2664" t="s">
        <v>9119</v>
      </c>
      <c r="S2664" t="b">
        <v>1</v>
      </c>
      <c r="T2664" t="b">
        <v>1</v>
      </c>
      <c r="U2664" t="b">
        <v>1</v>
      </c>
      <c r="V2664" t="b">
        <v>1</v>
      </c>
      <c r="W2664" t="b">
        <v>1</v>
      </c>
      <c r="X2664" t="b">
        <v>1</v>
      </c>
      <c r="Y2664" t="b">
        <v>1</v>
      </c>
      <c r="Z2664" t="b">
        <v>1</v>
      </c>
      <c r="AA2664" t="b">
        <v>1</v>
      </c>
      <c r="AB2664" t="b">
        <v>1</v>
      </c>
      <c r="AC2664" t="b">
        <v>1</v>
      </c>
      <c r="AD2664" t="b">
        <v>1</v>
      </c>
      <c r="AE2664" t="b">
        <v>1</v>
      </c>
      <c r="AF2664" t="b">
        <v>1</v>
      </c>
      <c r="AG2664" t="b">
        <v>1</v>
      </c>
    </row>
    <row r="2665" spans="1:33" x14ac:dyDescent="0.25">
      <c r="A2665" t="s">
        <v>33</v>
      </c>
      <c r="B2665">
        <v>15</v>
      </c>
      <c r="C2665" t="b">
        <v>1</v>
      </c>
      <c r="D2665" t="s">
        <v>7968</v>
      </c>
      <c r="E2665" t="s">
        <v>9098</v>
      </c>
      <c r="F2665" t="s">
        <v>9120</v>
      </c>
      <c r="G2665" t="s">
        <v>8988</v>
      </c>
      <c r="H2665">
        <v>2664</v>
      </c>
      <c r="I2665" t="str">
        <f>IF(ISBLANK(Table1[[#This Row],[oid]]),"FALSE","TRUE")</f>
        <v>TRUE</v>
      </c>
      <c r="J2665" t="str" cm="1">
        <f t="array" ref="J2665">_xlfn.SWITCH(LEFT(Table1[[#This Row],[section]],1), "D", "Demographic", "S", "Social", "E", "Economic", "H", "Housing", "")</f>
        <v>Housing</v>
      </c>
      <c r="K2665" t="s">
        <v>9101</v>
      </c>
      <c r="L2665" t="s">
        <v>9102</v>
      </c>
      <c r="M2665" t="str">
        <f>IF(Table1[[#This Row],[used]], _xlfn.CONCAT("🆔 ", Table1[[#This Row],[variable]], ": ",Table1[[#This Row],[alias]]), "")</f>
        <v>🆔 B25085_009E: $40,000 to $49,999</v>
      </c>
      <c r="O2665" t="s">
        <v>8989</v>
      </c>
      <c r="P2665" t="s">
        <v>9103</v>
      </c>
      <c r="Q2665" t="s">
        <v>41</v>
      </c>
      <c r="R2665" t="s">
        <v>9121</v>
      </c>
      <c r="S2665" t="b">
        <v>1</v>
      </c>
      <c r="T2665" t="b">
        <v>1</v>
      </c>
      <c r="U2665" t="b">
        <v>1</v>
      </c>
      <c r="V2665" t="b">
        <v>1</v>
      </c>
      <c r="W2665" t="b">
        <v>1</v>
      </c>
      <c r="X2665" t="b">
        <v>1</v>
      </c>
      <c r="Y2665" t="b">
        <v>1</v>
      </c>
      <c r="Z2665" t="b">
        <v>1</v>
      </c>
      <c r="AA2665" t="b">
        <v>1</v>
      </c>
      <c r="AB2665" t="b">
        <v>1</v>
      </c>
      <c r="AC2665" t="b">
        <v>1</v>
      </c>
      <c r="AD2665" t="b">
        <v>1</v>
      </c>
      <c r="AE2665" t="b">
        <v>1</v>
      </c>
      <c r="AF2665" t="b">
        <v>1</v>
      </c>
      <c r="AG2665" t="b">
        <v>1</v>
      </c>
    </row>
    <row r="2666" spans="1:33" x14ac:dyDescent="0.25">
      <c r="A2666" t="s">
        <v>33</v>
      </c>
      <c r="B2666">
        <v>15</v>
      </c>
      <c r="C2666" t="b">
        <v>1</v>
      </c>
      <c r="D2666" t="s">
        <v>7968</v>
      </c>
      <c r="E2666" t="s">
        <v>9098</v>
      </c>
      <c r="F2666" t="s">
        <v>9122</v>
      </c>
      <c r="G2666" t="s">
        <v>5345</v>
      </c>
      <c r="H2666">
        <v>2665</v>
      </c>
      <c r="I2666" t="str">
        <f>IF(ISBLANK(Table1[[#This Row],[oid]]),"FALSE","TRUE")</f>
        <v>TRUE</v>
      </c>
      <c r="J2666" t="str" cm="1">
        <f t="array" ref="J2666">_xlfn.SWITCH(LEFT(Table1[[#This Row],[section]],1), "D", "Demographic", "S", "Social", "E", "Economic", "H", "Housing", "")</f>
        <v>Housing</v>
      </c>
      <c r="K2666" t="s">
        <v>9101</v>
      </c>
      <c r="L2666" t="s">
        <v>9102</v>
      </c>
      <c r="M2666" t="str">
        <f>IF(Table1[[#This Row],[used]], _xlfn.CONCAT("🆔 ", Table1[[#This Row],[variable]], ": ",Table1[[#This Row],[alias]]), "")</f>
        <v>🆔 B25085_010E: $50,000 to $59,999</v>
      </c>
      <c r="O2666" t="s">
        <v>5346</v>
      </c>
      <c r="P2666" t="s">
        <v>9103</v>
      </c>
      <c r="Q2666" t="s">
        <v>41</v>
      </c>
      <c r="R2666" t="s">
        <v>9123</v>
      </c>
      <c r="S2666" t="b">
        <v>1</v>
      </c>
      <c r="T2666" t="b">
        <v>1</v>
      </c>
      <c r="U2666" t="b">
        <v>1</v>
      </c>
      <c r="V2666" t="b">
        <v>1</v>
      </c>
      <c r="W2666" t="b">
        <v>1</v>
      </c>
      <c r="X2666" t="b">
        <v>1</v>
      </c>
      <c r="Y2666" t="b">
        <v>1</v>
      </c>
      <c r="Z2666" t="b">
        <v>1</v>
      </c>
      <c r="AA2666" t="b">
        <v>1</v>
      </c>
      <c r="AB2666" t="b">
        <v>1</v>
      </c>
      <c r="AC2666" t="b">
        <v>1</v>
      </c>
      <c r="AD2666" t="b">
        <v>1</v>
      </c>
      <c r="AE2666" t="b">
        <v>1</v>
      </c>
      <c r="AF2666" t="b">
        <v>1</v>
      </c>
      <c r="AG2666" t="b">
        <v>1</v>
      </c>
    </row>
    <row r="2667" spans="1:33" x14ac:dyDescent="0.25">
      <c r="A2667" t="s">
        <v>33</v>
      </c>
      <c r="B2667">
        <v>15</v>
      </c>
      <c r="C2667" t="b">
        <v>1</v>
      </c>
      <c r="D2667" t="s">
        <v>7968</v>
      </c>
      <c r="E2667" t="s">
        <v>9098</v>
      </c>
      <c r="F2667" t="s">
        <v>9124</v>
      </c>
      <c r="G2667" t="s">
        <v>8994</v>
      </c>
      <c r="H2667">
        <v>2666</v>
      </c>
      <c r="I2667" t="str">
        <f>IF(ISBLANK(Table1[[#This Row],[oid]]),"FALSE","TRUE")</f>
        <v>TRUE</v>
      </c>
      <c r="J2667" t="str" cm="1">
        <f t="array" ref="J2667">_xlfn.SWITCH(LEFT(Table1[[#This Row],[section]],1), "D", "Demographic", "S", "Social", "E", "Economic", "H", "Housing", "")</f>
        <v>Housing</v>
      </c>
      <c r="K2667" t="s">
        <v>9101</v>
      </c>
      <c r="L2667" t="s">
        <v>9102</v>
      </c>
      <c r="M2667" t="str">
        <f>IF(Table1[[#This Row],[used]], _xlfn.CONCAT("🆔 ", Table1[[#This Row],[variable]], ": ",Table1[[#This Row],[alias]]), "")</f>
        <v>🆔 B25085_011E: $60,000 to $69,999</v>
      </c>
      <c r="O2667" t="s">
        <v>8995</v>
      </c>
      <c r="P2667" t="s">
        <v>9103</v>
      </c>
      <c r="Q2667" t="s">
        <v>41</v>
      </c>
      <c r="R2667" t="s">
        <v>9125</v>
      </c>
      <c r="S2667" t="b">
        <v>1</v>
      </c>
      <c r="T2667" t="b">
        <v>1</v>
      </c>
      <c r="U2667" t="b">
        <v>1</v>
      </c>
      <c r="V2667" t="b">
        <v>1</v>
      </c>
      <c r="W2667" t="b">
        <v>1</v>
      </c>
      <c r="X2667" t="b">
        <v>1</v>
      </c>
      <c r="Y2667" t="b">
        <v>1</v>
      </c>
      <c r="Z2667" t="b">
        <v>1</v>
      </c>
      <c r="AA2667" t="b">
        <v>1</v>
      </c>
      <c r="AB2667" t="b">
        <v>1</v>
      </c>
      <c r="AC2667" t="b">
        <v>1</v>
      </c>
      <c r="AD2667" t="b">
        <v>1</v>
      </c>
      <c r="AE2667" t="b">
        <v>1</v>
      </c>
      <c r="AF2667" t="b">
        <v>1</v>
      </c>
      <c r="AG2667" t="b">
        <v>1</v>
      </c>
    </row>
    <row r="2668" spans="1:33" x14ac:dyDescent="0.25">
      <c r="A2668" t="s">
        <v>33</v>
      </c>
      <c r="B2668">
        <v>15</v>
      </c>
      <c r="C2668" t="b">
        <v>1</v>
      </c>
      <c r="D2668" t="s">
        <v>7968</v>
      </c>
      <c r="E2668" t="s">
        <v>9098</v>
      </c>
      <c r="F2668" t="s">
        <v>9126</v>
      </c>
      <c r="G2668" t="s">
        <v>8998</v>
      </c>
      <c r="H2668">
        <v>2667</v>
      </c>
      <c r="I2668" t="str">
        <f>IF(ISBLANK(Table1[[#This Row],[oid]]),"FALSE","TRUE")</f>
        <v>TRUE</v>
      </c>
      <c r="J2668" t="str" cm="1">
        <f t="array" ref="J2668">_xlfn.SWITCH(LEFT(Table1[[#This Row],[section]],1), "D", "Demographic", "S", "Social", "E", "Economic", "H", "Housing", "")</f>
        <v>Housing</v>
      </c>
      <c r="K2668" t="s">
        <v>9101</v>
      </c>
      <c r="L2668" t="s">
        <v>9102</v>
      </c>
      <c r="M2668" t="str">
        <f>IF(Table1[[#This Row],[used]], _xlfn.CONCAT("🆔 ", Table1[[#This Row],[variable]], ": ",Table1[[#This Row],[alias]]), "")</f>
        <v>🆔 B25085_012E: $70,000 to $79,999</v>
      </c>
      <c r="O2668" t="s">
        <v>8999</v>
      </c>
      <c r="P2668" t="s">
        <v>9103</v>
      </c>
      <c r="Q2668" t="s">
        <v>41</v>
      </c>
      <c r="R2668" t="s">
        <v>9127</v>
      </c>
      <c r="S2668" t="b">
        <v>1</v>
      </c>
      <c r="T2668" t="b">
        <v>1</v>
      </c>
      <c r="U2668" t="b">
        <v>1</v>
      </c>
      <c r="V2668" t="b">
        <v>1</v>
      </c>
      <c r="W2668" t="b">
        <v>1</v>
      </c>
      <c r="X2668" t="b">
        <v>1</v>
      </c>
      <c r="Y2668" t="b">
        <v>1</v>
      </c>
      <c r="Z2668" t="b">
        <v>1</v>
      </c>
      <c r="AA2668" t="b">
        <v>1</v>
      </c>
      <c r="AB2668" t="b">
        <v>1</v>
      </c>
      <c r="AC2668" t="b">
        <v>1</v>
      </c>
      <c r="AD2668" t="b">
        <v>1</v>
      </c>
      <c r="AE2668" t="b">
        <v>1</v>
      </c>
      <c r="AF2668" t="b">
        <v>1</v>
      </c>
      <c r="AG2668" t="b">
        <v>1</v>
      </c>
    </row>
    <row r="2669" spans="1:33" x14ac:dyDescent="0.25">
      <c r="A2669" t="s">
        <v>33</v>
      </c>
      <c r="B2669">
        <v>15</v>
      </c>
      <c r="C2669" t="b">
        <v>1</v>
      </c>
      <c r="D2669" t="s">
        <v>7968</v>
      </c>
      <c r="E2669" t="s">
        <v>9098</v>
      </c>
      <c r="F2669" t="s">
        <v>9128</v>
      </c>
      <c r="G2669" t="s">
        <v>9002</v>
      </c>
      <c r="H2669">
        <v>2668</v>
      </c>
      <c r="I2669" t="str">
        <f>IF(ISBLANK(Table1[[#This Row],[oid]]),"FALSE","TRUE")</f>
        <v>TRUE</v>
      </c>
      <c r="J2669" t="str" cm="1">
        <f t="array" ref="J2669">_xlfn.SWITCH(LEFT(Table1[[#This Row],[section]],1), "D", "Demographic", "S", "Social", "E", "Economic", "H", "Housing", "")</f>
        <v>Housing</v>
      </c>
      <c r="K2669" t="s">
        <v>9101</v>
      </c>
      <c r="L2669" t="s">
        <v>9102</v>
      </c>
      <c r="M2669" t="str">
        <f>IF(Table1[[#This Row],[used]], _xlfn.CONCAT("🆔 ", Table1[[#This Row],[variable]], ": ",Table1[[#This Row],[alias]]), "")</f>
        <v>🆔 B25085_013E: $80,000 to $89,999</v>
      </c>
      <c r="O2669" t="s">
        <v>9003</v>
      </c>
      <c r="P2669" t="s">
        <v>9103</v>
      </c>
      <c r="Q2669" t="s">
        <v>41</v>
      </c>
      <c r="R2669" t="s">
        <v>9129</v>
      </c>
      <c r="S2669" t="b">
        <v>1</v>
      </c>
      <c r="T2669" t="b">
        <v>1</v>
      </c>
      <c r="U2669" t="b">
        <v>1</v>
      </c>
      <c r="V2669" t="b">
        <v>1</v>
      </c>
      <c r="W2669" t="b">
        <v>1</v>
      </c>
      <c r="X2669" t="b">
        <v>1</v>
      </c>
      <c r="Y2669" t="b">
        <v>1</v>
      </c>
      <c r="Z2669" t="b">
        <v>1</v>
      </c>
      <c r="AA2669" t="b">
        <v>1</v>
      </c>
      <c r="AB2669" t="b">
        <v>1</v>
      </c>
      <c r="AC2669" t="b">
        <v>1</v>
      </c>
      <c r="AD2669" t="b">
        <v>1</v>
      </c>
      <c r="AE2669" t="b">
        <v>1</v>
      </c>
      <c r="AF2669" t="b">
        <v>1</v>
      </c>
      <c r="AG2669" t="b">
        <v>1</v>
      </c>
    </row>
    <row r="2670" spans="1:33" x14ac:dyDescent="0.25">
      <c r="A2670" t="s">
        <v>33</v>
      </c>
      <c r="B2670">
        <v>15</v>
      </c>
      <c r="C2670" t="b">
        <v>1</v>
      </c>
      <c r="D2670" t="s">
        <v>7968</v>
      </c>
      <c r="E2670" t="s">
        <v>9098</v>
      </c>
      <c r="F2670" t="s">
        <v>9130</v>
      </c>
      <c r="G2670" t="s">
        <v>9006</v>
      </c>
      <c r="H2670">
        <v>2669</v>
      </c>
      <c r="I2670" t="str">
        <f>IF(ISBLANK(Table1[[#This Row],[oid]]),"FALSE","TRUE")</f>
        <v>TRUE</v>
      </c>
      <c r="J2670" t="str" cm="1">
        <f t="array" ref="J2670">_xlfn.SWITCH(LEFT(Table1[[#This Row],[section]],1), "D", "Demographic", "S", "Social", "E", "Economic", "H", "Housing", "")</f>
        <v>Housing</v>
      </c>
      <c r="K2670" t="s">
        <v>9101</v>
      </c>
      <c r="L2670" t="s">
        <v>9102</v>
      </c>
      <c r="M2670" t="str">
        <f>IF(Table1[[#This Row],[used]], _xlfn.CONCAT("🆔 ", Table1[[#This Row],[variable]], ": ",Table1[[#This Row],[alias]]), "")</f>
        <v>🆔 B25085_014E: $90,000 to $99,999</v>
      </c>
      <c r="O2670" t="s">
        <v>9007</v>
      </c>
      <c r="P2670" t="s">
        <v>9103</v>
      </c>
      <c r="Q2670" t="s">
        <v>41</v>
      </c>
      <c r="R2670" t="s">
        <v>9131</v>
      </c>
      <c r="S2670" t="b">
        <v>1</v>
      </c>
      <c r="T2670" t="b">
        <v>1</v>
      </c>
      <c r="U2670" t="b">
        <v>1</v>
      </c>
      <c r="V2670" t="b">
        <v>1</v>
      </c>
      <c r="W2670" t="b">
        <v>1</v>
      </c>
      <c r="X2670" t="b">
        <v>1</v>
      </c>
      <c r="Y2670" t="b">
        <v>1</v>
      </c>
      <c r="Z2670" t="b">
        <v>1</v>
      </c>
      <c r="AA2670" t="b">
        <v>1</v>
      </c>
      <c r="AB2670" t="b">
        <v>1</v>
      </c>
      <c r="AC2670" t="b">
        <v>1</v>
      </c>
      <c r="AD2670" t="b">
        <v>1</v>
      </c>
      <c r="AE2670" t="b">
        <v>1</v>
      </c>
      <c r="AF2670" t="b">
        <v>1</v>
      </c>
      <c r="AG2670" t="b">
        <v>1</v>
      </c>
    </row>
    <row r="2671" spans="1:33" x14ac:dyDescent="0.25">
      <c r="A2671" t="s">
        <v>33</v>
      </c>
      <c r="B2671">
        <v>15</v>
      </c>
      <c r="C2671" t="b">
        <v>1</v>
      </c>
      <c r="D2671" t="s">
        <v>7968</v>
      </c>
      <c r="E2671" t="s">
        <v>9098</v>
      </c>
      <c r="F2671" t="s">
        <v>9132</v>
      </c>
      <c r="G2671" t="s">
        <v>5357</v>
      </c>
      <c r="H2671">
        <v>2670</v>
      </c>
      <c r="I2671" t="str">
        <f>IF(ISBLANK(Table1[[#This Row],[oid]]),"FALSE","TRUE")</f>
        <v>TRUE</v>
      </c>
      <c r="J2671" t="str" cm="1">
        <f t="array" ref="J2671">_xlfn.SWITCH(LEFT(Table1[[#This Row],[section]],1), "D", "Demographic", "S", "Social", "E", "Economic", "H", "Housing", "")</f>
        <v>Housing</v>
      </c>
      <c r="K2671" t="s">
        <v>9101</v>
      </c>
      <c r="L2671" t="s">
        <v>9102</v>
      </c>
      <c r="M2671" t="str">
        <f>IF(Table1[[#This Row],[used]], _xlfn.CONCAT("🆔 ", Table1[[#This Row],[variable]], ": ",Table1[[#This Row],[alias]]), "")</f>
        <v>🆔 B25085_015E: $100,000 to $124,999</v>
      </c>
      <c r="O2671" t="s">
        <v>5358</v>
      </c>
      <c r="P2671" t="s">
        <v>9103</v>
      </c>
      <c r="Q2671" t="s">
        <v>41</v>
      </c>
      <c r="R2671" t="s">
        <v>9133</v>
      </c>
      <c r="S2671" t="b">
        <v>1</v>
      </c>
      <c r="T2671" t="b">
        <v>1</v>
      </c>
      <c r="U2671" t="b">
        <v>1</v>
      </c>
      <c r="V2671" t="b">
        <v>1</v>
      </c>
      <c r="W2671" t="b">
        <v>1</v>
      </c>
      <c r="X2671" t="b">
        <v>1</v>
      </c>
      <c r="Y2671" t="b">
        <v>1</v>
      </c>
      <c r="Z2671" t="b">
        <v>1</v>
      </c>
      <c r="AA2671" t="b">
        <v>1</v>
      </c>
      <c r="AB2671" t="b">
        <v>1</v>
      </c>
      <c r="AC2671" t="b">
        <v>1</v>
      </c>
      <c r="AD2671" t="b">
        <v>1</v>
      </c>
      <c r="AE2671" t="b">
        <v>1</v>
      </c>
      <c r="AF2671" t="b">
        <v>1</v>
      </c>
      <c r="AG2671" t="b">
        <v>1</v>
      </c>
    </row>
    <row r="2672" spans="1:33" x14ac:dyDescent="0.25">
      <c r="A2672" t="s">
        <v>33</v>
      </c>
      <c r="B2672">
        <v>15</v>
      </c>
      <c r="C2672" t="b">
        <v>1</v>
      </c>
      <c r="D2672" t="s">
        <v>7968</v>
      </c>
      <c r="E2672" t="s">
        <v>9098</v>
      </c>
      <c r="F2672" t="s">
        <v>9134</v>
      </c>
      <c r="G2672" t="s">
        <v>5361</v>
      </c>
      <c r="H2672">
        <v>2671</v>
      </c>
      <c r="I2672" t="str">
        <f>IF(ISBLANK(Table1[[#This Row],[oid]]),"FALSE","TRUE")</f>
        <v>TRUE</v>
      </c>
      <c r="J2672" t="str" cm="1">
        <f t="array" ref="J2672">_xlfn.SWITCH(LEFT(Table1[[#This Row],[section]],1), "D", "Demographic", "S", "Social", "E", "Economic", "H", "Housing", "")</f>
        <v>Housing</v>
      </c>
      <c r="K2672" t="s">
        <v>9101</v>
      </c>
      <c r="L2672" t="s">
        <v>9102</v>
      </c>
      <c r="M2672" t="str">
        <f>IF(Table1[[#This Row],[used]], _xlfn.CONCAT("🆔 ", Table1[[#This Row],[variable]], ": ",Table1[[#This Row],[alias]]), "")</f>
        <v>🆔 B25085_016E: $125,000 to $149,999</v>
      </c>
      <c r="O2672" t="s">
        <v>5362</v>
      </c>
      <c r="P2672" t="s">
        <v>9103</v>
      </c>
      <c r="Q2672" t="s">
        <v>41</v>
      </c>
      <c r="R2672" t="s">
        <v>9135</v>
      </c>
      <c r="S2672" t="b">
        <v>1</v>
      </c>
      <c r="T2672" t="b">
        <v>1</v>
      </c>
      <c r="U2672" t="b">
        <v>1</v>
      </c>
      <c r="V2672" t="b">
        <v>1</v>
      </c>
      <c r="W2672" t="b">
        <v>1</v>
      </c>
      <c r="X2672" t="b">
        <v>1</v>
      </c>
      <c r="Y2672" t="b">
        <v>1</v>
      </c>
      <c r="Z2672" t="b">
        <v>1</v>
      </c>
      <c r="AA2672" t="b">
        <v>1</v>
      </c>
      <c r="AB2672" t="b">
        <v>1</v>
      </c>
      <c r="AC2672" t="b">
        <v>1</v>
      </c>
      <c r="AD2672" t="b">
        <v>1</v>
      </c>
      <c r="AE2672" t="b">
        <v>1</v>
      </c>
      <c r="AF2672" t="b">
        <v>1</v>
      </c>
      <c r="AG2672" t="b">
        <v>1</v>
      </c>
    </row>
    <row r="2673" spans="1:33" x14ac:dyDescent="0.25">
      <c r="A2673" t="s">
        <v>33</v>
      </c>
      <c r="B2673">
        <v>15</v>
      </c>
      <c r="C2673" t="b">
        <v>1</v>
      </c>
      <c r="D2673" t="s">
        <v>7968</v>
      </c>
      <c r="E2673" t="s">
        <v>9098</v>
      </c>
      <c r="F2673" t="s">
        <v>9136</v>
      </c>
      <c r="G2673" t="s">
        <v>9014</v>
      </c>
      <c r="H2673">
        <v>2672</v>
      </c>
      <c r="I2673" t="str">
        <f>IF(ISBLANK(Table1[[#This Row],[oid]]),"FALSE","TRUE")</f>
        <v>TRUE</v>
      </c>
      <c r="J2673" t="str" cm="1">
        <f t="array" ref="J2673">_xlfn.SWITCH(LEFT(Table1[[#This Row],[section]],1), "D", "Demographic", "S", "Social", "E", "Economic", "H", "Housing", "")</f>
        <v>Housing</v>
      </c>
      <c r="K2673" t="s">
        <v>9101</v>
      </c>
      <c r="L2673" t="s">
        <v>9102</v>
      </c>
      <c r="M2673" t="str">
        <f>IF(Table1[[#This Row],[used]], _xlfn.CONCAT("🆔 ", Table1[[#This Row],[variable]], ": ",Table1[[#This Row],[alias]]), "")</f>
        <v>🆔 B25085_017E: $150,000 to $174,999</v>
      </c>
      <c r="O2673" t="s">
        <v>9015</v>
      </c>
      <c r="P2673" t="s">
        <v>9103</v>
      </c>
      <c r="Q2673" t="s">
        <v>41</v>
      </c>
      <c r="R2673" t="s">
        <v>9137</v>
      </c>
      <c r="S2673" t="b">
        <v>1</v>
      </c>
      <c r="T2673" t="b">
        <v>1</v>
      </c>
      <c r="U2673" t="b">
        <v>1</v>
      </c>
      <c r="V2673" t="b">
        <v>1</v>
      </c>
      <c r="W2673" t="b">
        <v>1</v>
      </c>
      <c r="X2673" t="b">
        <v>1</v>
      </c>
      <c r="Y2673" t="b">
        <v>1</v>
      </c>
      <c r="Z2673" t="b">
        <v>1</v>
      </c>
      <c r="AA2673" t="b">
        <v>1</v>
      </c>
      <c r="AB2673" t="b">
        <v>1</v>
      </c>
      <c r="AC2673" t="b">
        <v>1</v>
      </c>
      <c r="AD2673" t="b">
        <v>1</v>
      </c>
      <c r="AE2673" t="b">
        <v>1</v>
      </c>
      <c r="AF2673" t="b">
        <v>1</v>
      </c>
      <c r="AG2673" t="b">
        <v>1</v>
      </c>
    </row>
    <row r="2674" spans="1:33" x14ac:dyDescent="0.25">
      <c r="A2674" t="s">
        <v>33</v>
      </c>
      <c r="B2674">
        <v>15</v>
      </c>
      <c r="C2674" t="b">
        <v>1</v>
      </c>
      <c r="D2674" t="s">
        <v>7968</v>
      </c>
      <c r="E2674" t="s">
        <v>9098</v>
      </c>
      <c r="F2674" t="s">
        <v>9138</v>
      </c>
      <c r="G2674" t="s">
        <v>9018</v>
      </c>
      <c r="H2674">
        <v>2673</v>
      </c>
      <c r="I2674" t="str">
        <f>IF(ISBLANK(Table1[[#This Row],[oid]]),"FALSE","TRUE")</f>
        <v>TRUE</v>
      </c>
      <c r="J2674" t="str" cm="1">
        <f t="array" ref="J2674">_xlfn.SWITCH(LEFT(Table1[[#This Row],[section]],1), "D", "Demographic", "S", "Social", "E", "Economic", "H", "Housing", "")</f>
        <v>Housing</v>
      </c>
      <c r="K2674" t="s">
        <v>9101</v>
      </c>
      <c r="L2674" t="s">
        <v>9102</v>
      </c>
      <c r="M2674" t="str">
        <f>IF(Table1[[#This Row],[used]], _xlfn.CONCAT("🆔 ", Table1[[#This Row],[variable]], ": ",Table1[[#This Row],[alias]]), "")</f>
        <v>🆔 B25085_018E: $175,000 to $199,999</v>
      </c>
      <c r="O2674" t="s">
        <v>9019</v>
      </c>
      <c r="P2674" t="s">
        <v>9103</v>
      </c>
      <c r="Q2674" t="s">
        <v>41</v>
      </c>
      <c r="R2674" t="s">
        <v>9139</v>
      </c>
      <c r="S2674" t="b">
        <v>1</v>
      </c>
      <c r="T2674" t="b">
        <v>1</v>
      </c>
      <c r="U2674" t="b">
        <v>1</v>
      </c>
      <c r="V2674" t="b">
        <v>1</v>
      </c>
      <c r="W2674" t="b">
        <v>1</v>
      </c>
      <c r="X2674" t="b">
        <v>1</v>
      </c>
      <c r="Y2674" t="b">
        <v>1</v>
      </c>
      <c r="Z2674" t="b">
        <v>1</v>
      </c>
      <c r="AA2674" t="b">
        <v>1</v>
      </c>
      <c r="AB2674" t="b">
        <v>1</v>
      </c>
      <c r="AC2674" t="b">
        <v>1</v>
      </c>
      <c r="AD2674" t="b">
        <v>1</v>
      </c>
      <c r="AE2674" t="b">
        <v>1</v>
      </c>
      <c r="AF2674" t="b">
        <v>1</v>
      </c>
      <c r="AG2674" t="b">
        <v>1</v>
      </c>
    </row>
    <row r="2675" spans="1:33" x14ac:dyDescent="0.25">
      <c r="A2675" t="s">
        <v>33</v>
      </c>
      <c r="B2675">
        <v>15</v>
      </c>
      <c r="C2675" t="b">
        <v>1</v>
      </c>
      <c r="D2675" t="s">
        <v>7968</v>
      </c>
      <c r="E2675" t="s">
        <v>9098</v>
      </c>
      <c r="F2675" t="s">
        <v>9140</v>
      </c>
      <c r="G2675" t="s">
        <v>9022</v>
      </c>
      <c r="H2675">
        <v>2674</v>
      </c>
      <c r="I2675" t="str">
        <f>IF(ISBLANK(Table1[[#This Row],[oid]]),"FALSE","TRUE")</f>
        <v>TRUE</v>
      </c>
      <c r="J2675" t="str" cm="1">
        <f t="array" ref="J2675">_xlfn.SWITCH(LEFT(Table1[[#This Row],[section]],1), "D", "Demographic", "S", "Social", "E", "Economic", "H", "Housing", "")</f>
        <v>Housing</v>
      </c>
      <c r="K2675" t="s">
        <v>9101</v>
      </c>
      <c r="L2675" t="s">
        <v>9102</v>
      </c>
      <c r="M2675" t="str">
        <f>IF(Table1[[#This Row],[used]], _xlfn.CONCAT("🆔 ", Table1[[#This Row],[variable]], ": ",Table1[[#This Row],[alias]]), "")</f>
        <v>🆔 B25085_019E: $200,000 to $249,999</v>
      </c>
      <c r="O2675" t="s">
        <v>9023</v>
      </c>
      <c r="P2675" t="s">
        <v>9103</v>
      </c>
      <c r="Q2675" t="s">
        <v>41</v>
      </c>
      <c r="R2675" t="s">
        <v>9141</v>
      </c>
      <c r="S2675" t="b">
        <v>1</v>
      </c>
      <c r="T2675" t="b">
        <v>1</v>
      </c>
      <c r="U2675" t="b">
        <v>1</v>
      </c>
      <c r="V2675" t="b">
        <v>1</v>
      </c>
      <c r="W2675" t="b">
        <v>1</v>
      </c>
      <c r="X2675" t="b">
        <v>1</v>
      </c>
      <c r="Y2675" t="b">
        <v>1</v>
      </c>
      <c r="Z2675" t="b">
        <v>1</v>
      </c>
      <c r="AA2675" t="b">
        <v>1</v>
      </c>
      <c r="AB2675" t="b">
        <v>1</v>
      </c>
      <c r="AC2675" t="b">
        <v>1</v>
      </c>
      <c r="AD2675" t="b">
        <v>1</v>
      </c>
      <c r="AE2675" t="b">
        <v>1</v>
      </c>
      <c r="AF2675" t="b">
        <v>1</v>
      </c>
      <c r="AG2675" t="b">
        <v>1</v>
      </c>
    </row>
    <row r="2676" spans="1:33" x14ac:dyDescent="0.25">
      <c r="A2676" t="s">
        <v>33</v>
      </c>
      <c r="B2676">
        <v>15</v>
      </c>
      <c r="C2676" t="b">
        <v>1</v>
      </c>
      <c r="D2676" t="s">
        <v>7968</v>
      </c>
      <c r="E2676" t="s">
        <v>9098</v>
      </c>
      <c r="F2676" t="s">
        <v>9142</v>
      </c>
      <c r="G2676" t="s">
        <v>9026</v>
      </c>
      <c r="H2676">
        <v>2675</v>
      </c>
      <c r="I2676" t="str">
        <f>IF(ISBLANK(Table1[[#This Row],[oid]]),"FALSE","TRUE")</f>
        <v>TRUE</v>
      </c>
      <c r="J2676" t="str" cm="1">
        <f t="array" ref="J2676">_xlfn.SWITCH(LEFT(Table1[[#This Row],[section]],1), "D", "Demographic", "S", "Social", "E", "Economic", "H", "Housing", "")</f>
        <v>Housing</v>
      </c>
      <c r="K2676" t="s">
        <v>9101</v>
      </c>
      <c r="L2676" t="s">
        <v>9102</v>
      </c>
      <c r="M2676" t="str">
        <f>IF(Table1[[#This Row],[used]], _xlfn.CONCAT("🆔 ", Table1[[#This Row],[variable]], ": ",Table1[[#This Row],[alias]]), "")</f>
        <v>🆔 B25085_020E: $250,000 to $299,999</v>
      </c>
      <c r="O2676" t="s">
        <v>9027</v>
      </c>
      <c r="P2676" t="s">
        <v>9103</v>
      </c>
      <c r="Q2676" t="s">
        <v>41</v>
      </c>
      <c r="R2676" t="s">
        <v>9143</v>
      </c>
      <c r="S2676" t="b">
        <v>1</v>
      </c>
      <c r="T2676" t="b">
        <v>1</v>
      </c>
      <c r="U2676" t="b">
        <v>1</v>
      </c>
      <c r="V2676" t="b">
        <v>1</v>
      </c>
      <c r="W2676" t="b">
        <v>1</v>
      </c>
      <c r="X2676" t="b">
        <v>1</v>
      </c>
      <c r="Y2676" t="b">
        <v>1</v>
      </c>
      <c r="Z2676" t="b">
        <v>1</v>
      </c>
      <c r="AA2676" t="b">
        <v>1</v>
      </c>
      <c r="AB2676" t="b">
        <v>1</v>
      </c>
      <c r="AC2676" t="b">
        <v>1</v>
      </c>
      <c r="AD2676" t="b">
        <v>1</v>
      </c>
      <c r="AE2676" t="b">
        <v>1</v>
      </c>
      <c r="AF2676" t="b">
        <v>1</v>
      </c>
      <c r="AG2676" t="b">
        <v>1</v>
      </c>
    </row>
    <row r="2677" spans="1:33" x14ac:dyDescent="0.25">
      <c r="A2677" t="s">
        <v>33</v>
      </c>
      <c r="B2677">
        <v>15</v>
      </c>
      <c r="C2677" t="b">
        <v>1</v>
      </c>
      <c r="D2677" t="s">
        <v>7968</v>
      </c>
      <c r="E2677" t="s">
        <v>9098</v>
      </c>
      <c r="F2677" t="s">
        <v>9144</v>
      </c>
      <c r="G2677" t="s">
        <v>9030</v>
      </c>
      <c r="H2677">
        <v>2676</v>
      </c>
      <c r="I2677" t="str">
        <f>IF(ISBLANK(Table1[[#This Row],[oid]]),"FALSE","TRUE")</f>
        <v>TRUE</v>
      </c>
      <c r="J2677" t="str" cm="1">
        <f t="array" ref="J2677">_xlfn.SWITCH(LEFT(Table1[[#This Row],[section]],1), "D", "Demographic", "S", "Social", "E", "Economic", "H", "Housing", "")</f>
        <v>Housing</v>
      </c>
      <c r="K2677" t="s">
        <v>9101</v>
      </c>
      <c r="L2677" t="s">
        <v>9102</v>
      </c>
      <c r="M2677" t="str">
        <f>IF(Table1[[#This Row],[used]], _xlfn.CONCAT("🆔 ", Table1[[#This Row],[variable]], ": ",Table1[[#This Row],[alias]]), "")</f>
        <v>🆔 B25085_021E: $300,000 to $399,999</v>
      </c>
      <c r="O2677" t="s">
        <v>9031</v>
      </c>
      <c r="P2677" t="s">
        <v>9103</v>
      </c>
      <c r="Q2677" t="s">
        <v>41</v>
      </c>
      <c r="R2677" t="s">
        <v>9145</v>
      </c>
      <c r="S2677" t="b">
        <v>1</v>
      </c>
      <c r="T2677" t="b">
        <v>1</v>
      </c>
      <c r="U2677" t="b">
        <v>1</v>
      </c>
      <c r="V2677" t="b">
        <v>1</v>
      </c>
      <c r="W2677" t="b">
        <v>1</v>
      </c>
      <c r="X2677" t="b">
        <v>1</v>
      </c>
      <c r="Y2677" t="b">
        <v>1</v>
      </c>
      <c r="Z2677" t="b">
        <v>1</v>
      </c>
      <c r="AA2677" t="b">
        <v>1</v>
      </c>
      <c r="AB2677" t="b">
        <v>1</v>
      </c>
      <c r="AC2677" t="b">
        <v>1</v>
      </c>
      <c r="AD2677" t="b">
        <v>1</v>
      </c>
      <c r="AE2677" t="b">
        <v>1</v>
      </c>
      <c r="AF2677" t="b">
        <v>1</v>
      </c>
      <c r="AG2677" t="b">
        <v>1</v>
      </c>
    </row>
    <row r="2678" spans="1:33" x14ac:dyDescent="0.25">
      <c r="A2678" t="s">
        <v>33</v>
      </c>
      <c r="B2678">
        <v>15</v>
      </c>
      <c r="C2678" t="b">
        <v>1</v>
      </c>
      <c r="D2678" t="s">
        <v>7968</v>
      </c>
      <c r="E2678" t="s">
        <v>9098</v>
      </c>
      <c r="F2678" t="s">
        <v>9146</v>
      </c>
      <c r="G2678" t="s">
        <v>9034</v>
      </c>
      <c r="H2678">
        <v>2677</v>
      </c>
      <c r="I2678" t="str">
        <f>IF(ISBLANK(Table1[[#This Row],[oid]]),"FALSE","TRUE")</f>
        <v>TRUE</v>
      </c>
      <c r="J2678" t="str" cm="1">
        <f t="array" ref="J2678">_xlfn.SWITCH(LEFT(Table1[[#This Row],[section]],1), "D", "Demographic", "S", "Social", "E", "Economic", "H", "Housing", "")</f>
        <v>Housing</v>
      </c>
      <c r="K2678" t="s">
        <v>9101</v>
      </c>
      <c r="L2678" t="s">
        <v>9102</v>
      </c>
      <c r="M2678" t="str">
        <f>IF(Table1[[#This Row],[used]], _xlfn.CONCAT("🆔 ", Table1[[#This Row],[variable]], ": ",Table1[[#This Row],[alias]]), "")</f>
        <v>🆔 B25085_022E: $400,000 to $499,999</v>
      </c>
      <c r="O2678" t="s">
        <v>9035</v>
      </c>
      <c r="P2678" t="s">
        <v>9103</v>
      </c>
      <c r="Q2678" t="s">
        <v>41</v>
      </c>
      <c r="R2678" t="s">
        <v>9147</v>
      </c>
      <c r="S2678" t="b">
        <v>1</v>
      </c>
      <c r="T2678" t="b">
        <v>1</v>
      </c>
      <c r="U2678" t="b">
        <v>1</v>
      </c>
      <c r="V2678" t="b">
        <v>1</v>
      </c>
      <c r="W2678" t="b">
        <v>1</v>
      </c>
      <c r="X2678" t="b">
        <v>1</v>
      </c>
      <c r="Y2678" t="b">
        <v>1</v>
      </c>
      <c r="Z2678" t="b">
        <v>1</v>
      </c>
      <c r="AA2678" t="b">
        <v>1</v>
      </c>
      <c r="AB2678" t="b">
        <v>1</v>
      </c>
      <c r="AC2678" t="b">
        <v>1</v>
      </c>
      <c r="AD2678" t="b">
        <v>1</v>
      </c>
      <c r="AE2678" t="b">
        <v>1</v>
      </c>
      <c r="AF2678" t="b">
        <v>1</v>
      </c>
      <c r="AG2678" t="b">
        <v>1</v>
      </c>
    </row>
    <row r="2679" spans="1:33" x14ac:dyDescent="0.25">
      <c r="A2679" t="s">
        <v>33</v>
      </c>
      <c r="B2679">
        <v>15</v>
      </c>
      <c r="C2679" t="b">
        <v>1</v>
      </c>
      <c r="D2679" t="s">
        <v>7968</v>
      </c>
      <c r="E2679" t="s">
        <v>9098</v>
      </c>
      <c r="F2679" t="s">
        <v>9148</v>
      </c>
      <c r="G2679" t="s">
        <v>9038</v>
      </c>
      <c r="H2679">
        <v>2678</v>
      </c>
      <c r="I2679" t="str">
        <f>IF(ISBLANK(Table1[[#This Row],[oid]]),"FALSE","TRUE")</f>
        <v>TRUE</v>
      </c>
      <c r="J2679" t="str" cm="1">
        <f t="array" ref="J2679">_xlfn.SWITCH(LEFT(Table1[[#This Row],[section]],1), "D", "Demographic", "S", "Social", "E", "Economic", "H", "Housing", "")</f>
        <v>Housing</v>
      </c>
      <c r="K2679" t="s">
        <v>9101</v>
      </c>
      <c r="L2679" t="s">
        <v>9102</v>
      </c>
      <c r="M2679" t="str">
        <f>IF(Table1[[#This Row],[used]], _xlfn.CONCAT("🆔 ", Table1[[#This Row],[variable]], ": ",Table1[[#This Row],[alias]]), "")</f>
        <v>🆔 B25085_023E: $500,000 to $749,999</v>
      </c>
      <c r="O2679" t="s">
        <v>9039</v>
      </c>
      <c r="P2679" t="s">
        <v>9103</v>
      </c>
      <c r="Q2679" t="s">
        <v>41</v>
      </c>
      <c r="R2679" t="s">
        <v>9149</v>
      </c>
      <c r="S2679" t="b">
        <v>1</v>
      </c>
      <c r="T2679" t="b">
        <v>1</v>
      </c>
      <c r="U2679" t="b">
        <v>1</v>
      </c>
      <c r="V2679" t="b">
        <v>1</v>
      </c>
      <c r="W2679" t="b">
        <v>1</v>
      </c>
      <c r="X2679" t="b">
        <v>1</v>
      </c>
      <c r="Y2679" t="b">
        <v>1</v>
      </c>
      <c r="Z2679" t="b">
        <v>1</v>
      </c>
      <c r="AA2679" t="b">
        <v>1</v>
      </c>
      <c r="AB2679" t="b">
        <v>1</v>
      </c>
      <c r="AC2679" t="b">
        <v>1</v>
      </c>
      <c r="AD2679" t="b">
        <v>1</v>
      </c>
      <c r="AE2679" t="b">
        <v>1</v>
      </c>
      <c r="AF2679" t="b">
        <v>1</v>
      </c>
      <c r="AG2679" t="b">
        <v>1</v>
      </c>
    </row>
    <row r="2680" spans="1:33" x14ac:dyDescent="0.25">
      <c r="A2680" t="s">
        <v>33</v>
      </c>
      <c r="B2680">
        <v>15</v>
      </c>
      <c r="C2680" t="b">
        <v>1</v>
      </c>
      <c r="D2680" t="s">
        <v>7968</v>
      </c>
      <c r="E2680" t="s">
        <v>9098</v>
      </c>
      <c r="F2680" t="s">
        <v>9150</v>
      </c>
      <c r="G2680" t="s">
        <v>9042</v>
      </c>
      <c r="H2680">
        <v>2679</v>
      </c>
      <c r="I2680" t="str">
        <f>IF(ISBLANK(Table1[[#This Row],[oid]]),"FALSE","TRUE")</f>
        <v>TRUE</v>
      </c>
      <c r="J2680" t="str" cm="1">
        <f t="array" ref="J2680">_xlfn.SWITCH(LEFT(Table1[[#This Row],[section]],1), "D", "Demographic", "S", "Social", "E", "Economic", "H", "Housing", "")</f>
        <v>Housing</v>
      </c>
      <c r="K2680" t="s">
        <v>9101</v>
      </c>
      <c r="L2680" t="s">
        <v>9102</v>
      </c>
      <c r="M2680" t="str">
        <f>IF(Table1[[#This Row],[used]], _xlfn.CONCAT("🆔 ", Table1[[#This Row],[variable]], ": ",Table1[[#This Row],[alias]]), "")</f>
        <v>🆔 B25085_024E: $750,000 to $999,999</v>
      </c>
      <c r="O2680" t="s">
        <v>9043</v>
      </c>
      <c r="P2680" t="s">
        <v>9103</v>
      </c>
      <c r="Q2680" t="s">
        <v>41</v>
      </c>
      <c r="R2680" t="s">
        <v>9151</v>
      </c>
      <c r="S2680" t="b">
        <v>1</v>
      </c>
      <c r="T2680" t="b">
        <v>1</v>
      </c>
      <c r="U2680" t="b">
        <v>1</v>
      </c>
      <c r="V2680" t="b">
        <v>1</v>
      </c>
      <c r="W2680" t="b">
        <v>1</v>
      </c>
      <c r="X2680" t="b">
        <v>1</v>
      </c>
      <c r="Y2680" t="b">
        <v>1</v>
      </c>
      <c r="Z2680" t="b">
        <v>1</v>
      </c>
      <c r="AA2680" t="b">
        <v>1</v>
      </c>
      <c r="AB2680" t="b">
        <v>1</v>
      </c>
      <c r="AC2680" t="b">
        <v>1</v>
      </c>
      <c r="AD2680" t="b">
        <v>1</v>
      </c>
      <c r="AE2680" t="b">
        <v>1</v>
      </c>
      <c r="AF2680" t="b">
        <v>1</v>
      </c>
      <c r="AG2680" t="b">
        <v>1</v>
      </c>
    </row>
    <row r="2681" spans="1:33" x14ac:dyDescent="0.25">
      <c r="A2681" t="s">
        <v>709</v>
      </c>
      <c r="B2681">
        <v>5</v>
      </c>
      <c r="C2681" t="b">
        <v>0</v>
      </c>
      <c r="D2681" t="s">
        <v>7968</v>
      </c>
      <c r="E2681" t="s">
        <v>9098</v>
      </c>
      <c r="F2681" t="s">
        <v>9152</v>
      </c>
      <c r="G2681" t="s">
        <v>9046</v>
      </c>
      <c r="H2681">
        <v>2680</v>
      </c>
      <c r="I2681" t="str">
        <f>IF(ISBLANK(Table1[[#This Row],[oid]]),"FALSE","TRUE")</f>
        <v>TRUE</v>
      </c>
      <c r="J2681" t="str" cm="1">
        <f t="array" ref="J2681">_xlfn.SWITCH(LEFT(Table1[[#This Row],[section]],1), "D", "Demographic", "S", "Social", "E", "Economic", "H", "Housing", "")</f>
        <v>Housing</v>
      </c>
      <c r="K2681" t="s">
        <v>9101</v>
      </c>
      <c r="L2681" t="s">
        <v>9102</v>
      </c>
      <c r="M2681" t="str">
        <f>IF(Table1[[#This Row],[used]], _xlfn.CONCAT("🆔 ", Table1[[#This Row],[variable]], ": ",Table1[[#This Row],[alias]]), "")</f>
        <v>🆔 B25085_025E: $1,000,000 or more</v>
      </c>
      <c r="O2681" t="s">
        <v>9047</v>
      </c>
      <c r="P2681" t="s">
        <v>9103</v>
      </c>
      <c r="Q2681" t="s">
        <v>41</v>
      </c>
      <c r="R2681" t="s">
        <v>9153</v>
      </c>
      <c r="S2681" t="b">
        <v>1</v>
      </c>
      <c r="T2681" t="b">
        <v>1</v>
      </c>
      <c r="U2681" t="b">
        <v>1</v>
      </c>
      <c r="V2681" t="b">
        <v>1</v>
      </c>
      <c r="W2681" t="b">
        <v>1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0</v>
      </c>
      <c r="AD2681" t="b">
        <v>0</v>
      </c>
      <c r="AE2681" t="b">
        <v>0</v>
      </c>
      <c r="AF2681" t="b">
        <v>0</v>
      </c>
      <c r="AG2681" t="b">
        <v>0</v>
      </c>
    </row>
    <row r="2682" spans="1:33" x14ac:dyDescent="0.25">
      <c r="A2682" t="s">
        <v>714</v>
      </c>
      <c r="B2682">
        <v>10</v>
      </c>
      <c r="C2682" t="b">
        <v>0</v>
      </c>
      <c r="D2682" t="s">
        <v>7968</v>
      </c>
      <c r="E2682" t="s">
        <v>9098</v>
      </c>
      <c r="F2682" t="s">
        <v>9152</v>
      </c>
      <c r="G2682" t="s">
        <v>9049</v>
      </c>
      <c r="H2682">
        <v>2681</v>
      </c>
      <c r="I2682" t="str">
        <f>IF(ISBLANK(Table1[[#This Row],[oid]]),"FALSE","TRUE")</f>
        <v>TRUE</v>
      </c>
      <c r="J2682" t="str" cm="1">
        <f t="array" ref="J2682">_xlfn.SWITCH(LEFT(Table1[[#This Row],[section]],1), "D", "Demographic", "S", "Social", "E", "Economic", "H", "Housing", "")</f>
        <v>Housing</v>
      </c>
      <c r="K2682" t="s">
        <v>9101</v>
      </c>
      <c r="L2682" t="s">
        <v>9102</v>
      </c>
      <c r="M2682" t="str">
        <f>IF(Table1[[#This Row],[used]], _xlfn.CONCAT("🆔 ", Table1[[#This Row],[variable]], ": ",Table1[[#This Row],[alias]]), "")</f>
        <v>🆔 B25085_025E: $1,000,000 to $1,499,999</v>
      </c>
      <c r="O2682" t="s">
        <v>9050</v>
      </c>
      <c r="P2682" t="s">
        <v>9103</v>
      </c>
      <c r="Q2682" t="s">
        <v>41</v>
      </c>
      <c r="R2682" t="s">
        <v>9153</v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  <c r="X2682" t="b">
        <v>1</v>
      </c>
      <c r="Y2682" t="b">
        <v>1</v>
      </c>
      <c r="Z2682" t="b">
        <v>1</v>
      </c>
      <c r="AA2682" t="b">
        <v>1</v>
      </c>
      <c r="AB2682" t="b">
        <v>1</v>
      </c>
      <c r="AC2682" t="b">
        <v>1</v>
      </c>
      <c r="AD2682" t="b">
        <v>1</v>
      </c>
      <c r="AE2682" t="b">
        <v>1</v>
      </c>
      <c r="AF2682" t="b">
        <v>1</v>
      </c>
      <c r="AG2682" t="b">
        <v>1</v>
      </c>
    </row>
    <row r="2683" spans="1:33" x14ac:dyDescent="0.25">
      <c r="A2683" t="s">
        <v>714</v>
      </c>
      <c r="B2683">
        <v>10</v>
      </c>
      <c r="C2683" t="b">
        <v>0</v>
      </c>
      <c r="D2683" t="s">
        <v>7968</v>
      </c>
      <c r="E2683" t="s">
        <v>9098</v>
      </c>
      <c r="F2683" t="s">
        <v>9154</v>
      </c>
      <c r="G2683" t="s">
        <v>9052</v>
      </c>
      <c r="H2683">
        <v>2682</v>
      </c>
      <c r="I2683" t="str">
        <f>IF(ISBLANK(Table1[[#This Row],[oid]]),"FALSE","TRUE")</f>
        <v>TRUE</v>
      </c>
      <c r="J2683" t="str" cm="1">
        <f t="array" ref="J2683">_xlfn.SWITCH(LEFT(Table1[[#This Row],[section]],1), "D", "Demographic", "S", "Social", "E", "Economic", "H", "Housing", "")</f>
        <v>Housing</v>
      </c>
      <c r="K2683" t="s">
        <v>9101</v>
      </c>
      <c r="L2683" t="s">
        <v>9102</v>
      </c>
      <c r="M2683" t="str">
        <f>IF(Table1[[#This Row],[used]], _xlfn.CONCAT("🆔 ", Table1[[#This Row],[variable]], ": ",Table1[[#This Row],[alias]]), "")</f>
        <v>🆔 B25085_026E: $1,500,000 to $1,999,999</v>
      </c>
      <c r="O2683" t="s">
        <v>9053</v>
      </c>
      <c r="P2683" t="s">
        <v>9103</v>
      </c>
      <c r="Q2683" t="s">
        <v>41</v>
      </c>
      <c r="R2683" t="s">
        <v>9155</v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  <c r="X2683" t="b">
        <v>1</v>
      </c>
      <c r="Y2683" t="b">
        <v>1</v>
      </c>
      <c r="Z2683" t="b">
        <v>1</v>
      </c>
      <c r="AA2683" t="b">
        <v>1</v>
      </c>
      <c r="AB2683" t="b">
        <v>1</v>
      </c>
      <c r="AC2683" t="b">
        <v>1</v>
      </c>
      <c r="AD2683" t="b">
        <v>1</v>
      </c>
      <c r="AE2683" t="b">
        <v>1</v>
      </c>
      <c r="AF2683" t="b">
        <v>1</v>
      </c>
      <c r="AG2683" t="b">
        <v>1</v>
      </c>
    </row>
    <row r="2684" spans="1:33" x14ac:dyDescent="0.25">
      <c r="A2684" t="s">
        <v>714</v>
      </c>
      <c r="B2684">
        <v>10</v>
      </c>
      <c r="C2684" t="b">
        <v>0</v>
      </c>
      <c r="D2684" t="s">
        <v>7968</v>
      </c>
      <c r="E2684" t="s">
        <v>9098</v>
      </c>
      <c r="F2684" t="s">
        <v>9156</v>
      </c>
      <c r="G2684" t="s">
        <v>9056</v>
      </c>
      <c r="H2684">
        <v>2683</v>
      </c>
      <c r="I2684" t="str">
        <f>IF(ISBLANK(Table1[[#This Row],[oid]]),"FALSE","TRUE")</f>
        <v>TRUE</v>
      </c>
      <c r="J2684" t="str" cm="1">
        <f t="array" ref="J2684">_xlfn.SWITCH(LEFT(Table1[[#This Row],[section]],1), "D", "Demographic", "S", "Social", "E", "Economic", "H", "Housing", "")</f>
        <v>Housing</v>
      </c>
      <c r="K2684" t="s">
        <v>9101</v>
      </c>
      <c r="L2684" t="s">
        <v>9102</v>
      </c>
      <c r="M2684" t="str">
        <f>IF(Table1[[#This Row],[used]], _xlfn.CONCAT("🆔 ", Table1[[#This Row],[variable]], ": ",Table1[[#This Row],[alias]]), "")</f>
        <v>🆔 B25085_027E: $2,000,000 or more</v>
      </c>
      <c r="O2684" t="s">
        <v>9057</v>
      </c>
      <c r="P2684" t="s">
        <v>9103</v>
      </c>
      <c r="Q2684" t="s">
        <v>41</v>
      </c>
      <c r="R2684" t="s">
        <v>9157</v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  <c r="X2684" t="b">
        <v>1</v>
      </c>
      <c r="Y2684" t="b">
        <v>1</v>
      </c>
      <c r="Z2684" t="b">
        <v>1</v>
      </c>
      <c r="AA2684" t="b">
        <v>1</v>
      </c>
      <c r="AB2684" t="b">
        <v>1</v>
      </c>
      <c r="AC2684" t="b">
        <v>1</v>
      </c>
      <c r="AD2684" t="b">
        <v>1</v>
      </c>
      <c r="AE2684" t="b">
        <v>1</v>
      </c>
      <c r="AF2684" t="b">
        <v>1</v>
      </c>
      <c r="AG2684" t="b">
        <v>1</v>
      </c>
    </row>
    <row r="2685" spans="1:33" x14ac:dyDescent="0.25">
      <c r="A2685" t="s">
        <v>33</v>
      </c>
      <c r="B2685">
        <v>15</v>
      </c>
      <c r="C2685" t="b">
        <v>1</v>
      </c>
      <c r="D2685" t="s">
        <v>7968</v>
      </c>
      <c r="E2685" t="s">
        <v>9158</v>
      </c>
      <c r="F2685" t="s">
        <v>9159</v>
      </c>
      <c r="G2685" t="s">
        <v>9160</v>
      </c>
      <c r="H2685">
        <v>2684</v>
      </c>
      <c r="I2685" t="str">
        <f>IF(ISBLANK(Table1[[#This Row],[oid]]),"FALSE","TRUE")</f>
        <v>TRUE</v>
      </c>
      <c r="J2685" t="str" cm="1">
        <f t="array" ref="J2685">_xlfn.SWITCH(LEFT(Table1[[#This Row],[section]],1), "D", "Demographic", "S", "Social", "E", "Economic", "H", "Housing", "")</f>
        <v>Housing</v>
      </c>
      <c r="K2685" t="s">
        <v>9101</v>
      </c>
      <c r="L2685" t="s">
        <v>9102</v>
      </c>
      <c r="M2685" t="str">
        <f>IF(Table1[[#This Row],[used]], _xlfn.CONCAT("🆔 ", Table1[[#This Row],[variable]], ": ",Table1[[#This Row],[alias]]), "")</f>
        <v>🆔 B25086_001E: Aggregate price asked dollars</v>
      </c>
      <c r="O2685" t="s">
        <v>9161</v>
      </c>
      <c r="P2685" t="s">
        <v>9162</v>
      </c>
      <c r="Q2685" t="s">
        <v>41</v>
      </c>
      <c r="R2685" t="s">
        <v>9163</v>
      </c>
      <c r="S2685" t="b">
        <v>1</v>
      </c>
      <c r="T2685" t="b">
        <v>1</v>
      </c>
      <c r="U2685" t="b">
        <v>1</v>
      </c>
      <c r="V2685" t="b">
        <v>1</v>
      </c>
      <c r="W2685" t="b">
        <v>1</v>
      </c>
      <c r="X2685" t="b">
        <v>1</v>
      </c>
      <c r="Y2685" t="b">
        <v>1</v>
      </c>
      <c r="Z2685" t="b">
        <v>1</v>
      </c>
      <c r="AA2685" t="b">
        <v>1</v>
      </c>
      <c r="AB2685" t="b">
        <v>1</v>
      </c>
      <c r="AC2685" t="b">
        <v>1</v>
      </c>
      <c r="AD2685" t="b">
        <v>1</v>
      </c>
      <c r="AE2685" t="b">
        <v>1</v>
      </c>
      <c r="AF2685" t="b">
        <v>1</v>
      </c>
      <c r="AG2685" t="b">
        <v>1</v>
      </c>
    </row>
    <row r="2686" spans="1:33" x14ac:dyDescent="0.25">
      <c r="A2686" t="s">
        <v>33</v>
      </c>
      <c r="B2686">
        <v>15</v>
      </c>
      <c r="C2686" t="b">
        <v>1</v>
      </c>
      <c r="D2686" t="s">
        <v>7968</v>
      </c>
      <c r="E2686" t="s">
        <v>9164</v>
      </c>
      <c r="F2686" t="s">
        <v>9165</v>
      </c>
      <c r="G2686" t="s">
        <v>8968</v>
      </c>
      <c r="H2686">
        <v>2685</v>
      </c>
      <c r="I2686" t="str">
        <f>IF(ISBLANK(Table1[[#This Row],[oid]]),"FALSE","TRUE")</f>
        <v>TRUE</v>
      </c>
      <c r="J2686" t="str" cm="1">
        <f t="array" ref="J2686">_xlfn.SWITCH(LEFT(Table1[[#This Row],[section]],1), "D", "Demographic", "S", "Social", "E", "Economic", "H", "Housing", "")</f>
        <v>Housing</v>
      </c>
      <c r="K2686" t="s">
        <v>9166</v>
      </c>
      <c r="L2686" t="s">
        <v>9167</v>
      </c>
      <c r="M2686" t="str">
        <f>IF(Table1[[#This Row],[used]], _xlfn.CONCAT("🆔 ", Table1[[#This Row],[variable]], ": ",Table1[[#This Row],[alias]]), "")</f>
        <v>🆔 B25081_001E: Owner-occupied units</v>
      </c>
      <c r="O2686" t="s">
        <v>39</v>
      </c>
      <c r="P2686" t="s">
        <v>9168</v>
      </c>
      <c r="Q2686" t="s">
        <v>41</v>
      </c>
      <c r="R2686" t="s">
        <v>9169</v>
      </c>
      <c r="S2686" t="b">
        <v>1</v>
      </c>
      <c r="T2686" t="b">
        <v>1</v>
      </c>
      <c r="U2686" t="b">
        <v>1</v>
      </c>
      <c r="V2686" t="b">
        <v>1</v>
      </c>
      <c r="W2686" t="b">
        <v>1</v>
      </c>
      <c r="X2686" t="b">
        <v>1</v>
      </c>
      <c r="Y2686" t="b">
        <v>1</v>
      </c>
      <c r="Z2686" t="b">
        <v>1</v>
      </c>
      <c r="AA2686" t="b">
        <v>1</v>
      </c>
      <c r="AB2686" t="b">
        <v>1</v>
      </c>
      <c r="AC2686" t="b">
        <v>1</v>
      </c>
      <c r="AD2686" t="b">
        <v>1</v>
      </c>
      <c r="AE2686" t="b">
        <v>1</v>
      </c>
      <c r="AF2686" t="b">
        <v>1</v>
      </c>
      <c r="AG2686" t="b">
        <v>1</v>
      </c>
    </row>
    <row r="2687" spans="1:33" x14ac:dyDescent="0.25">
      <c r="A2687" t="s">
        <v>33</v>
      </c>
      <c r="B2687">
        <v>15</v>
      </c>
      <c r="C2687" t="b">
        <v>1</v>
      </c>
      <c r="D2687" t="s">
        <v>7968</v>
      </c>
      <c r="E2687" t="s">
        <v>9164</v>
      </c>
      <c r="F2687" t="s">
        <v>9170</v>
      </c>
      <c r="G2687" t="s">
        <v>9171</v>
      </c>
      <c r="H2687">
        <v>2686</v>
      </c>
      <c r="I2687" t="str">
        <f>IF(ISBLANK(Table1[[#This Row],[oid]]),"FALSE","TRUE")</f>
        <v>TRUE</v>
      </c>
      <c r="J2687" t="str" cm="1">
        <f t="array" ref="J2687">_xlfn.SWITCH(LEFT(Table1[[#This Row],[section]],1), "D", "Demographic", "S", "Social", "E", "Economic", "H", "Housing", "")</f>
        <v>Housing</v>
      </c>
      <c r="K2687" t="s">
        <v>9166</v>
      </c>
      <c r="L2687" t="s">
        <v>9167</v>
      </c>
      <c r="M2687" t="str">
        <f>IF(Table1[[#This Row],[used]], _xlfn.CONCAT("🆔 ", Table1[[#This Row],[variable]], ": ",Table1[[#This Row],[alias]]), "")</f>
        <v>🆔 B25081_002E: Housing units with a mortgage</v>
      </c>
      <c r="O2687" t="s">
        <v>9172</v>
      </c>
      <c r="P2687" t="s">
        <v>9168</v>
      </c>
      <c r="Q2687" t="s">
        <v>41</v>
      </c>
      <c r="R2687" t="s">
        <v>9173</v>
      </c>
      <c r="S2687" t="b">
        <v>1</v>
      </c>
      <c r="T2687" t="b">
        <v>1</v>
      </c>
      <c r="U2687" t="b">
        <v>1</v>
      </c>
      <c r="V2687" t="b">
        <v>1</v>
      </c>
      <c r="W2687" t="b">
        <v>1</v>
      </c>
      <c r="X2687" t="b">
        <v>1</v>
      </c>
      <c r="Y2687" t="b">
        <v>1</v>
      </c>
      <c r="Z2687" t="b">
        <v>1</v>
      </c>
      <c r="AA2687" t="b">
        <v>1</v>
      </c>
      <c r="AB2687" t="b">
        <v>1</v>
      </c>
      <c r="AC2687" t="b">
        <v>1</v>
      </c>
      <c r="AD2687" t="b">
        <v>1</v>
      </c>
      <c r="AE2687" t="b">
        <v>1</v>
      </c>
      <c r="AF2687" t="b">
        <v>1</v>
      </c>
      <c r="AG2687" t="b">
        <v>1</v>
      </c>
    </row>
    <row r="2688" spans="1:33" x14ac:dyDescent="0.25">
      <c r="A2688" t="s">
        <v>9174</v>
      </c>
      <c r="B2688">
        <v>10</v>
      </c>
      <c r="C2688" t="b">
        <v>0</v>
      </c>
      <c r="D2688" t="s">
        <v>7968</v>
      </c>
      <c r="E2688" t="s">
        <v>9164</v>
      </c>
      <c r="F2688" t="s">
        <v>9175</v>
      </c>
      <c r="G2688" t="s">
        <v>9176</v>
      </c>
      <c r="H2688">
        <v>2687</v>
      </c>
      <c r="I2688" t="str">
        <f>IF(ISBLANK(Table1[[#This Row],[oid]]),"FALSE","TRUE")</f>
        <v>TRUE</v>
      </c>
      <c r="J2688" t="str" cm="1">
        <f t="array" ref="J2688">_xlfn.SWITCH(LEFT(Table1[[#This Row],[section]],1), "D", "Demographic", "S", "Social", "E", "Economic", "H", "Housing", "")</f>
        <v>Housing</v>
      </c>
      <c r="K2688" t="s">
        <v>9166</v>
      </c>
      <c r="L2688" t="s">
        <v>9167</v>
      </c>
      <c r="M2688" t="str">
        <f>IF(Table1[[#This Row],[used]], _xlfn.CONCAT("🆔 ", Table1[[#This Row],[variable]], ": ",Table1[[#This Row],[alias]]), "")</f>
        <v>🆔 B25081_003E: Housing units with a mortgage: With either a second mortgage or home equity loan but not both</v>
      </c>
      <c r="O2688" t="s">
        <v>9177</v>
      </c>
      <c r="P2688" t="s">
        <v>9168</v>
      </c>
      <c r="Q2688" t="s">
        <v>41</v>
      </c>
      <c r="R2688" t="s">
        <v>9178</v>
      </c>
      <c r="S2688" t="b">
        <v>1</v>
      </c>
      <c r="T2688" t="b">
        <v>1</v>
      </c>
      <c r="U2688" t="b">
        <v>1</v>
      </c>
      <c r="V2688" t="b">
        <v>1</v>
      </c>
      <c r="W2688" t="b">
        <v>1</v>
      </c>
      <c r="X2688" t="b">
        <v>1</v>
      </c>
      <c r="Y2688" t="b">
        <v>1</v>
      </c>
      <c r="Z2688" t="b">
        <v>1</v>
      </c>
      <c r="AA2688" t="b">
        <v>1</v>
      </c>
      <c r="AB2688" t="b">
        <v>1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</row>
    <row r="2689" spans="1:33" x14ac:dyDescent="0.25">
      <c r="A2689" t="s">
        <v>9179</v>
      </c>
      <c r="B2689">
        <v>5</v>
      </c>
      <c r="C2689" t="b">
        <v>0</v>
      </c>
      <c r="D2689" t="s">
        <v>7968</v>
      </c>
      <c r="E2689" t="s">
        <v>9164</v>
      </c>
      <c r="F2689" t="s">
        <v>9175</v>
      </c>
      <c r="G2689" t="s">
        <v>9180</v>
      </c>
      <c r="H2689">
        <v>2688</v>
      </c>
      <c r="I2689" t="str">
        <f>IF(ISBLANK(Table1[[#This Row],[oid]]),"FALSE","TRUE")</f>
        <v>TRUE</v>
      </c>
      <c r="J2689" t="str" cm="1">
        <f t="array" ref="J2689">_xlfn.SWITCH(LEFT(Table1[[#This Row],[section]],1), "D", "Demographic", "S", "Social", "E", "Economic", "H", "Housing", "")</f>
        <v>Housing</v>
      </c>
      <c r="K2689" t="s">
        <v>9166</v>
      </c>
      <c r="L2689" t="s">
        <v>9167</v>
      </c>
      <c r="M2689" t="str">
        <f>IF(Table1[[#This Row],[used]], _xlfn.CONCAT("🆔 ", Table1[[#This Row],[variable]], ": ",Table1[[#This Row],[alias]]), "")</f>
        <v>🆔 B25081_003E: Housing units with a mortgage: Housing units with no second mortgage and no home equity loan</v>
      </c>
      <c r="O2689" t="s">
        <v>9181</v>
      </c>
      <c r="P2689" t="s">
        <v>9168</v>
      </c>
      <c r="Q2689" t="s">
        <v>41</v>
      </c>
      <c r="R2689" t="s">
        <v>9178</v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1</v>
      </c>
      <c r="AD2689" t="b">
        <v>1</v>
      </c>
      <c r="AE2689" t="b">
        <v>1</v>
      </c>
      <c r="AF2689" t="b">
        <v>1</v>
      </c>
      <c r="AG2689" t="b">
        <v>1</v>
      </c>
    </row>
    <row r="2690" spans="1:33" x14ac:dyDescent="0.25">
      <c r="A2690" t="s">
        <v>9174</v>
      </c>
      <c r="B2690">
        <v>10</v>
      </c>
      <c r="C2690" t="b">
        <v>0</v>
      </c>
      <c r="D2690" t="s">
        <v>7968</v>
      </c>
      <c r="E2690" t="s">
        <v>9164</v>
      </c>
      <c r="F2690" t="s">
        <v>9182</v>
      </c>
      <c r="G2690" t="s">
        <v>9183</v>
      </c>
      <c r="H2690">
        <v>2689</v>
      </c>
      <c r="I2690" t="str">
        <f>IF(ISBLANK(Table1[[#This Row],[oid]]),"FALSE","TRUE")</f>
        <v>TRUE</v>
      </c>
      <c r="J2690" t="str" cm="1">
        <f t="array" ref="J2690">_xlfn.SWITCH(LEFT(Table1[[#This Row],[section]],1), "D", "Demographic", "S", "Social", "E", "Economic", "H", "Housing", "")</f>
        <v>Housing</v>
      </c>
      <c r="K2690" t="s">
        <v>9166</v>
      </c>
      <c r="L2690" t="s">
        <v>9167</v>
      </c>
      <c r="M2690" t="str">
        <f>IF(Table1[[#This Row],[used]], _xlfn.CONCAT("🆔 ", Table1[[#This Row],[variable]], ": ",Table1[[#This Row],[alias]]), "")</f>
        <v>🆔 B25081_004E: Housing units with a mortgage: With either a second mortgage or home equity loan but not both: Second mortgage only</v>
      </c>
      <c r="O2690" t="s">
        <v>9184</v>
      </c>
      <c r="P2690" t="s">
        <v>9168</v>
      </c>
      <c r="Q2690" t="s">
        <v>41</v>
      </c>
      <c r="R2690" t="s">
        <v>9185</v>
      </c>
      <c r="S2690" t="b">
        <v>1</v>
      </c>
      <c r="T2690" t="b">
        <v>1</v>
      </c>
      <c r="U2690" t="b">
        <v>1</v>
      </c>
      <c r="V2690" t="b">
        <v>1</v>
      </c>
      <c r="W2690" t="b">
        <v>1</v>
      </c>
      <c r="X2690" t="b">
        <v>1</v>
      </c>
      <c r="Y2690" t="b">
        <v>1</v>
      </c>
      <c r="Z2690" t="b">
        <v>1</v>
      </c>
      <c r="AA2690" t="b">
        <v>1</v>
      </c>
      <c r="AB2690" t="b">
        <v>1</v>
      </c>
      <c r="AC2690" t="b">
        <v>0</v>
      </c>
      <c r="AD2690" t="b">
        <v>0</v>
      </c>
      <c r="AE2690" t="b">
        <v>0</v>
      </c>
      <c r="AF2690" t="b">
        <v>0</v>
      </c>
      <c r="AG2690" t="b">
        <v>0</v>
      </c>
    </row>
    <row r="2691" spans="1:33" x14ac:dyDescent="0.25">
      <c r="A2691" t="s">
        <v>9179</v>
      </c>
      <c r="B2691">
        <v>5</v>
      </c>
      <c r="C2691" t="b">
        <v>0</v>
      </c>
      <c r="D2691" t="s">
        <v>7968</v>
      </c>
      <c r="E2691" t="s">
        <v>9164</v>
      </c>
      <c r="F2691" t="s">
        <v>9182</v>
      </c>
      <c r="G2691" t="s">
        <v>9186</v>
      </c>
      <c r="H2691">
        <v>2690</v>
      </c>
      <c r="I2691" t="str">
        <f>IF(ISBLANK(Table1[[#This Row],[oid]]),"FALSE","TRUE")</f>
        <v>TRUE</v>
      </c>
      <c r="J2691" t="str" cm="1">
        <f t="array" ref="J2691">_xlfn.SWITCH(LEFT(Table1[[#This Row],[section]],1), "D", "Demographic", "S", "Social", "E", "Economic", "H", "Housing", "")</f>
        <v>Housing</v>
      </c>
      <c r="K2691" t="s">
        <v>9166</v>
      </c>
      <c r="L2691" t="s">
        <v>9167</v>
      </c>
      <c r="M2691" t="str">
        <f>IF(Table1[[#This Row],[used]], _xlfn.CONCAT("🆔 ", Table1[[#This Row],[variable]], ": ",Table1[[#This Row],[alias]]), "")</f>
        <v>🆔 B25081_004E: Housing units with a mortgage: Housing units with multiple mortgages</v>
      </c>
      <c r="O2691" t="s">
        <v>9187</v>
      </c>
      <c r="P2691" t="s">
        <v>9168</v>
      </c>
      <c r="Q2691" t="s">
        <v>41</v>
      </c>
      <c r="R2691" t="s">
        <v>9185</v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1</v>
      </c>
      <c r="AD2691" t="b">
        <v>1</v>
      </c>
      <c r="AE2691" t="b">
        <v>1</v>
      </c>
      <c r="AF2691" t="b">
        <v>1</v>
      </c>
      <c r="AG2691" t="b">
        <v>1</v>
      </c>
    </row>
    <row r="2692" spans="1:33" x14ac:dyDescent="0.25">
      <c r="A2692" t="s">
        <v>9174</v>
      </c>
      <c r="B2692">
        <v>10</v>
      </c>
      <c r="C2692" t="b">
        <v>0</v>
      </c>
      <c r="D2692" t="s">
        <v>7968</v>
      </c>
      <c r="E2692" t="s">
        <v>9164</v>
      </c>
      <c r="F2692" t="s">
        <v>9188</v>
      </c>
      <c r="G2692" t="s">
        <v>9189</v>
      </c>
      <c r="H2692">
        <v>2691</v>
      </c>
      <c r="I2692" t="str">
        <f>IF(ISBLANK(Table1[[#This Row],[oid]]),"FALSE","TRUE")</f>
        <v>TRUE</v>
      </c>
      <c r="J2692" t="str" cm="1">
        <f t="array" ref="J2692">_xlfn.SWITCH(LEFT(Table1[[#This Row],[section]],1), "D", "Demographic", "S", "Social", "E", "Economic", "H", "Housing", "")</f>
        <v>Housing</v>
      </c>
      <c r="K2692" t="s">
        <v>9166</v>
      </c>
      <c r="L2692" t="s">
        <v>9167</v>
      </c>
      <c r="M2692" t="str">
        <f>IF(Table1[[#This Row],[used]], _xlfn.CONCAT("🆔 ", Table1[[#This Row],[variable]], ": ",Table1[[#This Row],[alias]]), "")</f>
        <v>🆔 B25081_005E: Housing units with a mortgage: With either a second mortgage or home equity loan but not both: Home equity loan only</v>
      </c>
      <c r="O2692" t="s">
        <v>9190</v>
      </c>
      <c r="P2692" t="s">
        <v>9168</v>
      </c>
      <c r="Q2692" t="s">
        <v>41</v>
      </c>
      <c r="R2692" t="s">
        <v>9191</v>
      </c>
      <c r="S2692" t="b">
        <v>1</v>
      </c>
      <c r="T2692" t="b">
        <v>1</v>
      </c>
      <c r="U2692" t="b">
        <v>1</v>
      </c>
      <c r="V2692" t="b">
        <v>1</v>
      </c>
      <c r="W2692" t="b">
        <v>1</v>
      </c>
      <c r="X2692" t="b">
        <v>1</v>
      </c>
      <c r="Y2692" t="b">
        <v>1</v>
      </c>
      <c r="Z2692" t="b">
        <v>1</v>
      </c>
      <c r="AA2692" t="b">
        <v>1</v>
      </c>
      <c r="AB2692" t="b">
        <v>1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</row>
    <row r="2693" spans="1:33" x14ac:dyDescent="0.25">
      <c r="A2693" t="s">
        <v>9179</v>
      </c>
      <c r="B2693">
        <v>5</v>
      </c>
      <c r="C2693" t="b">
        <v>0</v>
      </c>
      <c r="D2693" t="s">
        <v>7968</v>
      </c>
      <c r="E2693" t="s">
        <v>9164</v>
      </c>
      <c r="F2693" t="s">
        <v>9188</v>
      </c>
      <c r="G2693" t="s">
        <v>9192</v>
      </c>
      <c r="H2693">
        <v>2692</v>
      </c>
      <c r="I2693" t="str">
        <f>IF(ISBLANK(Table1[[#This Row],[oid]]),"FALSE","TRUE")</f>
        <v>TRUE</v>
      </c>
      <c r="J2693" t="str" cm="1">
        <f t="array" ref="J2693">_xlfn.SWITCH(LEFT(Table1[[#This Row],[section]],1), "D", "Demographic", "S", "Social", "E", "Economic", "H", "Housing", "")</f>
        <v>Housing</v>
      </c>
      <c r="K2693" t="s">
        <v>9166</v>
      </c>
      <c r="L2693" t="s">
        <v>9167</v>
      </c>
      <c r="M2693" t="str">
        <f>IF(Table1[[#This Row],[used]], _xlfn.CONCAT("🆔 ", Table1[[#This Row],[variable]], ": ",Table1[[#This Row],[alias]]), "")</f>
        <v>🆔 B25081_005E: Housing units with a mortgage: Housing units with multiple mortgages: Mortgage with both second mortgage and home equity loan</v>
      </c>
      <c r="O2693" t="s">
        <v>9193</v>
      </c>
      <c r="P2693" t="s">
        <v>9168</v>
      </c>
      <c r="Q2693" t="s">
        <v>41</v>
      </c>
      <c r="R2693" t="s">
        <v>9191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 t="b">
        <v>0</v>
      </c>
      <c r="AC2693" t="b">
        <v>1</v>
      </c>
      <c r="AD2693" t="b">
        <v>1</v>
      </c>
      <c r="AE2693" t="b">
        <v>1</v>
      </c>
      <c r="AF2693" t="b">
        <v>1</v>
      </c>
      <c r="AG2693" t="b">
        <v>1</v>
      </c>
    </row>
    <row r="2694" spans="1:33" x14ac:dyDescent="0.25">
      <c r="A2694" t="s">
        <v>9174</v>
      </c>
      <c r="B2694">
        <v>10</v>
      </c>
      <c r="C2694" t="b">
        <v>0</v>
      </c>
      <c r="D2694" t="s">
        <v>7968</v>
      </c>
      <c r="E2694" t="s">
        <v>9164</v>
      </c>
      <c r="F2694" t="s">
        <v>9194</v>
      </c>
      <c r="G2694" t="s">
        <v>9195</v>
      </c>
      <c r="H2694">
        <v>2693</v>
      </c>
      <c r="I2694" t="str">
        <f>IF(ISBLANK(Table1[[#This Row],[oid]]),"FALSE","TRUE")</f>
        <v>TRUE</v>
      </c>
      <c r="J2694" t="str" cm="1">
        <f t="array" ref="J2694">_xlfn.SWITCH(LEFT(Table1[[#This Row],[section]],1), "D", "Demographic", "S", "Social", "E", "Economic", "H", "Housing", "")</f>
        <v>Housing</v>
      </c>
      <c r="K2694" t="s">
        <v>9166</v>
      </c>
      <c r="L2694" t="s">
        <v>9167</v>
      </c>
      <c r="M2694" t="str">
        <f>IF(Table1[[#This Row],[used]], _xlfn.CONCAT("🆔 ", Table1[[#This Row],[variable]], ": ",Table1[[#This Row],[alias]]), "")</f>
        <v>🆔 B25081_006E: Housing units with a mortgage: Both second mortgage and home equity loan</v>
      </c>
      <c r="O2694" t="s">
        <v>9196</v>
      </c>
      <c r="P2694" t="s">
        <v>9168</v>
      </c>
      <c r="Q2694" t="s">
        <v>41</v>
      </c>
      <c r="R2694" t="s">
        <v>9197</v>
      </c>
      <c r="S2694" t="b">
        <v>1</v>
      </c>
      <c r="T2694" t="b">
        <v>1</v>
      </c>
      <c r="U2694" t="b">
        <v>1</v>
      </c>
      <c r="V2694" t="b">
        <v>1</v>
      </c>
      <c r="W2694" t="b">
        <v>1</v>
      </c>
      <c r="X2694" t="b">
        <v>1</v>
      </c>
      <c r="Y2694" t="b">
        <v>1</v>
      </c>
      <c r="Z2694" t="b">
        <v>1</v>
      </c>
      <c r="AA2694" t="b">
        <v>1</v>
      </c>
      <c r="AB2694" t="b">
        <v>1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</row>
    <row r="2695" spans="1:33" x14ac:dyDescent="0.25">
      <c r="A2695" t="s">
        <v>9179</v>
      </c>
      <c r="B2695">
        <v>5</v>
      </c>
      <c r="C2695" t="b">
        <v>0</v>
      </c>
      <c r="D2695" t="s">
        <v>7968</v>
      </c>
      <c r="E2695" t="s">
        <v>9164</v>
      </c>
      <c r="F2695" t="s">
        <v>9194</v>
      </c>
      <c r="G2695" t="s">
        <v>9198</v>
      </c>
      <c r="H2695">
        <v>2694</v>
      </c>
      <c r="I2695" t="str">
        <f>IF(ISBLANK(Table1[[#This Row],[oid]]),"FALSE","TRUE")</f>
        <v>TRUE</v>
      </c>
      <c r="J2695" t="str" cm="1">
        <f t="array" ref="J2695">_xlfn.SWITCH(LEFT(Table1[[#This Row],[section]],1), "D", "Demographic", "S", "Social", "E", "Economic", "H", "Housing", "")</f>
        <v>Housing</v>
      </c>
      <c r="K2695" t="s">
        <v>9166</v>
      </c>
      <c r="L2695" t="s">
        <v>9167</v>
      </c>
      <c r="M2695" t="str">
        <f>IF(Table1[[#This Row],[used]], _xlfn.CONCAT("🆔 ", Table1[[#This Row],[variable]], ": ",Table1[[#This Row],[alias]]), "")</f>
        <v>🆔 B25081_006E: Housing units with a mortgage: Housing units with multiple mortgages: Mortgage with only home equity loan</v>
      </c>
      <c r="O2695" t="s">
        <v>9199</v>
      </c>
      <c r="P2695" t="s">
        <v>9168</v>
      </c>
      <c r="Q2695" t="s">
        <v>41</v>
      </c>
      <c r="R2695" t="s">
        <v>9197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1</v>
      </c>
      <c r="AD2695" t="b">
        <v>1</v>
      </c>
      <c r="AE2695" t="b">
        <v>1</v>
      </c>
      <c r="AF2695" t="b">
        <v>1</v>
      </c>
      <c r="AG2695" t="b">
        <v>1</v>
      </c>
    </row>
    <row r="2696" spans="1:33" x14ac:dyDescent="0.25">
      <c r="A2696" t="s">
        <v>9174</v>
      </c>
      <c r="B2696">
        <v>10</v>
      </c>
      <c r="C2696" t="b">
        <v>0</v>
      </c>
      <c r="D2696" t="s">
        <v>7968</v>
      </c>
      <c r="E2696" t="s">
        <v>9164</v>
      </c>
      <c r="F2696" t="s">
        <v>9200</v>
      </c>
      <c r="G2696" t="s">
        <v>9201</v>
      </c>
      <c r="H2696">
        <v>2695</v>
      </c>
      <c r="I2696" t="str">
        <f>IF(ISBLANK(Table1[[#This Row],[oid]]),"FALSE","TRUE")</f>
        <v>TRUE</v>
      </c>
      <c r="J2696" t="str" cm="1">
        <f t="array" ref="J2696">_xlfn.SWITCH(LEFT(Table1[[#This Row],[section]],1), "D", "Demographic", "S", "Social", "E", "Economic", "H", "Housing", "")</f>
        <v>Housing</v>
      </c>
      <c r="K2696" t="s">
        <v>9166</v>
      </c>
      <c r="L2696" t="s">
        <v>9167</v>
      </c>
      <c r="M2696" t="str">
        <f>IF(Table1[[#This Row],[used]], _xlfn.CONCAT("🆔 ", Table1[[#This Row],[variable]], ": ",Table1[[#This Row],[alias]]), "")</f>
        <v>🆔 B25081_007E: Housing units with a mortgage: No second mortgage and no home equity loan</v>
      </c>
      <c r="O2696" t="s">
        <v>9202</v>
      </c>
      <c r="P2696" t="s">
        <v>9168</v>
      </c>
      <c r="Q2696" t="s">
        <v>41</v>
      </c>
      <c r="R2696" t="s">
        <v>9203</v>
      </c>
      <c r="S2696" t="b">
        <v>1</v>
      </c>
      <c r="T2696" t="b">
        <v>1</v>
      </c>
      <c r="U2696" t="b">
        <v>1</v>
      </c>
      <c r="V2696" t="b">
        <v>1</v>
      </c>
      <c r="W2696" t="b">
        <v>1</v>
      </c>
      <c r="X2696" t="b">
        <v>1</v>
      </c>
      <c r="Y2696" t="b">
        <v>1</v>
      </c>
      <c r="Z2696" t="b">
        <v>1</v>
      </c>
      <c r="AA2696" t="b">
        <v>1</v>
      </c>
      <c r="AB2696" t="b">
        <v>1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</row>
    <row r="2697" spans="1:33" x14ac:dyDescent="0.25">
      <c r="A2697" t="s">
        <v>9179</v>
      </c>
      <c r="B2697">
        <v>5</v>
      </c>
      <c r="C2697" t="b">
        <v>0</v>
      </c>
      <c r="D2697" t="s">
        <v>7968</v>
      </c>
      <c r="E2697" t="s">
        <v>9164</v>
      </c>
      <c r="F2697" t="s">
        <v>9200</v>
      </c>
      <c r="G2697" t="s">
        <v>9204</v>
      </c>
      <c r="H2697">
        <v>2696</v>
      </c>
      <c r="I2697" t="str">
        <f>IF(ISBLANK(Table1[[#This Row],[oid]]),"FALSE","TRUE")</f>
        <v>TRUE</v>
      </c>
      <c r="J2697" t="str" cm="1">
        <f t="array" ref="J2697">_xlfn.SWITCH(LEFT(Table1[[#This Row],[section]],1), "D", "Demographic", "S", "Social", "E", "Economic", "H", "Housing", "")</f>
        <v>Housing</v>
      </c>
      <c r="K2697" t="s">
        <v>9166</v>
      </c>
      <c r="L2697" t="s">
        <v>9167</v>
      </c>
      <c r="M2697" t="str">
        <f>IF(Table1[[#This Row],[used]], _xlfn.CONCAT("🆔 ", Table1[[#This Row],[variable]], ": ",Table1[[#This Row],[alias]]), "")</f>
        <v>🆔 B25081_007E: Housing units with a mortgage: Housing units with multiple mortgages: Mortgage with only second mortgage</v>
      </c>
      <c r="O2697" t="s">
        <v>9205</v>
      </c>
      <c r="P2697" t="s">
        <v>9168</v>
      </c>
      <c r="Q2697" t="s">
        <v>41</v>
      </c>
      <c r="R2697" t="s">
        <v>9203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1</v>
      </c>
      <c r="AD2697" t="b">
        <v>1</v>
      </c>
      <c r="AE2697" t="b">
        <v>1</v>
      </c>
      <c r="AF2697" t="b">
        <v>1</v>
      </c>
      <c r="AG2697" t="b">
        <v>1</v>
      </c>
    </row>
    <row r="2698" spans="1:33" x14ac:dyDescent="0.25">
      <c r="A2698" t="s">
        <v>9174</v>
      </c>
      <c r="B2698">
        <v>10</v>
      </c>
      <c r="C2698" t="b">
        <v>0</v>
      </c>
      <c r="D2698" t="s">
        <v>7968</v>
      </c>
      <c r="E2698" t="s">
        <v>9164</v>
      </c>
      <c r="F2698" t="s">
        <v>9206</v>
      </c>
      <c r="G2698" t="s">
        <v>9207</v>
      </c>
      <c r="H2698">
        <v>2697</v>
      </c>
      <c r="I2698" t="str">
        <f>IF(ISBLANK(Table1[[#This Row],[oid]]),"FALSE","TRUE")</f>
        <v>TRUE</v>
      </c>
      <c r="J2698" t="str" cm="1">
        <f t="array" ref="J2698">_xlfn.SWITCH(LEFT(Table1[[#This Row],[section]],1), "D", "Demographic", "S", "Social", "E", "Economic", "H", "Housing", "")</f>
        <v>Housing</v>
      </c>
      <c r="K2698" t="s">
        <v>9166</v>
      </c>
      <c r="L2698" t="s">
        <v>9167</v>
      </c>
      <c r="M2698" t="str">
        <f>IF(Table1[[#This Row],[used]], _xlfn.CONCAT("🆔 ", Table1[[#This Row],[variable]], ": ",Table1[[#This Row],[alias]]), "")</f>
        <v>🆔 B25081_008E: Housing units without a mortgage</v>
      </c>
      <c r="O2698" t="s">
        <v>9208</v>
      </c>
      <c r="P2698" t="s">
        <v>9168</v>
      </c>
      <c r="Q2698" t="s">
        <v>41</v>
      </c>
      <c r="R2698" t="s">
        <v>9209</v>
      </c>
      <c r="S2698" t="b">
        <v>1</v>
      </c>
      <c r="T2698" t="b">
        <v>1</v>
      </c>
      <c r="U2698" t="b">
        <v>1</v>
      </c>
      <c r="V2698" t="b">
        <v>1</v>
      </c>
      <c r="W2698" t="b">
        <v>1</v>
      </c>
      <c r="X2698" t="b">
        <v>1</v>
      </c>
      <c r="Y2698" t="b">
        <v>1</v>
      </c>
      <c r="Z2698" t="b">
        <v>1</v>
      </c>
      <c r="AA2698" t="b">
        <v>1</v>
      </c>
      <c r="AB2698" t="b">
        <v>1</v>
      </c>
      <c r="AC2698" t="b">
        <v>0</v>
      </c>
      <c r="AD2698" t="b">
        <v>0</v>
      </c>
      <c r="AE2698" t="b">
        <v>0</v>
      </c>
      <c r="AF2698" t="b">
        <v>0</v>
      </c>
      <c r="AG2698" t="b">
        <v>0</v>
      </c>
    </row>
    <row r="2699" spans="1:33" x14ac:dyDescent="0.25">
      <c r="A2699" t="s">
        <v>9179</v>
      </c>
      <c r="B2699">
        <v>5</v>
      </c>
      <c r="C2699" t="b">
        <v>0</v>
      </c>
      <c r="D2699" t="s">
        <v>7968</v>
      </c>
      <c r="E2699" t="s">
        <v>9164</v>
      </c>
      <c r="F2699" t="s">
        <v>9206</v>
      </c>
      <c r="G2699" t="s">
        <v>9210</v>
      </c>
      <c r="H2699">
        <v>2698</v>
      </c>
      <c r="I2699" t="str">
        <f>IF(ISBLANK(Table1[[#This Row],[oid]]),"FALSE","TRUE")</f>
        <v>TRUE</v>
      </c>
      <c r="J2699" t="str" cm="1">
        <f t="array" ref="J2699">_xlfn.SWITCH(LEFT(Table1[[#This Row],[section]],1), "D", "Demographic", "S", "Social", "E", "Economic", "H", "Housing", "")</f>
        <v>Housing</v>
      </c>
      <c r="K2699" t="s">
        <v>9166</v>
      </c>
      <c r="L2699" t="s">
        <v>9167</v>
      </c>
      <c r="M2699" t="str">
        <f>IF(Table1[[#This Row],[used]], _xlfn.CONCAT("🆔 ", Table1[[#This Row],[variable]], ": ",Table1[[#This Row],[alias]]), "")</f>
        <v>🆔 B25081_008E: Housing units with a mortgage: Home equity loan without a primary mortgage</v>
      </c>
      <c r="O2699" t="s">
        <v>9211</v>
      </c>
      <c r="P2699" t="s">
        <v>9168</v>
      </c>
      <c r="Q2699" t="s">
        <v>41</v>
      </c>
      <c r="R2699" t="s">
        <v>9209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1</v>
      </c>
      <c r="AD2699" t="b">
        <v>1</v>
      </c>
      <c r="AE2699" t="b">
        <v>1</v>
      </c>
      <c r="AF2699" t="b">
        <v>1</v>
      </c>
      <c r="AG2699" t="b">
        <v>1</v>
      </c>
    </row>
    <row r="2700" spans="1:33" x14ac:dyDescent="0.25">
      <c r="A2700" t="s">
        <v>9179</v>
      </c>
      <c r="B2700">
        <v>5</v>
      </c>
      <c r="C2700" t="b">
        <v>0</v>
      </c>
      <c r="D2700" t="s">
        <v>7968</v>
      </c>
      <c r="E2700" t="s">
        <v>9164</v>
      </c>
      <c r="F2700" t="s">
        <v>9212</v>
      </c>
      <c r="G2700" t="s">
        <v>9207</v>
      </c>
      <c r="H2700">
        <v>2699</v>
      </c>
      <c r="I2700" t="str">
        <f>IF(ISBLANK(Table1[[#This Row],[oid]]),"FALSE","TRUE")</f>
        <v>TRUE</v>
      </c>
      <c r="J2700" t="str" cm="1">
        <f t="array" ref="J2700">_xlfn.SWITCH(LEFT(Table1[[#This Row],[section]],1), "D", "Demographic", "S", "Social", "E", "Economic", "H", "Housing", "")</f>
        <v>Housing</v>
      </c>
      <c r="K2700" t="s">
        <v>9166</v>
      </c>
      <c r="L2700" t="s">
        <v>9167</v>
      </c>
      <c r="M2700" t="str">
        <f>IF(Table1[[#This Row],[used]], _xlfn.CONCAT("🆔 ", Table1[[#This Row],[variable]], ": ",Table1[[#This Row],[alias]]), "")</f>
        <v>🆔 B25081_009E: Housing units without a mortgage</v>
      </c>
      <c r="O2700" t="s">
        <v>9208</v>
      </c>
      <c r="P2700" t="s">
        <v>9168</v>
      </c>
      <c r="Q2700" t="s">
        <v>41</v>
      </c>
      <c r="R2700" t="s">
        <v>9213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1</v>
      </c>
      <c r="AD2700" t="b">
        <v>1</v>
      </c>
      <c r="AE2700" t="b">
        <v>1</v>
      </c>
      <c r="AF2700" t="b">
        <v>1</v>
      </c>
      <c r="AG2700" t="b">
        <v>1</v>
      </c>
    </row>
    <row r="2701" spans="1:33" x14ac:dyDescent="0.25">
      <c r="A2701" t="s">
        <v>33</v>
      </c>
      <c r="B2701">
        <v>15</v>
      </c>
      <c r="C2701" t="b">
        <v>1</v>
      </c>
      <c r="D2701" t="s">
        <v>7968</v>
      </c>
      <c r="E2701" t="s">
        <v>9083</v>
      </c>
      <c r="F2701" t="s">
        <v>9214</v>
      </c>
      <c r="G2701" t="s">
        <v>9079</v>
      </c>
      <c r="H2701">
        <v>2700</v>
      </c>
      <c r="I2701" t="str">
        <f>IF(ISBLANK(Table1[[#This Row],[oid]]),"FALSE","TRUE")</f>
        <v>TRUE</v>
      </c>
      <c r="J2701" t="str" cm="1">
        <f t="array" ref="J2701">_xlfn.SWITCH(LEFT(Table1[[#This Row],[section]],1), "D", "Demographic", "S", "Social", "E", "Economic", "H", "Housing", "")</f>
        <v>Housing</v>
      </c>
      <c r="K2701" t="s">
        <v>9166</v>
      </c>
      <c r="L2701" t="s">
        <v>9167</v>
      </c>
      <c r="M2701" t="str">
        <f>IF(Table1[[#This Row],[used]], _xlfn.CONCAT("🆔 ", Table1[[#This Row],[variable]], ": ",Table1[[#This Row],[alias]]), "")</f>
        <v>🆔 B25082_001E: Aggregate value dollars</v>
      </c>
      <c r="O2701" t="s">
        <v>9080</v>
      </c>
      <c r="P2701" t="s">
        <v>9087</v>
      </c>
      <c r="Q2701" t="s">
        <v>41</v>
      </c>
      <c r="R2701" t="s">
        <v>9215</v>
      </c>
      <c r="S2701" t="b">
        <v>1</v>
      </c>
      <c r="T2701" t="b">
        <v>1</v>
      </c>
      <c r="U2701" t="b">
        <v>1</v>
      </c>
      <c r="V2701" t="b">
        <v>1</v>
      </c>
      <c r="W2701" t="b">
        <v>1</v>
      </c>
      <c r="X2701" t="b">
        <v>1</v>
      </c>
      <c r="Y2701" t="b">
        <v>1</v>
      </c>
      <c r="Z2701" t="b">
        <v>1</v>
      </c>
      <c r="AA2701" t="b">
        <v>1</v>
      </c>
      <c r="AB2701" t="b">
        <v>1</v>
      </c>
      <c r="AC2701" t="b">
        <v>1</v>
      </c>
      <c r="AD2701" t="b">
        <v>1</v>
      </c>
      <c r="AE2701" t="b">
        <v>1</v>
      </c>
      <c r="AF2701" t="b">
        <v>1</v>
      </c>
      <c r="AG2701" t="b">
        <v>1</v>
      </c>
    </row>
    <row r="2702" spans="1:33" x14ac:dyDescent="0.25">
      <c r="A2702" t="s">
        <v>33</v>
      </c>
      <c r="B2702">
        <v>15</v>
      </c>
      <c r="C2702" t="b">
        <v>1</v>
      </c>
      <c r="D2702" t="s">
        <v>7968</v>
      </c>
      <c r="E2702" t="s">
        <v>9216</v>
      </c>
      <c r="F2702" t="s">
        <v>9217</v>
      </c>
      <c r="G2702" t="s">
        <v>9218</v>
      </c>
      <c r="H2702">
        <v>2701</v>
      </c>
      <c r="I2702" t="str">
        <f>IF(ISBLANK(Table1[[#This Row],[oid]]),"FALSE","TRUE")</f>
        <v>TRUE</v>
      </c>
      <c r="J2702" t="str" cm="1">
        <f t="array" ref="J2702">_xlfn.SWITCH(LEFT(Table1[[#This Row],[section]],1), "D", "Demographic", "S", "Social", "E", "Economic", "H", "Housing", "")</f>
        <v>Housing</v>
      </c>
      <c r="K2702" t="s">
        <v>9219</v>
      </c>
      <c r="L2702" t="s">
        <v>9220</v>
      </c>
      <c r="M2702" t="str">
        <f>IF(Table1[[#This Row],[used]], _xlfn.CONCAT("🆔 ", Table1[[#This Row],[variable]], ": ",Table1[[#This Row],[alias]]), "")</f>
        <v>🆔 B25087_001E: Owner-occupied housing units</v>
      </c>
      <c r="O2702" t="s">
        <v>39</v>
      </c>
      <c r="P2702" t="s">
        <v>9221</v>
      </c>
      <c r="Q2702" t="s">
        <v>41</v>
      </c>
      <c r="R2702" t="s">
        <v>9222</v>
      </c>
      <c r="S2702" t="b">
        <v>1</v>
      </c>
      <c r="T2702" t="b">
        <v>1</v>
      </c>
      <c r="U2702" t="b">
        <v>1</v>
      </c>
      <c r="V2702" t="b">
        <v>1</v>
      </c>
      <c r="W2702" t="b">
        <v>1</v>
      </c>
      <c r="X2702" t="b">
        <v>1</v>
      </c>
      <c r="Y2702" t="b">
        <v>1</v>
      </c>
      <c r="Z2702" t="b">
        <v>1</v>
      </c>
      <c r="AA2702" t="b">
        <v>1</v>
      </c>
      <c r="AB2702" t="b">
        <v>1</v>
      </c>
      <c r="AC2702" t="b">
        <v>1</v>
      </c>
      <c r="AD2702" t="b">
        <v>1</v>
      </c>
      <c r="AE2702" t="b">
        <v>1</v>
      </c>
      <c r="AF2702" t="b">
        <v>1</v>
      </c>
      <c r="AG2702" t="b">
        <v>1</v>
      </c>
    </row>
    <row r="2703" spans="1:33" x14ac:dyDescent="0.25">
      <c r="A2703" t="s">
        <v>33</v>
      </c>
      <c r="B2703">
        <v>15</v>
      </c>
      <c r="C2703" t="b">
        <v>1</v>
      </c>
      <c r="D2703" t="s">
        <v>7968</v>
      </c>
      <c r="E2703" t="s">
        <v>9216</v>
      </c>
      <c r="F2703" t="s">
        <v>9223</v>
      </c>
      <c r="G2703" t="s">
        <v>9171</v>
      </c>
      <c r="H2703">
        <v>2702</v>
      </c>
      <c r="I2703" t="str">
        <f>IF(ISBLANK(Table1[[#This Row],[oid]]),"FALSE","TRUE")</f>
        <v>TRUE</v>
      </c>
      <c r="J2703" t="str" cm="1">
        <f t="array" ref="J2703">_xlfn.SWITCH(LEFT(Table1[[#This Row],[section]],1), "D", "Demographic", "S", "Social", "E", "Economic", "H", "Housing", "")</f>
        <v>Housing</v>
      </c>
      <c r="K2703" t="s">
        <v>9219</v>
      </c>
      <c r="L2703" t="s">
        <v>9220</v>
      </c>
      <c r="M2703" t="str">
        <f>IF(Table1[[#This Row],[used]], _xlfn.CONCAT("🆔 ", Table1[[#This Row],[variable]], ": ",Table1[[#This Row],[alias]]), "")</f>
        <v>🆔 B25087_002E: Housing units with a mortgage</v>
      </c>
      <c r="O2703" t="s">
        <v>9172</v>
      </c>
      <c r="P2703" t="s">
        <v>9221</v>
      </c>
      <c r="Q2703" t="s">
        <v>41</v>
      </c>
      <c r="R2703" t="s">
        <v>9224</v>
      </c>
      <c r="S2703" t="b">
        <v>1</v>
      </c>
      <c r="T2703" t="b">
        <v>1</v>
      </c>
      <c r="U2703" t="b">
        <v>1</v>
      </c>
      <c r="V2703" t="b">
        <v>1</v>
      </c>
      <c r="W2703" t="b">
        <v>1</v>
      </c>
      <c r="X2703" t="b">
        <v>1</v>
      </c>
      <c r="Y2703" t="b">
        <v>1</v>
      </c>
      <c r="Z2703" t="b">
        <v>1</v>
      </c>
      <c r="AA2703" t="b">
        <v>1</v>
      </c>
      <c r="AB2703" t="b">
        <v>1</v>
      </c>
      <c r="AC2703" t="b">
        <v>1</v>
      </c>
      <c r="AD2703" t="b">
        <v>1</v>
      </c>
      <c r="AE2703" t="b">
        <v>1</v>
      </c>
      <c r="AF2703" t="b">
        <v>1</v>
      </c>
      <c r="AG2703" t="b">
        <v>1</v>
      </c>
    </row>
    <row r="2704" spans="1:33" x14ac:dyDescent="0.25">
      <c r="A2704" t="s">
        <v>33</v>
      </c>
      <c r="B2704">
        <v>15</v>
      </c>
      <c r="C2704" t="b">
        <v>1</v>
      </c>
      <c r="D2704" t="s">
        <v>7968</v>
      </c>
      <c r="E2704" t="s">
        <v>9216</v>
      </c>
      <c r="F2704" t="s">
        <v>9225</v>
      </c>
      <c r="G2704" t="s">
        <v>9226</v>
      </c>
      <c r="H2704">
        <v>2703</v>
      </c>
      <c r="I2704" t="str">
        <f>IF(ISBLANK(Table1[[#This Row],[oid]]),"FALSE","TRUE")</f>
        <v>TRUE</v>
      </c>
      <c r="J2704" t="str" cm="1">
        <f t="array" ref="J2704">_xlfn.SWITCH(LEFT(Table1[[#This Row],[section]],1), "D", "Demographic", "S", "Social", "E", "Economic", "H", "Housing", "")</f>
        <v>Housing</v>
      </c>
      <c r="K2704" t="s">
        <v>9219</v>
      </c>
      <c r="L2704" t="s">
        <v>9220</v>
      </c>
      <c r="M2704" t="str">
        <f>IF(Table1[[#This Row],[used]], _xlfn.CONCAT("🆔 ", Table1[[#This Row],[variable]], ": ",Table1[[#This Row],[alias]]), "")</f>
        <v>🆔 B25087_003E: Housing units with a mortgage: Less than $200</v>
      </c>
      <c r="O2704" t="s">
        <v>9227</v>
      </c>
      <c r="P2704" t="s">
        <v>9221</v>
      </c>
      <c r="Q2704" t="s">
        <v>41</v>
      </c>
      <c r="R2704" t="s">
        <v>9228</v>
      </c>
      <c r="S2704" t="b">
        <v>1</v>
      </c>
      <c r="T2704" t="b">
        <v>1</v>
      </c>
      <c r="U2704" t="b">
        <v>1</v>
      </c>
      <c r="V2704" t="b">
        <v>1</v>
      </c>
      <c r="W2704" t="b">
        <v>1</v>
      </c>
      <c r="X2704" t="b">
        <v>1</v>
      </c>
      <c r="Y2704" t="b">
        <v>1</v>
      </c>
      <c r="Z2704" t="b">
        <v>1</v>
      </c>
      <c r="AA2704" t="b">
        <v>1</v>
      </c>
      <c r="AB2704" t="b">
        <v>1</v>
      </c>
      <c r="AC2704" t="b">
        <v>1</v>
      </c>
      <c r="AD2704" t="b">
        <v>1</v>
      </c>
      <c r="AE2704" t="b">
        <v>1</v>
      </c>
      <c r="AF2704" t="b">
        <v>1</v>
      </c>
      <c r="AG2704" t="b">
        <v>1</v>
      </c>
    </row>
    <row r="2705" spans="1:33" x14ac:dyDescent="0.25">
      <c r="A2705" t="s">
        <v>33</v>
      </c>
      <c r="B2705">
        <v>15</v>
      </c>
      <c r="C2705" t="b">
        <v>1</v>
      </c>
      <c r="D2705" t="s">
        <v>7968</v>
      </c>
      <c r="E2705" t="s">
        <v>9216</v>
      </c>
      <c r="F2705" t="s">
        <v>9229</v>
      </c>
      <c r="G2705" t="s">
        <v>9230</v>
      </c>
      <c r="H2705">
        <v>2704</v>
      </c>
      <c r="I2705" t="str">
        <f>IF(ISBLANK(Table1[[#This Row],[oid]]),"FALSE","TRUE")</f>
        <v>TRUE</v>
      </c>
      <c r="J2705" t="str" cm="1">
        <f t="array" ref="J2705">_xlfn.SWITCH(LEFT(Table1[[#This Row],[section]],1), "D", "Demographic", "S", "Social", "E", "Economic", "H", "Housing", "")</f>
        <v>Housing</v>
      </c>
      <c r="K2705" t="s">
        <v>9219</v>
      </c>
      <c r="L2705" t="s">
        <v>9220</v>
      </c>
      <c r="M2705" t="str">
        <f>IF(Table1[[#This Row],[used]], _xlfn.CONCAT("🆔 ", Table1[[#This Row],[variable]], ": ",Table1[[#This Row],[alias]]), "")</f>
        <v>🆔 B25087_004E: Housing units with a mortgage: $200 to $299</v>
      </c>
      <c r="O2705" t="s">
        <v>9231</v>
      </c>
      <c r="P2705" t="s">
        <v>9221</v>
      </c>
      <c r="Q2705" t="s">
        <v>41</v>
      </c>
      <c r="R2705" t="s">
        <v>9232</v>
      </c>
      <c r="S2705" t="b">
        <v>1</v>
      </c>
      <c r="T2705" t="b">
        <v>1</v>
      </c>
      <c r="U2705" t="b">
        <v>1</v>
      </c>
      <c r="V2705" t="b">
        <v>1</v>
      </c>
      <c r="W2705" t="b">
        <v>1</v>
      </c>
      <c r="X2705" t="b">
        <v>1</v>
      </c>
      <c r="Y2705" t="b">
        <v>1</v>
      </c>
      <c r="Z2705" t="b">
        <v>1</v>
      </c>
      <c r="AA2705" t="b">
        <v>1</v>
      </c>
      <c r="AB2705" t="b">
        <v>1</v>
      </c>
      <c r="AC2705" t="b">
        <v>1</v>
      </c>
      <c r="AD2705" t="b">
        <v>1</v>
      </c>
      <c r="AE2705" t="b">
        <v>1</v>
      </c>
      <c r="AF2705" t="b">
        <v>1</v>
      </c>
      <c r="AG2705" t="b">
        <v>1</v>
      </c>
    </row>
    <row r="2706" spans="1:33" x14ac:dyDescent="0.25">
      <c r="A2706" t="s">
        <v>33</v>
      </c>
      <c r="B2706">
        <v>15</v>
      </c>
      <c r="C2706" t="b">
        <v>1</v>
      </c>
      <c r="D2706" t="s">
        <v>7968</v>
      </c>
      <c r="E2706" t="s">
        <v>9216</v>
      </c>
      <c r="F2706" t="s">
        <v>9233</v>
      </c>
      <c r="G2706" t="s">
        <v>9234</v>
      </c>
      <c r="H2706">
        <v>2705</v>
      </c>
      <c r="I2706" t="str">
        <f>IF(ISBLANK(Table1[[#This Row],[oid]]),"FALSE","TRUE")</f>
        <v>TRUE</v>
      </c>
      <c r="J2706" t="str" cm="1">
        <f t="array" ref="J2706">_xlfn.SWITCH(LEFT(Table1[[#This Row],[section]],1), "D", "Demographic", "S", "Social", "E", "Economic", "H", "Housing", "")</f>
        <v>Housing</v>
      </c>
      <c r="K2706" t="s">
        <v>9219</v>
      </c>
      <c r="L2706" t="s">
        <v>9220</v>
      </c>
      <c r="M2706" t="str">
        <f>IF(Table1[[#This Row],[used]], _xlfn.CONCAT("🆔 ", Table1[[#This Row],[variable]], ": ",Table1[[#This Row],[alias]]), "")</f>
        <v>🆔 B25087_005E: Housing units with a mortgage: $300 to $399</v>
      </c>
      <c r="O2706" t="s">
        <v>9235</v>
      </c>
      <c r="P2706" t="s">
        <v>9221</v>
      </c>
      <c r="Q2706" t="s">
        <v>41</v>
      </c>
      <c r="R2706" t="s">
        <v>9236</v>
      </c>
      <c r="S2706" t="b">
        <v>1</v>
      </c>
      <c r="T2706" t="b">
        <v>1</v>
      </c>
      <c r="U2706" t="b">
        <v>1</v>
      </c>
      <c r="V2706" t="b">
        <v>1</v>
      </c>
      <c r="W2706" t="b">
        <v>1</v>
      </c>
      <c r="X2706" t="b">
        <v>1</v>
      </c>
      <c r="Y2706" t="b">
        <v>1</v>
      </c>
      <c r="Z2706" t="b">
        <v>1</v>
      </c>
      <c r="AA2706" t="b">
        <v>1</v>
      </c>
      <c r="AB2706" t="b">
        <v>1</v>
      </c>
      <c r="AC2706" t="b">
        <v>1</v>
      </c>
      <c r="AD2706" t="b">
        <v>1</v>
      </c>
      <c r="AE2706" t="b">
        <v>1</v>
      </c>
      <c r="AF2706" t="b">
        <v>1</v>
      </c>
      <c r="AG2706" t="b">
        <v>1</v>
      </c>
    </row>
    <row r="2707" spans="1:33" x14ac:dyDescent="0.25">
      <c r="A2707" t="s">
        <v>33</v>
      </c>
      <c r="B2707">
        <v>15</v>
      </c>
      <c r="C2707" t="b">
        <v>1</v>
      </c>
      <c r="D2707" t="s">
        <v>7968</v>
      </c>
      <c r="E2707" t="s">
        <v>9216</v>
      </c>
      <c r="F2707" t="s">
        <v>9237</v>
      </c>
      <c r="G2707" t="s">
        <v>9238</v>
      </c>
      <c r="H2707">
        <v>2706</v>
      </c>
      <c r="I2707" t="str">
        <f>IF(ISBLANK(Table1[[#This Row],[oid]]),"FALSE","TRUE")</f>
        <v>TRUE</v>
      </c>
      <c r="J2707" t="str" cm="1">
        <f t="array" ref="J2707">_xlfn.SWITCH(LEFT(Table1[[#This Row],[section]],1), "D", "Demographic", "S", "Social", "E", "Economic", "H", "Housing", "")</f>
        <v>Housing</v>
      </c>
      <c r="K2707" t="s">
        <v>9219</v>
      </c>
      <c r="L2707" t="s">
        <v>9220</v>
      </c>
      <c r="M2707" t="str">
        <f>IF(Table1[[#This Row],[used]], _xlfn.CONCAT("🆔 ", Table1[[#This Row],[variable]], ": ",Table1[[#This Row],[alias]]), "")</f>
        <v>🆔 B25087_006E: Housing units with a mortgage: $400 to $499</v>
      </c>
      <c r="O2707" t="s">
        <v>9239</v>
      </c>
      <c r="P2707" t="s">
        <v>9221</v>
      </c>
      <c r="Q2707" t="s">
        <v>41</v>
      </c>
      <c r="R2707" t="s">
        <v>9240</v>
      </c>
      <c r="S2707" t="b">
        <v>1</v>
      </c>
      <c r="T2707" t="b">
        <v>1</v>
      </c>
      <c r="U2707" t="b">
        <v>1</v>
      </c>
      <c r="V2707" t="b">
        <v>1</v>
      </c>
      <c r="W2707" t="b">
        <v>1</v>
      </c>
      <c r="X2707" t="b">
        <v>1</v>
      </c>
      <c r="Y2707" t="b">
        <v>1</v>
      </c>
      <c r="Z2707" t="b">
        <v>1</v>
      </c>
      <c r="AA2707" t="b">
        <v>1</v>
      </c>
      <c r="AB2707" t="b">
        <v>1</v>
      </c>
      <c r="AC2707" t="b">
        <v>1</v>
      </c>
      <c r="AD2707" t="b">
        <v>1</v>
      </c>
      <c r="AE2707" t="b">
        <v>1</v>
      </c>
      <c r="AF2707" t="b">
        <v>1</v>
      </c>
      <c r="AG2707" t="b">
        <v>1</v>
      </c>
    </row>
    <row r="2708" spans="1:33" x14ac:dyDescent="0.25">
      <c r="A2708" t="s">
        <v>33</v>
      </c>
      <c r="B2708">
        <v>15</v>
      </c>
      <c r="C2708" t="b">
        <v>1</v>
      </c>
      <c r="D2708" t="s">
        <v>7968</v>
      </c>
      <c r="E2708" t="s">
        <v>9216</v>
      </c>
      <c r="F2708" t="s">
        <v>9241</v>
      </c>
      <c r="G2708" t="s">
        <v>9242</v>
      </c>
      <c r="H2708">
        <v>2707</v>
      </c>
      <c r="I2708" t="str">
        <f>IF(ISBLANK(Table1[[#This Row],[oid]]),"FALSE","TRUE")</f>
        <v>TRUE</v>
      </c>
      <c r="J2708" t="str" cm="1">
        <f t="array" ref="J2708">_xlfn.SWITCH(LEFT(Table1[[#This Row],[section]],1), "D", "Demographic", "S", "Social", "E", "Economic", "H", "Housing", "")</f>
        <v>Housing</v>
      </c>
      <c r="K2708" t="s">
        <v>9219</v>
      </c>
      <c r="L2708" t="s">
        <v>9220</v>
      </c>
      <c r="M2708" t="str">
        <f>IF(Table1[[#This Row],[used]], _xlfn.CONCAT("🆔 ", Table1[[#This Row],[variable]], ": ",Table1[[#This Row],[alias]]), "")</f>
        <v>🆔 B25087_007E: Housing units with a mortgage: $500 to $599</v>
      </c>
      <c r="O2708" t="s">
        <v>9243</v>
      </c>
      <c r="P2708" t="s">
        <v>9221</v>
      </c>
      <c r="Q2708" t="s">
        <v>41</v>
      </c>
      <c r="R2708" t="s">
        <v>9244</v>
      </c>
      <c r="S2708" t="b">
        <v>1</v>
      </c>
      <c r="T2708" t="b">
        <v>1</v>
      </c>
      <c r="U2708" t="b">
        <v>1</v>
      </c>
      <c r="V2708" t="b">
        <v>1</v>
      </c>
      <c r="W2708" t="b">
        <v>1</v>
      </c>
      <c r="X2708" t="b">
        <v>1</v>
      </c>
      <c r="Y2708" t="b">
        <v>1</v>
      </c>
      <c r="Z2708" t="b">
        <v>1</v>
      </c>
      <c r="AA2708" t="b">
        <v>1</v>
      </c>
      <c r="AB2708" t="b">
        <v>1</v>
      </c>
      <c r="AC2708" t="b">
        <v>1</v>
      </c>
      <c r="AD2708" t="b">
        <v>1</v>
      </c>
      <c r="AE2708" t="b">
        <v>1</v>
      </c>
      <c r="AF2708" t="b">
        <v>1</v>
      </c>
      <c r="AG2708" t="b">
        <v>1</v>
      </c>
    </row>
    <row r="2709" spans="1:33" x14ac:dyDescent="0.25">
      <c r="A2709" t="s">
        <v>33</v>
      </c>
      <c r="B2709">
        <v>15</v>
      </c>
      <c r="C2709" t="b">
        <v>1</v>
      </c>
      <c r="D2709" t="s">
        <v>7968</v>
      </c>
      <c r="E2709" t="s">
        <v>9216</v>
      </c>
      <c r="F2709" t="s">
        <v>9245</v>
      </c>
      <c r="G2709" t="s">
        <v>9246</v>
      </c>
      <c r="H2709">
        <v>2708</v>
      </c>
      <c r="I2709" t="str">
        <f>IF(ISBLANK(Table1[[#This Row],[oid]]),"FALSE","TRUE")</f>
        <v>TRUE</v>
      </c>
      <c r="J2709" t="str" cm="1">
        <f t="array" ref="J2709">_xlfn.SWITCH(LEFT(Table1[[#This Row],[section]],1), "D", "Demographic", "S", "Social", "E", "Economic", "H", "Housing", "")</f>
        <v>Housing</v>
      </c>
      <c r="K2709" t="s">
        <v>9219</v>
      </c>
      <c r="L2709" t="s">
        <v>9220</v>
      </c>
      <c r="M2709" t="str">
        <f>IF(Table1[[#This Row],[used]], _xlfn.CONCAT("🆔 ", Table1[[#This Row],[variable]], ": ",Table1[[#This Row],[alias]]), "")</f>
        <v>🆔 B25087_008E: Housing units with a mortgage: $600 to $699</v>
      </c>
      <c r="O2709" t="s">
        <v>9247</v>
      </c>
      <c r="P2709" t="s">
        <v>9221</v>
      </c>
      <c r="Q2709" t="s">
        <v>41</v>
      </c>
      <c r="R2709" t="s">
        <v>9248</v>
      </c>
      <c r="S2709" t="b">
        <v>1</v>
      </c>
      <c r="T2709" t="b">
        <v>1</v>
      </c>
      <c r="U2709" t="b">
        <v>1</v>
      </c>
      <c r="V2709" t="b">
        <v>1</v>
      </c>
      <c r="W2709" t="b">
        <v>1</v>
      </c>
      <c r="X2709" t="b">
        <v>1</v>
      </c>
      <c r="Y2709" t="b">
        <v>1</v>
      </c>
      <c r="Z2709" t="b">
        <v>1</v>
      </c>
      <c r="AA2709" t="b">
        <v>1</v>
      </c>
      <c r="AB2709" t="b">
        <v>1</v>
      </c>
      <c r="AC2709" t="b">
        <v>1</v>
      </c>
      <c r="AD2709" t="b">
        <v>1</v>
      </c>
      <c r="AE2709" t="b">
        <v>1</v>
      </c>
      <c r="AF2709" t="b">
        <v>1</v>
      </c>
      <c r="AG2709" t="b">
        <v>1</v>
      </c>
    </row>
    <row r="2710" spans="1:33" x14ac:dyDescent="0.25">
      <c r="A2710" t="s">
        <v>33</v>
      </c>
      <c r="B2710">
        <v>15</v>
      </c>
      <c r="C2710" t="b">
        <v>1</v>
      </c>
      <c r="D2710" t="s">
        <v>7968</v>
      </c>
      <c r="E2710" t="s">
        <v>9216</v>
      </c>
      <c r="F2710" t="s">
        <v>9249</v>
      </c>
      <c r="G2710" t="s">
        <v>9250</v>
      </c>
      <c r="H2710">
        <v>2709</v>
      </c>
      <c r="I2710" t="str">
        <f>IF(ISBLANK(Table1[[#This Row],[oid]]),"FALSE","TRUE")</f>
        <v>TRUE</v>
      </c>
      <c r="J2710" t="str" cm="1">
        <f t="array" ref="J2710">_xlfn.SWITCH(LEFT(Table1[[#This Row],[section]],1), "D", "Demographic", "S", "Social", "E", "Economic", "H", "Housing", "")</f>
        <v>Housing</v>
      </c>
      <c r="K2710" t="s">
        <v>9219</v>
      </c>
      <c r="L2710" t="s">
        <v>9220</v>
      </c>
      <c r="M2710" t="str">
        <f>IF(Table1[[#This Row],[used]], _xlfn.CONCAT("🆔 ", Table1[[#This Row],[variable]], ": ",Table1[[#This Row],[alias]]), "")</f>
        <v>🆔 B25087_009E: Housing units with a mortgage: $700 to $799</v>
      </c>
      <c r="O2710" t="s">
        <v>9251</v>
      </c>
      <c r="P2710" t="s">
        <v>9221</v>
      </c>
      <c r="Q2710" t="s">
        <v>41</v>
      </c>
      <c r="R2710" t="s">
        <v>9252</v>
      </c>
      <c r="S2710" t="b">
        <v>1</v>
      </c>
      <c r="T2710" t="b">
        <v>1</v>
      </c>
      <c r="U2710" t="b">
        <v>1</v>
      </c>
      <c r="V2710" t="b">
        <v>1</v>
      </c>
      <c r="W2710" t="b">
        <v>1</v>
      </c>
      <c r="X2710" t="b">
        <v>1</v>
      </c>
      <c r="Y2710" t="b">
        <v>1</v>
      </c>
      <c r="Z2710" t="b">
        <v>1</v>
      </c>
      <c r="AA2710" t="b">
        <v>1</v>
      </c>
      <c r="AB2710" t="b">
        <v>1</v>
      </c>
      <c r="AC2710" t="b">
        <v>1</v>
      </c>
      <c r="AD2710" t="b">
        <v>1</v>
      </c>
      <c r="AE2710" t="b">
        <v>1</v>
      </c>
      <c r="AF2710" t="b">
        <v>1</v>
      </c>
      <c r="AG2710" t="b">
        <v>1</v>
      </c>
    </row>
    <row r="2711" spans="1:33" x14ac:dyDescent="0.25">
      <c r="A2711" t="s">
        <v>33</v>
      </c>
      <c r="B2711">
        <v>15</v>
      </c>
      <c r="C2711" t="b">
        <v>1</v>
      </c>
      <c r="D2711" t="s">
        <v>7968</v>
      </c>
      <c r="E2711" t="s">
        <v>9216</v>
      </c>
      <c r="F2711" t="s">
        <v>9253</v>
      </c>
      <c r="G2711" t="s">
        <v>9254</v>
      </c>
      <c r="H2711">
        <v>2710</v>
      </c>
      <c r="I2711" t="str">
        <f>IF(ISBLANK(Table1[[#This Row],[oid]]),"FALSE","TRUE")</f>
        <v>TRUE</v>
      </c>
      <c r="J2711" t="str" cm="1">
        <f t="array" ref="J2711">_xlfn.SWITCH(LEFT(Table1[[#This Row],[section]],1), "D", "Demographic", "S", "Social", "E", "Economic", "H", "Housing", "")</f>
        <v>Housing</v>
      </c>
      <c r="K2711" t="s">
        <v>9219</v>
      </c>
      <c r="L2711" t="s">
        <v>9220</v>
      </c>
      <c r="M2711" t="str">
        <f>IF(Table1[[#This Row],[used]], _xlfn.CONCAT("🆔 ", Table1[[#This Row],[variable]], ": ",Table1[[#This Row],[alias]]), "")</f>
        <v>🆔 B25087_010E: Housing units with a mortgage: $800 to $899</v>
      </c>
      <c r="O2711" t="s">
        <v>9255</v>
      </c>
      <c r="P2711" t="s">
        <v>9221</v>
      </c>
      <c r="Q2711" t="s">
        <v>41</v>
      </c>
      <c r="R2711" t="s">
        <v>9256</v>
      </c>
      <c r="S2711" t="b">
        <v>1</v>
      </c>
      <c r="T2711" t="b">
        <v>1</v>
      </c>
      <c r="U2711" t="b">
        <v>1</v>
      </c>
      <c r="V2711" t="b">
        <v>1</v>
      </c>
      <c r="W2711" t="b">
        <v>1</v>
      </c>
      <c r="X2711" t="b">
        <v>1</v>
      </c>
      <c r="Y2711" t="b">
        <v>1</v>
      </c>
      <c r="Z2711" t="b">
        <v>1</v>
      </c>
      <c r="AA2711" t="b">
        <v>1</v>
      </c>
      <c r="AB2711" t="b">
        <v>1</v>
      </c>
      <c r="AC2711" t="b">
        <v>1</v>
      </c>
      <c r="AD2711" t="b">
        <v>1</v>
      </c>
      <c r="AE2711" t="b">
        <v>1</v>
      </c>
      <c r="AF2711" t="b">
        <v>1</v>
      </c>
      <c r="AG2711" t="b">
        <v>1</v>
      </c>
    </row>
    <row r="2712" spans="1:33" x14ac:dyDescent="0.25">
      <c r="A2712" t="s">
        <v>33</v>
      </c>
      <c r="B2712">
        <v>15</v>
      </c>
      <c r="C2712" t="b">
        <v>1</v>
      </c>
      <c r="D2712" t="s">
        <v>7968</v>
      </c>
      <c r="E2712" t="s">
        <v>9216</v>
      </c>
      <c r="F2712" t="s">
        <v>9257</v>
      </c>
      <c r="G2712" t="s">
        <v>9258</v>
      </c>
      <c r="H2712">
        <v>2711</v>
      </c>
      <c r="I2712" t="str">
        <f>IF(ISBLANK(Table1[[#This Row],[oid]]),"FALSE","TRUE")</f>
        <v>TRUE</v>
      </c>
      <c r="J2712" t="str" cm="1">
        <f t="array" ref="J2712">_xlfn.SWITCH(LEFT(Table1[[#This Row],[section]],1), "D", "Demographic", "S", "Social", "E", "Economic", "H", "Housing", "")</f>
        <v>Housing</v>
      </c>
      <c r="K2712" t="s">
        <v>9219</v>
      </c>
      <c r="L2712" t="s">
        <v>9220</v>
      </c>
      <c r="M2712" t="str">
        <f>IF(Table1[[#This Row],[used]], _xlfn.CONCAT("🆔 ", Table1[[#This Row],[variable]], ": ",Table1[[#This Row],[alias]]), "")</f>
        <v>🆔 B25087_011E: Housing units with a mortgage: $900 to $999</v>
      </c>
      <c r="O2712" t="s">
        <v>9259</v>
      </c>
      <c r="P2712" t="s">
        <v>9221</v>
      </c>
      <c r="Q2712" t="s">
        <v>41</v>
      </c>
      <c r="R2712" t="s">
        <v>9260</v>
      </c>
      <c r="S2712" t="b">
        <v>1</v>
      </c>
      <c r="T2712" t="b">
        <v>1</v>
      </c>
      <c r="U2712" t="b">
        <v>1</v>
      </c>
      <c r="V2712" t="b">
        <v>1</v>
      </c>
      <c r="W2712" t="b">
        <v>1</v>
      </c>
      <c r="X2712" t="b">
        <v>1</v>
      </c>
      <c r="Y2712" t="b">
        <v>1</v>
      </c>
      <c r="Z2712" t="b">
        <v>1</v>
      </c>
      <c r="AA2712" t="b">
        <v>1</v>
      </c>
      <c r="AB2712" t="b">
        <v>1</v>
      </c>
      <c r="AC2712" t="b">
        <v>1</v>
      </c>
      <c r="AD2712" t="b">
        <v>1</v>
      </c>
      <c r="AE2712" t="b">
        <v>1</v>
      </c>
      <c r="AF2712" t="b">
        <v>1</v>
      </c>
      <c r="AG2712" t="b">
        <v>1</v>
      </c>
    </row>
    <row r="2713" spans="1:33" x14ac:dyDescent="0.25">
      <c r="A2713" t="s">
        <v>33</v>
      </c>
      <c r="B2713">
        <v>15</v>
      </c>
      <c r="C2713" t="b">
        <v>1</v>
      </c>
      <c r="D2713" t="s">
        <v>7968</v>
      </c>
      <c r="E2713" t="s">
        <v>9216</v>
      </c>
      <c r="F2713" t="s">
        <v>9261</v>
      </c>
      <c r="G2713" t="s">
        <v>9262</v>
      </c>
      <c r="H2713">
        <v>2712</v>
      </c>
      <c r="I2713" t="str">
        <f>IF(ISBLANK(Table1[[#This Row],[oid]]),"FALSE","TRUE")</f>
        <v>TRUE</v>
      </c>
      <c r="J2713" t="str" cm="1">
        <f t="array" ref="J2713">_xlfn.SWITCH(LEFT(Table1[[#This Row],[section]],1), "D", "Demographic", "S", "Social", "E", "Economic", "H", "Housing", "")</f>
        <v>Housing</v>
      </c>
      <c r="K2713" t="s">
        <v>9219</v>
      </c>
      <c r="L2713" t="s">
        <v>9220</v>
      </c>
      <c r="M2713" t="str">
        <f>IF(Table1[[#This Row],[used]], _xlfn.CONCAT("🆔 ", Table1[[#This Row],[variable]], ": ",Table1[[#This Row],[alias]]), "")</f>
        <v>🆔 B25087_012E: Housing units with a mortgage: $1,000 to $1,249</v>
      </c>
      <c r="O2713" t="s">
        <v>9263</v>
      </c>
      <c r="P2713" t="s">
        <v>9221</v>
      </c>
      <c r="Q2713" t="s">
        <v>41</v>
      </c>
      <c r="R2713" t="s">
        <v>9264</v>
      </c>
      <c r="S2713" t="b">
        <v>1</v>
      </c>
      <c r="T2713" t="b">
        <v>1</v>
      </c>
      <c r="U2713" t="b">
        <v>1</v>
      </c>
      <c r="V2713" t="b">
        <v>1</v>
      </c>
      <c r="W2713" t="b">
        <v>1</v>
      </c>
      <c r="X2713" t="b">
        <v>1</v>
      </c>
      <c r="Y2713" t="b">
        <v>1</v>
      </c>
      <c r="Z2713" t="b">
        <v>1</v>
      </c>
      <c r="AA2713" t="b">
        <v>1</v>
      </c>
      <c r="AB2713" t="b">
        <v>1</v>
      </c>
      <c r="AC2713" t="b">
        <v>1</v>
      </c>
      <c r="AD2713" t="b">
        <v>1</v>
      </c>
      <c r="AE2713" t="b">
        <v>1</v>
      </c>
      <c r="AF2713" t="b">
        <v>1</v>
      </c>
      <c r="AG2713" t="b">
        <v>1</v>
      </c>
    </row>
    <row r="2714" spans="1:33" x14ac:dyDescent="0.25">
      <c r="A2714" t="s">
        <v>33</v>
      </c>
      <c r="B2714">
        <v>15</v>
      </c>
      <c r="C2714" t="b">
        <v>1</v>
      </c>
      <c r="D2714" t="s">
        <v>7968</v>
      </c>
      <c r="E2714" t="s">
        <v>9216</v>
      </c>
      <c r="F2714" t="s">
        <v>9265</v>
      </c>
      <c r="G2714" t="s">
        <v>9266</v>
      </c>
      <c r="H2714">
        <v>2713</v>
      </c>
      <c r="I2714" t="str">
        <f>IF(ISBLANK(Table1[[#This Row],[oid]]),"FALSE","TRUE")</f>
        <v>TRUE</v>
      </c>
      <c r="J2714" t="str" cm="1">
        <f t="array" ref="J2714">_xlfn.SWITCH(LEFT(Table1[[#This Row],[section]],1), "D", "Demographic", "S", "Social", "E", "Economic", "H", "Housing", "")</f>
        <v>Housing</v>
      </c>
      <c r="K2714" t="s">
        <v>9219</v>
      </c>
      <c r="L2714" t="s">
        <v>9220</v>
      </c>
      <c r="M2714" t="str">
        <f>IF(Table1[[#This Row],[used]], _xlfn.CONCAT("🆔 ", Table1[[#This Row],[variable]], ": ",Table1[[#This Row],[alias]]), "")</f>
        <v>🆔 B25087_013E: Housing units with a mortgage: $1,250 to $1,499</v>
      </c>
      <c r="O2714" t="s">
        <v>9267</v>
      </c>
      <c r="P2714" t="s">
        <v>9221</v>
      </c>
      <c r="Q2714" t="s">
        <v>41</v>
      </c>
      <c r="R2714" t="s">
        <v>9268</v>
      </c>
      <c r="S2714" t="b">
        <v>1</v>
      </c>
      <c r="T2714" t="b">
        <v>1</v>
      </c>
      <c r="U2714" t="b">
        <v>1</v>
      </c>
      <c r="V2714" t="b">
        <v>1</v>
      </c>
      <c r="W2714" t="b">
        <v>1</v>
      </c>
      <c r="X2714" t="b">
        <v>1</v>
      </c>
      <c r="Y2714" t="b">
        <v>1</v>
      </c>
      <c r="Z2714" t="b">
        <v>1</v>
      </c>
      <c r="AA2714" t="b">
        <v>1</v>
      </c>
      <c r="AB2714" t="b">
        <v>1</v>
      </c>
      <c r="AC2714" t="b">
        <v>1</v>
      </c>
      <c r="AD2714" t="b">
        <v>1</v>
      </c>
      <c r="AE2714" t="b">
        <v>1</v>
      </c>
      <c r="AF2714" t="b">
        <v>1</v>
      </c>
      <c r="AG2714" t="b">
        <v>1</v>
      </c>
    </row>
    <row r="2715" spans="1:33" x14ac:dyDescent="0.25">
      <c r="A2715" t="s">
        <v>33</v>
      </c>
      <c r="B2715">
        <v>15</v>
      </c>
      <c r="C2715" t="b">
        <v>1</v>
      </c>
      <c r="D2715" t="s">
        <v>7968</v>
      </c>
      <c r="E2715" t="s">
        <v>9216</v>
      </c>
      <c r="F2715" t="s">
        <v>9269</v>
      </c>
      <c r="G2715" t="s">
        <v>9270</v>
      </c>
      <c r="H2715">
        <v>2714</v>
      </c>
      <c r="I2715" t="str">
        <f>IF(ISBLANK(Table1[[#This Row],[oid]]),"FALSE","TRUE")</f>
        <v>TRUE</v>
      </c>
      <c r="J2715" t="str" cm="1">
        <f t="array" ref="J2715">_xlfn.SWITCH(LEFT(Table1[[#This Row],[section]],1), "D", "Demographic", "S", "Social", "E", "Economic", "H", "Housing", "")</f>
        <v>Housing</v>
      </c>
      <c r="K2715" t="s">
        <v>9219</v>
      </c>
      <c r="L2715" t="s">
        <v>9220</v>
      </c>
      <c r="M2715" t="str">
        <f>IF(Table1[[#This Row],[used]], _xlfn.CONCAT("🆔 ", Table1[[#This Row],[variable]], ": ",Table1[[#This Row],[alias]]), "")</f>
        <v>🆔 B25087_014E: Housing units with a mortgage: $1,500 to $1,999</v>
      </c>
      <c r="O2715" t="s">
        <v>9271</v>
      </c>
      <c r="P2715" t="s">
        <v>9221</v>
      </c>
      <c r="Q2715" t="s">
        <v>41</v>
      </c>
      <c r="R2715" t="s">
        <v>9272</v>
      </c>
      <c r="S2715" t="b">
        <v>1</v>
      </c>
      <c r="T2715" t="b">
        <v>1</v>
      </c>
      <c r="U2715" t="b">
        <v>1</v>
      </c>
      <c r="V2715" t="b">
        <v>1</v>
      </c>
      <c r="W2715" t="b">
        <v>1</v>
      </c>
      <c r="X2715" t="b">
        <v>1</v>
      </c>
      <c r="Y2715" t="b">
        <v>1</v>
      </c>
      <c r="Z2715" t="b">
        <v>1</v>
      </c>
      <c r="AA2715" t="b">
        <v>1</v>
      </c>
      <c r="AB2715" t="b">
        <v>1</v>
      </c>
      <c r="AC2715" t="b">
        <v>1</v>
      </c>
      <c r="AD2715" t="b">
        <v>1</v>
      </c>
      <c r="AE2715" t="b">
        <v>1</v>
      </c>
      <c r="AF2715" t="b">
        <v>1</v>
      </c>
      <c r="AG2715" t="b">
        <v>1</v>
      </c>
    </row>
    <row r="2716" spans="1:33" x14ac:dyDescent="0.25">
      <c r="A2716" t="s">
        <v>33</v>
      </c>
      <c r="B2716">
        <v>15</v>
      </c>
      <c r="C2716" t="b">
        <v>1</v>
      </c>
      <c r="D2716" t="s">
        <v>7968</v>
      </c>
      <c r="E2716" t="s">
        <v>9216</v>
      </c>
      <c r="F2716" t="s">
        <v>9273</v>
      </c>
      <c r="G2716" t="s">
        <v>9274</v>
      </c>
      <c r="H2716">
        <v>2715</v>
      </c>
      <c r="I2716" t="str">
        <f>IF(ISBLANK(Table1[[#This Row],[oid]]),"FALSE","TRUE")</f>
        <v>TRUE</v>
      </c>
      <c r="J2716" t="str" cm="1">
        <f t="array" ref="J2716">_xlfn.SWITCH(LEFT(Table1[[#This Row],[section]],1), "D", "Demographic", "S", "Social", "E", "Economic", "H", "Housing", "")</f>
        <v>Housing</v>
      </c>
      <c r="K2716" t="s">
        <v>9219</v>
      </c>
      <c r="L2716" t="s">
        <v>9220</v>
      </c>
      <c r="M2716" t="str">
        <f>IF(Table1[[#This Row],[used]], _xlfn.CONCAT("🆔 ", Table1[[#This Row],[variable]], ": ",Table1[[#This Row],[alias]]), "")</f>
        <v>🆔 B25087_015E: Housing units with a mortgage: $2,000 to $2,499</v>
      </c>
      <c r="O2716" t="s">
        <v>9275</v>
      </c>
      <c r="P2716" t="s">
        <v>9221</v>
      </c>
      <c r="Q2716" t="s">
        <v>41</v>
      </c>
      <c r="R2716" t="s">
        <v>9276</v>
      </c>
      <c r="S2716" t="b">
        <v>1</v>
      </c>
      <c r="T2716" t="b">
        <v>1</v>
      </c>
      <c r="U2716" t="b">
        <v>1</v>
      </c>
      <c r="V2716" t="b">
        <v>1</v>
      </c>
      <c r="W2716" t="b">
        <v>1</v>
      </c>
      <c r="X2716" t="b">
        <v>1</v>
      </c>
      <c r="Y2716" t="b">
        <v>1</v>
      </c>
      <c r="Z2716" t="b">
        <v>1</v>
      </c>
      <c r="AA2716" t="b">
        <v>1</v>
      </c>
      <c r="AB2716" t="b">
        <v>1</v>
      </c>
      <c r="AC2716" t="b">
        <v>1</v>
      </c>
      <c r="AD2716" t="b">
        <v>1</v>
      </c>
      <c r="AE2716" t="b">
        <v>1</v>
      </c>
      <c r="AF2716" t="b">
        <v>1</v>
      </c>
      <c r="AG2716" t="b">
        <v>1</v>
      </c>
    </row>
    <row r="2717" spans="1:33" x14ac:dyDescent="0.25">
      <c r="A2717" t="s">
        <v>33</v>
      </c>
      <c r="B2717">
        <v>15</v>
      </c>
      <c r="C2717" t="b">
        <v>1</v>
      </c>
      <c r="D2717" t="s">
        <v>7968</v>
      </c>
      <c r="E2717" t="s">
        <v>9216</v>
      </c>
      <c r="F2717" t="s">
        <v>9277</v>
      </c>
      <c r="G2717" t="s">
        <v>9278</v>
      </c>
      <c r="H2717">
        <v>2716</v>
      </c>
      <c r="I2717" t="str">
        <f>IF(ISBLANK(Table1[[#This Row],[oid]]),"FALSE","TRUE")</f>
        <v>TRUE</v>
      </c>
      <c r="J2717" t="str" cm="1">
        <f t="array" ref="J2717">_xlfn.SWITCH(LEFT(Table1[[#This Row],[section]],1), "D", "Demographic", "S", "Social", "E", "Economic", "H", "Housing", "")</f>
        <v>Housing</v>
      </c>
      <c r="K2717" t="s">
        <v>9219</v>
      </c>
      <c r="L2717" t="s">
        <v>9220</v>
      </c>
      <c r="M2717" t="str">
        <f>IF(Table1[[#This Row],[used]], _xlfn.CONCAT("🆔 ", Table1[[#This Row],[variable]], ": ",Table1[[#This Row],[alias]]), "")</f>
        <v>🆔 B25087_016E: Housing units with a mortgage: $2,500 to $2,999</v>
      </c>
      <c r="O2717" t="s">
        <v>9279</v>
      </c>
      <c r="P2717" t="s">
        <v>9221</v>
      </c>
      <c r="Q2717" t="s">
        <v>41</v>
      </c>
      <c r="R2717" t="s">
        <v>9280</v>
      </c>
      <c r="S2717" t="b">
        <v>1</v>
      </c>
      <c r="T2717" t="b">
        <v>1</v>
      </c>
      <c r="U2717" t="b">
        <v>1</v>
      </c>
      <c r="V2717" t="b">
        <v>1</v>
      </c>
      <c r="W2717" t="b">
        <v>1</v>
      </c>
      <c r="X2717" t="b">
        <v>1</v>
      </c>
      <c r="Y2717" t="b">
        <v>1</v>
      </c>
      <c r="Z2717" t="b">
        <v>1</v>
      </c>
      <c r="AA2717" t="b">
        <v>1</v>
      </c>
      <c r="AB2717" t="b">
        <v>1</v>
      </c>
      <c r="AC2717" t="b">
        <v>1</v>
      </c>
      <c r="AD2717" t="b">
        <v>1</v>
      </c>
      <c r="AE2717" t="b">
        <v>1</v>
      </c>
      <c r="AF2717" t="b">
        <v>1</v>
      </c>
      <c r="AG2717" t="b">
        <v>1</v>
      </c>
    </row>
    <row r="2718" spans="1:33" x14ac:dyDescent="0.25">
      <c r="A2718" t="s">
        <v>709</v>
      </c>
      <c r="B2718">
        <v>5</v>
      </c>
      <c r="C2718" t="b">
        <v>0</v>
      </c>
      <c r="D2718" t="s">
        <v>7968</v>
      </c>
      <c r="E2718" t="s">
        <v>9216</v>
      </c>
      <c r="F2718" t="s">
        <v>9281</v>
      </c>
      <c r="G2718" t="s">
        <v>9282</v>
      </c>
      <c r="H2718">
        <v>2717</v>
      </c>
      <c r="I2718" t="str">
        <f>IF(ISBLANK(Table1[[#This Row],[oid]]),"FALSE","TRUE")</f>
        <v>TRUE</v>
      </c>
      <c r="J2718" t="str" cm="1">
        <f t="array" ref="J2718">_xlfn.SWITCH(LEFT(Table1[[#This Row],[section]],1), "D", "Demographic", "S", "Social", "E", "Economic", "H", "Housing", "")</f>
        <v>Housing</v>
      </c>
      <c r="K2718" t="s">
        <v>9219</v>
      </c>
      <c r="L2718" t="s">
        <v>9220</v>
      </c>
      <c r="M2718" t="str">
        <f>IF(Table1[[#This Row],[used]], _xlfn.CONCAT("🆔 ", Table1[[#This Row],[variable]], ": ",Table1[[#This Row],[alias]]), "")</f>
        <v>🆔 B25087_017E: Housing units with a mortgage: $3,000 or more</v>
      </c>
      <c r="O2718" t="s">
        <v>9283</v>
      </c>
      <c r="P2718" t="s">
        <v>9221</v>
      </c>
      <c r="Q2718" t="s">
        <v>41</v>
      </c>
      <c r="R2718" t="s">
        <v>9284</v>
      </c>
      <c r="S2718" t="b">
        <v>1</v>
      </c>
      <c r="T2718" t="b">
        <v>1</v>
      </c>
      <c r="U2718" t="b">
        <v>1</v>
      </c>
      <c r="V2718" t="b">
        <v>1</v>
      </c>
      <c r="W2718" t="b">
        <v>1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</row>
    <row r="2719" spans="1:33" x14ac:dyDescent="0.25">
      <c r="A2719" t="s">
        <v>714</v>
      </c>
      <c r="B2719">
        <v>10</v>
      </c>
      <c r="C2719" t="b">
        <v>0</v>
      </c>
      <c r="D2719" t="s">
        <v>7968</v>
      </c>
      <c r="E2719" t="s">
        <v>9216</v>
      </c>
      <c r="F2719" t="s">
        <v>9281</v>
      </c>
      <c r="G2719" t="s">
        <v>9285</v>
      </c>
      <c r="H2719">
        <v>2718</v>
      </c>
      <c r="I2719" t="str">
        <f>IF(ISBLANK(Table1[[#This Row],[oid]]),"FALSE","TRUE")</f>
        <v>TRUE</v>
      </c>
      <c r="J2719" t="str" cm="1">
        <f t="array" ref="J2719">_xlfn.SWITCH(LEFT(Table1[[#This Row],[section]],1), "D", "Demographic", "S", "Social", "E", "Economic", "H", "Housing", "")</f>
        <v>Housing</v>
      </c>
      <c r="K2719" t="s">
        <v>9219</v>
      </c>
      <c r="L2719" t="s">
        <v>9220</v>
      </c>
      <c r="M2719" t="str">
        <f>IF(Table1[[#This Row],[used]], _xlfn.CONCAT("🆔 ", Table1[[#This Row],[variable]], ": ",Table1[[#This Row],[alias]]), "")</f>
        <v>🆔 B25087_017E: Housing units with a mortgage: $3,000 to $3,499</v>
      </c>
      <c r="O2719" t="s">
        <v>9286</v>
      </c>
      <c r="P2719" t="s">
        <v>9221</v>
      </c>
      <c r="Q2719" t="s">
        <v>41</v>
      </c>
      <c r="R2719" t="s">
        <v>9284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1</v>
      </c>
      <c r="Y2719" t="b">
        <v>1</v>
      </c>
      <c r="Z2719" t="b">
        <v>1</v>
      </c>
      <c r="AA2719" t="b">
        <v>1</v>
      </c>
      <c r="AB2719" t="b">
        <v>1</v>
      </c>
      <c r="AC2719" t="b">
        <v>1</v>
      </c>
      <c r="AD2719" t="b">
        <v>1</v>
      </c>
      <c r="AE2719" t="b">
        <v>1</v>
      </c>
      <c r="AF2719" t="b">
        <v>1</v>
      </c>
      <c r="AG2719" t="b">
        <v>1</v>
      </c>
    </row>
    <row r="2720" spans="1:33" x14ac:dyDescent="0.25">
      <c r="A2720" t="s">
        <v>709</v>
      </c>
      <c r="B2720">
        <v>5</v>
      </c>
      <c r="C2720" t="b">
        <v>0</v>
      </c>
      <c r="D2720" t="s">
        <v>7968</v>
      </c>
      <c r="E2720" t="s">
        <v>9216</v>
      </c>
      <c r="F2720" t="s">
        <v>9287</v>
      </c>
      <c r="G2720" t="s">
        <v>9207</v>
      </c>
      <c r="H2720">
        <v>2719</v>
      </c>
      <c r="I2720" t="str">
        <f>IF(ISBLANK(Table1[[#This Row],[oid]]),"FALSE","TRUE")</f>
        <v>TRUE</v>
      </c>
      <c r="J2720" t="str" cm="1">
        <f t="array" ref="J2720">_xlfn.SWITCH(LEFT(Table1[[#This Row],[section]],1), "D", "Demographic", "S", "Social", "E", "Economic", "H", "Housing", "")</f>
        <v>Housing</v>
      </c>
      <c r="K2720" t="s">
        <v>9219</v>
      </c>
      <c r="L2720" t="s">
        <v>9220</v>
      </c>
      <c r="M2720" t="str">
        <f>IF(Table1[[#This Row],[used]], _xlfn.CONCAT("🆔 ", Table1[[#This Row],[variable]], ": ",Table1[[#This Row],[alias]]), "")</f>
        <v>🆔 B25087_018E: Housing units without a mortgage</v>
      </c>
      <c r="O2720" t="s">
        <v>9208</v>
      </c>
      <c r="P2720" t="s">
        <v>9221</v>
      </c>
      <c r="Q2720" t="s">
        <v>41</v>
      </c>
      <c r="R2720" t="s">
        <v>9288</v>
      </c>
      <c r="S2720" t="b">
        <v>1</v>
      </c>
      <c r="T2720" t="b">
        <v>1</v>
      </c>
      <c r="U2720" t="b">
        <v>1</v>
      </c>
      <c r="V2720" t="b">
        <v>1</v>
      </c>
      <c r="W2720" t="b">
        <v>1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0</v>
      </c>
    </row>
    <row r="2721" spans="1:33" x14ac:dyDescent="0.25">
      <c r="A2721" t="s">
        <v>714</v>
      </c>
      <c r="B2721">
        <v>10</v>
      </c>
      <c r="C2721" t="b">
        <v>0</v>
      </c>
      <c r="D2721" t="s">
        <v>7968</v>
      </c>
      <c r="E2721" t="s">
        <v>9216</v>
      </c>
      <c r="F2721" t="s">
        <v>9287</v>
      </c>
      <c r="G2721" t="s">
        <v>9289</v>
      </c>
      <c r="H2721">
        <v>2720</v>
      </c>
      <c r="I2721" t="str">
        <f>IF(ISBLANK(Table1[[#This Row],[oid]]),"FALSE","TRUE")</f>
        <v>TRUE</v>
      </c>
      <c r="J2721" t="str" cm="1">
        <f t="array" ref="J2721">_xlfn.SWITCH(LEFT(Table1[[#This Row],[section]],1), "D", "Demographic", "S", "Social", "E", "Economic", "H", "Housing", "")</f>
        <v>Housing</v>
      </c>
      <c r="K2721" t="s">
        <v>9219</v>
      </c>
      <c r="L2721" t="s">
        <v>9220</v>
      </c>
      <c r="M2721" t="str">
        <f>IF(Table1[[#This Row],[used]], _xlfn.CONCAT("🆔 ", Table1[[#This Row],[variable]], ": ",Table1[[#This Row],[alias]]), "")</f>
        <v>🆔 B25087_018E: Housing units with a mortgage: $3,500 to $3,999</v>
      </c>
      <c r="O2721" t="s">
        <v>9290</v>
      </c>
      <c r="P2721" t="s">
        <v>9221</v>
      </c>
      <c r="Q2721" t="s">
        <v>41</v>
      </c>
      <c r="R2721" t="s">
        <v>9288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1</v>
      </c>
      <c r="Y2721" t="b">
        <v>1</v>
      </c>
      <c r="Z2721" t="b">
        <v>1</v>
      </c>
      <c r="AA2721" t="b">
        <v>1</v>
      </c>
      <c r="AB2721" t="b">
        <v>1</v>
      </c>
      <c r="AC2721" t="b">
        <v>1</v>
      </c>
      <c r="AD2721" t="b">
        <v>1</v>
      </c>
      <c r="AE2721" t="b">
        <v>1</v>
      </c>
      <c r="AF2721" t="b">
        <v>1</v>
      </c>
      <c r="AG2721" t="b">
        <v>1</v>
      </c>
    </row>
    <row r="2722" spans="1:33" x14ac:dyDescent="0.25">
      <c r="A2722" t="s">
        <v>709</v>
      </c>
      <c r="B2722">
        <v>5</v>
      </c>
      <c r="C2722" t="b">
        <v>0</v>
      </c>
      <c r="D2722" t="s">
        <v>7968</v>
      </c>
      <c r="E2722" t="s">
        <v>9216</v>
      </c>
      <c r="F2722" t="s">
        <v>9291</v>
      </c>
      <c r="G2722" t="s">
        <v>9292</v>
      </c>
      <c r="H2722">
        <v>2721</v>
      </c>
      <c r="I2722" t="str">
        <f>IF(ISBLANK(Table1[[#This Row],[oid]]),"FALSE","TRUE")</f>
        <v>TRUE</v>
      </c>
      <c r="J2722" t="str" cm="1">
        <f t="array" ref="J2722">_xlfn.SWITCH(LEFT(Table1[[#This Row],[section]],1), "D", "Demographic", "S", "Social", "E", "Economic", "H", "Housing", "")</f>
        <v>Housing</v>
      </c>
      <c r="K2722" t="s">
        <v>9219</v>
      </c>
      <c r="L2722" t="s">
        <v>9220</v>
      </c>
      <c r="M2722" t="str">
        <f>IF(Table1[[#This Row],[used]], _xlfn.CONCAT("🆔 ", Table1[[#This Row],[variable]], ": ",Table1[[#This Row],[alias]]), "")</f>
        <v>🆔 B25087_019E: Housing units without a mortgage: Less than $100</v>
      </c>
      <c r="O2722" t="s">
        <v>9293</v>
      </c>
      <c r="P2722" t="s">
        <v>9221</v>
      </c>
      <c r="Q2722" t="s">
        <v>41</v>
      </c>
      <c r="R2722" t="s">
        <v>9294</v>
      </c>
      <c r="S2722" t="b">
        <v>1</v>
      </c>
      <c r="T2722" t="b">
        <v>1</v>
      </c>
      <c r="U2722" t="b">
        <v>1</v>
      </c>
      <c r="V2722" t="b">
        <v>1</v>
      </c>
      <c r="W2722" t="b">
        <v>1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0</v>
      </c>
      <c r="AE2722" t="b">
        <v>0</v>
      </c>
      <c r="AF2722" t="b">
        <v>0</v>
      </c>
      <c r="AG2722" t="b">
        <v>0</v>
      </c>
    </row>
    <row r="2723" spans="1:33" x14ac:dyDescent="0.25">
      <c r="A2723" t="s">
        <v>714</v>
      </c>
      <c r="B2723">
        <v>10</v>
      </c>
      <c r="C2723" t="b">
        <v>0</v>
      </c>
      <c r="D2723" t="s">
        <v>7968</v>
      </c>
      <c r="E2723" t="s">
        <v>9216</v>
      </c>
      <c r="F2723" t="s">
        <v>9291</v>
      </c>
      <c r="G2723" t="s">
        <v>9295</v>
      </c>
      <c r="H2723">
        <v>2722</v>
      </c>
      <c r="I2723" t="str">
        <f>IF(ISBLANK(Table1[[#This Row],[oid]]),"FALSE","TRUE")</f>
        <v>TRUE</v>
      </c>
      <c r="J2723" t="str" cm="1">
        <f t="array" ref="J2723">_xlfn.SWITCH(LEFT(Table1[[#This Row],[section]],1), "D", "Demographic", "S", "Social", "E", "Economic", "H", "Housing", "")</f>
        <v>Housing</v>
      </c>
      <c r="K2723" t="s">
        <v>9219</v>
      </c>
      <c r="L2723" t="s">
        <v>9220</v>
      </c>
      <c r="M2723" t="str">
        <f>IF(Table1[[#This Row],[used]], _xlfn.CONCAT("🆔 ", Table1[[#This Row],[variable]], ": ",Table1[[#This Row],[alias]]), "")</f>
        <v>🆔 B25087_019E: Housing units with a mortgage: $4,000 or more</v>
      </c>
      <c r="O2723" t="s">
        <v>9296</v>
      </c>
      <c r="P2723" t="s">
        <v>9221</v>
      </c>
      <c r="Q2723" t="s">
        <v>41</v>
      </c>
      <c r="R2723" t="s">
        <v>9294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  <c r="X2723" t="b">
        <v>1</v>
      </c>
      <c r="Y2723" t="b">
        <v>1</v>
      </c>
      <c r="Z2723" t="b">
        <v>1</v>
      </c>
      <c r="AA2723" t="b">
        <v>1</v>
      </c>
      <c r="AB2723" t="b">
        <v>1</v>
      </c>
      <c r="AC2723" t="b">
        <v>1</v>
      </c>
      <c r="AD2723" t="b">
        <v>1</v>
      </c>
      <c r="AE2723" t="b">
        <v>1</v>
      </c>
      <c r="AF2723" t="b">
        <v>1</v>
      </c>
      <c r="AG2723" t="b">
        <v>1</v>
      </c>
    </row>
    <row r="2724" spans="1:33" x14ac:dyDescent="0.25">
      <c r="A2724" t="s">
        <v>709</v>
      </c>
      <c r="B2724">
        <v>5</v>
      </c>
      <c r="C2724" t="b">
        <v>0</v>
      </c>
      <c r="D2724" t="s">
        <v>7968</v>
      </c>
      <c r="E2724" t="s">
        <v>9216</v>
      </c>
      <c r="F2724" t="s">
        <v>9297</v>
      </c>
      <c r="G2724" t="s">
        <v>9298</v>
      </c>
      <c r="H2724">
        <v>2723</v>
      </c>
      <c r="I2724" t="str">
        <f>IF(ISBLANK(Table1[[#This Row],[oid]]),"FALSE","TRUE")</f>
        <v>TRUE</v>
      </c>
      <c r="J2724" t="str" cm="1">
        <f t="array" ref="J2724">_xlfn.SWITCH(LEFT(Table1[[#This Row],[section]],1), "D", "Demographic", "S", "Social", "E", "Economic", "H", "Housing", "")</f>
        <v>Housing</v>
      </c>
      <c r="K2724" t="s">
        <v>9219</v>
      </c>
      <c r="L2724" t="s">
        <v>9220</v>
      </c>
      <c r="M2724" t="str">
        <f>IF(Table1[[#This Row],[used]], _xlfn.CONCAT("🆔 ", Table1[[#This Row],[variable]], ": ",Table1[[#This Row],[alias]]), "")</f>
        <v>🆔 B25087_020E: Housing units without a mortgage: $100 to $149</v>
      </c>
      <c r="O2724" t="s">
        <v>9299</v>
      </c>
      <c r="P2724" t="s">
        <v>9221</v>
      </c>
      <c r="Q2724" t="s">
        <v>41</v>
      </c>
      <c r="R2724" t="s">
        <v>9300</v>
      </c>
      <c r="S2724" t="b">
        <v>1</v>
      </c>
      <c r="T2724" t="b">
        <v>1</v>
      </c>
      <c r="U2724" t="b">
        <v>1</v>
      </c>
      <c r="V2724" t="b">
        <v>1</v>
      </c>
      <c r="W2724" t="b">
        <v>1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</row>
    <row r="2725" spans="1:33" x14ac:dyDescent="0.25">
      <c r="A2725" t="s">
        <v>714</v>
      </c>
      <c r="B2725">
        <v>10</v>
      </c>
      <c r="C2725" t="b">
        <v>0</v>
      </c>
      <c r="D2725" t="s">
        <v>7968</v>
      </c>
      <c r="E2725" t="s">
        <v>9216</v>
      </c>
      <c r="F2725" t="s">
        <v>9297</v>
      </c>
      <c r="G2725" t="s">
        <v>9207</v>
      </c>
      <c r="H2725">
        <v>2724</v>
      </c>
      <c r="I2725" t="str">
        <f>IF(ISBLANK(Table1[[#This Row],[oid]]),"FALSE","TRUE")</f>
        <v>TRUE</v>
      </c>
      <c r="J2725" t="str" cm="1">
        <f t="array" ref="J2725">_xlfn.SWITCH(LEFT(Table1[[#This Row],[section]],1), "D", "Demographic", "S", "Social", "E", "Economic", "H", "Housing", "")</f>
        <v>Housing</v>
      </c>
      <c r="K2725" t="s">
        <v>9219</v>
      </c>
      <c r="L2725" t="s">
        <v>9220</v>
      </c>
      <c r="M2725" t="str">
        <f>IF(Table1[[#This Row],[used]], _xlfn.CONCAT("🆔 ", Table1[[#This Row],[variable]], ": ",Table1[[#This Row],[alias]]), "")</f>
        <v>🆔 B25087_020E: Housing units without a mortgage</v>
      </c>
      <c r="O2725" t="s">
        <v>9208</v>
      </c>
      <c r="P2725" t="s">
        <v>9221</v>
      </c>
      <c r="Q2725" t="s">
        <v>41</v>
      </c>
      <c r="R2725" t="s">
        <v>9300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1</v>
      </c>
      <c r="Y2725" t="b">
        <v>1</v>
      </c>
      <c r="Z2725" t="b">
        <v>1</v>
      </c>
      <c r="AA2725" t="b">
        <v>1</v>
      </c>
      <c r="AB2725" t="b">
        <v>1</v>
      </c>
      <c r="AC2725" t="b">
        <v>1</v>
      </c>
      <c r="AD2725" t="b">
        <v>1</v>
      </c>
      <c r="AE2725" t="b">
        <v>1</v>
      </c>
      <c r="AF2725" t="b">
        <v>1</v>
      </c>
      <c r="AG2725" t="b">
        <v>1</v>
      </c>
    </row>
    <row r="2726" spans="1:33" x14ac:dyDescent="0.25">
      <c r="A2726" t="s">
        <v>709</v>
      </c>
      <c r="B2726">
        <v>5</v>
      </c>
      <c r="C2726" t="b">
        <v>0</v>
      </c>
      <c r="D2726" t="s">
        <v>7968</v>
      </c>
      <c r="E2726" t="s">
        <v>9216</v>
      </c>
      <c r="F2726" t="s">
        <v>9301</v>
      </c>
      <c r="G2726" t="s">
        <v>9302</v>
      </c>
      <c r="H2726">
        <v>2725</v>
      </c>
      <c r="I2726" t="str">
        <f>IF(ISBLANK(Table1[[#This Row],[oid]]),"FALSE","TRUE")</f>
        <v>TRUE</v>
      </c>
      <c r="J2726" t="str" cm="1">
        <f t="array" ref="J2726">_xlfn.SWITCH(LEFT(Table1[[#This Row],[section]],1), "D", "Demographic", "S", "Social", "E", "Economic", "H", "Housing", "")</f>
        <v>Housing</v>
      </c>
      <c r="K2726" t="s">
        <v>9219</v>
      </c>
      <c r="L2726" t="s">
        <v>9220</v>
      </c>
      <c r="M2726" t="str">
        <f>IF(Table1[[#This Row],[used]], _xlfn.CONCAT("🆔 ", Table1[[#This Row],[variable]], ": ",Table1[[#This Row],[alias]]), "")</f>
        <v>🆔 B25087_021E: Housing units without a mortgage: $150 to $199</v>
      </c>
      <c r="O2726" t="s">
        <v>9303</v>
      </c>
      <c r="P2726" t="s">
        <v>9221</v>
      </c>
      <c r="Q2726" t="s">
        <v>41</v>
      </c>
      <c r="R2726" t="s">
        <v>9304</v>
      </c>
      <c r="S2726" t="b">
        <v>1</v>
      </c>
      <c r="T2726" t="b">
        <v>1</v>
      </c>
      <c r="U2726" t="b">
        <v>1</v>
      </c>
      <c r="V2726" t="b">
        <v>1</v>
      </c>
      <c r="W2726" t="b">
        <v>1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G2726" t="b">
        <v>0</v>
      </c>
    </row>
    <row r="2727" spans="1:33" x14ac:dyDescent="0.25">
      <c r="A2727" t="s">
        <v>714</v>
      </c>
      <c r="B2727">
        <v>10</v>
      </c>
      <c r="C2727" t="b">
        <v>0</v>
      </c>
      <c r="D2727" t="s">
        <v>7968</v>
      </c>
      <c r="E2727" t="s">
        <v>9216</v>
      </c>
      <c r="F2727" t="s">
        <v>9301</v>
      </c>
      <c r="G2727" t="s">
        <v>9292</v>
      </c>
      <c r="H2727">
        <v>2726</v>
      </c>
      <c r="I2727" t="str">
        <f>IF(ISBLANK(Table1[[#This Row],[oid]]),"FALSE","TRUE")</f>
        <v>TRUE</v>
      </c>
      <c r="J2727" t="str" cm="1">
        <f t="array" ref="J2727">_xlfn.SWITCH(LEFT(Table1[[#This Row],[section]],1), "D", "Demographic", "S", "Social", "E", "Economic", "H", "Housing", "")</f>
        <v>Housing</v>
      </c>
      <c r="K2727" t="s">
        <v>9219</v>
      </c>
      <c r="L2727" t="s">
        <v>9220</v>
      </c>
      <c r="M2727" t="str">
        <f>IF(Table1[[#This Row],[used]], _xlfn.CONCAT("🆔 ", Table1[[#This Row],[variable]], ": ",Table1[[#This Row],[alias]]), "")</f>
        <v>🆔 B25087_021E: Housing units without a mortgage: Less than $100</v>
      </c>
      <c r="O2727" t="s">
        <v>9293</v>
      </c>
      <c r="P2727" t="s">
        <v>9221</v>
      </c>
      <c r="Q2727" t="s">
        <v>41</v>
      </c>
      <c r="R2727" t="s">
        <v>9304</v>
      </c>
      <c r="S2727" t="b">
        <v>0</v>
      </c>
      <c r="T2727" t="b">
        <v>0</v>
      </c>
      <c r="U2727" t="b">
        <v>0</v>
      </c>
      <c r="V2727" t="b">
        <v>0</v>
      </c>
      <c r="W2727" t="b">
        <v>0</v>
      </c>
      <c r="X2727" t="b">
        <v>1</v>
      </c>
      <c r="Y2727" t="b">
        <v>1</v>
      </c>
      <c r="Z2727" t="b">
        <v>1</v>
      </c>
      <c r="AA2727" t="b">
        <v>1</v>
      </c>
      <c r="AB2727" t="b">
        <v>1</v>
      </c>
      <c r="AC2727" t="b">
        <v>1</v>
      </c>
      <c r="AD2727" t="b">
        <v>1</v>
      </c>
      <c r="AE2727" t="b">
        <v>1</v>
      </c>
      <c r="AF2727" t="b">
        <v>1</v>
      </c>
      <c r="AG2727" t="b">
        <v>1</v>
      </c>
    </row>
    <row r="2728" spans="1:33" x14ac:dyDescent="0.25">
      <c r="A2728" t="s">
        <v>709</v>
      </c>
      <c r="B2728">
        <v>5</v>
      </c>
      <c r="C2728" t="b">
        <v>0</v>
      </c>
      <c r="D2728" t="s">
        <v>7968</v>
      </c>
      <c r="E2728" t="s">
        <v>9216</v>
      </c>
      <c r="F2728" t="s">
        <v>9305</v>
      </c>
      <c r="G2728" t="s">
        <v>9306</v>
      </c>
      <c r="H2728">
        <v>2727</v>
      </c>
      <c r="I2728" t="str">
        <f>IF(ISBLANK(Table1[[#This Row],[oid]]),"FALSE","TRUE")</f>
        <v>TRUE</v>
      </c>
      <c r="J2728" t="str" cm="1">
        <f t="array" ref="J2728">_xlfn.SWITCH(LEFT(Table1[[#This Row],[section]],1), "D", "Demographic", "S", "Social", "E", "Economic", "H", "Housing", "")</f>
        <v>Housing</v>
      </c>
      <c r="K2728" t="s">
        <v>9219</v>
      </c>
      <c r="L2728" t="s">
        <v>9220</v>
      </c>
      <c r="M2728" t="str">
        <f>IF(Table1[[#This Row],[used]], _xlfn.CONCAT("🆔 ", Table1[[#This Row],[variable]], ": ",Table1[[#This Row],[alias]]), "")</f>
        <v>🆔 B25087_022E: Housing units without a mortgage: $200 to $249</v>
      </c>
      <c r="O2728" t="s">
        <v>9307</v>
      </c>
      <c r="P2728" t="s">
        <v>9221</v>
      </c>
      <c r="Q2728" t="s">
        <v>41</v>
      </c>
      <c r="R2728" t="s">
        <v>9308</v>
      </c>
      <c r="S2728" t="b">
        <v>1</v>
      </c>
      <c r="T2728" t="b">
        <v>1</v>
      </c>
      <c r="U2728" t="b">
        <v>1</v>
      </c>
      <c r="V2728" t="b">
        <v>1</v>
      </c>
      <c r="W2728" t="b">
        <v>1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  <c r="AF2728" t="b">
        <v>0</v>
      </c>
      <c r="AG2728" t="b">
        <v>0</v>
      </c>
    </row>
    <row r="2729" spans="1:33" x14ac:dyDescent="0.25">
      <c r="A2729" t="s">
        <v>714</v>
      </c>
      <c r="B2729">
        <v>10</v>
      </c>
      <c r="C2729" t="b">
        <v>0</v>
      </c>
      <c r="D2729" t="s">
        <v>7968</v>
      </c>
      <c r="E2729" t="s">
        <v>9216</v>
      </c>
      <c r="F2729" t="s">
        <v>9305</v>
      </c>
      <c r="G2729" t="s">
        <v>9298</v>
      </c>
      <c r="H2729">
        <v>2728</v>
      </c>
      <c r="I2729" t="str">
        <f>IF(ISBLANK(Table1[[#This Row],[oid]]),"FALSE","TRUE")</f>
        <v>TRUE</v>
      </c>
      <c r="J2729" t="str" cm="1">
        <f t="array" ref="J2729">_xlfn.SWITCH(LEFT(Table1[[#This Row],[section]],1), "D", "Demographic", "S", "Social", "E", "Economic", "H", "Housing", "")</f>
        <v>Housing</v>
      </c>
      <c r="K2729" t="s">
        <v>9219</v>
      </c>
      <c r="L2729" t="s">
        <v>9220</v>
      </c>
      <c r="M2729" t="str">
        <f>IF(Table1[[#This Row],[used]], _xlfn.CONCAT("🆔 ", Table1[[#This Row],[variable]], ": ",Table1[[#This Row],[alias]]), "")</f>
        <v>🆔 B25087_022E: Housing units without a mortgage: $100 to $149</v>
      </c>
      <c r="O2729" t="s">
        <v>9299</v>
      </c>
      <c r="P2729" t="s">
        <v>9221</v>
      </c>
      <c r="Q2729" t="s">
        <v>41</v>
      </c>
      <c r="R2729" t="s">
        <v>9308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1</v>
      </c>
      <c r="Y2729" t="b">
        <v>1</v>
      </c>
      <c r="Z2729" t="b">
        <v>1</v>
      </c>
      <c r="AA2729" t="b">
        <v>1</v>
      </c>
      <c r="AB2729" t="b">
        <v>1</v>
      </c>
      <c r="AC2729" t="b">
        <v>1</v>
      </c>
      <c r="AD2729" t="b">
        <v>1</v>
      </c>
      <c r="AE2729" t="b">
        <v>1</v>
      </c>
      <c r="AF2729" t="b">
        <v>1</v>
      </c>
      <c r="AG2729" t="b">
        <v>1</v>
      </c>
    </row>
    <row r="2730" spans="1:33" x14ac:dyDescent="0.25">
      <c r="A2730" t="s">
        <v>709</v>
      </c>
      <c r="B2730">
        <v>5</v>
      </c>
      <c r="C2730" t="b">
        <v>0</v>
      </c>
      <c r="D2730" t="s">
        <v>7968</v>
      </c>
      <c r="E2730" t="s">
        <v>9216</v>
      </c>
      <c r="F2730" t="s">
        <v>9309</v>
      </c>
      <c r="G2730" t="s">
        <v>9310</v>
      </c>
      <c r="H2730">
        <v>2729</v>
      </c>
      <c r="I2730" t="str">
        <f>IF(ISBLANK(Table1[[#This Row],[oid]]),"FALSE","TRUE")</f>
        <v>TRUE</v>
      </c>
      <c r="J2730" t="str" cm="1">
        <f t="array" ref="J2730">_xlfn.SWITCH(LEFT(Table1[[#This Row],[section]],1), "D", "Demographic", "S", "Social", "E", "Economic", "H", "Housing", "")</f>
        <v>Housing</v>
      </c>
      <c r="K2730" t="s">
        <v>9219</v>
      </c>
      <c r="L2730" t="s">
        <v>9220</v>
      </c>
      <c r="M2730" t="str">
        <f>IF(Table1[[#This Row],[used]], _xlfn.CONCAT("🆔 ", Table1[[#This Row],[variable]], ": ",Table1[[#This Row],[alias]]), "")</f>
        <v>🆔 B25087_023E: Housing units without a mortgage: $250 to $299</v>
      </c>
      <c r="O2730" t="s">
        <v>9311</v>
      </c>
      <c r="P2730" t="s">
        <v>9221</v>
      </c>
      <c r="Q2730" t="s">
        <v>41</v>
      </c>
      <c r="R2730" t="s">
        <v>9312</v>
      </c>
      <c r="S2730" t="b">
        <v>1</v>
      </c>
      <c r="T2730" t="b">
        <v>1</v>
      </c>
      <c r="U2730" t="b">
        <v>1</v>
      </c>
      <c r="V2730" t="b">
        <v>1</v>
      </c>
      <c r="W2730" t="b">
        <v>1</v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</row>
    <row r="2731" spans="1:33" x14ac:dyDescent="0.25">
      <c r="A2731" t="s">
        <v>714</v>
      </c>
      <c r="B2731">
        <v>10</v>
      </c>
      <c r="C2731" t="b">
        <v>0</v>
      </c>
      <c r="D2731" t="s">
        <v>7968</v>
      </c>
      <c r="E2731" t="s">
        <v>9216</v>
      </c>
      <c r="F2731" t="s">
        <v>9309</v>
      </c>
      <c r="G2731" t="s">
        <v>9302</v>
      </c>
      <c r="H2731">
        <v>2730</v>
      </c>
      <c r="I2731" t="str">
        <f>IF(ISBLANK(Table1[[#This Row],[oid]]),"FALSE","TRUE")</f>
        <v>TRUE</v>
      </c>
      <c r="J2731" t="str" cm="1">
        <f t="array" ref="J2731">_xlfn.SWITCH(LEFT(Table1[[#This Row],[section]],1), "D", "Demographic", "S", "Social", "E", "Economic", "H", "Housing", "")</f>
        <v>Housing</v>
      </c>
      <c r="K2731" t="s">
        <v>9219</v>
      </c>
      <c r="L2731" t="s">
        <v>9220</v>
      </c>
      <c r="M2731" t="str">
        <f>IF(Table1[[#This Row],[used]], _xlfn.CONCAT("🆔 ", Table1[[#This Row],[variable]], ": ",Table1[[#This Row],[alias]]), "")</f>
        <v>🆔 B25087_023E: Housing units without a mortgage: $150 to $199</v>
      </c>
      <c r="O2731" t="s">
        <v>9303</v>
      </c>
      <c r="P2731" t="s">
        <v>9221</v>
      </c>
      <c r="Q2731" t="s">
        <v>41</v>
      </c>
      <c r="R2731" t="s">
        <v>9312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1</v>
      </c>
      <c r="Y2731" t="b">
        <v>1</v>
      </c>
      <c r="Z2731" t="b">
        <v>1</v>
      </c>
      <c r="AA2731" t="b">
        <v>1</v>
      </c>
      <c r="AB2731" t="b">
        <v>1</v>
      </c>
      <c r="AC2731" t="b">
        <v>1</v>
      </c>
      <c r="AD2731" t="b">
        <v>1</v>
      </c>
      <c r="AE2731" t="b">
        <v>1</v>
      </c>
      <c r="AF2731" t="b">
        <v>1</v>
      </c>
      <c r="AG2731" t="b">
        <v>1</v>
      </c>
    </row>
    <row r="2732" spans="1:33" x14ac:dyDescent="0.25">
      <c r="A2732" t="s">
        <v>709</v>
      </c>
      <c r="B2732">
        <v>5</v>
      </c>
      <c r="C2732" t="b">
        <v>0</v>
      </c>
      <c r="D2732" t="s">
        <v>7968</v>
      </c>
      <c r="E2732" t="s">
        <v>9216</v>
      </c>
      <c r="F2732" t="s">
        <v>9313</v>
      </c>
      <c r="G2732" t="s">
        <v>9314</v>
      </c>
      <c r="H2732">
        <v>2731</v>
      </c>
      <c r="I2732" t="str">
        <f>IF(ISBLANK(Table1[[#This Row],[oid]]),"FALSE","TRUE")</f>
        <v>TRUE</v>
      </c>
      <c r="J2732" t="str" cm="1">
        <f t="array" ref="J2732">_xlfn.SWITCH(LEFT(Table1[[#This Row],[section]],1), "D", "Demographic", "S", "Social", "E", "Economic", "H", "Housing", "")</f>
        <v>Housing</v>
      </c>
      <c r="K2732" t="s">
        <v>9219</v>
      </c>
      <c r="L2732" t="s">
        <v>9220</v>
      </c>
      <c r="M2732" t="str">
        <f>IF(Table1[[#This Row],[used]], _xlfn.CONCAT("🆔 ", Table1[[#This Row],[variable]], ": ",Table1[[#This Row],[alias]]), "")</f>
        <v>🆔 B25087_024E: Housing units without a mortgage: $300 to $349</v>
      </c>
      <c r="O2732" t="s">
        <v>9315</v>
      </c>
      <c r="P2732" t="s">
        <v>9221</v>
      </c>
      <c r="Q2732" t="s">
        <v>41</v>
      </c>
      <c r="R2732" t="s">
        <v>9316</v>
      </c>
      <c r="S2732" t="b">
        <v>1</v>
      </c>
      <c r="T2732" t="b">
        <v>1</v>
      </c>
      <c r="U2732" t="b">
        <v>1</v>
      </c>
      <c r="V2732" t="b">
        <v>1</v>
      </c>
      <c r="W2732" t="b">
        <v>1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</row>
    <row r="2733" spans="1:33" x14ac:dyDescent="0.25">
      <c r="A2733" t="s">
        <v>714</v>
      </c>
      <c r="B2733">
        <v>10</v>
      </c>
      <c r="C2733" t="b">
        <v>0</v>
      </c>
      <c r="D2733" t="s">
        <v>7968</v>
      </c>
      <c r="E2733" t="s">
        <v>9216</v>
      </c>
      <c r="F2733" t="s">
        <v>9313</v>
      </c>
      <c r="G2733" t="s">
        <v>9306</v>
      </c>
      <c r="H2733">
        <v>2732</v>
      </c>
      <c r="I2733" t="str">
        <f>IF(ISBLANK(Table1[[#This Row],[oid]]),"FALSE","TRUE")</f>
        <v>TRUE</v>
      </c>
      <c r="J2733" t="str" cm="1">
        <f t="array" ref="J2733">_xlfn.SWITCH(LEFT(Table1[[#This Row],[section]],1), "D", "Demographic", "S", "Social", "E", "Economic", "H", "Housing", "")</f>
        <v>Housing</v>
      </c>
      <c r="K2733" t="s">
        <v>9219</v>
      </c>
      <c r="L2733" t="s">
        <v>9220</v>
      </c>
      <c r="M2733" t="str">
        <f>IF(Table1[[#This Row],[used]], _xlfn.CONCAT("🆔 ", Table1[[#This Row],[variable]], ": ",Table1[[#This Row],[alias]]), "")</f>
        <v>🆔 B25087_024E: Housing units without a mortgage: $200 to $249</v>
      </c>
      <c r="O2733" t="s">
        <v>9307</v>
      </c>
      <c r="P2733" t="s">
        <v>9221</v>
      </c>
      <c r="Q2733" t="s">
        <v>41</v>
      </c>
      <c r="R2733" t="s">
        <v>9316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  <c r="X2733" t="b">
        <v>1</v>
      </c>
      <c r="Y2733" t="b">
        <v>1</v>
      </c>
      <c r="Z2733" t="b">
        <v>1</v>
      </c>
      <c r="AA2733" t="b">
        <v>1</v>
      </c>
      <c r="AB2733" t="b">
        <v>1</v>
      </c>
      <c r="AC2733" t="b">
        <v>1</v>
      </c>
      <c r="AD2733" t="b">
        <v>1</v>
      </c>
      <c r="AE2733" t="b">
        <v>1</v>
      </c>
      <c r="AF2733" t="b">
        <v>1</v>
      </c>
      <c r="AG2733" t="b">
        <v>1</v>
      </c>
    </row>
    <row r="2734" spans="1:33" x14ac:dyDescent="0.25">
      <c r="A2734" t="s">
        <v>709</v>
      </c>
      <c r="B2734">
        <v>5</v>
      </c>
      <c r="C2734" t="b">
        <v>0</v>
      </c>
      <c r="D2734" t="s">
        <v>7968</v>
      </c>
      <c r="E2734" t="s">
        <v>9216</v>
      </c>
      <c r="F2734" t="s">
        <v>9317</v>
      </c>
      <c r="G2734" t="s">
        <v>9318</v>
      </c>
      <c r="H2734">
        <v>2733</v>
      </c>
      <c r="I2734" t="str">
        <f>IF(ISBLANK(Table1[[#This Row],[oid]]),"FALSE","TRUE")</f>
        <v>TRUE</v>
      </c>
      <c r="J2734" t="str" cm="1">
        <f t="array" ref="J2734">_xlfn.SWITCH(LEFT(Table1[[#This Row],[section]],1), "D", "Demographic", "S", "Social", "E", "Economic", "H", "Housing", "")</f>
        <v>Housing</v>
      </c>
      <c r="K2734" t="s">
        <v>9219</v>
      </c>
      <c r="L2734" t="s">
        <v>9220</v>
      </c>
      <c r="M2734" t="str">
        <f>IF(Table1[[#This Row],[used]], _xlfn.CONCAT("🆔 ", Table1[[#This Row],[variable]], ": ",Table1[[#This Row],[alias]]), "")</f>
        <v>🆔 B25087_025E: Housing units without a mortgage: $350 to $399</v>
      </c>
      <c r="O2734" t="s">
        <v>9319</v>
      </c>
      <c r="P2734" t="s">
        <v>9221</v>
      </c>
      <c r="Q2734" t="s">
        <v>41</v>
      </c>
      <c r="R2734" t="s">
        <v>9320</v>
      </c>
      <c r="S2734" t="b">
        <v>1</v>
      </c>
      <c r="T2734" t="b">
        <v>1</v>
      </c>
      <c r="U2734" t="b">
        <v>1</v>
      </c>
      <c r="V2734" t="b">
        <v>1</v>
      </c>
      <c r="W2734" t="b">
        <v>1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</row>
    <row r="2735" spans="1:33" x14ac:dyDescent="0.25">
      <c r="A2735" t="s">
        <v>714</v>
      </c>
      <c r="B2735">
        <v>10</v>
      </c>
      <c r="C2735" t="b">
        <v>0</v>
      </c>
      <c r="D2735" t="s">
        <v>7968</v>
      </c>
      <c r="E2735" t="s">
        <v>9216</v>
      </c>
      <c r="F2735" t="s">
        <v>9317</v>
      </c>
      <c r="G2735" t="s">
        <v>9310</v>
      </c>
      <c r="H2735">
        <v>2734</v>
      </c>
      <c r="I2735" t="str">
        <f>IF(ISBLANK(Table1[[#This Row],[oid]]),"FALSE","TRUE")</f>
        <v>TRUE</v>
      </c>
      <c r="J2735" t="str" cm="1">
        <f t="array" ref="J2735">_xlfn.SWITCH(LEFT(Table1[[#This Row],[section]],1), "D", "Demographic", "S", "Social", "E", "Economic", "H", "Housing", "")</f>
        <v>Housing</v>
      </c>
      <c r="K2735" t="s">
        <v>9219</v>
      </c>
      <c r="L2735" t="s">
        <v>9220</v>
      </c>
      <c r="M2735" t="str">
        <f>IF(Table1[[#This Row],[used]], _xlfn.CONCAT("🆔 ", Table1[[#This Row],[variable]], ": ",Table1[[#This Row],[alias]]), "")</f>
        <v>🆔 B25087_025E: Housing units without a mortgage: $250 to $299</v>
      </c>
      <c r="O2735" t="s">
        <v>9311</v>
      </c>
      <c r="P2735" t="s">
        <v>9221</v>
      </c>
      <c r="Q2735" t="s">
        <v>41</v>
      </c>
      <c r="R2735" t="s">
        <v>9320</v>
      </c>
      <c r="S2735" t="b">
        <v>0</v>
      </c>
      <c r="T2735" t="b">
        <v>0</v>
      </c>
      <c r="U2735" t="b">
        <v>0</v>
      </c>
      <c r="V2735" t="b">
        <v>0</v>
      </c>
      <c r="W2735" t="b">
        <v>0</v>
      </c>
      <c r="X2735" t="b">
        <v>1</v>
      </c>
      <c r="Y2735" t="b">
        <v>1</v>
      </c>
      <c r="Z2735" t="b">
        <v>1</v>
      </c>
      <c r="AA2735" t="b">
        <v>1</v>
      </c>
      <c r="AB2735" t="b">
        <v>1</v>
      </c>
      <c r="AC2735" t="b">
        <v>1</v>
      </c>
      <c r="AD2735" t="b">
        <v>1</v>
      </c>
      <c r="AE2735" t="b">
        <v>1</v>
      </c>
      <c r="AF2735" t="b">
        <v>1</v>
      </c>
      <c r="AG2735" t="b">
        <v>1</v>
      </c>
    </row>
    <row r="2736" spans="1:33" x14ac:dyDescent="0.25">
      <c r="A2736" t="s">
        <v>709</v>
      </c>
      <c r="B2736">
        <v>5</v>
      </c>
      <c r="C2736" t="b">
        <v>0</v>
      </c>
      <c r="D2736" t="s">
        <v>7968</v>
      </c>
      <c r="E2736" t="s">
        <v>9216</v>
      </c>
      <c r="F2736" t="s">
        <v>9321</v>
      </c>
      <c r="G2736" t="s">
        <v>9322</v>
      </c>
      <c r="H2736">
        <v>2735</v>
      </c>
      <c r="I2736" t="str">
        <f>IF(ISBLANK(Table1[[#This Row],[oid]]),"FALSE","TRUE")</f>
        <v>TRUE</v>
      </c>
      <c r="J2736" t="str" cm="1">
        <f t="array" ref="J2736">_xlfn.SWITCH(LEFT(Table1[[#This Row],[section]],1), "D", "Demographic", "S", "Social", "E", "Economic", "H", "Housing", "")</f>
        <v>Housing</v>
      </c>
      <c r="K2736" t="s">
        <v>9219</v>
      </c>
      <c r="L2736" t="s">
        <v>9220</v>
      </c>
      <c r="M2736" t="str">
        <f>IF(Table1[[#This Row],[used]], _xlfn.CONCAT("🆔 ", Table1[[#This Row],[variable]], ": ",Table1[[#This Row],[alias]]), "")</f>
        <v>🆔 B25087_026E: Housing units without a mortgage: $400 to $499</v>
      </c>
      <c r="O2736" t="s">
        <v>9323</v>
      </c>
      <c r="P2736" t="s">
        <v>9221</v>
      </c>
      <c r="Q2736" t="s">
        <v>41</v>
      </c>
      <c r="R2736" t="s">
        <v>9324</v>
      </c>
      <c r="S2736" t="b">
        <v>1</v>
      </c>
      <c r="T2736" t="b">
        <v>1</v>
      </c>
      <c r="U2736" t="b">
        <v>1</v>
      </c>
      <c r="V2736" t="b">
        <v>1</v>
      </c>
      <c r="W2736" t="b">
        <v>1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</row>
    <row r="2737" spans="1:33" x14ac:dyDescent="0.25">
      <c r="A2737" t="s">
        <v>714</v>
      </c>
      <c r="B2737">
        <v>10</v>
      </c>
      <c r="C2737" t="b">
        <v>0</v>
      </c>
      <c r="D2737" t="s">
        <v>7968</v>
      </c>
      <c r="E2737" t="s">
        <v>9216</v>
      </c>
      <c r="F2737" t="s">
        <v>9321</v>
      </c>
      <c r="G2737" t="s">
        <v>9314</v>
      </c>
      <c r="H2737">
        <v>2736</v>
      </c>
      <c r="I2737" t="str">
        <f>IF(ISBLANK(Table1[[#This Row],[oid]]),"FALSE","TRUE")</f>
        <v>TRUE</v>
      </c>
      <c r="J2737" t="str" cm="1">
        <f t="array" ref="J2737">_xlfn.SWITCH(LEFT(Table1[[#This Row],[section]],1), "D", "Demographic", "S", "Social", "E", "Economic", "H", "Housing", "")</f>
        <v>Housing</v>
      </c>
      <c r="K2737" t="s">
        <v>9219</v>
      </c>
      <c r="L2737" t="s">
        <v>9220</v>
      </c>
      <c r="M2737" t="str">
        <f>IF(Table1[[#This Row],[used]], _xlfn.CONCAT("🆔 ", Table1[[#This Row],[variable]], ": ",Table1[[#This Row],[alias]]), "")</f>
        <v>🆔 B25087_026E: Housing units without a mortgage: $300 to $349</v>
      </c>
      <c r="O2737" t="s">
        <v>9315</v>
      </c>
      <c r="P2737" t="s">
        <v>9221</v>
      </c>
      <c r="Q2737" t="s">
        <v>41</v>
      </c>
      <c r="R2737" t="s">
        <v>9324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  <c r="X2737" t="b">
        <v>1</v>
      </c>
      <c r="Y2737" t="b">
        <v>1</v>
      </c>
      <c r="Z2737" t="b">
        <v>1</v>
      </c>
      <c r="AA2737" t="b">
        <v>1</v>
      </c>
      <c r="AB2737" t="b">
        <v>1</v>
      </c>
      <c r="AC2737" t="b">
        <v>1</v>
      </c>
      <c r="AD2737" t="b">
        <v>1</v>
      </c>
      <c r="AE2737" t="b">
        <v>1</v>
      </c>
      <c r="AF2737" t="b">
        <v>1</v>
      </c>
      <c r="AG2737" t="b">
        <v>1</v>
      </c>
    </row>
    <row r="2738" spans="1:33" x14ac:dyDescent="0.25">
      <c r="A2738" t="s">
        <v>709</v>
      </c>
      <c r="B2738">
        <v>5</v>
      </c>
      <c r="C2738" t="b">
        <v>0</v>
      </c>
      <c r="D2738" t="s">
        <v>7968</v>
      </c>
      <c r="E2738" t="s">
        <v>9216</v>
      </c>
      <c r="F2738" t="s">
        <v>9325</v>
      </c>
      <c r="G2738" t="s">
        <v>9326</v>
      </c>
      <c r="H2738">
        <v>2737</v>
      </c>
      <c r="I2738" t="str">
        <f>IF(ISBLANK(Table1[[#This Row],[oid]]),"FALSE","TRUE")</f>
        <v>TRUE</v>
      </c>
      <c r="J2738" t="str" cm="1">
        <f t="array" ref="J2738">_xlfn.SWITCH(LEFT(Table1[[#This Row],[section]],1), "D", "Demographic", "S", "Social", "E", "Economic", "H", "Housing", "")</f>
        <v>Housing</v>
      </c>
      <c r="K2738" t="s">
        <v>9219</v>
      </c>
      <c r="L2738" t="s">
        <v>9220</v>
      </c>
      <c r="M2738" t="str">
        <f>IF(Table1[[#This Row],[used]], _xlfn.CONCAT("🆔 ", Table1[[#This Row],[variable]], ": ",Table1[[#This Row],[alias]]), "")</f>
        <v>🆔 B25087_027E: Housing units without a mortgage: $500 to $599</v>
      </c>
      <c r="O2738" t="s">
        <v>9327</v>
      </c>
      <c r="P2738" t="s">
        <v>9221</v>
      </c>
      <c r="Q2738" t="s">
        <v>41</v>
      </c>
      <c r="R2738" t="s">
        <v>9328</v>
      </c>
      <c r="S2738" t="b">
        <v>1</v>
      </c>
      <c r="T2738" t="b">
        <v>1</v>
      </c>
      <c r="U2738" t="b">
        <v>1</v>
      </c>
      <c r="V2738" t="b">
        <v>1</v>
      </c>
      <c r="W2738" t="b">
        <v>1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</row>
    <row r="2739" spans="1:33" x14ac:dyDescent="0.25">
      <c r="A2739" t="s">
        <v>714</v>
      </c>
      <c r="B2739">
        <v>10</v>
      </c>
      <c r="C2739" t="b">
        <v>0</v>
      </c>
      <c r="D2739" t="s">
        <v>7968</v>
      </c>
      <c r="E2739" t="s">
        <v>9216</v>
      </c>
      <c r="F2739" t="s">
        <v>9325</v>
      </c>
      <c r="G2739" t="s">
        <v>9318</v>
      </c>
      <c r="H2739">
        <v>2738</v>
      </c>
      <c r="I2739" t="str">
        <f>IF(ISBLANK(Table1[[#This Row],[oid]]),"FALSE","TRUE")</f>
        <v>TRUE</v>
      </c>
      <c r="J2739" t="str" cm="1">
        <f t="array" ref="J2739">_xlfn.SWITCH(LEFT(Table1[[#This Row],[section]],1), "D", "Demographic", "S", "Social", "E", "Economic", "H", "Housing", "")</f>
        <v>Housing</v>
      </c>
      <c r="K2739" t="s">
        <v>9219</v>
      </c>
      <c r="L2739" t="s">
        <v>9220</v>
      </c>
      <c r="M2739" t="str">
        <f>IF(Table1[[#This Row],[used]], _xlfn.CONCAT("🆔 ", Table1[[#This Row],[variable]], ": ",Table1[[#This Row],[alias]]), "")</f>
        <v>🆔 B25087_027E: Housing units without a mortgage: $350 to $399</v>
      </c>
      <c r="O2739" t="s">
        <v>9319</v>
      </c>
      <c r="P2739" t="s">
        <v>9221</v>
      </c>
      <c r="Q2739" t="s">
        <v>41</v>
      </c>
      <c r="R2739" t="s">
        <v>9328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  <c r="X2739" t="b">
        <v>1</v>
      </c>
      <c r="Y2739" t="b">
        <v>1</v>
      </c>
      <c r="Z2739" t="b">
        <v>1</v>
      </c>
      <c r="AA2739" t="b">
        <v>1</v>
      </c>
      <c r="AB2739" t="b">
        <v>1</v>
      </c>
      <c r="AC2739" t="b">
        <v>1</v>
      </c>
      <c r="AD2739" t="b">
        <v>1</v>
      </c>
      <c r="AE2739" t="b">
        <v>1</v>
      </c>
      <c r="AF2739" t="b">
        <v>1</v>
      </c>
      <c r="AG2739" t="b">
        <v>1</v>
      </c>
    </row>
    <row r="2740" spans="1:33" x14ac:dyDescent="0.25">
      <c r="A2740" t="s">
        <v>709</v>
      </c>
      <c r="B2740">
        <v>5</v>
      </c>
      <c r="C2740" t="b">
        <v>0</v>
      </c>
      <c r="D2740" t="s">
        <v>7968</v>
      </c>
      <c r="E2740" t="s">
        <v>9216</v>
      </c>
      <c r="F2740" t="s">
        <v>9329</v>
      </c>
      <c r="G2740" t="s">
        <v>9330</v>
      </c>
      <c r="H2740">
        <v>2739</v>
      </c>
      <c r="I2740" t="str">
        <f>IF(ISBLANK(Table1[[#This Row],[oid]]),"FALSE","TRUE")</f>
        <v>TRUE</v>
      </c>
      <c r="J2740" t="str" cm="1">
        <f t="array" ref="J2740">_xlfn.SWITCH(LEFT(Table1[[#This Row],[section]],1), "D", "Demographic", "S", "Social", "E", "Economic", "H", "Housing", "")</f>
        <v>Housing</v>
      </c>
      <c r="K2740" t="s">
        <v>9219</v>
      </c>
      <c r="L2740" t="s">
        <v>9220</v>
      </c>
      <c r="M2740" t="str">
        <f>IF(Table1[[#This Row],[used]], _xlfn.CONCAT("🆔 ", Table1[[#This Row],[variable]], ": ",Table1[[#This Row],[alias]]), "")</f>
        <v>🆔 B25087_028E: Housing units without a mortgage: $600 to $699</v>
      </c>
      <c r="O2740" t="s">
        <v>9331</v>
      </c>
      <c r="P2740" t="s">
        <v>9221</v>
      </c>
      <c r="Q2740" t="s">
        <v>41</v>
      </c>
      <c r="R2740" t="s">
        <v>9332</v>
      </c>
      <c r="S2740" t="b">
        <v>1</v>
      </c>
      <c r="T2740" t="b">
        <v>1</v>
      </c>
      <c r="U2740" t="b">
        <v>1</v>
      </c>
      <c r="V2740" t="b">
        <v>1</v>
      </c>
      <c r="W2740" t="b">
        <v>1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b">
        <v>0</v>
      </c>
      <c r="AE2740" t="b">
        <v>0</v>
      </c>
      <c r="AF2740" t="b">
        <v>0</v>
      </c>
      <c r="AG2740" t="b">
        <v>0</v>
      </c>
    </row>
    <row r="2741" spans="1:33" x14ac:dyDescent="0.25">
      <c r="A2741" t="s">
        <v>714</v>
      </c>
      <c r="B2741">
        <v>10</v>
      </c>
      <c r="C2741" t="b">
        <v>0</v>
      </c>
      <c r="D2741" t="s">
        <v>7968</v>
      </c>
      <c r="E2741" t="s">
        <v>9216</v>
      </c>
      <c r="F2741" t="s">
        <v>9329</v>
      </c>
      <c r="G2741" t="s">
        <v>9322</v>
      </c>
      <c r="H2741">
        <v>2740</v>
      </c>
      <c r="I2741" t="str">
        <f>IF(ISBLANK(Table1[[#This Row],[oid]]),"FALSE","TRUE")</f>
        <v>TRUE</v>
      </c>
      <c r="J2741" t="str" cm="1">
        <f t="array" ref="J2741">_xlfn.SWITCH(LEFT(Table1[[#This Row],[section]],1), "D", "Demographic", "S", "Social", "E", "Economic", "H", "Housing", "")</f>
        <v>Housing</v>
      </c>
      <c r="K2741" t="s">
        <v>9219</v>
      </c>
      <c r="L2741" t="s">
        <v>9220</v>
      </c>
      <c r="M2741" t="str">
        <f>IF(Table1[[#This Row],[used]], _xlfn.CONCAT("🆔 ", Table1[[#This Row],[variable]], ": ",Table1[[#This Row],[alias]]), "")</f>
        <v>🆔 B25087_028E: Housing units without a mortgage: $400 to $499</v>
      </c>
      <c r="O2741" t="s">
        <v>9323</v>
      </c>
      <c r="P2741" t="s">
        <v>9221</v>
      </c>
      <c r="Q2741" t="s">
        <v>41</v>
      </c>
      <c r="R2741" t="s">
        <v>9332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  <c r="X2741" t="b">
        <v>1</v>
      </c>
      <c r="Y2741" t="b">
        <v>1</v>
      </c>
      <c r="Z2741" t="b">
        <v>1</v>
      </c>
      <c r="AA2741" t="b">
        <v>1</v>
      </c>
      <c r="AB2741" t="b">
        <v>1</v>
      </c>
      <c r="AC2741" t="b">
        <v>1</v>
      </c>
      <c r="AD2741" t="b">
        <v>1</v>
      </c>
      <c r="AE2741" t="b">
        <v>1</v>
      </c>
      <c r="AF2741" t="b">
        <v>1</v>
      </c>
      <c r="AG2741" t="b">
        <v>1</v>
      </c>
    </row>
    <row r="2742" spans="1:33" x14ac:dyDescent="0.25">
      <c r="A2742" t="s">
        <v>709</v>
      </c>
      <c r="B2742">
        <v>5</v>
      </c>
      <c r="C2742" t="b">
        <v>0</v>
      </c>
      <c r="D2742" t="s">
        <v>7968</v>
      </c>
      <c r="E2742" t="s">
        <v>9216</v>
      </c>
      <c r="F2742" t="s">
        <v>9333</v>
      </c>
      <c r="G2742" t="s">
        <v>9334</v>
      </c>
      <c r="H2742">
        <v>2741</v>
      </c>
      <c r="I2742" t="str">
        <f>IF(ISBLANK(Table1[[#This Row],[oid]]),"FALSE","TRUE")</f>
        <v>TRUE</v>
      </c>
      <c r="J2742" t="str" cm="1">
        <f t="array" ref="J2742">_xlfn.SWITCH(LEFT(Table1[[#This Row],[section]],1), "D", "Demographic", "S", "Social", "E", "Economic", "H", "Housing", "")</f>
        <v>Housing</v>
      </c>
      <c r="K2742" t="s">
        <v>9219</v>
      </c>
      <c r="L2742" t="s">
        <v>9220</v>
      </c>
      <c r="M2742" t="str">
        <f>IF(Table1[[#This Row],[used]], _xlfn.CONCAT("🆔 ", Table1[[#This Row],[variable]], ": ",Table1[[#This Row],[alias]]), "")</f>
        <v>🆔 B25087_029E: Housing units without a mortgage: $700 or more</v>
      </c>
      <c r="O2742" t="s">
        <v>9335</v>
      </c>
      <c r="P2742" t="s">
        <v>9221</v>
      </c>
      <c r="Q2742" t="s">
        <v>41</v>
      </c>
      <c r="R2742" t="s">
        <v>9336</v>
      </c>
      <c r="S2742" t="b">
        <v>1</v>
      </c>
      <c r="T2742" t="b">
        <v>1</v>
      </c>
      <c r="U2742" t="b">
        <v>1</v>
      </c>
      <c r="V2742" t="b">
        <v>1</v>
      </c>
      <c r="W2742" t="b">
        <v>1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0</v>
      </c>
    </row>
    <row r="2743" spans="1:33" x14ac:dyDescent="0.25">
      <c r="A2743" t="s">
        <v>714</v>
      </c>
      <c r="B2743">
        <v>10</v>
      </c>
      <c r="C2743" t="b">
        <v>0</v>
      </c>
      <c r="D2743" t="s">
        <v>7968</v>
      </c>
      <c r="E2743" t="s">
        <v>9216</v>
      </c>
      <c r="F2743" t="s">
        <v>9333</v>
      </c>
      <c r="G2743" t="s">
        <v>9326</v>
      </c>
      <c r="H2743">
        <v>2742</v>
      </c>
      <c r="I2743" t="str">
        <f>IF(ISBLANK(Table1[[#This Row],[oid]]),"FALSE","TRUE")</f>
        <v>TRUE</v>
      </c>
      <c r="J2743" t="str" cm="1">
        <f t="array" ref="J2743">_xlfn.SWITCH(LEFT(Table1[[#This Row],[section]],1), "D", "Demographic", "S", "Social", "E", "Economic", "H", "Housing", "")</f>
        <v>Housing</v>
      </c>
      <c r="K2743" t="s">
        <v>9219</v>
      </c>
      <c r="L2743" t="s">
        <v>9220</v>
      </c>
      <c r="M2743" t="str">
        <f>IF(Table1[[#This Row],[used]], _xlfn.CONCAT("🆔 ", Table1[[#This Row],[variable]], ": ",Table1[[#This Row],[alias]]), "")</f>
        <v>🆔 B25087_029E: Housing units without a mortgage: $500 to $599</v>
      </c>
      <c r="O2743" t="s">
        <v>9327</v>
      </c>
      <c r="P2743" t="s">
        <v>9221</v>
      </c>
      <c r="Q2743" t="s">
        <v>41</v>
      </c>
      <c r="R2743" t="s">
        <v>9336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1</v>
      </c>
      <c r="Y2743" t="b">
        <v>1</v>
      </c>
      <c r="Z2743" t="b">
        <v>1</v>
      </c>
      <c r="AA2743" t="b">
        <v>1</v>
      </c>
      <c r="AB2743" t="b">
        <v>1</v>
      </c>
      <c r="AC2743" t="b">
        <v>1</v>
      </c>
      <c r="AD2743" t="b">
        <v>1</v>
      </c>
      <c r="AE2743" t="b">
        <v>1</v>
      </c>
      <c r="AF2743" t="b">
        <v>1</v>
      </c>
      <c r="AG2743" t="b">
        <v>1</v>
      </c>
    </row>
    <row r="2744" spans="1:33" x14ac:dyDescent="0.25">
      <c r="A2744" t="s">
        <v>714</v>
      </c>
      <c r="B2744">
        <v>10</v>
      </c>
      <c r="C2744" t="b">
        <v>0</v>
      </c>
      <c r="D2744" t="s">
        <v>7968</v>
      </c>
      <c r="E2744" t="s">
        <v>9216</v>
      </c>
      <c r="F2744" t="s">
        <v>9337</v>
      </c>
      <c r="G2744" t="s">
        <v>9330</v>
      </c>
      <c r="H2744">
        <v>2743</v>
      </c>
      <c r="I2744" t="str">
        <f>IF(ISBLANK(Table1[[#This Row],[oid]]),"FALSE","TRUE")</f>
        <v>TRUE</v>
      </c>
      <c r="J2744" t="str" cm="1">
        <f t="array" ref="J2744">_xlfn.SWITCH(LEFT(Table1[[#This Row],[section]],1), "D", "Demographic", "S", "Social", "E", "Economic", "H", "Housing", "")</f>
        <v>Housing</v>
      </c>
      <c r="K2744" t="s">
        <v>9219</v>
      </c>
      <c r="L2744" t="s">
        <v>9220</v>
      </c>
      <c r="M2744" t="str">
        <f>IF(Table1[[#This Row],[used]], _xlfn.CONCAT("🆔 ", Table1[[#This Row],[variable]], ": ",Table1[[#This Row],[alias]]), "")</f>
        <v>🆔 B25087_030E: Housing units without a mortgage: $600 to $699</v>
      </c>
      <c r="O2744" t="s">
        <v>9331</v>
      </c>
      <c r="P2744" t="s">
        <v>9221</v>
      </c>
      <c r="Q2744" t="s">
        <v>41</v>
      </c>
      <c r="R2744" t="s">
        <v>9338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1</v>
      </c>
      <c r="Y2744" t="b">
        <v>1</v>
      </c>
      <c r="Z2744" t="b">
        <v>1</v>
      </c>
      <c r="AA2744" t="b">
        <v>1</v>
      </c>
      <c r="AB2744" t="b">
        <v>1</v>
      </c>
      <c r="AC2744" t="b">
        <v>1</v>
      </c>
      <c r="AD2744" t="b">
        <v>1</v>
      </c>
      <c r="AE2744" t="b">
        <v>1</v>
      </c>
      <c r="AF2744" t="b">
        <v>1</v>
      </c>
      <c r="AG2744" t="b">
        <v>1</v>
      </c>
    </row>
    <row r="2745" spans="1:33" x14ac:dyDescent="0.25">
      <c r="A2745" t="s">
        <v>714</v>
      </c>
      <c r="B2745">
        <v>10</v>
      </c>
      <c r="C2745" t="b">
        <v>0</v>
      </c>
      <c r="D2745" t="s">
        <v>7968</v>
      </c>
      <c r="E2745" t="s">
        <v>9216</v>
      </c>
      <c r="F2745" t="s">
        <v>9339</v>
      </c>
      <c r="G2745" t="s">
        <v>9340</v>
      </c>
      <c r="H2745">
        <v>2744</v>
      </c>
      <c r="I2745" t="str">
        <f>IF(ISBLANK(Table1[[#This Row],[oid]]),"FALSE","TRUE")</f>
        <v>TRUE</v>
      </c>
      <c r="J2745" t="str" cm="1">
        <f t="array" ref="J2745">_xlfn.SWITCH(LEFT(Table1[[#This Row],[section]],1), "D", "Demographic", "S", "Social", "E", "Economic", "H", "Housing", "")</f>
        <v>Housing</v>
      </c>
      <c r="K2745" t="s">
        <v>9219</v>
      </c>
      <c r="L2745" t="s">
        <v>9220</v>
      </c>
      <c r="M2745" t="str">
        <f>IF(Table1[[#This Row],[used]], _xlfn.CONCAT("🆔 ", Table1[[#This Row],[variable]], ": ",Table1[[#This Row],[alias]]), "")</f>
        <v>🆔 B25087_031E: Housing units without a mortgage: $700 to $799</v>
      </c>
      <c r="O2745" t="s">
        <v>9341</v>
      </c>
      <c r="P2745" t="s">
        <v>9221</v>
      </c>
      <c r="Q2745" t="s">
        <v>41</v>
      </c>
      <c r="R2745" t="s">
        <v>9342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  <c r="X2745" t="b">
        <v>1</v>
      </c>
      <c r="Y2745" t="b">
        <v>1</v>
      </c>
      <c r="Z2745" t="b">
        <v>1</v>
      </c>
      <c r="AA2745" t="b">
        <v>1</v>
      </c>
      <c r="AB2745" t="b">
        <v>1</v>
      </c>
      <c r="AC2745" t="b">
        <v>1</v>
      </c>
      <c r="AD2745" t="b">
        <v>1</v>
      </c>
      <c r="AE2745" t="b">
        <v>1</v>
      </c>
      <c r="AF2745" t="b">
        <v>1</v>
      </c>
      <c r="AG2745" t="b">
        <v>1</v>
      </c>
    </row>
    <row r="2746" spans="1:33" x14ac:dyDescent="0.25">
      <c r="A2746" t="s">
        <v>714</v>
      </c>
      <c r="B2746">
        <v>10</v>
      </c>
      <c r="C2746" t="b">
        <v>0</v>
      </c>
      <c r="D2746" t="s">
        <v>7968</v>
      </c>
      <c r="E2746" t="s">
        <v>9216</v>
      </c>
      <c r="F2746" t="s">
        <v>9343</v>
      </c>
      <c r="G2746" t="s">
        <v>9344</v>
      </c>
      <c r="H2746">
        <v>2745</v>
      </c>
      <c r="I2746" t="str">
        <f>IF(ISBLANK(Table1[[#This Row],[oid]]),"FALSE","TRUE")</f>
        <v>TRUE</v>
      </c>
      <c r="J2746" t="str" cm="1">
        <f t="array" ref="J2746">_xlfn.SWITCH(LEFT(Table1[[#This Row],[section]],1), "D", "Demographic", "S", "Social", "E", "Economic", "H", "Housing", "")</f>
        <v>Housing</v>
      </c>
      <c r="K2746" t="s">
        <v>9219</v>
      </c>
      <c r="L2746" t="s">
        <v>9220</v>
      </c>
      <c r="M2746" t="str">
        <f>IF(Table1[[#This Row],[used]], _xlfn.CONCAT("🆔 ", Table1[[#This Row],[variable]], ": ",Table1[[#This Row],[alias]]), "")</f>
        <v>🆔 B25087_032E: Housing units without a mortgage: $800 to $899</v>
      </c>
      <c r="O2746" t="s">
        <v>9345</v>
      </c>
      <c r="P2746" t="s">
        <v>9221</v>
      </c>
      <c r="Q2746" t="s">
        <v>41</v>
      </c>
      <c r="R2746" t="s">
        <v>9346</v>
      </c>
      <c r="S2746" t="b">
        <v>0</v>
      </c>
      <c r="T2746" t="b">
        <v>0</v>
      </c>
      <c r="U2746" t="b">
        <v>0</v>
      </c>
      <c r="V2746" t="b">
        <v>0</v>
      </c>
      <c r="W2746" t="b">
        <v>0</v>
      </c>
      <c r="X2746" t="b">
        <v>1</v>
      </c>
      <c r="Y2746" t="b">
        <v>1</v>
      </c>
      <c r="Z2746" t="b">
        <v>1</v>
      </c>
      <c r="AA2746" t="b">
        <v>1</v>
      </c>
      <c r="AB2746" t="b">
        <v>1</v>
      </c>
      <c r="AC2746" t="b">
        <v>1</v>
      </c>
      <c r="AD2746" t="b">
        <v>1</v>
      </c>
      <c r="AE2746" t="b">
        <v>1</v>
      </c>
      <c r="AF2746" t="b">
        <v>1</v>
      </c>
      <c r="AG2746" t="b">
        <v>1</v>
      </c>
    </row>
    <row r="2747" spans="1:33" x14ac:dyDescent="0.25">
      <c r="A2747" t="s">
        <v>714</v>
      </c>
      <c r="B2747">
        <v>10</v>
      </c>
      <c r="C2747" t="b">
        <v>0</v>
      </c>
      <c r="D2747" t="s">
        <v>7968</v>
      </c>
      <c r="E2747" t="s">
        <v>9216</v>
      </c>
      <c r="F2747" t="s">
        <v>9347</v>
      </c>
      <c r="G2747" t="s">
        <v>9348</v>
      </c>
      <c r="H2747">
        <v>2746</v>
      </c>
      <c r="I2747" t="str">
        <f>IF(ISBLANK(Table1[[#This Row],[oid]]),"FALSE","TRUE")</f>
        <v>TRUE</v>
      </c>
      <c r="J2747" t="str" cm="1">
        <f t="array" ref="J2747">_xlfn.SWITCH(LEFT(Table1[[#This Row],[section]],1), "D", "Demographic", "S", "Social", "E", "Economic", "H", "Housing", "")</f>
        <v>Housing</v>
      </c>
      <c r="K2747" t="s">
        <v>9219</v>
      </c>
      <c r="L2747" t="s">
        <v>9220</v>
      </c>
      <c r="M2747" t="str">
        <f>IF(Table1[[#This Row],[used]], _xlfn.CONCAT("🆔 ", Table1[[#This Row],[variable]], ": ",Table1[[#This Row],[alias]]), "")</f>
        <v>🆔 B25087_033E: Housing units without a mortgage: $900 to $999</v>
      </c>
      <c r="O2747" t="s">
        <v>9349</v>
      </c>
      <c r="P2747" t="s">
        <v>9221</v>
      </c>
      <c r="Q2747" t="s">
        <v>41</v>
      </c>
      <c r="R2747" t="s">
        <v>9350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  <c r="X2747" t="b">
        <v>1</v>
      </c>
      <c r="Y2747" t="b">
        <v>1</v>
      </c>
      <c r="Z2747" t="b">
        <v>1</v>
      </c>
      <c r="AA2747" t="b">
        <v>1</v>
      </c>
      <c r="AB2747" t="b">
        <v>1</v>
      </c>
      <c r="AC2747" t="b">
        <v>1</v>
      </c>
      <c r="AD2747" t="b">
        <v>1</v>
      </c>
      <c r="AE2747" t="b">
        <v>1</v>
      </c>
      <c r="AF2747" t="b">
        <v>1</v>
      </c>
      <c r="AG2747" t="b">
        <v>1</v>
      </c>
    </row>
    <row r="2748" spans="1:33" x14ac:dyDescent="0.25">
      <c r="A2748" t="s">
        <v>714</v>
      </c>
      <c r="B2748">
        <v>10</v>
      </c>
      <c r="C2748" t="b">
        <v>0</v>
      </c>
      <c r="D2748" t="s">
        <v>7968</v>
      </c>
      <c r="E2748" t="s">
        <v>9216</v>
      </c>
      <c r="F2748" t="s">
        <v>9351</v>
      </c>
      <c r="G2748" t="s">
        <v>9352</v>
      </c>
      <c r="H2748">
        <v>2747</v>
      </c>
      <c r="I2748" t="str">
        <f>IF(ISBLANK(Table1[[#This Row],[oid]]),"FALSE","TRUE")</f>
        <v>TRUE</v>
      </c>
      <c r="J2748" t="str" cm="1">
        <f t="array" ref="J2748">_xlfn.SWITCH(LEFT(Table1[[#This Row],[section]],1), "D", "Demographic", "S", "Social", "E", "Economic", "H", "Housing", "")</f>
        <v>Housing</v>
      </c>
      <c r="K2748" t="s">
        <v>9219</v>
      </c>
      <c r="L2748" t="s">
        <v>9220</v>
      </c>
      <c r="M2748" t="str">
        <f>IF(Table1[[#This Row],[used]], _xlfn.CONCAT("🆔 ", Table1[[#This Row],[variable]], ": ",Table1[[#This Row],[alias]]), "")</f>
        <v>🆔 B25087_034E: Housing units without a mortgage: $1,000 to $1,099</v>
      </c>
      <c r="O2748" t="s">
        <v>9353</v>
      </c>
      <c r="P2748" t="s">
        <v>9221</v>
      </c>
      <c r="Q2748" t="s">
        <v>41</v>
      </c>
      <c r="R2748" t="s">
        <v>9354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1</v>
      </c>
      <c r="Y2748" t="b">
        <v>1</v>
      </c>
      <c r="Z2748" t="b">
        <v>1</v>
      </c>
      <c r="AA2748" t="b">
        <v>1</v>
      </c>
      <c r="AB2748" t="b">
        <v>1</v>
      </c>
      <c r="AC2748" t="b">
        <v>1</v>
      </c>
      <c r="AD2748" t="b">
        <v>1</v>
      </c>
      <c r="AE2748" t="b">
        <v>1</v>
      </c>
      <c r="AF2748" t="b">
        <v>1</v>
      </c>
      <c r="AG2748" t="b">
        <v>1</v>
      </c>
    </row>
    <row r="2749" spans="1:33" x14ac:dyDescent="0.25">
      <c r="A2749" t="s">
        <v>714</v>
      </c>
      <c r="B2749">
        <v>10</v>
      </c>
      <c r="C2749" t="b">
        <v>0</v>
      </c>
      <c r="D2749" t="s">
        <v>7968</v>
      </c>
      <c r="E2749" t="s">
        <v>9216</v>
      </c>
      <c r="F2749" t="s">
        <v>9355</v>
      </c>
      <c r="G2749" t="s">
        <v>9356</v>
      </c>
      <c r="H2749">
        <v>2748</v>
      </c>
      <c r="I2749" t="str">
        <f>IF(ISBLANK(Table1[[#This Row],[oid]]),"FALSE","TRUE")</f>
        <v>TRUE</v>
      </c>
      <c r="J2749" t="str" cm="1">
        <f t="array" ref="J2749">_xlfn.SWITCH(LEFT(Table1[[#This Row],[section]],1), "D", "Demographic", "S", "Social", "E", "Economic", "H", "Housing", "")</f>
        <v>Housing</v>
      </c>
      <c r="K2749" t="s">
        <v>9219</v>
      </c>
      <c r="L2749" t="s">
        <v>9220</v>
      </c>
      <c r="M2749" t="str">
        <f>IF(Table1[[#This Row],[used]], _xlfn.CONCAT("🆔 ", Table1[[#This Row],[variable]], ": ",Table1[[#This Row],[alias]]), "")</f>
        <v>🆔 B25087_035E: Housing units without a mortgage: $1,100 to $1,199</v>
      </c>
      <c r="O2749" t="s">
        <v>9357</v>
      </c>
      <c r="P2749" t="s">
        <v>9221</v>
      </c>
      <c r="Q2749" t="s">
        <v>41</v>
      </c>
      <c r="R2749" t="s">
        <v>9358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  <c r="X2749" t="b">
        <v>1</v>
      </c>
      <c r="Y2749" t="b">
        <v>1</v>
      </c>
      <c r="Z2749" t="b">
        <v>1</v>
      </c>
      <c r="AA2749" t="b">
        <v>1</v>
      </c>
      <c r="AB2749" t="b">
        <v>1</v>
      </c>
      <c r="AC2749" t="b">
        <v>1</v>
      </c>
      <c r="AD2749" t="b">
        <v>1</v>
      </c>
      <c r="AE2749" t="b">
        <v>1</v>
      </c>
      <c r="AF2749" t="b">
        <v>1</v>
      </c>
      <c r="AG2749" t="b">
        <v>1</v>
      </c>
    </row>
    <row r="2750" spans="1:33" x14ac:dyDescent="0.25">
      <c r="A2750" t="s">
        <v>714</v>
      </c>
      <c r="B2750">
        <v>10</v>
      </c>
      <c r="C2750" t="b">
        <v>0</v>
      </c>
      <c r="D2750" t="s">
        <v>7968</v>
      </c>
      <c r="E2750" t="s">
        <v>9216</v>
      </c>
      <c r="F2750" t="s">
        <v>9359</v>
      </c>
      <c r="G2750" t="s">
        <v>9360</v>
      </c>
      <c r="H2750">
        <v>2749</v>
      </c>
      <c r="I2750" t="str">
        <f>IF(ISBLANK(Table1[[#This Row],[oid]]),"FALSE","TRUE")</f>
        <v>TRUE</v>
      </c>
      <c r="J2750" t="str" cm="1">
        <f t="array" ref="J2750">_xlfn.SWITCH(LEFT(Table1[[#This Row],[section]],1), "D", "Demographic", "S", "Social", "E", "Economic", "H", "Housing", "")</f>
        <v>Housing</v>
      </c>
      <c r="K2750" t="s">
        <v>9219</v>
      </c>
      <c r="L2750" t="s">
        <v>9220</v>
      </c>
      <c r="M2750" t="str">
        <f>IF(Table1[[#This Row],[used]], _xlfn.CONCAT("🆔 ", Table1[[#This Row],[variable]], ": ",Table1[[#This Row],[alias]]), "")</f>
        <v>🆔 B25087_036E: Housing units without a mortgage: $1,200 to $1,299</v>
      </c>
      <c r="O2750" t="s">
        <v>9361</v>
      </c>
      <c r="P2750" t="s">
        <v>9221</v>
      </c>
      <c r="Q2750" t="s">
        <v>41</v>
      </c>
      <c r="R2750" t="s">
        <v>9362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1</v>
      </c>
      <c r="Y2750" t="b">
        <v>1</v>
      </c>
      <c r="Z2750" t="b">
        <v>1</v>
      </c>
      <c r="AA2750" t="b">
        <v>1</v>
      </c>
      <c r="AB2750" t="b">
        <v>1</v>
      </c>
      <c r="AC2750" t="b">
        <v>1</v>
      </c>
      <c r="AD2750" t="b">
        <v>1</v>
      </c>
      <c r="AE2750" t="b">
        <v>1</v>
      </c>
      <c r="AF2750" t="b">
        <v>1</v>
      </c>
      <c r="AG2750" t="b">
        <v>1</v>
      </c>
    </row>
    <row r="2751" spans="1:33" x14ac:dyDescent="0.25">
      <c r="A2751" t="s">
        <v>714</v>
      </c>
      <c r="B2751">
        <v>10</v>
      </c>
      <c r="C2751" t="b">
        <v>0</v>
      </c>
      <c r="D2751" t="s">
        <v>7968</v>
      </c>
      <c r="E2751" t="s">
        <v>9216</v>
      </c>
      <c r="F2751" t="s">
        <v>9363</v>
      </c>
      <c r="G2751" t="s">
        <v>9364</v>
      </c>
      <c r="H2751">
        <v>2750</v>
      </c>
      <c r="I2751" t="str">
        <f>IF(ISBLANK(Table1[[#This Row],[oid]]),"FALSE","TRUE")</f>
        <v>TRUE</v>
      </c>
      <c r="J2751" t="str" cm="1">
        <f t="array" ref="J2751">_xlfn.SWITCH(LEFT(Table1[[#This Row],[section]],1), "D", "Demographic", "S", "Social", "E", "Economic", "H", "Housing", "")</f>
        <v>Housing</v>
      </c>
      <c r="K2751" t="s">
        <v>9219</v>
      </c>
      <c r="L2751" t="s">
        <v>9220</v>
      </c>
      <c r="M2751" t="str">
        <f>IF(Table1[[#This Row],[used]], _xlfn.CONCAT("🆔 ", Table1[[#This Row],[variable]], ": ",Table1[[#This Row],[alias]]), "")</f>
        <v>🆔 B25087_037E: Housing units without a mortgage: $1,300 to $1,399</v>
      </c>
      <c r="O2751" t="s">
        <v>9365</v>
      </c>
      <c r="P2751" t="s">
        <v>9221</v>
      </c>
      <c r="Q2751" t="s">
        <v>41</v>
      </c>
      <c r="R2751" t="s">
        <v>9366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  <c r="X2751" t="b">
        <v>1</v>
      </c>
      <c r="Y2751" t="b">
        <v>1</v>
      </c>
      <c r="Z2751" t="b">
        <v>1</v>
      </c>
      <c r="AA2751" t="b">
        <v>1</v>
      </c>
      <c r="AB2751" t="b">
        <v>1</v>
      </c>
      <c r="AC2751" t="b">
        <v>1</v>
      </c>
      <c r="AD2751" t="b">
        <v>1</v>
      </c>
      <c r="AE2751" t="b">
        <v>1</v>
      </c>
      <c r="AF2751" t="b">
        <v>1</v>
      </c>
      <c r="AG2751" t="b">
        <v>1</v>
      </c>
    </row>
    <row r="2752" spans="1:33" x14ac:dyDescent="0.25">
      <c r="A2752" t="s">
        <v>714</v>
      </c>
      <c r="B2752">
        <v>10</v>
      </c>
      <c r="C2752" t="b">
        <v>0</v>
      </c>
      <c r="D2752" t="s">
        <v>7968</v>
      </c>
      <c r="E2752" t="s">
        <v>9216</v>
      </c>
      <c r="F2752" t="s">
        <v>9367</v>
      </c>
      <c r="G2752" t="s">
        <v>9368</v>
      </c>
      <c r="H2752">
        <v>2751</v>
      </c>
      <c r="I2752" t="str">
        <f>IF(ISBLANK(Table1[[#This Row],[oid]]),"FALSE","TRUE")</f>
        <v>TRUE</v>
      </c>
      <c r="J2752" t="str" cm="1">
        <f t="array" ref="J2752">_xlfn.SWITCH(LEFT(Table1[[#This Row],[section]],1), "D", "Demographic", "S", "Social", "E", "Economic", "H", "Housing", "")</f>
        <v>Housing</v>
      </c>
      <c r="K2752" t="s">
        <v>9219</v>
      </c>
      <c r="L2752" t="s">
        <v>9220</v>
      </c>
      <c r="M2752" t="str">
        <f>IF(Table1[[#This Row],[used]], _xlfn.CONCAT("🆔 ", Table1[[#This Row],[variable]], ": ",Table1[[#This Row],[alias]]), "")</f>
        <v>🆔 B25087_038E: Housing units without a mortgage: $1,400 to $1,499</v>
      </c>
      <c r="O2752" t="s">
        <v>9369</v>
      </c>
      <c r="P2752" t="s">
        <v>9221</v>
      </c>
      <c r="Q2752" t="s">
        <v>41</v>
      </c>
      <c r="R2752" t="s">
        <v>9370</v>
      </c>
      <c r="S2752" t="b">
        <v>0</v>
      </c>
      <c r="T2752" t="b">
        <v>0</v>
      </c>
      <c r="U2752" t="b">
        <v>0</v>
      </c>
      <c r="V2752" t="b">
        <v>0</v>
      </c>
      <c r="W2752" t="b">
        <v>0</v>
      </c>
      <c r="X2752" t="b">
        <v>1</v>
      </c>
      <c r="Y2752" t="b">
        <v>1</v>
      </c>
      <c r="Z2752" t="b">
        <v>1</v>
      </c>
      <c r="AA2752" t="b">
        <v>1</v>
      </c>
      <c r="AB2752" t="b">
        <v>1</v>
      </c>
      <c r="AC2752" t="b">
        <v>1</v>
      </c>
      <c r="AD2752" t="b">
        <v>1</v>
      </c>
      <c r="AE2752" t="b">
        <v>1</v>
      </c>
      <c r="AF2752" t="b">
        <v>1</v>
      </c>
      <c r="AG2752" t="b">
        <v>1</v>
      </c>
    </row>
    <row r="2753" spans="1:33" x14ac:dyDescent="0.25">
      <c r="A2753" t="s">
        <v>714</v>
      </c>
      <c r="B2753">
        <v>10</v>
      </c>
      <c r="C2753" t="b">
        <v>0</v>
      </c>
      <c r="D2753" t="s">
        <v>7968</v>
      </c>
      <c r="E2753" t="s">
        <v>9216</v>
      </c>
      <c r="F2753" t="s">
        <v>9371</v>
      </c>
      <c r="G2753" t="s">
        <v>9372</v>
      </c>
      <c r="H2753">
        <v>2752</v>
      </c>
      <c r="I2753" t="str">
        <f>IF(ISBLANK(Table1[[#This Row],[oid]]),"FALSE","TRUE")</f>
        <v>TRUE</v>
      </c>
      <c r="J2753" t="str" cm="1">
        <f t="array" ref="J2753">_xlfn.SWITCH(LEFT(Table1[[#This Row],[section]],1), "D", "Demographic", "S", "Social", "E", "Economic", "H", "Housing", "")</f>
        <v>Housing</v>
      </c>
      <c r="K2753" t="s">
        <v>9219</v>
      </c>
      <c r="L2753" t="s">
        <v>9220</v>
      </c>
      <c r="M2753" t="str">
        <f>IF(Table1[[#This Row],[used]], _xlfn.CONCAT("🆔 ", Table1[[#This Row],[variable]], ": ",Table1[[#This Row],[alias]]), "")</f>
        <v>🆔 B25087_039E: Housing units without a mortgage: $1,500 or more</v>
      </c>
      <c r="O2753" t="s">
        <v>9373</v>
      </c>
      <c r="P2753" t="s">
        <v>9221</v>
      </c>
      <c r="Q2753" t="s">
        <v>41</v>
      </c>
      <c r="R2753" t="s">
        <v>9374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1</v>
      </c>
      <c r="Y2753" t="b">
        <v>1</v>
      </c>
      <c r="Z2753" t="b">
        <v>1</v>
      </c>
      <c r="AA2753" t="b">
        <v>1</v>
      </c>
      <c r="AB2753" t="b">
        <v>1</v>
      </c>
      <c r="AC2753" t="b">
        <v>1</v>
      </c>
      <c r="AD2753" t="b">
        <v>1</v>
      </c>
      <c r="AE2753" t="b">
        <v>1</v>
      </c>
      <c r="AF2753" t="b">
        <v>1</v>
      </c>
      <c r="AG2753" t="b">
        <v>1</v>
      </c>
    </row>
    <row r="2754" spans="1:33" x14ac:dyDescent="0.25">
      <c r="A2754" t="s">
        <v>33</v>
      </c>
      <c r="B2754">
        <v>15</v>
      </c>
      <c r="C2754" t="b">
        <v>1</v>
      </c>
      <c r="D2754" t="s">
        <v>7968</v>
      </c>
      <c r="E2754" t="s">
        <v>9375</v>
      </c>
      <c r="F2754" t="s">
        <v>9376</v>
      </c>
      <c r="G2754" t="s">
        <v>9377</v>
      </c>
      <c r="H2754">
        <v>2753</v>
      </c>
      <c r="I2754" t="str">
        <f>IF(ISBLANK(Table1[[#This Row],[oid]]),"FALSE","TRUE")</f>
        <v>TRUE</v>
      </c>
      <c r="J2754" t="str" cm="1">
        <f t="array" ref="J2754">_xlfn.SWITCH(LEFT(Table1[[#This Row],[section]],1), "D", "Demographic", "S", "Social", "E", "Economic", "H", "Housing", "")</f>
        <v>Housing</v>
      </c>
      <c r="K2754" t="s">
        <v>9219</v>
      </c>
      <c r="L2754" t="s">
        <v>9220</v>
      </c>
      <c r="M2754" t="str">
        <f>IF(Table1[[#This Row],[used]], _xlfn.CONCAT("🆔 ", Table1[[#This Row],[variable]], ": ",Table1[[#This Row],[alias]]), "")</f>
        <v>🆔 B25088_001E: Median selected monthly owner costs dollars: Total</v>
      </c>
      <c r="O2754" t="s">
        <v>9378</v>
      </c>
      <c r="P2754" t="s">
        <v>9379</v>
      </c>
      <c r="Q2754" t="s">
        <v>41</v>
      </c>
      <c r="R2754" t="s">
        <v>9380</v>
      </c>
      <c r="S2754" t="b">
        <v>1</v>
      </c>
      <c r="T2754" t="b">
        <v>1</v>
      </c>
      <c r="U2754" t="b">
        <v>1</v>
      </c>
      <c r="V2754" t="b">
        <v>1</v>
      </c>
      <c r="W2754" t="b">
        <v>1</v>
      </c>
      <c r="X2754" t="b">
        <v>1</v>
      </c>
      <c r="Y2754" t="b">
        <v>1</v>
      </c>
      <c r="Z2754" t="b">
        <v>1</v>
      </c>
      <c r="AA2754" t="b">
        <v>1</v>
      </c>
      <c r="AB2754" t="b">
        <v>1</v>
      </c>
      <c r="AC2754" t="b">
        <v>1</v>
      </c>
      <c r="AD2754" t="b">
        <v>1</v>
      </c>
      <c r="AE2754" t="b">
        <v>1</v>
      </c>
      <c r="AF2754" t="b">
        <v>1</v>
      </c>
      <c r="AG2754" t="b">
        <v>1</v>
      </c>
    </row>
    <row r="2755" spans="1:33" x14ac:dyDescent="0.25">
      <c r="A2755" t="s">
        <v>33</v>
      </c>
      <c r="B2755">
        <v>15</v>
      </c>
      <c r="C2755" t="b">
        <v>1</v>
      </c>
      <c r="D2755" t="s">
        <v>7968</v>
      </c>
      <c r="E2755" t="s">
        <v>9375</v>
      </c>
      <c r="F2755" t="s">
        <v>9381</v>
      </c>
      <c r="G2755" t="s">
        <v>9382</v>
      </c>
      <c r="H2755">
        <v>2754</v>
      </c>
      <c r="I2755" t="str">
        <f>IF(ISBLANK(Table1[[#This Row],[oid]]),"FALSE","TRUE")</f>
        <v>TRUE</v>
      </c>
      <c r="J2755" t="str" cm="1">
        <f t="array" ref="J2755">_xlfn.SWITCH(LEFT(Table1[[#This Row],[section]],1), "D", "Demographic", "S", "Social", "E", "Economic", "H", "Housing", "")</f>
        <v>Housing</v>
      </c>
      <c r="K2755" t="s">
        <v>9219</v>
      </c>
      <c r="L2755" t="s">
        <v>9220</v>
      </c>
      <c r="M2755" t="str">
        <f>IF(Table1[[#This Row],[used]], _xlfn.CONCAT("🆔 ", Table1[[#This Row],[variable]], ": ",Table1[[#This Row],[alias]]), "")</f>
        <v>🆔 B25088_002E: Median selected monthly owner costs dollars: Housing units with a mortgage dollars</v>
      </c>
      <c r="O2755" t="s">
        <v>9383</v>
      </c>
      <c r="P2755" t="s">
        <v>9379</v>
      </c>
      <c r="Q2755" t="s">
        <v>41</v>
      </c>
      <c r="R2755" t="s">
        <v>9384</v>
      </c>
      <c r="S2755" t="b">
        <v>1</v>
      </c>
      <c r="T2755" t="b">
        <v>1</v>
      </c>
      <c r="U2755" t="b">
        <v>1</v>
      </c>
      <c r="V2755" t="b">
        <v>1</v>
      </c>
      <c r="W2755" t="b">
        <v>1</v>
      </c>
      <c r="X2755" t="b">
        <v>1</v>
      </c>
      <c r="Y2755" t="b">
        <v>1</v>
      </c>
      <c r="Z2755" t="b">
        <v>1</v>
      </c>
      <c r="AA2755" t="b">
        <v>1</v>
      </c>
      <c r="AB2755" t="b">
        <v>1</v>
      </c>
      <c r="AC2755" t="b">
        <v>1</v>
      </c>
      <c r="AD2755" t="b">
        <v>1</v>
      </c>
      <c r="AE2755" t="b">
        <v>1</v>
      </c>
      <c r="AF2755" t="b">
        <v>1</v>
      </c>
      <c r="AG2755" t="b">
        <v>1</v>
      </c>
    </row>
    <row r="2756" spans="1:33" x14ac:dyDescent="0.25">
      <c r="A2756" t="s">
        <v>33</v>
      </c>
      <c r="B2756">
        <v>15</v>
      </c>
      <c r="C2756" t="b">
        <v>1</v>
      </c>
      <c r="D2756" t="s">
        <v>7968</v>
      </c>
      <c r="E2756" t="s">
        <v>9375</v>
      </c>
      <c r="F2756" t="s">
        <v>9385</v>
      </c>
      <c r="G2756" t="s">
        <v>9386</v>
      </c>
      <c r="H2756">
        <v>2755</v>
      </c>
      <c r="I2756" t="str">
        <f>IF(ISBLANK(Table1[[#This Row],[oid]]),"FALSE","TRUE")</f>
        <v>TRUE</v>
      </c>
      <c r="J2756" t="str" cm="1">
        <f t="array" ref="J2756">_xlfn.SWITCH(LEFT(Table1[[#This Row],[section]],1), "D", "Demographic", "S", "Social", "E", "Economic", "H", "Housing", "")</f>
        <v>Housing</v>
      </c>
      <c r="K2756" t="s">
        <v>9219</v>
      </c>
      <c r="L2756" t="s">
        <v>9220</v>
      </c>
      <c r="M2756" t="str">
        <f>IF(Table1[[#This Row],[used]], _xlfn.CONCAT("🆔 ", Table1[[#This Row],[variable]], ": ",Table1[[#This Row],[alias]]), "")</f>
        <v>🆔 B25088_003E: Median selected monthly owner costs dollars: Housing units without a mortgage dollars</v>
      </c>
      <c r="O2756" t="s">
        <v>9387</v>
      </c>
      <c r="P2756" t="s">
        <v>9379</v>
      </c>
      <c r="Q2756" t="s">
        <v>41</v>
      </c>
      <c r="R2756" t="s">
        <v>9388</v>
      </c>
      <c r="S2756" t="b">
        <v>1</v>
      </c>
      <c r="T2756" t="b">
        <v>1</v>
      </c>
      <c r="U2756" t="b">
        <v>1</v>
      </c>
      <c r="V2756" t="b">
        <v>1</v>
      </c>
      <c r="W2756" t="b">
        <v>1</v>
      </c>
      <c r="X2756" t="b">
        <v>1</v>
      </c>
      <c r="Y2756" t="b">
        <v>1</v>
      </c>
      <c r="Z2756" t="b">
        <v>1</v>
      </c>
      <c r="AA2756" t="b">
        <v>1</v>
      </c>
      <c r="AB2756" t="b">
        <v>1</v>
      </c>
      <c r="AC2756" t="b">
        <v>1</v>
      </c>
      <c r="AD2756" t="b">
        <v>1</v>
      </c>
      <c r="AE2756" t="b">
        <v>1</v>
      </c>
      <c r="AF2756" t="b">
        <v>1</v>
      </c>
      <c r="AG2756" t="b">
        <v>1</v>
      </c>
    </row>
    <row r="2757" spans="1:33" x14ac:dyDescent="0.25">
      <c r="A2757" t="s">
        <v>33</v>
      </c>
      <c r="B2757">
        <v>15</v>
      </c>
      <c r="C2757" t="b">
        <v>1</v>
      </c>
      <c r="D2757" t="s">
        <v>7968</v>
      </c>
      <c r="E2757" t="s">
        <v>9389</v>
      </c>
      <c r="F2757" t="s">
        <v>9390</v>
      </c>
      <c r="G2757" t="s">
        <v>9391</v>
      </c>
      <c r="H2757">
        <v>2756</v>
      </c>
      <c r="I2757" t="str">
        <f>IF(ISBLANK(Table1[[#This Row],[oid]]),"FALSE","TRUE")</f>
        <v>TRUE</v>
      </c>
      <c r="J2757" t="str" cm="1">
        <f t="array" ref="J2757">_xlfn.SWITCH(LEFT(Table1[[#This Row],[section]],1), "D", "Demographic", "S", "Social", "E", "Economic", "H", "Housing", "")</f>
        <v>Housing</v>
      </c>
      <c r="K2757" t="s">
        <v>9219</v>
      </c>
      <c r="L2757" t="s">
        <v>9220</v>
      </c>
      <c r="M2757" t="str">
        <f>IF(Table1[[#This Row],[used]], _xlfn.CONCAT("🆔 ", Table1[[#This Row],[variable]], ": ",Table1[[#This Row],[alias]]), "")</f>
        <v>🆔 B25089_001E: Aggregate selected monthly owner costs dollars</v>
      </c>
      <c r="O2757" t="s">
        <v>9392</v>
      </c>
      <c r="P2757" t="s">
        <v>9393</v>
      </c>
      <c r="Q2757" t="s">
        <v>41</v>
      </c>
      <c r="R2757" t="s">
        <v>9394</v>
      </c>
      <c r="S2757" t="b">
        <v>1</v>
      </c>
      <c r="T2757" t="b">
        <v>1</v>
      </c>
      <c r="U2757" t="b">
        <v>1</v>
      </c>
      <c r="V2757" t="b">
        <v>1</v>
      </c>
      <c r="W2757" t="b">
        <v>1</v>
      </c>
      <c r="X2757" t="b">
        <v>1</v>
      </c>
      <c r="Y2757" t="b">
        <v>1</v>
      </c>
      <c r="Z2757" t="b">
        <v>1</v>
      </c>
      <c r="AA2757" t="b">
        <v>1</v>
      </c>
      <c r="AB2757" t="b">
        <v>1</v>
      </c>
      <c r="AC2757" t="b">
        <v>1</v>
      </c>
      <c r="AD2757" t="b">
        <v>1</v>
      </c>
      <c r="AE2757" t="b">
        <v>1</v>
      </c>
      <c r="AF2757" t="b">
        <v>1</v>
      </c>
      <c r="AG2757" t="b">
        <v>1</v>
      </c>
    </row>
    <row r="2758" spans="1:33" x14ac:dyDescent="0.25">
      <c r="A2758" t="s">
        <v>33</v>
      </c>
      <c r="B2758">
        <v>15</v>
      </c>
      <c r="C2758" t="b">
        <v>1</v>
      </c>
      <c r="D2758" t="s">
        <v>7968</v>
      </c>
      <c r="E2758" t="s">
        <v>9389</v>
      </c>
      <c r="F2758" t="s">
        <v>9395</v>
      </c>
      <c r="G2758" t="s">
        <v>9396</v>
      </c>
      <c r="H2758">
        <v>2757</v>
      </c>
      <c r="I2758" t="str">
        <f>IF(ISBLANK(Table1[[#This Row],[oid]]),"FALSE","TRUE")</f>
        <v>TRUE</v>
      </c>
      <c r="J2758" t="str" cm="1">
        <f t="array" ref="J2758">_xlfn.SWITCH(LEFT(Table1[[#This Row],[section]],1), "D", "Demographic", "S", "Social", "E", "Economic", "H", "Housing", "")</f>
        <v>Housing</v>
      </c>
      <c r="K2758" t="s">
        <v>9219</v>
      </c>
      <c r="L2758" t="s">
        <v>9220</v>
      </c>
      <c r="M2758" t="str">
        <f>IF(Table1[[#This Row],[used]], _xlfn.CONCAT("🆔 ", Table1[[#This Row],[variable]], ": ",Table1[[#This Row],[alias]]), "")</f>
        <v>🆔 B25089_002E: Aggregate selected monthly owner costs dollars: Housing units with a mortgage dollars</v>
      </c>
      <c r="O2758" t="s">
        <v>9397</v>
      </c>
      <c r="P2758" t="s">
        <v>9393</v>
      </c>
      <c r="Q2758" t="s">
        <v>41</v>
      </c>
      <c r="R2758" t="s">
        <v>9398</v>
      </c>
      <c r="S2758" t="b">
        <v>1</v>
      </c>
      <c r="T2758" t="b">
        <v>1</v>
      </c>
      <c r="U2758" t="b">
        <v>1</v>
      </c>
      <c r="V2758" t="b">
        <v>1</v>
      </c>
      <c r="W2758" t="b">
        <v>1</v>
      </c>
      <c r="X2758" t="b">
        <v>1</v>
      </c>
      <c r="Y2758" t="b">
        <v>1</v>
      </c>
      <c r="Z2758" t="b">
        <v>1</v>
      </c>
      <c r="AA2758" t="b">
        <v>1</v>
      </c>
      <c r="AB2758" t="b">
        <v>1</v>
      </c>
      <c r="AC2758" t="b">
        <v>1</v>
      </c>
      <c r="AD2758" t="b">
        <v>1</v>
      </c>
      <c r="AE2758" t="b">
        <v>1</v>
      </c>
      <c r="AF2758" t="b">
        <v>1</v>
      </c>
      <c r="AG2758" t="b">
        <v>1</v>
      </c>
    </row>
    <row r="2759" spans="1:33" x14ac:dyDescent="0.25">
      <c r="A2759" t="s">
        <v>33</v>
      </c>
      <c r="B2759">
        <v>15</v>
      </c>
      <c r="C2759" t="b">
        <v>1</v>
      </c>
      <c r="D2759" t="s">
        <v>7968</v>
      </c>
      <c r="E2759" t="s">
        <v>9389</v>
      </c>
      <c r="F2759" t="s">
        <v>9399</v>
      </c>
      <c r="G2759" t="s">
        <v>9400</v>
      </c>
      <c r="H2759">
        <v>2758</v>
      </c>
      <c r="I2759" t="str">
        <f>IF(ISBLANK(Table1[[#This Row],[oid]]),"FALSE","TRUE")</f>
        <v>TRUE</v>
      </c>
      <c r="J2759" t="str" cm="1">
        <f t="array" ref="J2759">_xlfn.SWITCH(LEFT(Table1[[#This Row],[section]],1), "D", "Demographic", "S", "Social", "E", "Economic", "H", "Housing", "")</f>
        <v>Housing</v>
      </c>
      <c r="K2759" t="s">
        <v>9219</v>
      </c>
      <c r="L2759" t="s">
        <v>9220</v>
      </c>
      <c r="M2759" t="str">
        <f>IF(Table1[[#This Row],[used]], _xlfn.CONCAT("🆔 ", Table1[[#This Row],[variable]], ": ",Table1[[#This Row],[alias]]), "")</f>
        <v>🆔 B25089_003E: Aggregate selected monthly owner costs dollars: Housing units without a mortgage dollars</v>
      </c>
      <c r="O2759" t="s">
        <v>9401</v>
      </c>
      <c r="P2759" t="s">
        <v>9393</v>
      </c>
      <c r="Q2759" t="s">
        <v>41</v>
      </c>
      <c r="R2759" t="s">
        <v>9402</v>
      </c>
      <c r="S2759" t="b">
        <v>1</v>
      </c>
      <c r="T2759" t="b">
        <v>1</v>
      </c>
      <c r="U2759" t="b">
        <v>1</v>
      </c>
      <c r="V2759" t="b">
        <v>1</v>
      </c>
      <c r="W2759" t="b">
        <v>1</v>
      </c>
      <c r="X2759" t="b">
        <v>1</v>
      </c>
      <c r="Y2759" t="b">
        <v>1</v>
      </c>
      <c r="Z2759" t="b">
        <v>1</v>
      </c>
      <c r="AA2759" t="b">
        <v>1</v>
      </c>
      <c r="AB2759" t="b">
        <v>1</v>
      </c>
      <c r="AC2759" t="b">
        <v>1</v>
      </c>
      <c r="AD2759" t="b">
        <v>1</v>
      </c>
      <c r="AE2759" t="b">
        <v>1</v>
      </c>
      <c r="AF2759" t="b">
        <v>1</v>
      </c>
      <c r="AG2759" t="b">
        <v>1</v>
      </c>
    </row>
    <row r="2760" spans="1:33" x14ac:dyDescent="0.25">
      <c r="A2760" t="s">
        <v>33</v>
      </c>
      <c r="B2760">
        <v>15</v>
      </c>
      <c r="C2760" t="b">
        <v>1</v>
      </c>
      <c r="D2760" t="s">
        <v>7968</v>
      </c>
      <c r="E2760" t="s">
        <v>9403</v>
      </c>
      <c r="F2760" t="s">
        <v>9404</v>
      </c>
      <c r="G2760" t="s">
        <v>9405</v>
      </c>
      <c r="H2760">
        <v>2759</v>
      </c>
      <c r="I2760" t="str">
        <f>IF(ISBLANK(Table1[[#This Row],[oid]]),"FALSE","TRUE")</f>
        <v>TRUE</v>
      </c>
      <c r="J2760" t="str" cm="1">
        <f t="array" ref="J2760">_xlfn.SWITCH(LEFT(Table1[[#This Row],[section]],1), "D", "Demographic", "S", "Social", "E", "Economic", "H", "Housing", "")</f>
        <v>Housing</v>
      </c>
      <c r="K2760" t="s">
        <v>9219</v>
      </c>
      <c r="L2760" t="s">
        <v>9220</v>
      </c>
      <c r="M2760" t="str">
        <f>IF(Table1[[#This Row],[used]], _xlfn.CONCAT("🆔 ", Table1[[#This Row],[variable]], ": ",Table1[[#This Row],[alias]]), "")</f>
        <v>🆔 B25090_001E: Aggregate real estate taxes paid dollars</v>
      </c>
      <c r="O2760" t="s">
        <v>9406</v>
      </c>
      <c r="P2760" t="s">
        <v>9407</v>
      </c>
      <c r="Q2760" t="s">
        <v>41</v>
      </c>
      <c r="R2760" t="s">
        <v>9408</v>
      </c>
      <c r="S2760" t="b">
        <v>1</v>
      </c>
      <c r="T2760" t="b">
        <v>1</v>
      </c>
      <c r="U2760" t="b">
        <v>1</v>
      </c>
      <c r="V2760" t="b">
        <v>1</v>
      </c>
      <c r="W2760" t="b">
        <v>1</v>
      </c>
      <c r="X2760" t="b">
        <v>1</v>
      </c>
      <c r="Y2760" t="b">
        <v>1</v>
      </c>
      <c r="Z2760" t="b">
        <v>1</v>
      </c>
      <c r="AA2760" t="b">
        <v>1</v>
      </c>
      <c r="AB2760" t="b">
        <v>1</v>
      </c>
      <c r="AC2760" t="b">
        <v>1</v>
      </c>
      <c r="AD2760" t="b">
        <v>1</v>
      </c>
      <c r="AE2760" t="b">
        <v>1</v>
      </c>
      <c r="AF2760" t="b">
        <v>1</v>
      </c>
      <c r="AG2760" t="b">
        <v>1</v>
      </c>
    </row>
    <row r="2761" spans="1:33" x14ac:dyDescent="0.25">
      <c r="A2761" t="s">
        <v>33</v>
      </c>
      <c r="B2761">
        <v>15</v>
      </c>
      <c r="C2761" t="b">
        <v>1</v>
      </c>
      <c r="D2761" t="s">
        <v>7968</v>
      </c>
      <c r="E2761" t="s">
        <v>9403</v>
      </c>
      <c r="F2761" t="s">
        <v>9409</v>
      </c>
      <c r="G2761" t="s">
        <v>9410</v>
      </c>
      <c r="H2761">
        <v>2760</v>
      </c>
      <c r="I2761" t="str">
        <f>IF(ISBLANK(Table1[[#This Row],[oid]]),"FALSE","TRUE")</f>
        <v>TRUE</v>
      </c>
      <c r="J2761" t="str" cm="1">
        <f t="array" ref="J2761">_xlfn.SWITCH(LEFT(Table1[[#This Row],[section]],1), "D", "Demographic", "S", "Social", "E", "Economic", "H", "Housing", "")</f>
        <v>Housing</v>
      </c>
      <c r="K2761" t="s">
        <v>9219</v>
      </c>
      <c r="L2761" t="s">
        <v>9220</v>
      </c>
      <c r="M2761" t="str">
        <f>IF(Table1[[#This Row],[used]], _xlfn.CONCAT("🆔 ", Table1[[#This Row],[variable]], ": ",Table1[[#This Row],[alias]]), "")</f>
        <v>🆔 B25090_002E: Aggregate real estate taxes paid dollars: Aggregate real estate taxes paid for units with a mortgage dollars</v>
      </c>
      <c r="O2761" t="s">
        <v>9411</v>
      </c>
      <c r="P2761" t="s">
        <v>9407</v>
      </c>
      <c r="Q2761" t="s">
        <v>41</v>
      </c>
      <c r="R2761" t="s">
        <v>9412</v>
      </c>
      <c r="S2761" t="b">
        <v>1</v>
      </c>
      <c r="T2761" t="b">
        <v>1</v>
      </c>
      <c r="U2761" t="b">
        <v>1</v>
      </c>
      <c r="V2761" t="b">
        <v>1</v>
      </c>
      <c r="W2761" t="b">
        <v>1</v>
      </c>
      <c r="X2761" t="b">
        <v>1</v>
      </c>
      <c r="Y2761" t="b">
        <v>1</v>
      </c>
      <c r="Z2761" t="b">
        <v>1</v>
      </c>
      <c r="AA2761" t="b">
        <v>1</v>
      </c>
      <c r="AB2761" t="b">
        <v>1</v>
      </c>
      <c r="AC2761" t="b">
        <v>1</v>
      </c>
      <c r="AD2761" t="b">
        <v>1</v>
      </c>
      <c r="AE2761" t="b">
        <v>1</v>
      </c>
      <c r="AF2761" t="b">
        <v>1</v>
      </c>
      <c r="AG2761" t="b">
        <v>1</v>
      </c>
    </row>
    <row r="2762" spans="1:33" x14ac:dyDescent="0.25">
      <c r="A2762" t="s">
        <v>33</v>
      </c>
      <c r="B2762">
        <v>15</v>
      </c>
      <c r="C2762" t="b">
        <v>1</v>
      </c>
      <c r="D2762" t="s">
        <v>7968</v>
      </c>
      <c r="E2762" t="s">
        <v>9403</v>
      </c>
      <c r="F2762" t="s">
        <v>9413</v>
      </c>
      <c r="G2762" t="s">
        <v>9414</v>
      </c>
      <c r="H2762">
        <v>2761</v>
      </c>
      <c r="I2762" t="str">
        <f>IF(ISBLANK(Table1[[#This Row],[oid]]),"FALSE","TRUE")</f>
        <v>TRUE</v>
      </c>
      <c r="J2762" t="str" cm="1">
        <f t="array" ref="J2762">_xlfn.SWITCH(LEFT(Table1[[#This Row],[section]],1), "D", "Demographic", "S", "Social", "E", "Economic", "H", "Housing", "")</f>
        <v>Housing</v>
      </c>
      <c r="K2762" t="s">
        <v>9219</v>
      </c>
      <c r="L2762" t="s">
        <v>9220</v>
      </c>
      <c r="M2762" t="str">
        <f>IF(Table1[[#This Row],[used]], _xlfn.CONCAT("🆔 ", Table1[[#This Row],[variable]], ": ",Table1[[#This Row],[alias]]), "")</f>
        <v>🆔 B25090_003E: Aggregate real estate taxes paid dollars: Aggregate real estate taxes paid for units without a mortgage dollars</v>
      </c>
      <c r="O2762" t="s">
        <v>9415</v>
      </c>
      <c r="P2762" t="s">
        <v>9407</v>
      </c>
      <c r="Q2762" t="s">
        <v>41</v>
      </c>
      <c r="R2762" t="s">
        <v>9416</v>
      </c>
      <c r="S2762" t="b">
        <v>1</v>
      </c>
      <c r="T2762" t="b">
        <v>1</v>
      </c>
      <c r="U2762" t="b">
        <v>1</v>
      </c>
      <c r="V2762" t="b">
        <v>1</v>
      </c>
      <c r="W2762" t="b">
        <v>1</v>
      </c>
      <c r="X2762" t="b">
        <v>1</v>
      </c>
      <c r="Y2762" t="b">
        <v>1</v>
      </c>
      <c r="Z2762" t="b">
        <v>1</v>
      </c>
      <c r="AA2762" t="b">
        <v>1</v>
      </c>
      <c r="AB2762" t="b">
        <v>1</v>
      </c>
      <c r="AC2762" t="b">
        <v>1</v>
      </c>
      <c r="AD2762" t="b">
        <v>1</v>
      </c>
      <c r="AE2762" t="b">
        <v>1</v>
      </c>
      <c r="AF2762" t="b">
        <v>1</v>
      </c>
      <c r="AG2762" t="b">
        <v>1</v>
      </c>
    </row>
    <row r="2763" spans="1:33" x14ac:dyDescent="0.25">
      <c r="A2763" t="s">
        <v>33</v>
      </c>
      <c r="B2763">
        <v>15</v>
      </c>
      <c r="C2763" t="b">
        <v>1</v>
      </c>
      <c r="D2763" t="s">
        <v>7968</v>
      </c>
      <c r="E2763" t="s">
        <v>9417</v>
      </c>
      <c r="F2763" t="s">
        <v>9418</v>
      </c>
      <c r="G2763" t="s">
        <v>9218</v>
      </c>
      <c r="H2763">
        <v>2762</v>
      </c>
      <c r="I2763" t="str">
        <f>IF(ISBLANK(Table1[[#This Row],[oid]]),"FALSE","TRUE")</f>
        <v>TRUE</v>
      </c>
      <c r="J2763" t="str" cm="1">
        <f t="array" ref="J2763">_xlfn.SWITCH(LEFT(Table1[[#This Row],[section]],1), "D", "Demographic", "S", "Social", "E", "Economic", "H", "Housing", "")</f>
        <v>Housing</v>
      </c>
      <c r="K2763" t="s">
        <v>9419</v>
      </c>
      <c r="L2763" t="s">
        <v>9420</v>
      </c>
      <c r="M2763" t="str">
        <f>IF(Table1[[#This Row],[used]], _xlfn.CONCAT("🆔 ", Table1[[#This Row],[variable]], ": ",Table1[[#This Row],[alias]]), "")</f>
        <v>🆔 B25091_001E: Owner-occupied housing units</v>
      </c>
      <c r="O2763" t="s">
        <v>39</v>
      </c>
      <c r="P2763" t="s">
        <v>9421</v>
      </c>
      <c r="Q2763" t="s">
        <v>41</v>
      </c>
      <c r="R2763" t="s">
        <v>9422</v>
      </c>
      <c r="S2763" t="b">
        <v>1</v>
      </c>
      <c r="T2763" t="b">
        <v>1</v>
      </c>
      <c r="U2763" t="b">
        <v>1</v>
      </c>
      <c r="V2763" t="b">
        <v>1</v>
      </c>
      <c r="W2763" t="b">
        <v>1</v>
      </c>
      <c r="X2763" t="b">
        <v>1</v>
      </c>
      <c r="Y2763" t="b">
        <v>1</v>
      </c>
      <c r="Z2763" t="b">
        <v>1</v>
      </c>
      <c r="AA2763" t="b">
        <v>1</v>
      </c>
      <c r="AB2763" t="b">
        <v>1</v>
      </c>
      <c r="AC2763" t="b">
        <v>1</v>
      </c>
      <c r="AD2763" t="b">
        <v>1</v>
      </c>
      <c r="AE2763" t="b">
        <v>1</v>
      </c>
      <c r="AF2763" t="b">
        <v>1</v>
      </c>
      <c r="AG2763" t="b">
        <v>1</v>
      </c>
    </row>
    <row r="2764" spans="1:33" x14ac:dyDescent="0.25">
      <c r="A2764" t="s">
        <v>33</v>
      </c>
      <c r="B2764">
        <v>15</v>
      </c>
      <c r="C2764" t="b">
        <v>1</v>
      </c>
      <c r="D2764" t="s">
        <v>7968</v>
      </c>
      <c r="E2764" t="s">
        <v>9417</v>
      </c>
      <c r="F2764" t="s">
        <v>9423</v>
      </c>
      <c r="G2764" t="s">
        <v>9171</v>
      </c>
      <c r="H2764">
        <v>2763</v>
      </c>
      <c r="I2764" t="str">
        <f>IF(ISBLANK(Table1[[#This Row],[oid]]),"FALSE","TRUE")</f>
        <v>TRUE</v>
      </c>
      <c r="J2764" t="str" cm="1">
        <f t="array" ref="J2764">_xlfn.SWITCH(LEFT(Table1[[#This Row],[section]],1), "D", "Demographic", "S", "Social", "E", "Economic", "H", "Housing", "")</f>
        <v>Housing</v>
      </c>
      <c r="K2764" t="s">
        <v>9419</v>
      </c>
      <c r="L2764" t="s">
        <v>9420</v>
      </c>
      <c r="M2764" t="str">
        <f>IF(Table1[[#This Row],[used]], _xlfn.CONCAT("🆔 ", Table1[[#This Row],[variable]], ": ",Table1[[#This Row],[alias]]), "")</f>
        <v>🆔 B25091_002E: Housing units with a mortgage</v>
      </c>
      <c r="O2764" t="s">
        <v>9172</v>
      </c>
      <c r="P2764" t="s">
        <v>9421</v>
      </c>
      <c r="Q2764" t="s">
        <v>41</v>
      </c>
      <c r="R2764" t="s">
        <v>9424</v>
      </c>
      <c r="S2764" t="b">
        <v>1</v>
      </c>
      <c r="T2764" t="b">
        <v>1</v>
      </c>
      <c r="U2764" t="b">
        <v>1</v>
      </c>
      <c r="V2764" t="b">
        <v>1</v>
      </c>
      <c r="W2764" t="b">
        <v>1</v>
      </c>
      <c r="X2764" t="b">
        <v>1</v>
      </c>
      <c r="Y2764" t="b">
        <v>1</v>
      </c>
      <c r="Z2764" t="b">
        <v>1</v>
      </c>
      <c r="AA2764" t="b">
        <v>1</v>
      </c>
      <c r="AB2764" t="b">
        <v>1</v>
      </c>
      <c r="AC2764" t="b">
        <v>1</v>
      </c>
      <c r="AD2764" t="b">
        <v>1</v>
      </c>
      <c r="AE2764" t="b">
        <v>1</v>
      </c>
      <c r="AF2764" t="b">
        <v>1</v>
      </c>
      <c r="AG2764" t="b">
        <v>1</v>
      </c>
    </row>
    <row r="2765" spans="1:33" x14ac:dyDescent="0.25">
      <c r="A2765" t="s">
        <v>33</v>
      </c>
      <c r="B2765">
        <v>15</v>
      </c>
      <c r="C2765" t="b">
        <v>1</v>
      </c>
      <c r="D2765" t="s">
        <v>7968</v>
      </c>
      <c r="E2765" t="s">
        <v>9417</v>
      </c>
      <c r="F2765" t="s">
        <v>9425</v>
      </c>
      <c r="G2765" t="s">
        <v>9426</v>
      </c>
      <c r="H2765">
        <v>2764</v>
      </c>
      <c r="I2765" t="str">
        <f>IF(ISBLANK(Table1[[#This Row],[oid]]),"FALSE","TRUE")</f>
        <v>TRUE</v>
      </c>
      <c r="J2765" t="str" cm="1">
        <f t="array" ref="J2765">_xlfn.SWITCH(LEFT(Table1[[#This Row],[section]],1), "D", "Demographic", "S", "Social", "E", "Economic", "H", "Housing", "")</f>
        <v>Housing</v>
      </c>
      <c r="K2765" t="s">
        <v>9419</v>
      </c>
      <c r="L2765" t="s">
        <v>9420</v>
      </c>
      <c r="M2765" t="str">
        <f>IF(Table1[[#This Row],[used]], _xlfn.CONCAT("🆔 ", Table1[[#This Row],[variable]], ": ",Table1[[#This Row],[alias]]), "")</f>
        <v>🆔 B25091_003E: Housing units with a mortgage: Less than 10.0 percent</v>
      </c>
      <c r="O2765" t="s">
        <v>9427</v>
      </c>
      <c r="P2765" t="s">
        <v>9421</v>
      </c>
      <c r="Q2765" t="s">
        <v>41</v>
      </c>
      <c r="R2765" t="s">
        <v>9428</v>
      </c>
      <c r="S2765" t="b">
        <v>1</v>
      </c>
      <c r="T2765" t="b">
        <v>1</v>
      </c>
      <c r="U2765" t="b">
        <v>1</v>
      </c>
      <c r="V2765" t="b">
        <v>1</v>
      </c>
      <c r="W2765" t="b">
        <v>1</v>
      </c>
      <c r="X2765" t="b">
        <v>1</v>
      </c>
      <c r="Y2765" t="b">
        <v>1</v>
      </c>
      <c r="Z2765" t="b">
        <v>1</v>
      </c>
      <c r="AA2765" t="b">
        <v>1</v>
      </c>
      <c r="AB2765" t="b">
        <v>1</v>
      </c>
      <c r="AC2765" t="b">
        <v>1</v>
      </c>
      <c r="AD2765" t="b">
        <v>1</v>
      </c>
      <c r="AE2765" t="b">
        <v>1</v>
      </c>
      <c r="AF2765" t="b">
        <v>1</v>
      </c>
      <c r="AG2765" t="b">
        <v>1</v>
      </c>
    </row>
    <row r="2766" spans="1:33" x14ac:dyDescent="0.25">
      <c r="A2766" t="s">
        <v>33</v>
      </c>
      <c r="B2766">
        <v>15</v>
      </c>
      <c r="C2766" t="b">
        <v>1</v>
      </c>
      <c r="D2766" t="s">
        <v>7968</v>
      </c>
      <c r="E2766" t="s">
        <v>9417</v>
      </c>
      <c r="F2766" t="s">
        <v>9429</v>
      </c>
      <c r="G2766" t="s">
        <v>9430</v>
      </c>
      <c r="H2766">
        <v>2765</v>
      </c>
      <c r="I2766" t="str">
        <f>IF(ISBLANK(Table1[[#This Row],[oid]]),"FALSE","TRUE")</f>
        <v>TRUE</v>
      </c>
      <c r="J2766" t="str" cm="1">
        <f t="array" ref="J2766">_xlfn.SWITCH(LEFT(Table1[[#This Row],[section]],1), "D", "Demographic", "S", "Social", "E", "Economic", "H", "Housing", "")</f>
        <v>Housing</v>
      </c>
      <c r="K2766" t="s">
        <v>9419</v>
      </c>
      <c r="L2766" t="s">
        <v>9420</v>
      </c>
      <c r="M2766" t="str">
        <f>IF(Table1[[#This Row],[used]], _xlfn.CONCAT("🆔 ", Table1[[#This Row],[variable]], ": ",Table1[[#This Row],[alias]]), "")</f>
        <v>🆔 B25091_004E: Housing units with a mortgage: 10.0 to 14.9 percent</v>
      </c>
      <c r="O2766" t="s">
        <v>9431</v>
      </c>
      <c r="P2766" t="s">
        <v>9421</v>
      </c>
      <c r="Q2766" t="s">
        <v>41</v>
      </c>
      <c r="R2766" t="s">
        <v>9432</v>
      </c>
      <c r="S2766" t="b">
        <v>1</v>
      </c>
      <c r="T2766" t="b">
        <v>1</v>
      </c>
      <c r="U2766" t="b">
        <v>1</v>
      </c>
      <c r="V2766" t="b">
        <v>1</v>
      </c>
      <c r="W2766" t="b">
        <v>1</v>
      </c>
      <c r="X2766" t="b">
        <v>1</v>
      </c>
      <c r="Y2766" t="b">
        <v>1</v>
      </c>
      <c r="Z2766" t="b">
        <v>1</v>
      </c>
      <c r="AA2766" t="b">
        <v>1</v>
      </c>
      <c r="AB2766" t="b">
        <v>1</v>
      </c>
      <c r="AC2766" t="b">
        <v>1</v>
      </c>
      <c r="AD2766" t="b">
        <v>1</v>
      </c>
      <c r="AE2766" t="b">
        <v>1</v>
      </c>
      <c r="AF2766" t="b">
        <v>1</v>
      </c>
      <c r="AG2766" t="b">
        <v>1</v>
      </c>
    </row>
    <row r="2767" spans="1:33" x14ac:dyDescent="0.25">
      <c r="A2767" t="s">
        <v>33</v>
      </c>
      <c r="B2767">
        <v>15</v>
      </c>
      <c r="C2767" t="b">
        <v>1</v>
      </c>
      <c r="D2767" t="s">
        <v>7968</v>
      </c>
      <c r="E2767" t="s">
        <v>9417</v>
      </c>
      <c r="F2767" t="s">
        <v>9433</v>
      </c>
      <c r="G2767" t="s">
        <v>9434</v>
      </c>
      <c r="H2767">
        <v>2766</v>
      </c>
      <c r="I2767" t="str">
        <f>IF(ISBLANK(Table1[[#This Row],[oid]]),"FALSE","TRUE")</f>
        <v>TRUE</v>
      </c>
      <c r="J2767" t="str" cm="1">
        <f t="array" ref="J2767">_xlfn.SWITCH(LEFT(Table1[[#This Row],[section]],1), "D", "Demographic", "S", "Social", "E", "Economic", "H", "Housing", "")</f>
        <v>Housing</v>
      </c>
      <c r="K2767" t="s">
        <v>9419</v>
      </c>
      <c r="L2767" t="s">
        <v>9420</v>
      </c>
      <c r="M2767" t="str">
        <f>IF(Table1[[#This Row],[used]], _xlfn.CONCAT("🆔 ", Table1[[#This Row],[variable]], ": ",Table1[[#This Row],[alias]]), "")</f>
        <v>🆔 B25091_005E: Housing units with a mortgage: 15.0 to 19.9 percent</v>
      </c>
      <c r="O2767" t="s">
        <v>9435</v>
      </c>
      <c r="P2767" t="s">
        <v>9421</v>
      </c>
      <c r="Q2767" t="s">
        <v>41</v>
      </c>
      <c r="R2767" t="s">
        <v>9436</v>
      </c>
      <c r="S2767" t="b">
        <v>1</v>
      </c>
      <c r="T2767" t="b">
        <v>1</v>
      </c>
      <c r="U2767" t="b">
        <v>1</v>
      </c>
      <c r="V2767" t="b">
        <v>1</v>
      </c>
      <c r="W2767" t="b">
        <v>1</v>
      </c>
      <c r="X2767" t="b">
        <v>1</v>
      </c>
      <c r="Y2767" t="b">
        <v>1</v>
      </c>
      <c r="Z2767" t="b">
        <v>1</v>
      </c>
      <c r="AA2767" t="b">
        <v>1</v>
      </c>
      <c r="AB2767" t="b">
        <v>1</v>
      </c>
      <c r="AC2767" t="b">
        <v>1</v>
      </c>
      <c r="AD2767" t="b">
        <v>1</v>
      </c>
      <c r="AE2767" t="b">
        <v>1</v>
      </c>
      <c r="AF2767" t="b">
        <v>1</v>
      </c>
      <c r="AG2767" t="b">
        <v>1</v>
      </c>
    </row>
    <row r="2768" spans="1:33" x14ac:dyDescent="0.25">
      <c r="A2768" t="s">
        <v>33</v>
      </c>
      <c r="B2768">
        <v>15</v>
      </c>
      <c r="C2768" t="b">
        <v>1</v>
      </c>
      <c r="D2768" t="s">
        <v>7968</v>
      </c>
      <c r="E2768" t="s">
        <v>9417</v>
      </c>
      <c r="F2768" t="s">
        <v>9437</v>
      </c>
      <c r="G2768" t="s">
        <v>9438</v>
      </c>
      <c r="H2768">
        <v>2767</v>
      </c>
      <c r="I2768" t="str">
        <f>IF(ISBLANK(Table1[[#This Row],[oid]]),"FALSE","TRUE")</f>
        <v>TRUE</v>
      </c>
      <c r="J2768" t="str" cm="1">
        <f t="array" ref="J2768">_xlfn.SWITCH(LEFT(Table1[[#This Row],[section]],1), "D", "Demographic", "S", "Social", "E", "Economic", "H", "Housing", "")</f>
        <v>Housing</v>
      </c>
      <c r="K2768" t="s">
        <v>9419</v>
      </c>
      <c r="L2768" t="s">
        <v>9420</v>
      </c>
      <c r="M2768" t="str">
        <f>IF(Table1[[#This Row],[used]], _xlfn.CONCAT("🆔 ", Table1[[#This Row],[variable]], ": ",Table1[[#This Row],[alias]]), "")</f>
        <v>🆔 B25091_006E: Housing units with a mortgage: 20.0 to 24.9 percent</v>
      </c>
      <c r="O2768" t="s">
        <v>9439</v>
      </c>
      <c r="P2768" t="s">
        <v>9421</v>
      </c>
      <c r="Q2768" t="s">
        <v>41</v>
      </c>
      <c r="R2768" t="s">
        <v>9440</v>
      </c>
      <c r="S2768" t="b">
        <v>1</v>
      </c>
      <c r="T2768" t="b">
        <v>1</v>
      </c>
      <c r="U2768" t="b">
        <v>1</v>
      </c>
      <c r="V2768" t="b">
        <v>1</v>
      </c>
      <c r="W2768" t="b">
        <v>1</v>
      </c>
      <c r="X2768" t="b">
        <v>1</v>
      </c>
      <c r="Y2768" t="b">
        <v>1</v>
      </c>
      <c r="Z2768" t="b">
        <v>1</v>
      </c>
      <c r="AA2768" t="b">
        <v>1</v>
      </c>
      <c r="AB2768" t="b">
        <v>1</v>
      </c>
      <c r="AC2768" t="b">
        <v>1</v>
      </c>
      <c r="AD2768" t="b">
        <v>1</v>
      </c>
      <c r="AE2768" t="b">
        <v>1</v>
      </c>
      <c r="AF2768" t="b">
        <v>1</v>
      </c>
      <c r="AG2768" t="b">
        <v>1</v>
      </c>
    </row>
    <row r="2769" spans="1:33" x14ac:dyDescent="0.25">
      <c r="A2769" t="s">
        <v>33</v>
      </c>
      <c r="B2769">
        <v>15</v>
      </c>
      <c r="C2769" t="b">
        <v>1</v>
      </c>
      <c r="D2769" t="s">
        <v>7968</v>
      </c>
      <c r="E2769" t="s">
        <v>9417</v>
      </c>
      <c r="F2769" t="s">
        <v>9441</v>
      </c>
      <c r="G2769" t="s">
        <v>9442</v>
      </c>
      <c r="H2769">
        <v>2768</v>
      </c>
      <c r="I2769" t="str">
        <f>IF(ISBLANK(Table1[[#This Row],[oid]]),"FALSE","TRUE")</f>
        <v>TRUE</v>
      </c>
      <c r="J2769" t="str" cm="1">
        <f t="array" ref="J2769">_xlfn.SWITCH(LEFT(Table1[[#This Row],[section]],1), "D", "Demographic", "S", "Social", "E", "Economic", "H", "Housing", "")</f>
        <v>Housing</v>
      </c>
      <c r="K2769" t="s">
        <v>9419</v>
      </c>
      <c r="L2769" t="s">
        <v>9420</v>
      </c>
      <c r="M2769" t="str">
        <f>IF(Table1[[#This Row],[used]], _xlfn.CONCAT("🆔 ", Table1[[#This Row],[variable]], ": ",Table1[[#This Row],[alias]]), "")</f>
        <v>🆔 B25091_007E: Housing units with a mortgage: 25.0 to 29.9 percent</v>
      </c>
      <c r="O2769" t="s">
        <v>9443</v>
      </c>
      <c r="P2769" t="s">
        <v>9421</v>
      </c>
      <c r="Q2769" t="s">
        <v>41</v>
      </c>
      <c r="R2769" t="s">
        <v>9444</v>
      </c>
      <c r="S2769" t="b">
        <v>1</v>
      </c>
      <c r="T2769" t="b">
        <v>1</v>
      </c>
      <c r="U2769" t="b">
        <v>1</v>
      </c>
      <c r="V2769" t="b">
        <v>1</v>
      </c>
      <c r="W2769" t="b">
        <v>1</v>
      </c>
      <c r="X2769" t="b">
        <v>1</v>
      </c>
      <c r="Y2769" t="b">
        <v>1</v>
      </c>
      <c r="Z2769" t="b">
        <v>1</v>
      </c>
      <c r="AA2769" t="b">
        <v>1</v>
      </c>
      <c r="AB2769" t="b">
        <v>1</v>
      </c>
      <c r="AC2769" t="b">
        <v>1</v>
      </c>
      <c r="AD2769" t="b">
        <v>1</v>
      </c>
      <c r="AE2769" t="b">
        <v>1</v>
      </c>
      <c r="AF2769" t="b">
        <v>1</v>
      </c>
      <c r="AG2769" t="b">
        <v>1</v>
      </c>
    </row>
    <row r="2770" spans="1:33" x14ac:dyDescent="0.25">
      <c r="A2770" t="s">
        <v>33</v>
      </c>
      <c r="B2770">
        <v>15</v>
      </c>
      <c r="C2770" t="b">
        <v>1</v>
      </c>
      <c r="D2770" t="s">
        <v>7968</v>
      </c>
      <c r="E2770" t="s">
        <v>9417</v>
      </c>
      <c r="F2770" t="s">
        <v>9445</v>
      </c>
      <c r="G2770" t="s">
        <v>9446</v>
      </c>
      <c r="H2770">
        <v>2769</v>
      </c>
      <c r="I2770" t="str">
        <f>IF(ISBLANK(Table1[[#This Row],[oid]]),"FALSE","TRUE")</f>
        <v>TRUE</v>
      </c>
      <c r="J2770" t="str" cm="1">
        <f t="array" ref="J2770">_xlfn.SWITCH(LEFT(Table1[[#This Row],[section]],1), "D", "Demographic", "S", "Social", "E", "Economic", "H", "Housing", "")</f>
        <v>Housing</v>
      </c>
      <c r="K2770" t="s">
        <v>9419</v>
      </c>
      <c r="L2770" t="s">
        <v>9420</v>
      </c>
      <c r="M2770" t="str">
        <f>IF(Table1[[#This Row],[used]], _xlfn.CONCAT("🆔 ", Table1[[#This Row],[variable]], ": ",Table1[[#This Row],[alias]]), "")</f>
        <v>🆔 B25091_008E: Housing units with a mortgage: 30.0 to 34.9 percent</v>
      </c>
      <c r="O2770" t="s">
        <v>9447</v>
      </c>
      <c r="P2770" t="s">
        <v>9421</v>
      </c>
      <c r="Q2770" t="s">
        <v>41</v>
      </c>
      <c r="R2770" t="s">
        <v>9448</v>
      </c>
      <c r="S2770" t="b">
        <v>1</v>
      </c>
      <c r="T2770" t="b">
        <v>1</v>
      </c>
      <c r="U2770" t="b">
        <v>1</v>
      </c>
      <c r="V2770" t="b">
        <v>1</v>
      </c>
      <c r="W2770" t="b">
        <v>1</v>
      </c>
      <c r="X2770" t="b">
        <v>1</v>
      </c>
      <c r="Y2770" t="b">
        <v>1</v>
      </c>
      <c r="Z2770" t="b">
        <v>1</v>
      </c>
      <c r="AA2770" t="b">
        <v>1</v>
      </c>
      <c r="AB2770" t="b">
        <v>1</v>
      </c>
      <c r="AC2770" t="b">
        <v>1</v>
      </c>
      <c r="AD2770" t="b">
        <v>1</v>
      </c>
      <c r="AE2770" t="b">
        <v>1</v>
      </c>
      <c r="AF2770" t="b">
        <v>1</v>
      </c>
      <c r="AG2770" t="b">
        <v>1</v>
      </c>
    </row>
    <row r="2771" spans="1:33" x14ac:dyDescent="0.25">
      <c r="A2771" t="s">
        <v>33</v>
      </c>
      <c r="B2771">
        <v>15</v>
      </c>
      <c r="C2771" t="b">
        <v>1</v>
      </c>
      <c r="D2771" t="s">
        <v>7968</v>
      </c>
      <c r="E2771" t="s">
        <v>9417</v>
      </c>
      <c r="F2771" t="s">
        <v>9449</v>
      </c>
      <c r="G2771" t="s">
        <v>9450</v>
      </c>
      <c r="H2771">
        <v>2770</v>
      </c>
      <c r="I2771" t="str">
        <f>IF(ISBLANK(Table1[[#This Row],[oid]]),"FALSE","TRUE")</f>
        <v>TRUE</v>
      </c>
      <c r="J2771" t="str" cm="1">
        <f t="array" ref="J2771">_xlfn.SWITCH(LEFT(Table1[[#This Row],[section]],1), "D", "Demographic", "S", "Social", "E", "Economic", "H", "Housing", "")</f>
        <v>Housing</v>
      </c>
      <c r="K2771" t="s">
        <v>9419</v>
      </c>
      <c r="L2771" t="s">
        <v>9420</v>
      </c>
      <c r="M2771" t="str">
        <f>IF(Table1[[#This Row],[used]], _xlfn.CONCAT("🆔 ", Table1[[#This Row],[variable]], ": ",Table1[[#This Row],[alias]]), "")</f>
        <v>🆔 B25091_009E: Housing units with a mortgage: 35.0 to 39.9 percent</v>
      </c>
      <c r="O2771" t="s">
        <v>9451</v>
      </c>
      <c r="P2771" t="s">
        <v>9421</v>
      </c>
      <c r="Q2771" t="s">
        <v>41</v>
      </c>
      <c r="R2771" t="s">
        <v>9452</v>
      </c>
      <c r="S2771" t="b">
        <v>1</v>
      </c>
      <c r="T2771" t="b">
        <v>1</v>
      </c>
      <c r="U2771" t="b">
        <v>1</v>
      </c>
      <c r="V2771" t="b">
        <v>1</v>
      </c>
      <c r="W2771" t="b">
        <v>1</v>
      </c>
      <c r="X2771" t="b">
        <v>1</v>
      </c>
      <c r="Y2771" t="b">
        <v>1</v>
      </c>
      <c r="Z2771" t="b">
        <v>1</v>
      </c>
      <c r="AA2771" t="b">
        <v>1</v>
      </c>
      <c r="AB2771" t="b">
        <v>1</v>
      </c>
      <c r="AC2771" t="b">
        <v>1</v>
      </c>
      <c r="AD2771" t="b">
        <v>1</v>
      </c>
      <c r="AE2771" t="b">
        <v>1</v>
      </c>
      <c r="AF2771" t="b">
        <v>1</v>
      </c>
      <c r="AG2771" t="b">
        <v>1</v>
      </c>
    </row>
    <row r="2772" spans="1:33" x14ac:dyDescent="0.25">
      <c r="A2772" t="s">
        <v>33</v>
      </c>
      <c r="B2772">
        <v>15</v>
      </c>
      <c r="C2772" t="b">
        <v>1</v>
      </c>
      <c r="D2772" t="s">
        <v>7968</v>
      </c>
      <c r="E2772" t="s">
        <v>9417</v>
      </c>
      <c r="F2772" t="s">
        <v>9453</v>
      </c>
      <c r="G2772" t="s">
        <v>9454</v>
      </c>
      <c r="H2772">
        <v>2771</v>
      </c>
      <c r="I2772" t="str">
        <f>IF(ISBLANK(Table1[[#This Row],[oid]]),"FALSE","TRUE")</f>
        <v>TRUE</v>
      </c>
      <c r="J2772" t="str" cm="1">
        <f t="array" ref="J2772">_xlfn.SWITCH(LEFT(Table1[[#This Row],[section]],1), "D", "Demographic", "S", "Social", "E", "Economic", "H", "Housing", "")</f>
        <v>Housing</v>
      </c>
      <c r="K2772" t="s">
        <v>9419</v>
      </c>
      <c r="L2772" t="s">
        <v>9420</v>
      </c>
      <c r="M2772" t="str">
        <f>IF(Table1[[#This Row],[used]], _xlfn.CONCAT("🆔 ", Table1[[#This Row],[variable]], ": ",Table1[[#This Row],[alias]]), "")</f>
        <v>🆔 B25091_010E: Housing units with a mortgage: 40.0 to 49.9 percent</v>
      </c>
      <c r="O2772" t="s">
        <v>9455</v>
      </c>
      <c r="P2772" t="s">
        <v>9421</v>
      </c>
      <c r="Q2772" t="s">
        <v>41</v>
      </c>
      <c r="R2772" t="s">
        <v>9456</v>
      </c>
      <c r="S2772" t="b">
        <v>1</v>
      </c>
      <c r="T2772" t="b">
        <v>1</v>
      </c>
      <c r="U2772" t="b">
        <v>1</v>
      </c>
      <c r="V2772" t="b">
        <v>1</v>
      </c>
      <c r="W2772" t="b">
        <v>1</v>
      </c>
      <c r="X2772" t="b">
        <v>1</v>
      </c>
      <c r="Y2772" t="b">
        <v>1</v>
      </c>
      <c r="Z2772" t="b">
        <v>1</v>
      </c>
      <c r="AA2772" t="b">
        <v>1</v>
      </c>
      <c r="AB2772" t="b">
        <v>1</v>
      </c>
      <c r="AC2772" t="b">
        <v>1</v>
      </c>
      <c r="AD2772" t="b">
        <v>1</v>
      </c>
      <c r="AE2772" t="b">
        <v>1</v>
      </c>
      <c r="AF2772" t="b">
        <v>1</v>
      </c>
      <c r="AG2772" t="b">
        <v>1</v>
      </c>
    </row>
    <row r="2773" spans="1:33" x14ac:dyDescent="0.25">
      <c r="A2773" t="s">
        <v>33</v>
      </c>
      <c r="B2773">
        <v>15</v>
      </c>
      <c r="C2773" t="b">
        <v>1</v>
      </c>
      <c r="D2773" t="s">
        <v>7968</v>
      </c>
      <c r="E2773" t="s">
        <v>9417</v>
      </c>
      <c r="F2773" t="s">
        <v>9457</v>
      </c>
      <c r="G2773" t="s">
        <v>9458</v>
      </c>
      <c r="H2773">
        <v>2772</v>
      </c>
      <c r="I2773" t="str">
        <f>IF(ISBLANK(Table1[[#This Row],[oid]]),"FALSE","TRUE")</f>
        <v>TRUE</v>
      </c>
      <c r="J2773" t="str" cm="1">
        <f t="array" ref="J2773">_xlfn.SWITCH(LEFT(Table1[[#This Row],[section]],1), "D", "Demographic", "S", "Social", "E", "Economic", "H", "Housing", "")</f>
        <v>Housing</v>
      </c>
      <c r="K2773" t="s">
        <v>9419</v>
      </c>
      <c r="L2773" t="s">
        <v>9420</v>
      </c>
      <c r="M2773" t="str">
        <f>IF(Table1[[#This Row],[used]], _xlfn.CONCAT("🆔 ", Table1[[#This Row],[variable]], ": ",Table1[[#This Row],[alias]]), "")</f>
        <v>🆔 B25091_011E: Housing units with a mortgage: 50.0 percent or more</v>
      </c>
      <c r="O2773" t="s">
        <v>9459</v>
      </c>
      <c r="P2773" t="s">
        <v>9421</v>
      </c>
      <c r="Q2773" t="s">
        <v>41</v>
      </c>
      <c r="R2773" t="s">
        <v>9460</v>
      </c>
      <c r="S2773" t="b">
        <v>1</v>
      </c>
      <c r="T2773" t="b">
        <v>1</v>
      </c>
      <c r="U2773" t="b">
        <v>1</v>
      </c>
      <c r="V2773" t="b">
        <v>1</v>
      </c>
      <c r="W2773" t="b">
        <v>1</v>
      </c>
      <c r="X2773" t="b">
        <v>1</v>
      </c>
      <c r="Y2773" t="b">
        <v>1</v>
      </c>
      <c r="Z2773" t="b">
        <v>1</v>
      </c>
      <c r="AA2773" t="b">
        <v>1</v>
      </c>
      <c r="AB2773" t="b">
        <v>1</v>
      </c>
      <c r="AC2773" t="b">
        <v>1</v>
      </c>
      <c r="AD2773" t="b">
        <v>1</v>
      </c>
      <c r="AE2773" t="b">
        <v>1</v>
      </c>
      <c r="AF2773" t="b">
        <v>1</v>
      </c>
      <c r="AG2773" t="b">
        <v>1</v>
      </c>
    </row>
    <row r="2774" spans="1:33" x14ac:dyDescent="0.25">
      <c r="A2774" t="s">
        <v>33</v>
      </c>
      <c r="B2774">
        <v>15</v>
      </c>
      <c r="C2774" t="b">
        <v>1</v>
      </c>
      <c r="D2774" t="s">
        <v>7968</v>
      </c>
      <c r="E2774" t="s">
        <v>9417</v>
      </c>
      <c r="F2774" t="s">
        <v>9461</v>
      </c>
      <c r="G2774" t="s">
        <v>9462</v>
      </c>
      <c r="H2774">
        <v>2773</v>
      </c>
      <c r="I2774" t="str">
        <f>IF(ISBLANK(Table1[[#This Row],[oid]]),"FALSE","TRUE")</f>
        <v>TRUE</v>
      </c>
      <c r="J2774" t="str" cm="1">
        <f t="array" ref="J2774">_xlfn.SWITCH(LEFT(Table1[[#This Row],[section]],1), "D", "Demographic", "S", "Social", "E", "Economic", "H", "Housing", "")</f>
        <v>Housing</v>
      </c>
      <c r="K2774" t="s">
        <v>9419</v>
      </c>
      <c r="L2774" t="s">
        <v>9420</v>
      </c>
      <c r="M2774" t="str">
        <f>IF(Table1[[#This Row],[used]], _xlfn.CONCAT("🆔 ", Table1[[#This Row],[variable]], ": ",Table1[[#This Row],[alias]]), "")</f>
        <v>🆔 B25091_012E: Housing units with a mortgage: Not computed</v>
      </c>
      <c r="O2774" t="s">
        <v>9463</v>
      </c>
      <c r="P2774" t="s">
        <v>9421</v>
      </c>
      <c r="Q2774" t="s">
        <v>41</v>
      </c>
      <c r="R2774" t="s">
        <v>9464</v>
      </c>
      <c r="S2774" t="b">
        <v>1</v>
      </c>
      <c r="T2774" t="b">
        <v>1</v>
      </c>
      <c r="U2774" t="b">
        <v>1</v>
      </c>
      <c r="V2774" t="b">
        <v>1</v>
      </c>
      <c r="W2774" t="b">
        <v>1</v>
      </c>
      <c r="X2774" t="b">
        <v>1</v>
      </c>
      <c r="Y2774" t="b">
        <v>1</v>
      </c>
      <c r="Z2774" t="b">
        <v>1</v>
      </c>
      <c r="AA2774" t="b">
        <v>1</v>
      </c>
      <c r="AB2774" t="b">
        <v>1</v>
      </c>
      <c r="AC2774" t="b">
        <v>1</v>
      </c>
      <c r="AD2774" t="b">
        <v>1</v>
      </c>
      <c r="AE2774" t="b">
        <v>1</v>
      </c>
      <c r="AF2774" t="b">
        <v>1</v>
      </c>
      <c r="AG2774" t="b">
        <v>1</v>
      </c>
    </row>
    <row r="2775" spans="1:33" x14ac:dyDescent="0.25">
      <c r="A2775" t="s">
        <v>33</v>
      </c>
      <c r="B2775">
        <v>15</v>
      </c>
      <c r="C2775" t="b">
        <v>1</v>
      </c>
      <c r="D2775" t="s">
        <v>7968</v>
      </c>
      <c r="E2775" t="s">
        <v>9417</v>
      </c>
      <c r="F2775" t="s">
        <v>9465</v>
      </c>
      <c r="G2775" t="s">
        <v>9207</v>
      </c>
      <c r="H2775">
        <v>2774</v>
      </c>
      <c r="I2775" t="str">
        <f>IF(ISBLANK(Table1[[#This Row],[oid]]),"FALSE","TRUE")</f>
        <v>TRUE</v>
      </c>
      <c r="J2775" t="str" cm="1">
        <f t="array" ref="J2775">_xlfn.SWITCH(LEFT(Table1[[#This Row],[section]],1), "D", "Demographic", "S", "Social", "E", "Economic", "H", "Housing", "")</f>
        <v>Housing</v>
      </c>
      <c r="K2775" t="s">
        <v>9419</v>
      </c>
      <c r="L2775" t="s">
        <v>9420</v>
      </c>
      <c r="M2775" t="str">
        <f>IF(Table1[[#This Row],[used]], _xlfn.CONCAT("🆔 ", Table1[[#This Row],[variable]], ": ",Table1[[#This Row],[alias]]), "")</f>
        <v>🆔 B25091_013E: Housing units without a mortgage</v>
      </c>
      <c r="O2775" t="s">
        <v>9208</v>
      </c>
      <c r="P2775" t="s">
        <v>9421</v>
      </c>
      <c r="Q2775" t="s">
        <v>41</v>
      </c>
      <c r="R2775" t="s">
        <v>9466</v>
      </c>
      <c r="S2775" t="b">
        <v>1</v>
      </c>
      <c r="T2775" t="b">
        <v>1</v>
      </c>
      <c r="U2775" t="b">
        <v>1</v>
      </c>
      <c r="V2775" t="b">
        <v>1</v>
      </c>
      <c r="W2775" t="b">
        <v>1</v>
      </c>
      <c r="X2775" t="b">
        <v>1</v>
      </c>
      <c r="Y2775" t="b">
        <v>1</v>
      </c>
      <c r="Z2775" t="b">
        <v>1</v>
      </c>
      <c r="AA2775" t="b">
        <v>1</v>
      </c>
      <c r="AB2775" t="b">
        <v>1</v>
      </c>
      <c r="AC2775" t="b">
        <v>1</v>
      </c>
      <c r="AD2775" t="b">
        <v>1</v>
      </c>
      <c r="AE2775" t="b">
        <v>1</v>
      </c>
      <c r="AF2775" t="b">
        <v>1</v>
      </c>
      <c r="AG2775" t="b">
        <v>1</v>
      </c>
    </row>
    <row r="2776" spans="1:33" x14ac:dyDescent="0.25">
      <c r="A2776" t="s">
        <v>33</v>
      </c>
      <c r="B2776">
        <v>15</v>
      </c>
      <c r="C2776" t="b">
        <v>1</v>
      </c>
      <c r="D2776" t="s">
        <v>7968</v>
      </c>
      <c r="E2776" t="s">
        <v>9417</v>
      </c>
      <c r="F2776" t="s">
        <v>9467</v>
      </c>
      <c r="G2776" t="s">
        <v>9468</v>
      </c>
      <c r="H2776">
        <v>2775</v>
      </c>
      <c r="I2776" t="str">
        <f>IF(ISBLANK(Table1[[#This Row],[oid]]),"FALSE","TRUE")</f>
        <v>TRUE</v>
      </c>
      <c r="J2776" t="str" cm="1">
        <f t="array" ref="J2776">_xlfn.SWITCH(LEFT(Table1[[#This Row],[section]],1), "D", "Demographic", "S", "Social", "E", "Economic", "H", "Housing", "")</f>
        <v>Housing</v>
      </c>
      <c r="K2776" t="s">
        <v>9419</v>
      </c>
      <c r="L2776" t="s">
        <v>9420</v>
      </c>
      <c r="M2776" t="str">
        <f>IF(Table1[[#This Row],[used]], _xlfn.CONCAT("🆔 ", Table1[[#This Row],[variable]], ": ",Table1[[#This Row],[alias]]), "")</f>
        <v>🆔 B25091_014E: Housing units without a mortgage: Less than 10.0 percent</v>
      </c>
      <c r="O2776" t="s">
        <v>9469</v>
      </c>
      <c r="P2776" t="s">
        <v>9421</v>
      </c>
      <c r="Q2776" t="s">
        <v>41</v>
      </c>
      <c r="R2776" t="s">
        <v>9470</v>
      </c>
      <c r="S2776" t="b">
        <v>1</v>
      </c>
      <c r="T2776" t="b">
        <v>1</v>
      </c>
      <c r="U2776" t="b">
        <v>1</v>
      </c>
      <c r="V2776" t="b">
        <v>1</v>
      </c>
      <c r="W2776" t="b">
        <v>1</v>
      </c>
      <c r="X2776" t="b">
        <v>1</v>
      </c>
      <c r="Y2776" t="b">
        <v>1</v>
      </c>
      <c r="Z2776" t="b">
        <v>1</v>
      </c>
      <c r="AA2776" t="b">
        <v>1</v>
      </c>
      <c r="AB2776" t="b">
        <v>1</v>
      </c>
      <c r="AC2776" t="b">
        <v>1</v>
      </c>
      <c r="AD2776" t="b">
        <v>1</v>
      </c>
      <c r="AE2776" t="b">
        <v>1</v>
      </c>
      <c r="AF2776" t="b">
        <v>1</v>
      </c>
      <c r="AG2776" t="b">
        <v>1</v>
      </c>
    </row>
    <row r="2777" spans="1:33" x14ac:dyDescent="0.25">
      <c r="A2777" t="s">
        <v>33</v>
      </c>
      <c r="B2777">
        <v>15</v>
      </c>
      <c r="C2777" t="b">
        <v>1</v>
      </c>
      <c r="D2777" t="s">
        <v>7968</v>
      </c>
      <c r="E2777" t="s">
        <v>9417</v>
      </c>
      <c r="F2777" t="s">
        <v>9471</v>
      </c>
      <c r="G2777" t="s">
        <v>9472</v>
      </c>
      <c r="H2777">
        <v>2776</v>
      </c>
      <c r="I2777" t="str">
        <f>IF(ISBLANK(Table1[[#This Row],[oid]]),"FALSE","TRUE")</f>
        <v>TRUE</v>
      </c>
      <c r="J2777" t="str" cm="1">
        <f t="array" ref="J2777">_xlfn.SWITCH(LEFT(Table1[[#This Row],[section]],1), "D", "Demographic", "S", "Social", "E", "Economic", "H", "Housing", "")</f>
        <v>Housing</v>
      </c>
      <c r="K2777" t="s">
        <v>9419</v>
      </c>
      <c r="L2777" t="s">
        <v>9420</v>
      </c>
      <c r="M2777" t="str">
        <f>IF(Table1[[#This Row],[used]], _xlfn.CONCAT("🆔 ", Table1[[#This Row],[variable]], ": ",Table1[[#This Row],[alias]]), "")</f>
        <v>🆔 B25091_015E: Housing units without a mortgage: 10.0 to 14.9 percent</v>
      </c>
      <c r="O2777" t="s">
        <v>9473</v>
      </c>
      <c r="P2777" t="s">
        <v>9421</v>
      </c>
      <c r="Q2777" t="s">
        <v>41</v>
      </c>
      <c r="R2777" t="s">
        <v>9474</v>
      </c>
      <c r="S2777" t="b">
        <v>1</v>
      </c>
      <c r="T2777" t="b">
        <v>1</v>
      </c>
      <c r="U2777" t="b">
        <v>1</v>
      </c>
      <c r="V2777" t="b">
        <v>1</v>
      </c>
      <c r="W2777" t="b">
        <v>1</v>
      </c>
      <c r="X2777" t="b">
        <v>1</v>
      </c>
      <c r="Y2777" t="b">
        <v>1</v>
      </c>
      <c r="Z2777" t="b">
        <v>1</v>
      </c>
      <c r="AA2777" t="b">
        <v>1</v>
      </c>
      <c r="AB2777" t="b">
        <v>1</v>
      </c>
      <c r="AC2777" t="b">
        <v>1</v>
      </c>
      <c r="AD2777" t="b">
        <v>1</v>
      </c>
      <c r="AE2777" t="b">
        <v>1</v>
      </c>
      <c r="AF2777" t="b">
        <v>1</v>
      </c>
      <c r="AG2777" t="b">
        <v>1</v>
      </c>
    </row>
    <row r="2778" spans="1:33" x14ac:dyDescent="0.25">
      <c r="A2778" t="s">
        <v>33</v>
      </c>
      <c r="B2778">
        <v>15</v>
      </c>
      <c r="C2778" t="b">
        <v>1</v>
      </c>
      <c r="D2778" t="s">
        <v>7968</v>
      </c>
      <c r="E2778" t="s">
        <v>9417</v>
      </c>
      <c r="F2778" t="s">
        <v>9475</v>
      </c>
      <c r="G2778" t="s">
        <v>9476</v>
      </c>
      <c r="H2778">
        <v>2777</v>
      </c>
      <c r="I2778" t="str">
        <f>IF(ISBLANK(Table1[[#This Row],[oid]]),"FALSE","TRUE")</f>
        <v>TRUE</v>
      </c>
      <c r="J2778" t="str" cm="1">
        <f t="array" ref="J2778">_xlfn.SWITCH(LEFT(Table1[[#This Row],[section]],1), "D", "Demographic", "S", "Social", "E", "Economic", "H", "Housing", "")</f>
        <v>Housing</v>
      </c>
      <c r="K2778" t="s">
        <v>9419</v>
      </c>
      <c r="L2778" t="s">
        <v>9420</v>
      </c>
      <c r="M2778" t="str">
        <f>IF(Table1[[#This Row],[used]], _xlfn.CONCAT("🆔 ", Table1[[#This Row],[variable]], ": ",Table1[[#This Row],[alias]]), "")</f>
        <v>🆔 B25091_016E: Housing units without a mortgage: 15.0 to 19.9 percent</v>
      </c>
      <c r="O2778" t="s">
        <v>9477</v>
      </c>
      <c r="P2778" t="s">
        <v>9421</v>
      </c>
      <c r="Q2778" t="s">
        <v>41</v>
      </c>
      <c r="R2778" t="s">
        <v>9478</v>
      </c>
      <c r="S2778" t="b">
        <v>1</v>
      </c>
      <c r="T2778" t="b">
        <v>1</v>
      </c>
      <c r="U2778" t="b">
        <v>1</v>
      </c>
      <c r="V2778" t="b">
        <v>1</v>
      </c>
      <c r="W2778" t="b">
        <v>1</v>
      </c>
      <c r="X2778" t="b">
        <v>1</v>
      </c>
      <c r="Y2778" t="b">
        <v>1</v>
      </c>
      <c r="Z2778" t="b">
        <v>1</v>
      </c>
      <c r="AA2778" t="b">
        <v>1</v>
      </c>
      <c r="AB2778" t="b">
        <v>1</v>
      </c>
      <c r="AC2778" t="b">
        <v>1</v>
      </c>
      <c r="AD2778" t="b">
        <v>1</v>
      </c>
      <c r="AE2778" t="b">
        <v>1</v>
      </c>
      <c r="AF2778" t="b">
        <v>1</v>
      </c>
      <c r="AG2778" t="b">
        <v>1</v>
      </c>
    </row>
    <row r="2779" spans="1:33" x14ac:dyDescent="0.25">
      <c r="A2779" t="s">
        <v>33</v>
      </c>
      <c r="B2779">
        <v>15</v>
      </c>
      <c r="C2779" t="b">
        <v>1</v>
      </c>
      <c r="D2779" t="s">
        <v>7968</v>
      </c>
      <c r="E2779" t="s">
        <v>9417</v>
      </c>
      <c r="F2779" t="s">
        <v>9479</v>
      </c>
      <c r="G2779" t="s">
        <v>9480</v>
      </c>
      <c r="H2779">
        <v>2778</v>
      </c>
      <c r="I2779" t="str">
        <f>IF(ISBLANK(Table1[[#This Row],[oid]]),"FALSE","TRUE")</f>
        <v>TRUE</v>
      </c>
      <c r="J2779" t="str" cm="1">
        <f t="array" ref="J2779">_xlfn.SWITCH(LEFT(Table1[[#This Row],[section]],1), "D", "Demographic", "S", "Social", "E", "Economic", "H", "Housing", "")</f>
        <v>Housing</v>
      </c>
      <c r="K2779" t="s">
        <v>9419</v>
      </c>
      <c r="L2779" t="s">
        <v>9420</v>
      </c>
      <c r="M2779" t="str">
        <f>IF(Table1[[#This Row],[used]], _xlfn.CONCAT("🆔 ", Table1[[#This Row],[variable]], ": ",Table1[[#This Row],[alias]]), "")</f>
        <v>🆔 B25091_017E: Housing units without a mortgage: 20.0 to 24.9 percent</v>
      </c>
      <c r="O2779" t="s">
        <v>9481</v>
      </c>
      <c r="P2779" t="s">
        <v>9421</v>
      </c>
      <c r="Q2779" t="s">
        <v>41</v>
      </c>
      <c r="R2779" t="s">
        <v>9482</v>
      </c>
      <c r="S2779" t="b">
        <v>1</v>
      </c>
      <c r="T2779" t="b">
        <v>1</v>
      </c>
      <c r="U2779" t="b">
        <v>1</v>
      </c>
      <c r="V2779" t="b">
        <v>1</v>
      </c>
      <c r="W2779" t="b">
        <v>1</v>
      </c>
      <c r="X2779" t="b">
        <v>1</v>
      </c>
      <c r="Y2779" t="b">
        <v>1</v>
      </c>
      <c r="Z2779" t="b">
        <v>1</v>
      </c>
      <c r="AA2779" t="b">
        <v>1</v>
      </c>
      <c r="AB2779" t="b">
        <v>1</v>
      </c>
      <c r="AC2779" t="b">
        <v>1</v>
      </c>
      <c r="AD2779" t="b">
        <v>1</v>
      </c>
      <c r="AE2779" t="b">
        <v>1</v>
      </c>
      <c r="AF2779" t="b">
        <v>1</v>
      </c>
      <c r="AG2779" t="b">
        <v>1</v>
      </c>
    </row>
    <row r="2780" spans="1:33" x14ac:dyDescent="0.25">
      <c r="A2780" t="s">
        <v>33</v>
      </c>
      <c r="B2780">
        <v>15</v>
      </c>
      <c r="C2780" t="b">
        <v>1</v>
      </c>
      <c r="D2780" t="s">
        <v>7968</v>
      </c>
      <c r="E2780" t="s">
        <v>9417</v>
      </c>
      <c r="F2780" t="s">
        <v>9483</v>
      </c>
      <c r="G2780" t="s">
        <v>9484</v>
      </c>
      <c r="H2780">
        <v>2779</v>
      </c>
      <c r="I2780" t="str">
        <f>IF(ISBLANK(Table1[[#This Row],[oid]]),"FALSE","TRUE")</f>
        <v>TRUE</v>
      </c>
      <c r="J2780" t="str" cm="1">
        <f t="array" ref="J2780">_xlfn.SWITCH(LEFT(Table1[[#This Row],[section]],1), "D", "Demographic", "S", "Social", "E", "Economic", "H", "Housing", "")</f>
        <v>Housing</v>
      </c>
      <c r="K2780" t="s">
        <v>9419</v>
      </c>
      <c r="L2780" t="s">
        <v>9420</v>
      </c>
      <c r="M2780" t="str">
        <f>IF(Table1[[#This Row],[used]], _xlfn.CONCAT("🆔 ", Table1[[#This Row],[variable]], ": ",Table1[[#This Row],[alias]]), "")</f>
        <v>🆔 B25091_018E: Housing units without a mortgage: 25.0 to 29.9 percent</v>
      </c>
      <c r="O2780" t="s">
        <v>9485</v>
      </c>
      <c r="P2780" t="s">
        <v>9421</v>
      </c>
      <c r="Q2780" t="s">
        <v>41</v>
      </c>
      <c r="R2780" t="s">
        <v>9486</v>
      </c>
      <c r="S2780" t="b">
        <v>1</v>
      </c>
      <c r="T2780" t="b">
        <v>1</v>
      </c>
      <c r="U2780" t="b">
        <v>1</v>
      </c>
      <c r="V2780" t="b">
        <v>1</v>
      </c>
      <c r="W2780" t="b">
        <v>1</v>
      </c>
      <c r="X2780" t="b">
        <v>1</v>
      </c>
      <c r="Y2780" t="b">
        <v>1</v>
      </c>
      <c r="Z2780" t="b">
        <v>1</v>
      </c>
      <c r="AA2780" t="b">
        <v>1</v>
      </c>
      <c r="AB2780" t="b">
        <v>1</v>
      </c>
      <c r="AC2780" t="b">
        <v>1</v>
      </c>
      <c r="AD2780" t="b">
        <v>1</v>
      </c>
      <c r="AE2780" t="b">
        <v>1</v>
      </c>
      <c r="AF2780" t="b">
        <v>1</v>
      </c>
      <c r="AG2780" t="b">
        <v>1</v>
      </c>
    </row>
    <row r="2781" spans="1:33" x14ac:dyDescent="0.25">
      <c r="A2781" t="s">
        <v>33</v>
      </c>
      <c r="B2781">
        <v>15</v>
      </c>
      <c r="C2781" t="b">
        <v>1</v>
      </c>
      <c r="D2781" t="s">
        <v>7968</v>
      </c>
      <c r="E2781" t="s">
        <v>9417</v>
      </c>
      <c r="F2781" t="s">
        <v>9487</v>
      </c>
      <c r="G2781" t="s">
        <v>9488</v>
      </c>
      <c r="H2781">
        <v>2780</v>
      </c>
      <c r="I2781" t="str">
        <f>IF(ISBLANK(Table1[[#This Row],[oid]]),"FALSE","TRUE")</f>
        <v>TRUE</v>
      </c>
      <c r="J2781" t="str" cm="1">
        <f t="array" ref="J2781">_xlfn.SWITCH(LEFT(Table1[[#This Row],[section]],1), "D", "Demographic", "S", "Social", "E", "Economic", "H", "Housing", "")</f>
        <v>Housing</v>
      </c>
      <c r="K2781" t="s">
        <v>9419</v>
      </c>
      <c r="L2781" t="s">
        <v>9420</v>
      </c>
      <c r="M2781" t="str">
        <f>IF(Table1[[#This Row],[used]], _xlfn.CONCAT("🆔 ", Table1[[#This Row],[variable]], ": ",Table1[[#This Row],[alias]]), "")</f>
        <v>🆔 B25091_019E: Housing units without a mortgage: 30.0 to 34.9 percent</v>
      </c>
      <c r="O2781" t="s">
        <v>9489</v>
      </c>
      <c r="P2781" t="s">
        <v>9421</v>
      </c>
      <c r="Q2781" t="s">
        <v>41</v>
      </c>
      <c r="R2781" t="s">
        <v>9490</v>
      </c>
      <c r="S2781" t="b">
        <v>1</v>
      </c>
      <c r="T2781" t="b">
        <v>1</v>
      </c>
      <c r="U2781" t="b">
        <v>1</v>
      </c>
      <c r="V2781" t="b">
        <v>1</v>
      </c>
      <c r="W2781" t="b">
        <v>1</v>
      </c>
      <c r="X2781" t="b">
        <v>1</v>
      </c>
      <c r="Y2781" t="b">
        <v>1</v>
      </c>
      <c r="Z2781" t="b">
        <v>1</v>
      </c>
      <c r="AA2781" t="b">
        <v>1</v>
      </c>
      <c r="AB2781" t="b">
        <v>1</v>
      </c>
      <c r="AC2781" t="b">
        <v>1</v>
      </c>
      <c r="AD2781" t="b">
        <v>1</v>
      </c>
      <c r="AE2781" t="b">
        <v>1</v>
      </c>
      <c r="AF2781" t="b">
        <v>1</v>
      </c>
      <c r="AG2781" t="b">
        <v>1</v>
      </c>
    </row>
    <row r="2782" spans="1:33" x14ac:dyDescent="0.25">
      <c r="A2782" t="s">
        <v>33</v>
      </c>
      <c r="B2782">
        <v>15</v>
      </c>
      <c r="C2782" t="b">
        <v>1</v>
      </c>
      <c r="D2782" t="s">
        <v>7968</v>
      </c>
      <c r="E2782" t="s">
        <v>9417</v>
      </c>
      <c r="F2782" t="s">
        <v>9491</v>
      </c>
      <c r="G2782" t="s">
        <v>9492</v>
      </c>
      <c r="H2782">
        <v>2781</v>
      </c>
      <c r="I2782" t="str">
        <f>IF(ISBLANK(Table1[[#This Row],[oid]]),"FALSE","TRUE")</f>
        <v>TRUE</v>
      </c>
      <c r="J2782" t="str" cm="1">
        <f t="array" ref="J2782">_xlfn.SWITCH(LEFT(Table1[[#This Row],[section]],1), "D", "Demographic", "S", "Social", "E", "Economic", "H", "Housing", "")</f>
        <v>Housing</v>
      </c>
      <c r="K2782" t="s">
        <v>9419</v>
      </c>
      <c r="L2782" t="s">
        <v>9420</v>
      </c>
      <c r="M2782" t="str">
        <f>IF(Table1[[#This Row],[used]], _xlfn.CONCAT("🆔 ", Table1[[#This Row],[variable]], ": ",Table1[[#This Row],[alias]]), "")</f>
        <v>🆔 B25091_020E: Housing units without a mortgage: 35.0 to 39.9 percent</v>
      </c>
      <c r="O2782" t="s">
        <v>9493</v>
      </c>
      <c r="P2782" t="s">
        <v>9421</v>
      </c>
      <c r="Q2782" t="s">
        <v>41</v>
      </c>
      <c r="R2782" t="s">
        <v>9494</v>
      </c>
      <c r="S2782" t="b">
        <v>1</v>
      </c>
      <c r="T2782" t="b">
        <v>1</v>
      </c>
      <c r="U2782" t="b">
        <v>1</v>
      </c>
      <c r="V2782" t="b">
        <v>1</v>
      </c>
      <c r="W2782" t="b">
        <v>1</v>
      </c>
      <c r="X2782" t="b">
        <v>1</v>
      </c>
      <c r="Y2782" t="b">
        <v>1</v>
      </c>
      <c r="Z2782" t="b">
        <v>1</v>
      </c>
      <c r="AA2782" t="b">
        <v>1</v>
      </c>
      <c r="AB2782" t="b">
        <v>1</v>
      </c>
      <c r="AC2782" t="b">
        <v>1</v>
      </c>
      <c r="AD2782" t="b">
        <v>1</v>
      </c>
      <c r="AE2782" t="b">
        <v>1</v>
      </c>
      <c r="AF2782" t="b">
        <v>1</v>
      </c>
      <c r="AG2782" t="b">
        <v>1</v>
      </c>
    </row>
    <row r="2783" spans="1:33" x14ac:dyDescent="0.25">
      <c r="A2783" t="s">
        <v>33</v>
      </c>
      <c r="B2783">
        <v>15</v>
      </c>
      <c r="C2783" t="b">
        <v>1</v>
      </c>
      <c r="D2783" t="s">
        <v>7968</v>
      </c>
      <c r="E2783" t="s">
        <v>9417</v>
      </c>
      <c r="F2783" t="s">
        <v>9495</v>
      </c>
      <c r="G2783" t="s">
        <v>9496</v>
      </c>
      <c r="H2783">
        <v>2782</v>
      </c>
      <c r="I2783" t="str">
        <f>IF(ISBLANK(Table1[[#This Row],[oid]]),"FALSE","TRUE")</f>
        <v>TRUE</v>
      </c>
      <c r="J2783" t="str" cm="1">
        <f t="array" ref="J2783">_xlfn.SWITCH(LEFT(Table1[[#This Row],[section]],1), "D", "Demographic", "S", "Social", "E", "Economic", "H", "Housing", "")</f>
        <v>Housing</v>
      </c>
      <c r="K2783" t="s">
        <v>9419</v>
      </c>
      <c r="L2783" t="s">
        <v>9420</v>
      </c>
      <c r="M2783" t="str">
        <f>IF(Table1[[#This Row],[used]], _xlfn.CONCAT("🆔 ", Table1[[#This Row],[variable]], ": ",Table1[[#This Row],[alias]]), "")</f>
        <v>🆔 B25091_021E: Housing units without a mortgage: 40.0 to 49.9 percent</v>
      </c>
      <c r="O2783" t="s">
        <v>9497</v>
      </c>
      <c r="P2783" t="s">
        <v>9421</v>
      </c>
      <c r="Q2783" t="s">
        <v>41</v>
      </c>
      <c r="R2783" t="s">
        <v>9498</v>
      </c>
      <c r="S2783" t="b">
        <v>1</v>
      </c>
      <c r="T2783" t="b">
        <v>1</v>
      </c>
      <c r="U2783" t="b">
        <v>1</v>
      </c>
      <c r="V2783" t="b">
        <v>1</v>
      </c>
      <c r="W2783" t="b">
        <v>1</v>
      </c>
      <c r="X2783" t="b">
        <v>1</v>
      </c>
      <c r="Y2783" t="b">
        <v>1</v>
      </c>
      <c r="Z2783" t="b">
        <v>1</v>
      </c>
      <c r="AA2783" t="b">
        <v>1</v>
      </c>
      <c r="AB2783" t="b">
        <v>1</v>
      </c>
      <c r="AC2783" t="b">
        <v>1</v>
      </c>
      <c r="AD2783" t="b">
        <v>1</v>
      </c>
      <c r="AE2783" t="b">
        <v>1</v>
      </c>
      <c r="AF2783" t="b">
        <v>1</v>
      </c>
      <c r="AG2783" t="b">
        <v>1</v>
      </c>
    </row>
    <row r="2784" spans="1:33" x14ac:dyDescent="0.25">
      <c r="A2784" t="s">
        <v>33</v>
      </c>
      <c r="B2784">
        <v>15</v>
      </c>
      <c r="C2784" t="b">
        <v>1</v>
      </c>
      <c r="D2784" t="s">
        <v>7968</v>
      </c>
      <c r="E2784" t="s">
        <v>9417</v>
      </c>
      <c r="F2784" t="s">
        <v>9499</v>
      </c>
      <c r="G2784" t="s">
        <v>9500</v>
      </c>
      <c r="H2784">
        <v>2783</v>
      </c>
      <c r="I2784" t="str">
        <f>IF(ISBLANK(Table1[[#This Row],[oid]]),"FALSE","TRUE")</f>
        <v>TRUE</v>
      </c>
      <c r="J2784" t="str" cm="1">
        <f t="array" ref="J2784">_xlfn.SWITCH(LEFT(Table1[[#This Row],[section]],1), "D", "Demographic", "S", "Social", "E", "Economic", "H", "Housing", "")</f>
        <v>Housing</v>
      </c>
      <c r="K2784" t="s">
        <v>9419</v>
      </c>
      <c r="L2784" t="s">
        <v>9420</v>
      </c>
      <c r="M2784" t="str">
        <f>IF(Table1[[#This Row],[used]], _xlfn.CONCAT("🆔 ", Table1[[#This Row],[variable]], ": ",Table1[[#This Row],[alias]]), "")</f>
        <v>🆔 B25091_022E: Housing units without a mortgage: 50.0 percent or more</v>
      </c>
      <c r="O2784" t="s">
        <v>9501</v>
      </c>
      <c r="P2784" t="s">
        <v>9421</v>
      </c>
      <c r="Q2784" t="s">
        <v>41</v>
      </c>
      <c r="R2784" t="s">
        <v>9502</v>
      </c>
      <c r="S2784" t="b">
        <v>1</v>
      </c>
      <c r="T2784" t="b">
        <v>1</v>
      </c>
      <c r="U2784" t="b">
        <v>1</v>
      </c>
      <c r="V2784" t="b">
        <v>1</v>
      </c>
      <c r="W2784" t="b">
        <v>1</v>
      </c>
      <c r="X2784" t="b">
        <v>1</v>
      </c>
      <c r="Y2784" t="b">
        <v>1</v>
      </c>
      <c r="Z2784" t="b">
        <v>1</v>
      </c>
      <c r="AA2784" t="b">
        <v>1</v>
      </c>
      <c r="AB2784" t="b">
        <v>1</v>
      </c>
      <c r="AC2784" t="b">
        <v>1</v>
      </c>
      <c r="AD2784" t="b">
        <v>1</v>
      </c>
      <c r="AE2784" t="b">
        <v>1</v>
      </c>
      <c r="AF2784" t="b">
        <v>1</v>
      </c>
      <c r="AG2784" t="b">
        <v>1</v>
      </c>
    </row>
    <row r="2785" spans="1:33" x14ac:dyDescent="0.25">
      <c r="A2785" t="s">
        <v>33</v>
      </c>
      <c r="B2785">
        <v>15</v>
      </c>
      <c r="C2785" t="b">
        <v>1</v>
      </c>
      <c r="D2785" t="s">
        <v>7968</v>
      </c>
      <c r="E2785" t="s">
        <v>9417</v>
      </c>
      <c r="F2785" t="s">
        <v>9503</v>
      </c>
      <c r="G2785" t="s">
        <v>9504</v>
      </c>
      <c r="H2785">
        <v>2784</v>
      </c>
      <c r="I2785" t="str">
        <f>IF(ISBLANK(Table1[[#This Row],[oid]]),"FALSE","TRUE")</f>
        <v>TRUE</v>
      </c>
      <c r="J2785" t="str" cm="1">
        <f t="array" ref="J2785">_xlfn.SWITCH(LEFT(Table1[[#This Row],[section]],1), "D", "Demographic", "S", "Social", "E", "Economic", "H", "Housing", "")</f>
        <v>Housing</v>
      </c>
      <c r="K2785" t="s">
        <v>9419</v>
      </c>
      <c r="L2785" t="s">
        <v>9420</v>
      </c>
      <c r="M2785" t="str">
        <f>IF(Table1[[#This Row],[used]], _xlfn.CONCAT("🆔 ", Table1[[#This Row],[variable]], ": ",Table1[[#This Row],[alias]]), "")</f>
        <v>🆔 B25091_023E: Housing units without a mortgage: Not computed</v>
      </c>
      <c r="O2785" t="s">
        <v>9505</v>
      </c>
      <c r="P2785" t="s">
        <v>9421</v>
      </c>
      <c r="Q2785" t="s">
        <v>41</v>
      </c>
      <c r="R2785" t="s">
        <v>9506</v>
      </c>
      <c r="S2785" t="b">
        <v>1</v>
      </c>
      <c r="T2785" t="b">
        <v>1</v>
      </c>
      <c r="U2785" t="b">
        <v>1</v>
      </c>
      <c r="V2785" t="b">
        <v>1</v>
      </c>
      <c r="W2785" t="b">
        <v>1</v>
      </c>
      <c r="X2785" t="b">
        <v>1</v>
      </c>
      <c r="Y2785" t="b">
        <v>1</v>
      </c>
      <c r="Z2785" t="b">
        <v>1</v>
      </c>
      <c r="AA2785" t="b">
        <v>1</v>
      </c>
      <c r="AB2785" t="b">
        <v>1</v>
      </c>
      <c r="AC2785" t="b">
        <v>1</v>
      </c>
      <c r="AD2785" t="b">
        <v>1</v>
      </c>
      <c r="AE2785" t="b">
        <v>1</v>
      </c>
      <c r="AF2785" t="b">
        <v>1</v>
      </c>
      <c r="AG2785" t="b">
        <v>1</v>
      </c>
    </row>
    <row r="2786" spans="1:33" x14ac:dyDescent="0.25">
      <c r="A2786" t="s">
        <v>33</v>
      </c>
      <c r="B2786">
        <v>15</v>
      </c>
      <c r="C2786" t="b">
        <v>1</v>
      </c>
      <c r="D2786" t="s">
        <v>7968</v>
      </c>
      <c r="E2786" t="s">
        <v>9507</v>
      </c>
      <c r="F2786" t="s">
        <v>9508</v>
      </c>
      <c r="G2786" t="s">
        <v>9509</v>
      </c>
      <c r="H2786">
        <v>2785</v>
      </c>
      <c r="I2786" t="str">
        <f>IF(ISBLANK(Table1[[#This Row],[oid]]),"FALSE","TRUE")</f>
        <v>TRUE</v>
      </c>
      <c r="J2786" t="str" cm="1">
        <f t="array" ref="J2786">_xlfn.SWITCH(LEFT(Table1[[#This Row],[section]],1), "D", "Demographic", "S", "Social", "E", "Economic", "H", "Housing", "")</f>
        <v>Housing</v>
      </c>
      <c r="K2786" t="s">
        <v>9419</v>
      </c>
      <c r="L2786" t="s">
        <v>9420</v>
      </c>
      <c r="M2786" t="str">
        <f>IF(Table1[[#This Row],[used]], _xlfn.CONCAT("🆔 ", Table1[[#This Row],[variable]], ": ",Table1[[#This Row],[alias]]), "")</f>
        <v>🆔 B25092_001E: Median selected monthly owner costs as a percentage of household income in the past 12 months: Total</v>
      </c>
      <c r="O2786" t="s">
        <v>9510</v>
      </c>
      <c r="P2786" t="s">
        <v>9511</v>
      </c>
      <c r="Q2786" t="s">
        <v>249</v>
      </c>
      <c r="R2786" t="s">
        <v>9512</v>
      </c>
      <c r="S2786" t="b">
        <v>1</v>
      </c>
      <c r="T2786" t="b">
        <v>1</v>
      </c>
      <c r="U2786" t="b">
        <v>1</v>
      </c>
      <c r="V2786" t="b">
        <v>1</v>
      </c>
      <c r="W2786" t="b">
        <v>1</v>
      </c>
      <c r="X2786" t="b">
        <v>1</v>
      </c>
      <c r="Y2786" t="b">
        <v>1</v>
      </c>
      <c r="Z2786" t="b">
        <v>1</v>
      </c>
      <c r="AA2786" t="b">
        <v>1</v>
      </c>
      <c r="AB2786" t="b">
        <v>1</v>
      </c>
      <c r="AC2786" t="b">
        <v>1</v>
      </c>
      <c r="AD2786" t="b">
        <v>1</v>
      </c>
      <c r="AE2786" t="b">
        <v>1</v>
      </c>
      <c r="AF2786" t="b">
        <v>1</v>
      </c>
      <c r="AG2786" t="b">
        <v>1</v>
      </c>
    </row>
    <row r="2787" spans="1:33" x14ac:dyDescent="0.25">
      <c r="A2787" t="s">
        <v>33</v>
      </c>
      <c r="B2787">
        <v>15</v>
      </c>
      <c r="C2787" t="b">
        <v>1</v>
      </c>
      <c r="D2787" t="s">
        <v>7968</v>
      </c>
      <c r="E2787" t="s">
        <v>9507</v>
      </c>
      <c r="F2787" t="s">
        <v>9513</v>
      </c>
      <c r="G2787" t="s">
        <v>9514</v>
      </c>
      <c r="H2787">
        <v>2786</v>
      </c>
      <c r="I2787" t="str">
        <f>IF(ISBLANK(Table1[[#This Row],[oid]]),"FALSE","TRUE")</f>
        <v>TRUE</v>
      </c>
      <c r="J2787" t="str" cm="1">
        <f t="array" ref="J2787">_xlfn.SWITCH(LEFT(Table1[[#This Row],[section]],1), "D", "Demographic", "S", "Social", "E", "Economic", "H", "Housing", "")</f>
        <v>Housing</v>
      </c>
      <c r="K2787" t="s">
        <v>9419</v>
      </c>
      <c r="L2787" t="s">
        <v>9420</v>
      </c>
      <c r="M2787" t="str">
        <f>IF(Table1[[#This Row],[used]], _xlfn.CONCAT("🆔 ", Table1[[#This Row],[variable]], ": ",Table1[[#This Row],[alias]]), "")</f>
        <v>🆔 B25092_002E: Median selected monthly owner costs as a percentage of household income in the past 12 months: Housing units with a mortgage</v>
      </c>
      <c r="O2787" t="s">
        <v>9515</v>
      </c>
      <c r="P2787" t="s">
        <v>9511</v>
      </c>
      <c r="Q2787" t="s">
        <v>249</v>
      </c>
      <c r="R2787" t="s">
        <v>9516</v>
      </c>
      <c r="S2787" t="b">
        <v>1</v>
      </c>
      <c r="T2787" t="b">
        <v>1</v>
      </c>
      <c r="U2787" t="b">
        <v>1</v>
      </c>
      <c r="V2787" t="b">
        <v>1</v>
      </c>
      <c r="W2787" t="b">
        <v>1</v>
      </c>
      <c r="X2787" t="b">
        <v>1</v>
      </c>
      <c r="Y2787" t="b">
        <v>1</v>
      </c>
      <c r="Z2787" t="b">
        <v>1</v>
      </c>
      <c r="AA2787" t="b">
        <v>1</v>
      </c>
      <c r="AB2787" t="b">
        <v>1</v>
      </c>
      <c r="AC2787" t="b">
        <v>1</v>
      </c>
      <c r="AD2787" t="b">
        <v>1</v>
      </c>
      <c r="AE2787" t="b">
        <v>1</v>
      </c>
      <c r="AF2787" t="b">
        <v>1</v>
      </c>
      <c r="AG2787" t="b">
        <v>1</v>
      </c>
    </row>
    <row r="2788" spans="1:33" x14ac:dyDescent="0.25">
      <c r="A2788" t="s">
        <v>33</v>
      </c>
      <c r="B2788">
        <v>15</v>
      </c>
      <c r="C2788" t="b">
        <v>1</v>
      </c>
      <c r="D2788" t="s">
        <v>7968</v>
      </c>
      <c r="E2788" t="s">
        <v>9507</v>
      </c>
      <c r="F2788" t="s">
        <v>9517</v>
      </c>
      <c r="G2788" t="s">
        <v>9518</v>
      </c>
      <c r="H2788">
        <v>2787</v>
      </c>
      <c r="I2788" t="str">
        <f>IF(ISBLANK(Table1[[#This Row],[oid]]),"FALSE","TRUE")</f>
        <v>TRUE</v>
      </c>
      <c r="J2788" t="str" cm="1">
        <f t="array" ref="J2788">_xlfn.SWITCH(LEFT(Table1[[#This Row],[section]],1), "D", "Demographic", "S", "Social", "E", "Economic", "H", "Housing", "")</f>
        <v>Housing</v>
      </c>
      <c r="K2788" t="s">
        <v>9419</v>
      </c>
      <c r="L2788" t="s">
        <v>9420</v>
      </c>
      <c r="M2788" t="str">
        <f>IF(Table1[[#This Row],[used]], _xlfn.CONCAT("🆔 ", Table1[[#This Row],[variable]], ": ",Table1[[#This Row],[alias]]), "")</f>
        <v>🆔 B25092_003E: Median selected monthly owner costs as a percentage of household income in the past 12 months: Housing units without a mortgage</v>
      </c>
      <c r="O2788" t="s">
        <v>9519</v>
      </c>
      <c r="P2788" t="s">
        <v>9511</v>
      </c>
      <c r="Q2788" t="s">
        <v>249</v>
      </c>
      <c r="R2788" t="s">
        <v>9520</v>
      </c>
      <c r="S2788" t="b">
        <v>1</v>
      </c>
      <c r="T2788" t="b">
        <v>1</v>
      </c>
      <c r="U2788" t="b">
        <v>1</v>
      </c>
      <c r="V2788" t="b">
        <v>1</v>
      </c>
      <c r="W2788" t="b">
        <v>1</v>
      </c>
      <c r="X2788" t="b">
        <v>1</v>
      </c>
      <c r="Y2788" t="b">
        <v>1</v>
      </c>
      <c r="Z2788" t="b">
        <v>1</v>
      </c>
      <c r="AA2788" t="b">
        <v>1</v>
      </c>
      <c r="AB2788" t="b">
        <v>1</v>
      </c>
      <c r="AC2788" t="b">
        <v>1</v>
      </c>
      <c r="AD2788" t="b">
        <v>1</v>
      </c>
      <c r="AE2788" t="b">
        <v>1</v>
      </c>
      <c r="AF2788" t="b">
        <v>1</v>
      </c>
      <c r="AG2788" t="b">
        <v>1</v>
      </c>
    </row>
    <row r="2789" spans="1:33" x14ac:dyDescent="0.25">
      <c r="A2789" t="s">
        <v>33</v>
      </c>
      <c r="B2789">
        <v>15</v>
      </c>
      <c r="C2789" t="b">
        <v>1</v>
      </c>
      <c r="D2789" t="s">
        <v>7968</v>
      </c>
      <c r="E2789" t="s">
        <v>9521</v>
      </c>
      <c r="F2789" t="s">
        <v>9522</v>
      </c>
      <c r="G2789" t="s">
        <v>9523</v>
      </c>
      <c r="H2789">
        <v>2788</v>
      </c>
      <c r="I2789" t="str">
        <f>IF(ISBLANK(Table1[[#This Row],[oid]]),"FALSE","TRUE")</f>
        <v>TRUE</v>
      </c>
      <c r="J2789" t="str" cm="1">
        <f t="array" ref="J2789">_xlfn.SWITCH(LEFT(Table1[[#This Row],[section]],1), "D", "Demographic", "S", "Social", "E", "Economic", "H", "Housing", "")</f>
        <v>Housing</v>
      </c>
      <c r="K2789" t="s">
        <v>9524</v>
      </c>
      <c r="L2789" t="s">
        <v>9525</v>
      </c>
      <c r="M2789" t="str">
        <f>IF(Table1[[#This Row],[used]], _xlfn.CONCAT("🆔 ", Table1[[#This Row],[variable]], ": ",Table1[[#This Row],[alias]]), "")</f>
        <v>🆔 B25056_001E: Renter-occupied housing units</v>
      </c>
      <c r="O2789" t="s">
        <v>39</v>
      </c>
      <c r="P2789" t="s">
        <v>9526</v>
      </c>
      <c r="Q2789" t="s">
        <v>41</v>
      </c>
      <c r="R2789" t="s">
        <v>9527</v>
      </c>
      <c r="S2789" t="b">
        <v>1</v>
      </c>
      <c r="T2789" t="b">
        <v>1</v>
      </c>
      <c r="U2789" t="b">
        <v>1</v>
      </c>
      <c r="V2789" t="b">
        <v>1</v>
      </c>
      <c r="W2789" t="b">
        <v>1</v>
      </c>
      <c r="X2789" t="b">
        <v>1</v>
      </c>
      <c r="Y2789" t="b">
        <v>1</v>
      </c>
      <c r="Z2789" t="b">
        <v>1</v>
      </c>
      <c r="AA2789" t="b">
        <v>1</v>
      </c>
      <c r="AB2789" t="b">
        <v>1</v>
      </c>
      <c r="AC2789" t="b">
        <v>1</v>
      </c>
      <c r="AD2789" t="b">
        <v>1</v>
      </c>
      <c r="AE2789" t="b">
        <v>1</v>
      </c>
      <c r="AF2789" t="b">
        <v>1</v>
      </c>
      <c r="AG2789" t="b">
        <v>1</v>
      </c>
    </row>
    <row r="2790" spans="1:33" x14ac:dyDescent="0.25">
      <c r="A2790" t="s">
        <v>33</v>
      </c>
      <c r="B2790">
        <v>15</v>
      </c>
      <c r="C2790" t="b">
        <v>1</v>
      </c>
      <c r="D2790" t="s">
        <v>7968</v>
      </c>
      <c r="E2790" t="s">
        <v>9521</v>
      </c>
      <c r="F2790" t="s">
        <v>9528</v>
      </c>
      <c r="G2790" t="s">
        <v>9529</v>
      </c>
      <c r="H2790">
        <v>2789</v>
      </c>
      <c r="I2790" t="str">
        <f>IF(ISBLANK(Table1[[#This Row],[oid]]),"FALSE","TRUE")</f>
        <v>TRUE</v>
      </c>
      <c r="J2790" t="str" cm="1">
        <f t="array" ref="J2790">_xlfn.SWITCH(LEFT(Table1[[#This Row],[section]],1), "D", "Demographic", "S", "Social", "E", "Economic", "H", "Housing", "")</f>
        <v>Housing</v>
      </c>
      <c r="K2790" t="s">
        <v>9524</v>
      </c>
      <c r="L2790" t="s">
        <v>9525</v>
      </c>
      <c r="M2790" t="str">
        <f>IF(Table1[[#This Row],[used]], _xlfn.CONCAT("🆔 ", Table1[[#This Row],[variable]], ": ",Table1[[#This Row],[alias]]), "")</f>
        <v>🆔 B25056_002E: With cash rent</v>
      </c>
      <c r="O2790" t="s">
        <v>9530</v>
      </c>
      <c r="P2790" t="s">
        <v>9526</v>
      </c>
      <c r="Q2790" t="s">
        <v>41</v>
      </c>
      <c r="R2790" t="s">
        <v>9531</v>
      </c>
      <c r="S2790" t="b">
        <v>1</v>
      </c>
      <c r="T2790" t="b">
        <v>1</v>
      </c>
      <c r="U2790" t="b">
        <v>1</v>
      </c>
      <c r="V2790" t="b">
        <v>1</v>
      </c>
      <c r="W2790" t="b">
        <v>1</v>
      </c>
      <c r="X2790" t="b">
        <v>1</v>
      </c>
      <c r="Y2790" t="b">
        <v>1</v>
      </c>
      <c r="Z2790" t="b">
        <v>1</v>
      </c>
      <c r="AA2790" t="b">
        <v>1</v>
      </c>
      <c r="AB2790" t="b">
        <v>1</v>
      </c>
      <c r="AC2790" t="b">
        <v>1</v>
      </c>
      <c r="AD2790" t="b">
        <v>1</v>
      </c>
      <c r="AE2790" t="b">
        <v>1</v>
      </c>
      <c r="AF2790" t="b">
        <v>1</v>
      </c>
      <c r="AG2790" t="b">
        <v>1</v>
      </c>
    </row>
    <row r="2791" spans="1:33" x14ac:dyDescent="0.25">
      <c r="A2791" t="s">
        <v>33</v>
      </c>
      <c r="B2791">
        <v>15</v>
      </c>
      <c r="C2791" t="b">
        <v>1</v>
      </c>
      <c r="D2791" t="s">
        <v>7968</v>
      </c>
      <c r="E2791" t="s">
        <v>9521</v>
      </c>
      <c r="F2791" t="s">
        <v>9532</v>
      </c>
      <c r="G2791" t="s">
        <v>9533</v>
      </c>
      <c r="H2791">
        <v>2790</v>
      </c>
      <c r="I2791" t="str">
        <f>IF(ISBLANK(Table1[[#This Row],[oid]]),"FALSE","TRUE")</f>
        <v>TRUE</v>
      </c>
      <c r="J2791" t="str" cm="1">
        <f t="array" ref="J2791">_xlfn.SWITCH(LEFT(Table1[[#This Row],[section]],1), "D", "Demographic", "S", "Social", "E", "Economic", "H", "Housing", "")</f>
        <v>Housing</v>
      </c>
      <c r="K2791" t="s">
        <v>9524</v>
      </c>
      <c r="L2791" t="s">
        <v>9525</v>
      </c>
      <c r="M2791" t="str">
        <f>IF(Table1[[#This Row],[used]], _xlfn.CONCAT("🆔 ", Table1[[#This Row],[variable]], ": ",Table1[[#This Row],[alias]]), "")</f>
        <v>🆔 B25056_003E: With cash rent: Less than $100</v>
      </c>
      <c r="O2791" t="s">
        <v>9534</v>
      </c>
      <c r="P2791" t="s">
        <v>9526</v>
      </c>
      <c r="Q2791" t="s">
        <v>41</v>
      </c>
      <c r="R2791" t="s">
        <v>9535</v>
      </c>
      <c r="S2791" t="b">
        <v>1</v>
      </c>
      <c r="T2791" t="b">
        <v>1</v>
      </c>
      <c r="U2791" t="b">
        <v>1</v>
      </c>
      <c r="V2791" t="b">
        <v>1</v>
      </c>
      <c r="W2791" t="b">
        <v>1</v>
      </c>
      <c r="X2791" t="b">
        <v>1</v>
      </c>
      <c r="Y2791" t="b">
        <v>1</v>
      </c>
      <c r="Z2791" t="b">
        <v>1</v>
      </c>
      <c r="AA2791" t="b">
        <v>1</v>
      </c>
      <c r="AB2791" t="b">
        <v>1</v>
      </c>
      <c r="AC2791" t="b">
        <v>1</v>
      </c>
      <c r="AD2791" t="b">
        <v>1</v>
      </c>
      <c r="AE2791" t="b">
        <v>1</v>
      </c>
      <c r="AF2791" t="b">
        <v>1</v>
      </c>
      <c r="AG2791" t="b">
        <v>1</v>
      </c>
    </row>
    <row r="2792" spans="1:33" x14ac:dyDescent="0.25">
      <c r="A2792" t="s">
        <v>33</v>
      </c>
      <c r="B2792">
        <v>15</v>
      </c>
      <c r="C2792" t="b">
        <v>1</v>
      </c>
      <c r="D2792" t="s">
        <v>7968</v>
      </c>
      <c r="E2792" t="s">
        <v>9521</v>
      </c>
      <c r="F2792" t="s">
        <v>9536</v>
      </c>
      <c r="G2792" t="s">
        <v>9537</v>
      </c>
      <c r="H2792">
        <v>2791</v>
      </c>
      <c r="I2792" t="str">
        <f>IF(ISBLANK(Table1[[#This Row],[oid]]),"FALSE","TRUE")</f>
        <v>TRUE</v>
      </c>
      <c r="J2792" t="str" cm="1">
        <f t="array" ref="J2792">_xlfn.SWITCH(LEFT(Table1[[#This Row],[section]],1), "D", "Demographic", "S", "Social", "E", "Economic", "H", "Housing", "")</f>
        <v>Housing</v>
      </c>
      <c r="K2792" t="s">
        <v>9524</v>
      </c>
      <c r="L2792" t="s">
        <v>9525</v>
      </c>
      <c r="M2792" t="str">
        <f>IF(Table1[[#This Row],[used]], _xlfn.CONCAT("🆔 ", Table1[[#This Row],[variable]], ": ",Table1[[#This Row],[alias]]), "")</f>
        <v>🆔 B25056_004E: With cash rent: $100 to $149</v>
      </c>
      <c r="O2792" t="s">
        <v>9538</v>
      </c>
      <c r="P2792" t="s">
        <v>9526</v>
      </c>
      <c r="Q2792" t="s">
        <v>41</v>
      </c>
      <c r="R2792" t="s">
        <v>9539</v>
      </c>
      <c r="S2792" t="b">
        <v>1</v>
      </c>
      <c r="T2792" t="b">
        <v>1</v>
      </c>
      <c r="U2792" t="b">
        <v>1</v>
      </c>
      <c r="V2792" t="b">
        <v>1</v>
      </c>
      <c r="W2792" t="b">
        <v>1</v>
      </c>
      <c r="X2792" t="b">
        <v>1</v>
      </c>
      <c r="Y2792" t="b">
        <v>1</v>
      </c>
      <c r="Z2792" t="b">
        <v>1</v>
      </c>
      <c r="AA2792" t="b">
        <v>1</v>
      </c>
      <c r="AB2792" t="b">
        <v>1</v>
      </c>
      <c r="AC2792" t="b">
        <v>1</v>
      </c>
      <c r="AD2792" t="b">
        <v>1</v>
      </c>
      <c r="AE2792" t="b">
        <v>1</v>
      </c>
      <c r="AF2792" t="b">
        <v>1</v>
      </c>
      <c r="AG2792" t="b">
        <v>1</v>
      </c>
    </row>
    <row r="2793" spans="1:33" x14ac:dyDescent="0.25">
      <c r="A2793" t="s">
        <v>33</v>
      </c>
      <c r="B2793">
        <v>15</v>
      </c>
      <c r="C2793" t="b">
        <v>1</v>
      </c>
      <c r="D2793" t="s">
        <v>7968</v>
      </c>
      <c r="E2793" t="s">
        <v>9521</v>
      </c>
      <c r="F2793" t="s">
        <v>9540</v>
      </c>
      <c r="G2793" t="s">
        <v>9541</v>
      </c>
      <c r="H2793">
        <v>2792</v>
      </c>
      <c r="I2793" t="str">
        <f>IF(ISBLANK(Table1[[#This Row],[oid]]),"FALSE","TRUE")</f>
        <v>TRUE</v>
      </c>
      <c r="J2793" t="str" cm="1">
        <f t="array" ref="J2793">_xlfn.SWITCH(LEFT(Table1[[#This Row],[section]],1), "D", "Demographic", "S", "Social", "E", "Economic", "H", "Housing", "")</f>
        <v>Housing</v>
      </c>
      <c r="K2793" t="s">
        <v>9524</v>
      </c>
      <c r="L2793" t="s">
        <v>9525</v>
      </c>
      <c r="M2793" t="str">
        <f>IF(Table1[[#This Row],[used]], _xlfn.CONCAT("🆔 ", Table1[[#This Row],[variable]], ": ",Table1[[#This Row],[alias]]), "")</f>
        <v>🆔 B25056_005E: With cash rent: $150 to $199</v>
      </c>
      <c r="O2793" t="s">
        <v>9542</v>
      </c>
      <c r="P2793" t="s">
        <v>9526</v>
      </c>
      <c r="Q2793" t="s">
        <v>41</v>
      </c>
      <c r="R2793" t="s">
        <v>9543</v>
      </c>
      <c r="S2793" t="b">
        <v>1</v>
      </c>
      <c r="T2793" t="b">
        <v>1</v>
      </c>
      <c r="U2793" t="b">
        <v>1</v>
      </c>
      <c r="V2793" t="b">
        <v>1</v>
      </c>
      <c r="W2793" t="b">
        <v>1</v>
      </c>
      <c r="X2793" t="b">
        <v>1</v>
      </c>
      <c r="Y2793" t="b">
        <v>1</v>
      </c>
      <c r="Z2793" t="b">
        <v>1</v>
      </c>
      <c r="AA2793" t="b">
        <v>1</v>
      </c>
      <c r="AB2793" t="b">
        <v>1</v>
      </c>
      <c r="AC2793" t="b">
        <v>1</v>
      </c>
      <c r="AD2793" t="b">
        <v>1</v>
      </c>
      <c r="AE2793" t="b">
        <v>1</v>
      </c>
      <c r="AF2793" t="b">
        <v>1</v>
      </c>
      <c r="AG2793" t="b">
        <v>1</v>
      </c>
    </row>
    <row r="2794" spans="1:33" x14ac:dyDescent="0.25">
      <c r="A2794" t="s">
        <v>33</v>
      </c>
      <c r="B2794">
        <v>15</v>
      </c>
      <c r="C2794" t="b">
        <v>1</v>
      </c>
      <c r="D2794" t="s">
        <v>7968</v>
      </c>
      <c r="E2794" t="s">
        <v>9521</v>
      </c>
      <c r="F2794" t="s">
        <v>9544</v>
      </c>
      <c r="G2794" t="s">
        <v>9545</v>
      </c>
      <c r="H2794">
        <v>2793</v>
      </c>
      <c r="I2794" t="str">
        <f>IF(ISBLANK(Table1[[#This Row],[oid]]),"FALSE","TRUE")</f>
        <v>TRUE</v>
      </c>
      <c r="J2794" t="str" cm="1">
        <f t="array" ref="J2794">_xlfn.SWITCH(LEFT(Table1[[#This Row],[section]],1), "D", "Demographic", "S", "Social", "E", "Economic", "H", "Housing", "")</f>
        <v>Housing</v>
      </c>
      <c r="K2794" t="s">
        <v>9524</v>
      </c>
      <c r="L2794" t="s">
        <v>9525</v>
      </c>
      <c r="M2794" t="str">
        <f>IF(Table1[[#This Row],[used]], _xlfn.CONCAT("🆔 ", Table1[[#This Row],[variable]], ": ",Table1[[#This Row],[alias]]), "")</f>
        <v>🆔 B25056_006E: With cash rent: $200 to $249</v>
      </c>
      <c r="O2794" t="s">
        <v>9546</v>
      </c>
      <c r="P2794" t="s">
        <v>9526</v>
      </c>
      <c r="Q2794" t="s">
        <v>41</v>
      </c>
      <c r="R2794" t="s">
        <v>9547</v>
      </c>
      <c r="S2794" t="b">
        <v>1</v>
      </c>
      <c r="T2794" t="b">
        <v>1</v>
      </c>
      <c r="U2794" t="b">
        <v>1</v>
      </c>
      <c r="V2794" t="b">
        <v>1</v>
      </c>
      <c r="W2794" t="b">
        <v>1</v>
      </c>
      <c r="X2794" t="b">
        <v>1</v>
      </c>
      <c r="Y2794" t="b">
        <v>1</v>
      </c>
      <c r="Z2794" t="b">
        <v>1</v>
      </c>
      <c r="AA2794" t="b">
        <v>1</v>
      </c>
      <c r="AB2794" t="b">
        <v>1</v>
      </c>
      <c r="AC2794" t="b">
        <v>1</v>
      </c>
      <c r="AD2794" t="b">
        <v>1</v>
      </c>
      <c r="AE2794" t="b">
        <v>1</v>
      </c>
      <c r="AF2794" t="b">
        <v>1</v>
      </c>
      <c r="AG2794" t="b">
        <v>1</v>
      </c>
    </row>
    <row r="2795" spans="1:33" x14ac:dyDescent="0.25">
      <c r="A2795" t="s">
        <v>33</v>
      </c>
      <c r="B2795">
        <v>15</v>
      </c>
      <c r="C2795" t="b">
        <v>1</v>
      </c>
      <c r="D2795" t="s">
        <v>7968</v>
      </c>
      <c r="E2795" t="s">
        <v>9521</v>
      </c>
      <c r="F2795" t="s">
        <v>9548</v>
      </c>
      <c r="G2795" t="s">
        <v>9549</v>
      </c>
      <c r="H2795">
        <v>2794</v>
      </c>
      <c r="I2795" t="str">
        <f>IF(ISBLANK(Table1[[#This Row],[oid]]),"FALSE","TRUE")</f>
        <v>TRUE</v>
      </c>
      <c r="J2795" t="str" cm="1">
        <f t="array" ref="J2795">_xlfn.SWITCH(LEFT(Table1[[#This Row],[section]],1), "D", "Demographic", "S", "Social", "E", "Economic", "H", "Housing", "")</f>
        <v>Housing</v>
      </c>
      <c r="K2795" t="s">
        <v>9524</v>
      </c>
      <c r="L2795" t="s">
        <v>9525</v>
      </c>
      <c r="M2795" t="str">
        <f>IF(Table1[[#This Row],[used]], _xlfn.CONCAT("🆔 ", Table1[[#This Row],[variable]], ": ",Table1[[#This Row],[alias]]), "")</f>
        <v>🆔 B25056_007E: With cash rent: $250 to $299</v>
      </c>
      <c r="O2795" t="s">
        <v>9550</v>
      </c>
      <c r="P2795" t="s">
        <v>9526</v>
      </c>
      <c r="Q2795" t="s">
        <v>41</v>
      </c>
      <c r="R2795" t="s">
        <v>9551</v>
      </c>
      <c r="S2795" t="b">
        <v>1</v>
      </c>
      <c r="T2795" t="b">
        <v>1</v>
      </c>
      <c r="U2795" t="b">
        <v>1</v>
      </c>
      <c r="V2795" t="b">
        <v>1</v>
      </c>
      <c r="W2795" t="b">
        <v>1</v>
      </c>
      <c r="X2795" t="b">
        <v>1</v>
      </c>
      <c r="Y2795" t="b">
        <v>1</v>
      </c>
      <c r="Z2795" t="b">
        <v>1</v>
      </c>
      <c r="AA2795" t="b">
        <v>1</v>
      </c>
      <c r="AB2795" t="b">
        <v>1</v>
      </c>
      <c r="AC2795" t="b">
        <v>1</v>
      </c>
      <c r="AD2795" t="b">
        <v>1</v>
      </c>
      <c r="AE2795" t="b">
        <v>1</v>
      </c>
      <c r="AF2795" t="b">
        <v>1</v>
      </c>
      <c r="AG2795" t="b">
        <v>1</v>
      </c>
    </row>
    <row r="2796" spans="1:33" x14ac:dyDescent="0.25">
      <c r="A2796" t="s">
        <v>33</v>
      </c>
      <c r="B2796">
        <v>15</v>
      </c>
      <c r="C2796" t="b">
        <v>1</v>
      </c>
      <c r="D2796" t="s">
        <v>7968</v>
      </c>
      <c r="E2796" t="s">
        <v>9521</v>
      </c>
      <c r="F2796" t="s">
        <v>9552</v>
      </c>
      <c r="G2796" t="s">
        <v>9553</v>
      </c>
      <c r="H2796">
        <v>2795</v>
      </c>
      <c r="I2796" t="str">
        <f>IF(ISBLANK(Table1[[#This Row],[oid]]),"FALSE","TRUE")</f>
        <v>TRUE</v>
      </c>
      <c r="J2796" t="str" cm="1">
        <f t="array" ref="J2796">_xlfn.SWITCH(LEFT(Table1[[#This Row],[section]],1), "D", "Demographic", "S", "Social", "E", "Economic", "H", "Housing", "")</f>
        <v>Housing</v>
      </c>
      <c r="K2796" t="s">
        <v>9524</v>
      </c>
      <c r="L2796" t="s">
        <v>9525</v>
      </c>
      <c r="M2796" t="str">
        <f>IF(Table1[[#This Row],[used]], _xlfn.CONCAT("🆔 ", Table1[[#This Row],[variable]], ": ",Table1[[#This Row],[alias]]), "")</f>
        <v>🆔 B25056_008E: With cash rent: $300 to $349</v>
      </c>
      <c r="O2796" t="s">
        <v>9554</v>
      </c>
      <c r="P2796" t="s">
        <v>9526</v>
      </c>
      <c r="Q2796" t="s">
        <v>41</v>
      </c>
      <c r="R2796" t="s">
        <v>9555</v>
      </c>
      <c r="S2796" t="b">
        <v>1</v>
      </c>
      <c r="T2796" t="b">
        <v>1</v>
      </c>
      <c r="U2796" t="b">
        <v>1</v>
      </c>
      <c r="V2796" t="b">
        <v>1</v>
      </c>
      <c r="W2796" t="b">
        <v>1</v>
      </c>
      <c r="X2796" t="b">
        <v>1</v>
      </c>
      <c r="Y2796" t="b">
        <v>1</v>
      </c>
      <c r="Z2796" t="b">
        <v>1</v>
      </c>
      <c r="AA2796" t="b">
        <v>1</v>
      </c>
      <c r="AB2796" t="b">
        <v>1</v>
      </c>
      <c r="AC2796" t="b">
        <v>1</v>
      </c>
      <c r="AD2796" t="b">
        <v>1</v>
      </c>
      <c r="AE2796" t="b">
        <v>1</v>
      </c>
      <c r="AF2796" t="b">
        <v>1</v>
      </c>
      <c r="AG2796" t="b">
        <v>1</v>
      </c>
    </row>
    <row r="2797" spans="1:33" x14ac:dyDescent="0.25">
      <c r="A2797" t="s">
        <v>33</v>
      </c>
      <c r="B2797">
        <v>15</v>
      </c>
      <c r="C2797" t="b">
        <v>1</v>
      </c>
      <c r="D2797" t="s">
        <v>7968</v>
      </c>
      <c r="E2797" t="s">
        <v>9521</v>
      </c>
      <c r="F2797" t="s">
        <v>9556</v>
      </c>
      <c r="G2797" t="s">
        <v>9557</v>
      </c>
      <c r="H2797">
        <v>2796</v>
      </c>
      <c r="I2797" t="str">
        <f>IF(ISBLANK(Table1[[#This Row],[oid]]),"FALSE","TRUE")</f>
        <v>TRUE</v>
      </c>
      <c r="J2797" t="str" cm="1">
        <f t="array" ref="J2797">_xlfn.SWITCH(LEFT(Table1[[#This Row],[section]],1), "D", "Demographic", "S", "Social", "E", "Economic", "H", "Housing", "")</f>
        <v>Housing</v>
      </c>
      <c r="K2797" t="s">
        <v>9524</v>
      </c>
      <c r="L2797" t="s">
        <v>9525</v>
      </c>
      <c r="M2797" t="str">
        <f>IF(Table1[[#This Row],[used]], _xlfn.CONCAT("🆔 ", Table1[[#This Row],[variable]], ": ",Table1[[#This Row],[alias]]), "")</f>
        <v>🆔 B25056_009E: With cash rent: $350 to $399</v>
      </c>
      <c r="O2797" t="s">
        <v>9558</v>
      </c>
      <c r="P2797" t="s">
        <v>9526</v>
      </c>
      <c r="Q2797" t="s">
        <v>41</v>
      </c>
      <c r="R2797" t="s">
        <v>9559</v>
      </c>
      <c r="S2797" t="b">
        <v>1</v>
      </c>
      <c r="T2797" t="b">
        <v>1</v>
      </c>
      <c r="U2797" t="b">
        <v>1</v>
      </c>
      <c r="V2797" t="b">
        <v>1</v>
      </c>
      <c r="W2797" t="b">
        <v>1</v>
      </c>
      <c r="X2797" t="b">
        <v>1</v>
      </c>
      <c r="Y2797" t="b">
        <v>1</v>
      </c>
      <c r="Z2797" t="b">
        <v>1</v>
      </c>
      <c r="AA2797" t="b">
        <v>1</v>
      </c>
      <c r="AB2797" t="b">
        <v>1</v>
      </c>
      <c r="AC2797" t="b">
        <v>1</v>
      </c>
      <c r="AD2797" t="b">
        <v>1</v>
      </c>
      <c r="AE2797" t="b">
        <v>1</v>
      </c>
      <c r="AF2797" t="b">
        <v>1</v>
      </c>
      <c r="AG2797" t="b">
        <v>1</v>
      </c>
    </row>
    <row r="2798" spans="1:33" x14ac:dyDescent="0.25">
      <c r="A2798" t="s">
        <v>33</v>
      </c>
      <c r="B2798">
        <v>15</v>
      </c>
      <c r="C2798" t="b">
        <v>1</v>
      </c>
      <c r="D2798" t="s">
        <v>7968</v>
      </c>
      <c r="E2798" t="s">
        <v>9521</v>
      </c>
      <c r="F2798" t="s">
        <v>9560</v>
      </c>
      <c r="G2798" t="s">
        <v>9561</v>
      </c>
      <c r="H2798">
        <v>2797</v>
      </c>
      <c r="I2798" t="str">
        <f>IF(ISBLANK(Table1[[#This Row],[oid]]),"FALSE","TRUE")</f>
        <v>TRUE</v>
      </c>
      <c r="J2798" t="str" cm="1">
        <f t="array" ref="J2798">_xlfn.SWITCH(LEFT(Table1[[#This Row],[section]],1), "D", "Demographic", "S", "Social", "E", "Economic", "H", "Housing", "")</f>
        <v>Housing</v>
      </c>
      <c r="K2798" t="s">
        <v>9524</v>
      </c>
      <c r="L2798" t="s">
        <v>9525</v>
      </c>
      <c r="M2798" t="str">
        <f>IF(Table1[[#This Row],[used]], _xlfn.CONCAT("🆔 ", Table1[[#This Row],[variable]], ": ",Table1[[#This Row],[alias]]), "")</f>
        <v>🆔 B25056_010E: With cash rent: $400 to $449</v>
      </c>
      <c r="O2798" t="s">
        <v>9562</v>
      </c>
      <c r="P2798" t="s">
        <v>9526</v>
      </c>
      <c r="Q2798" t="s">
        <v>41</v>
      </c>
      <c r="R2798" t="s">
        <v>9563</v>
      </c>
      <c r="S2798" t="b">
        <v>1</v>
      </c>
      <c r="T2798" t="b">
        <v>1</v>
      </c>
      <c r="U2798" t="b">
        <v>1</v>
      </c>
      <c r="V2798" t="b">
        <v>1</v>
      </c>
      <c r="W2798" t="b">
        <v>1</v>
      </c>
      <c r="X2798" t="b">
        <v>1</v>
      </c>
      <c r="Y2798" t="b">
        <v>1</v>
      </c>
      <c r="Z2798" t="b">
        <v>1</v>
      </c>
      <c r="AA2798" t="b">
        <v>1</v>
      </c>
      <c r="AB2798" t="b">
        <v>1</v>
      </c>
      <c r="AC2798" t="b">
        <v>1</v>
      </c>
      <c r="AD2798" t="b">
        <v>1</v>
      </c>
      <c r="AE2798" t="b">
        <v>1</v>
      </c>
      <c r="AF2798" t="b">
        <v>1</v>
      </c>
      <c r="AG2798" t="b">
        <v>1</v>
      </c>
    </row>
    <row r="2799" spans="1:33" x14ac:dyDescent="0.25">
      <c r="A2799" t="s">
        <v>33</v>
      </c>
      <c r="B2799">
        <v>15</v>
      </c>
      <c r="C2799" t="b">
        <v>1</v>
      </c>
      <c r="D2799" t="s">
        <v>7968</v>
      </c>
      <c r="E2799" t="s">
        <v>9521</v>
      </c>
      <c r="F2799" t="s">
        <v>9564</v>
      </c>
      <c r="G2799" t="s">
        <v>9565</v>
      </c>
      <c r="H2799">
        <v>2798</v>
      </c>
      <c r="I2799" t="str">
        <f>IF(ISBLANK(Table1[[#This Row],[oid]]),"FALSE","TRUE")</f>
        <v>TRUE</v>
      </c>
      <c r="J2799" t="str" cm="1">
        <f t="array" ref="J2799">_xlfn.SWITCH(LEFT(Table1[[#This Row],[section]],1), "D", "Demographic", "S", "Social", "E", "Economic", "H", "Housing", "")</f>
        <v>Housing</v>
      </c>
      <c r="K2799" t="s">
        <v>9524</v>
      </c>
      <c r="L2799" t="s">
        <v>9525</v>
      </c>
      <c r="M2799" t="str">
        <f>IF(Table1[[#This Row],[used]], _xlfn.CONCAT("🆔 ", Table1[[#This Row],[variable]], ": ",Table1[[#This Row],[alias]]), "")</f>
        <v>🆔 B25056_011E: With cash rent: $450 to $499</v>
      </c>
      <c r="O2799" t="s">
        <v>9566</v>
      </c>
      <c r="P2799" t="s">
        <v>9526</v>
      </c>
      <c r="Q2799" t="s">
        <v>41</v>
      </c>
      <c r="R2799" t="s">
        <v>9567</v>
      </c>
      <c r="S2799" t="b">
        <v>1</v>
      </c>
      <c r="T2799" t="b">
        <v>1</v>
      </c>
      <c r="U2799" t="b">
        <v>1</v>
      </c>
      <c r="V2799" t="b">
        <v>1</v>
      </c>
      <c r="W2799" t="b">
        <v>1</v>
      </c>
      <c r="X2799" t="b">
        <v>1</v>
      </c>
      <c r="Y2799" t="b">
        <v>1</v>
      </c>
      <c r="Z2799" t="b">
        <v>1</v>
      </c>
      <c r="AA2799" t="b">
        <v>1</v>
      </c>
      <c r="AB2799" t="b">
        <v>1</v>
      </c>
      <c r="AC2799" t="b">
        <v>1</v>
      </c>
      <c r="AD2799" t="b">
        <v>1</v>
      </c>
      <c r="AE2799" t="b">
        <v>1</v>
      </c>
      <c r="AF2799" t="b">
        <v>1</v>
      </c>
      <c r="AG2799" t="b">
        <v>1</v>
      </c>
    </row>
    <row r="2800" spans="1:33" x14ac:dyDescent="0.25">
      <c r="A2800" t="s">
        <v>33</v>
      </c>
      <c r="B2800">
        <v>15</v>
      </c>
      <c r="C2800" t="b">
        <v>1</v>
      </c>
      <c r="D2800" t="s">
        <v>7968</v>
      </c>
      <c r="E2800" t="s">
        <v>9521</v>
      </c>
      <c r="F2800" t="s">
        <v>9568</v>
      </c>
      <c r="G2800" t="s">
        <v>9569</v>
      </c>
      <c r="H2800">
        <v>2799</v>
      </c>
      <c r="I2800" t="str">
        <f>IF(ISBLANK(Table1[[#This Row],[oid]]),"FALSE","TRUE")</f>
        <v>TRUE</v>
      </c>
      <c r="J2800" t="str" cm="1">
        <f t="array" ref="J2800">_xlfn.SWITCH(LEFT(Table1[[#This Row],[section]],1), "D", "Demographic", "S", "Social", "E", "Economic", "H", "Housing", "")</f>
        <v>Housing</v>
      </c>
      <c r="K2800" t="s">
        <v>9524</v>
      </c>
      <c r="L2800" t="s">
        <v>9525</v>
      </c>
      <c r="M2800" t="str">
        <f>IF(Table1[[#This Row],[used]], _xlfn.CONCAT("🆔 ", Table1[[#This Row],[variable]], ": ",Table1[[#This Row],[alias]]), "")</f>
        <v>🆔 B25056_012E: With cash rent: $500 to $549</v>
      </c>
      <c r="O2800" t="s">
        <v>9570</v>
      </c>
      <c r="P2800" t="s">
        <v>9526</v>
      </c>
      <c r="Q2800" t="s">
        <v>41</v>
      </c>
      <c r="R2800" t="s">
        <v>9571</v>
      </c>
      <c r="S2800" t="b">
        <v>1</v>
      </c>
      <c r="T2800" t="b">
        <v>1</v>
      </c>
      <c r="U2800" t="b">
        <v>1</v>
      </c>
      <c r="V2800" t="b">
        <v>1</v>
      </c>
      <c r="W2800" t="b">
        <v>1</v>
      </c>
      <c r="X2800" t="b">
        <v>1</v>
      </c>
      <c r="Y2800" t="b">
        <v>1</v>
      </c>
      <c r="Z2800" t="b">
        <v>1</v>
      </c>
      <c r="AA2800" t="b">
        <v>1</v>
      </c>
      <c r="AB2800" t="b">
        <v>1</v>
      </c>
      <c r="AC2800" t="b">
        <v>1</v>
      </c>
      <c r="AD2800" t="b">
        <v>1</v>
      </c>
      <c r="AE2800" t="b">
        <v>1</v>
      </c>
      <c r="AF2800" t="b">
        <v>1</v>
      </c>
      <c r="AG2800" t="b">
        <v>1</v>
      </c>
    </row>
    <row r="2801" spans="1:33" x14ac:dyDescent="0.25">
      <c r="A2801" t="s">
        <v>33</v>
      </c>
      <c r="B2801">
        <v>15</v>
      </c>
      <c r="C2801" t="b">
        <v>1</v>
      </c>
      <c r="D2801" t="s">
        <v>7968</v>
      </c>
      <c r="E2801" t="s">
        <v>9521</v>
      </c>
      <c r="F2801" t="s">
        <v>9572</v>
      </c>
      <c r="G2801" t="s">
        <v>9573</v>
      </c>
      <c r="H2801">
        <v>2800</v>
      </c>
      <c r="I2801" t="str">
        <f>IF(ISBLANK(Table1[[#This Row],[oid]]),"FALSE","TRUE")</f>
        <v>TRUE</v>
      </c>
      <c r="J2801" t="str" cm="1">
        <f t="array" ref="J2801">_xlfn.SWITCH(LEFT(Table1[[#This Row],[section]],1), "D", "Demographic", "S", "Social", "E", "Economic", "H", "Housing", "")</f>
        <v>Housing</v>
      </c>
      <c r="K2801" t="s">
        <v>9524</v>
      </c>
      <c r="L2801" t="s">
        <v>9525</v>
      </c>
      <c r="M2801" t="str">
        <f>IF(Table1[[#This Row],[used]], _xlfn.CONCAT("🆔 ", Table1[[#This Row],[variable]], ": ",Table1[[#This Row],[alias]]), "")</f>
        <v>🆔 B25056_013E: With cash rent: $550 to $599</v>
      </c>
      <c r="O2801" t="s">
        <v>9574</v>
      </c>
      <c r="P2801" t="s">
        <v>9526</v>
      </c>
      <c r="Q2801" t="s">
        <v>41</v>
      </c>
      <c r="R2801" t="s">
        <v>9575</v>
      </c>
      <c r="S2801" t="b">
        <v>1</v>
      </c>
      <c r="T2801" t="b">
        <v>1</v>
      </c>
      <c r="U2801" t="b">
        <v>1</v>
      </c>
      <c r="V2801" t="b">
        <v>1</v>
      </c>
      <c r="W2801" t="b">
        <v>1</v>
      </c>
      <c r="X2801" t="b">
        <v>1</v>
      </c>
      <c r="Y2801" t="b">
        <v>1</v>
      </c>
      <c r="Z2801" t="b">
        <v>1</v>
      </c>
      <c r="AA2801" t="b">
        <v>1</v>
      </c>
      <c r="AB2801" t="b">
        <v>1</v>
      </c>
      <c r="AC2801" t="b">
        <v>1</v>
      </c>
      <c r="AD2801" t="b">
        <v>1</v>
      </c>
      <c r="AE2801" t="b">
        <v>1</v>
      </c>
      <c r="AF2801" t="b">
        <v>1</v>
      </c>
      <c r="AG2801" t="b">
        <v>1</v>
      </c>
    </row>
    <row r="2802" spans="1:33" x14ac:dyDescent="0.25">
      <c r="A2802" t="s">
        <v>33</v>
      </c>
      <c r="B2802">
        <v>15</v>
      </c>
      <c r="C2802" t="b">
        <v>1</v>
      </c>
      <c r="D2802" t="s">
        <v>7968</v>
      </c>
      <c r="E2802" t="s">
        <v>9521</v>
      </c>
      <c r="F2802" t="s">
        <v>9576</v>
      </c>
      <c r="G2802" t="s">
        <v>9577</v>
      </c>
      <c r="H2802">
        <v>2801</v>
      </c>
      <c r="I2802" t="str">
        <f>IF(ISBLANK(Table1[[#This Row],[oid]]),"FALSE","TRUE")</f>
        <v>TRUE</v>
      </c>
      <c r="J2802" t="str" cm="1">
        <f t="array" ref="J2802">_xlfn.SWITCH(LEFT(Table1[[#This Row],[section]],1), "D", "Demographic", "S", "Social", "E", "Economic", "H", "Housing", "")</f>
        <v>Housing</v>
      </c>
      <c r="K2802" t="s">
        <v>9524</v>
      </c>
      <c r="L2802" t="s">
        <v>9525</v>
      </c>
      <c r="M2802" t="str">
        <f>IF(Table1[[#This Row],[used]], _xlfn.CONCAT("🆔 ", Table1[[#This Row],[variable]], ": ",Table1[[#This Row],[alias]]), "")</f>
        <v>🆔 B25056_014E: With cash rent: $600 to $649</v>
      </c>
      <c r="O2802" t="s">
        <v>9578</v>
      </c>
      <c r="P2802" t="s">
        <v>9526</v>
      </c>
      <c r="Q2802" t="s">
        <v>41</v>
      </c>
      <c r="R2802" t="s">
        <v>9579</v>
      </c>
      <c r="S2802" t="b">
        <v>1</v>
      </c>
      <c r="T2802" t="b">
        <v>1</v>
      </c>
      <c r="U2802" t="b">
        <v>1</v>
      </c>
      <c r="V2802" t="b">
        <v>1</v>
      </c>
      <c r="W2802" t="b">
        <v>1</v>
      </c>
      <c r="X2802" t="b">
        <v>1</v>
      </c>
      <c r="Y2802" t="b">
        <v>1</v>
      </c>
      <c r="Z2802" t="b">
        <v>1</v>
      </c>
      <c r="AA2802" t="b">
        <v>1</v>
      </c>
      <c r="AB2802" t="b">
        <v>1</v>
      </c>
      <c r="AC2802" t="b">
        <v>1</v>
      </c>
      <c r="AD2802" t="b">
        <v>1</v>
      </c>
      <c r="AE2802" t="b">
        <v>1</v>
      </c>
      <c r="AF2802" t="b">
        <v>1</v>
      </c>
      <c r="AG2802" t="b">
        <v>1</v>
      </c>
    </row>
    <row r="2803" spans="1:33" x14ac:dyDescent="0.25">
      <c r="A2803" t="s">
        <v>33</v>
      </c>
      <c r="B2803">
        <v>15</v>
      </c>
      <c r="C2803" t="b">
        <v>1</v>
      </c>
      <c r="D2803" t="s">
        <v>7968</v>
      </c>
      <c r="E2803" t="s">
        <v>9521</v>
      </c>
      <c r="F2803" t="s">
        <v>9580</v>
      </c>
      <c r="G2803" t="s">
        <v>9581</v>
      </c>
      <c r="H2803">
        <v>2802</v>
      </c>
      <c r="I2803" t="str">
        <f>IF(ISBLANK(Table1[[#This Row],[oid]]),"FALSE","TRUE")</f>
        <v>TRUE</v>
      </c>
      <c r="J2803" t="str" cm="1">
        <f t="array" ref="J2803">_xlfn.SWITCH(LEFT(Table1[[#This Row],[section]],1), "D", "Demographic", "S", "Social", "E", "Economic", "H", "Housing", "")</f>
        <v>Housing</v>
      </c>
      <c r="K2803" t="s">
        <v>9524</v>
      </c>
      <c r="L2803" t="s">
        <v>9525</v>
      </c>
      <c r="M2803" t="str">
        <f>IF(Table1[[#This Row],[used]], _xlfn.CONCAT("🆔 ", Table1[[#This Row],[variable]], ": ",Table1[[#This Row],[alias]]), "")</f>
        <v>🆔 B25056_015E: With cash rent: $650 to $699</v>
      </c>
      <c r="O2803" t="s">
        <v>9582</v>
      </c>
      <c r="P2803" t="s">
        <v>9526</v>
      </c>
      <c r="Q2803" t="s">
        <v>41</v>
      </c>
      <c r="R2803" t="s">
        <v>9583</v>
      </c>
      <c r="S2803" t="b">
        <v>1</v>
      </c>
      <c r="T2803" t="b">
        <v>1</v>
      </c>
      <c r="U2803" t="b">
        <v>1</v>
      </c>
      <c r="V2803" t="b">
        <v>1</v>
      </c>
      <c r="W2803" t="b">
        <v>1</v>
      </c>
      <c r="X2803" t="b">
        <v>1</v>
      </c>
      <c r="Y2803" t="b">
        <v>1</v>
      </c>
      <c r="Z2803" t="b">
        <v>1</v>
      </c>
      <c r="AA2803" t="b">
        <v>1</v>
      </c>
      <c r="AB2803" t="b">
        <v>1</v>
      </c>
      <c r="AC2803" t="b">
        <v>1</v>
      </c>
      <c r="AD2803" t="b">
        <v>1</v>
      </c>
      <c r="AE2803" t="b">
        <v>1</v>
      </c>
      <c r="AF2803" t="b">
        <v>1</v>
      </c>
      <c r="AG2803" t="b">
        <v>1</v>
      </c>
    </row>
    <row r="2804" spans="1:33" x14ac:dyDescent="0.25">
      <c r="A2804" t="s">
        <v>33</v>
      </c>
      <c r="B2804">
        <v>15</v>
      </c>
      <c r="C2804" t="b">
        <v>1</v>
      </c>
      <c r="D2804" t="s">
        <v>7968</v>
      </c>
      <c r="E2804" t="s">
        <v>9521</v>
      </c>
      <c r="F2804" t="s">
        <v>9584</v>
      </c>
      <c r="G2804" t="s">
        <v>9585</v>
      </c>
      <c r="H2804">
        <v>2803</v>
      </c>
      <c r="I2804" t="str">
        <f>IF(ISBLANK(Table1[[#This Row],[oid]]),"FALSE","TRUE")</f>
        <v>TRUE</v>
      </c>
      <c r="J2804" t="str" cm="1">
        <f t="array" ref="J2804">_xlfn.SWITCH(LEFT(Table1[[#This Row],[section]],1), "D", "Demographic", "S", "Social", "E", "Economic", "H", "Housing", "")</f>
        <v>Housing</v>
      </c>
      <c r="K2804" t="s">
        <v>9524</v>
      </c>
      <c r="L2804" t="s">
        <v>9525</v>
      </c>
      <c r="M2804" t="str">
        <f>IF(Table1[[#This Row],[used]], _xlfn.CONCAT("🆔 ", Table1[[#This Row],[variable]], ": ",Table1[[#This Row],[alias]]), "")</f>
        <v>🆔 B25056_016E: With cash rent: $700 to $749</v>
      </c>
      <c r="O2804" t="s">
        <v>9586</v>
      </c>
      <c r="P2804" t="s">
        <v>9526</v>
      </c>
      <c r="Q2804" t="s">
        <v>41</v>
      </c>
      <c r="R2804" t="s">
        <v>9587</v>
      </c>
      <c r="S2804" t="b">
        <v>1</v>
      </c>
      <c r="T2804" t="b">
        <v>1</v>
      </c>
      <c r="U2804" t="b">
        <v>1</v>
      </c>
      <c r="V2804" t="b">
        <v>1</v>
      </c>
      <c r="W2804" t="b">
        <v>1</v>
      </c>
      <c r="X2804" t="b">
        <v>1</v>
      </c>
      <c r="Y2804" t="b">
        <v>1</v>
      </c>
      <c r="Z2804" t="b">
        <v>1</v>
      </c>
      <c r="AA2804" t="b">
        <v>1</v>
      </c>
      <c r="AB2804" t="b">
        <v>1</v>
      </c>
      <c r="AC2804" t="b">
        <v>1</v>
      </c>
      <c r="AD2804" t="b">
        <v>1</v>
      </c>
      <c r="AE2804" t="b">
        <v>1</v>
      </c>
      <c r="AF2804" t="b">
        <v>1</v>
      </c>
      <c r="AG2804" t="b">
        <v>1</v>
      </c>
    </row>
    <row r="2805" spans="1:33" x14ac:dyDescent="0.25">
      <c r="A2805" t="s">
        <v>33</v>
      </c>
      <c r="B2805">
        <v>15</v>
      </c>
      <c r="C2805" t="b">
        <v>1</v>
      </c>
      <c r="D2805" t="s">
        <v>7968</v>
      </c>
      <c r="E2805" t="s">
        <v>9521</v>
      </c>
      <c r="F2805" t="s">
        <v>9588</v>
      </c>
      <c r="G2805" t="s">
        <v>9589</v>
      </c>
      <c r="H2805">
        <v>2804</v>
      </c>
      <c r="I2805" t="str">
        <f>IF(ISBLANK(Table1[[#This Row],[oid]]),"FALSE","TRUE")</f>
        <v>TRUE</v>
      </c>
      <c r="J2805" t="str" cm="1">
        <f t="array" ref="J2805">_xlfn.SWITCH(LEFT(Table1[[#This Row],[section]],1), "D", "Demographic", "S", "Social", "E", "Economic", "H", "Housing", "")</f>
        <v>Housing</v>
      </c>
      <c r="K2805" t="s">
        <v>9524</v>
      </c>
      <c r="L2805" t="s">
        <v>9525</v>
      </c>
      <c r="M2805" t="str">
        <f>IF(Table1[[#This Row],[used]], _xlfn.CONCAT("🆔 ", Table1[[#This Row],[variable]], ": ",Table1[[#This Row],[alias]]), "")</f>
        <v>🆔 B25056_017E: With cash rent: $750 to $799</v>
      </c>
      <c r="O2805" t="s">
        <v>9590</v>
      </c>
      <c r="P2805" t="s">
        <v>9526</v>
      </c>
      <c r="Q2805" t="s">
        <v>41</v>
      </c>
      <c r="R2805" t="s">
        <v>9591</v>
      </c>
      <c r="S2805" t="b">
        <v>1</v>
      </c>
      <c r="T2805" t="b">
        <v>1</v>
      </c>
      <c r="U2805" t="b">
        <v>1</v>
      </c>
      <c r="V2805" t="b">
        <v>1</v>
      </c>
      <c r="W2805" t="b">
        <v>1</v>
      </c>
      <c r="X2805" t="b">
        <v>1</v>
      </c>
      <c r="Y2805" t="b">
        <v>1</v>
      </c>
      <c r="Z2805" t="b">
        <v>1</v>
      </c>
      <c r="AA2805" t="b">
        <v>1</v>
      </c>
      <c r="AB2805" t="b">
        <v>1</v>
      </c>
      <c r="AC2805" t="b">
        <v>1</v>
      </c>
      <c r="AD2805" t="b">
        <v>1</v>
      </c>
      <c r="AE2805" t="b">
        <v>1</v>
      </c>
      <c r="AF2805" t="b">
        <v>1</v>
      </c>
      <c r="AG2805" t="b">
        <v>1</v>
      </c>
    </row>
    <row r="2806" spans="1:33" x14ac:dyDescent="0.25">
      <c r="A2806" t="s">
        <v>33</v>
      </c>
      <c r="B2806">
        <v>15</v>
      </c>
      <c r="C2806" t="b">
        <v>1</v>
      </c>
      <c r="D2806" t="s">
        <v>7968</v>
      </c>
      <c r="E2806" t="s">
        <v>9521</v>
      </c>
      <c r="F2806" t="s">
        <v>9592</v>
      </c>
      <c r="G2806" t="s">
        <v>9593</v>
      </c>
      <c r="H2806">
        <v>2805</v>
      </c>
      <c r="I2806" t="str">
        <f>IF(ISBLANK(Table1[[#This Row],[oid]]),"FALSE","TRUE")</f>
        <v>TRUE</v>
      </c>
      <c r="J2806" t="str" cm="1">
        <f t="array" ref="J2806">_xlfn.SWITCH(LEFT(Table1[[#This Row],[section]],1), "D", "Demographic", "S", "Social", "E", "Economic", "H", "Housing", "")</f>
        <v>Housing</v>
      </c>
      <c r="K2806" t="s">
        <v>9524</v>
      </c>
      <c r="L2806" t="s">
        <v>9525</v>
      </c>
      <c r="M2806" t="str">
        <f>IF(Table1[[#This Row],[used]], _xlfn.CONCAT("🆔 ", Table1[[#This Row],[variable]], ": ",Table1[[#This Row],[alias]]), "")</f>
        <v>🆔 B25056_018E: With cash rent: $800 to $899</v>
      </c>
      <c r="O2806" t="s">
        <v>9594</v>
      </c>
      <c r="P2806" t="s">
        <v>9526</v>
      </c>
      <c r="Q2806" t="s">
        <v>41</v>
      </c>
      <c r="R2806" t="s">
        <v>9595</v>
      </c>
      <c r="S2806" t="b">
        <v>1</v>
      </c>
      <c r="T2806" t="b">
        <v>1</v>
      </c>
      <c r="U2806" t="b">
        <v>1</v>
      </c>
      <c r="V2806" t="b">
        <v>1</v>
      </c>
      <c r="W2806" t="b">
        <v>1</v>
      </c>
      <c r="X2806" t="b">
        <v>1</v>
      </c>
      <c r="Y2806" t="b">
        <v>1</v>
      </c>
      <c r="Z2806" t="b">
        <v>1</v>
      </c>
      <c r="AA2806" t="b">
        <v>1</v>
      </c>
      <c r="AB2806" t="b">
        <v>1</v>
      </c>
      <c r="AC2806" t="b">
        <v>1</v>
      </c>
      <c r="AD2806" t="b">
        <v>1</v>
      </c>
      <c r="AE2806" t="b">
        <v>1</v>
      </c>
      <c r="AF2806" t="b">
        <v>1</v>
      </c>
      <c r="AG2806" t="b">
        <v>1</v>
      </c>
    </row>
    <row r="2807" spans="1:33" x14ac:dyDescent="0.25">
      <c r="A2807" t="s">
        <v>33</v>
      </c>
      <c r="B2807">
        <v>15</v>
      </c>
      <c r="C2807" t="b">
        <v>1</v>
      </c>
      <c r="D2807" t="s">
        <v>7968</v>
      </c>
      <c r="E2807" t="s">
        <v>9521</v>
      </c>
      <c r="F2807" t="s">
        <v>9596</v>
      </c>
      <c r="G2807" t="s">
        <v>9597</v>
      </c>
      <c r="H2807">
        <v>2806</v>
      </c>
      <c r="I2807" t="str">
        <f>IF(ISBLANK(Table1[[#This Row],[oid]]),"FALSE","TRUE")</f>
        <v>TRUE</v>
      </c>
      <c r="J2807" t="str" cm="1">
        <f t="array" ref="J2807">_xlfn.SWITCH(LEFT(Table1[[#This Row],[section]],1), "D", "Demographic", "S", "Social", "E", "Economic", "H", "Housing", "")</f>
        <v>Housing</v>
      </c>
      <c r="K2807" t="s">
        <v>9524</v>
      </c>
      <c r="L2807" t="s">
        <v>9525</v>
      </c>
      <c r="M2807" t="str">
        <f>IF(Table1[[#This Row],[used]], _xlfn.CONCAT("🆔 ", Table1[[#This Row],[variable]], ": ",Table1[[#This Row],[alias]]), "")</f>
        <v>🆔 B25056_019E: With cash rent: $900 to $999</v>
      </c>
      <c r="O2807" t="s">
        <v>9598</v>
      </c>
      <c r="P2807" t="s">
        <v>9526</v>
      </c>
      <c r="Q2807" t="s">
        <v>41</v>
      </c>
      <c r="R2807" t="s">
        <v>9599</v>
      </c>
      <c r="S2807" t="b">
        <v>1</v>
      </c>
      <c r="T2807" t="b">
        <v>1</v>
      </c>
      <c r="U2807" t="b">
        <v>1</v>
      </c>
      <c r="V2807" t="b">
        <v>1</v>
      </c>
      <c r="W2807" t="b">
        <v>1</v>
      </c>
      <c r="X2807" t="b">
        <v>1</v>
      </c>
      <c r="Y2807" t="b">
        <v>1</v>
      </c>
      <c r="Z2807" t="b">
        <v>1</v>
      </c>
      <c r="AA2807" t="b">
        <v>1</v>
      </c>
      <c r="AB2807" t="b">
        <v>1</v>
      </c>
      <c r="AC2807" t="b">
        <v>1</v>
      </c>
      <c r="AD2807" t="b">
        <v>1</v>
      </c>
      <c r="AE2807" t="b">
        <v>1</v>
      </c>
      <c r="AF2807" t="b">
        <v>1</v>
      </c>
      <c r="AG2807" t="b">
        <v>1</v>
      </c>
    </row>
    <row r="2808" spans="1:33" x14ac:dyDescent="0.25">
      <c r="A2808" t="s">
        <v>33</v>
      </c>
      <c r="B2808">
        <v>15</v>
      </c>
      <c r="C2808" t="b">
        <v>1</v>
      </c>
      <c r="D2808" t="s">
        <v>7968</v>
      </c>
      <c r="E2808" t="s">
        <v>9521</v>
      </c>
      <c r="F2808" t="s">
        <v>9600</v>
      </c>
      <c r="G2808" t="s">
        <v>9601</v>
      </c>
      <c r="H2808">
        <v>2807</v>
      </c>
      <c r="I2808" t="str">
        <f>IF(ISBLANK(Table1[[#This Row],[oid]]),"FALSE","TRUE")</f>
        <v>TRUE</v>
      </c>
      <c r="J2808" t="str" cm="1">
        <f t="array" ref="J2808">_xlfn.SWITCH(LEFT(Table1[[#This Row],[section]],1), "D", "Demographic", "S", "Social", "E", "Economic", "H", "Housing", "")</f>
        <v>Housing</v>
      </c>
      <c r="K2808" t="s">
        <v>9524</v>
      </c>
      <c r="L2808" t="s">
        <v>9525</v>
      </c>
      <c r="M2808" t="str">
        <f>IF(Table1[[#This Row],[used]], _xlfn.CONCAT("🆔 ", Table1[[#This Row],[variable]], ": ",Table1[[#This Row],[alias]]), "")</f>
        <v>🆔 B25056_020E: With cash rent: $1,000 to $1,249</v>
      </c>
      <c r="O2808" t="s">
        <v>9602</v>
      </c>
      <c r="P2808" t="s">
        <v>9526</v>
      </c>
      <c r="Q2808" t="s">
        <v>41</v>
      </c>
      <c r="R2808" t="s">
        <v>9603</v>
      </c>
      <c r="S2808" t="b">
        <v>1</v>
      </c>
      <c r="T2808" t="b">
        <v>1</v>
      </c>
      <c r="U2808" t="b">
        <v>1</v>
      </c>
      <c r="V2808" t="b">
        <v>1</v>
      </c>
      <c r="W2808" t="b">
        <v>1</v>
      </c>
      <c r="X2808" t="b">
        <v>1</v>
      </c>
      <c r="Y2808" t="b">
        <v>1</v>
      </c>
      <c r="Z2808" t="b">
        <v>1</v>
      </c>
      <c r="AA2808" t="b">
        <v>1</v>
      </c>
      <c r="AB2808" t="b">
        <v>1</v>
      </c>
      <c r="AC2808" t="b">
        <v>1</v>
      </c>
      <c r="AD2808" t="b">
        <v>1</v>
      </c>
      <c r="AE2808" t="b">
        <v>1</v>
      </c>
      <c r="AF2808" t="b">
        <v>1</v>
      </c>
      <c r="AG2808" t="b">
        <v>1</v>
      </c>
    </row>
    <row r="2809" spans="1:33" x14ac:dyDescent="0.25">
      <c r="A2809" t="s">
        <v>33</v>
      </c>
      <c r="B2809">
        <v>15</v>
      </c>
      <c r="C2809" t="b">
        <v>1</v>
      </c>
      <c r="D2809" t="s">
        <v>7968</v>
      </c>
      <c r="E2809" t="s">
        <v>9521</v>
      </c>
      <c r="F2809" t="s">
        <v>9604</v>
      </c>
      <c r="G2809" t="s">
        <v>9605</v>
      </c>
      <c r="H2809">
        <v>2808</v>
      </c>
      <c r="I2809" t="str">
        <f>IF(ISBLANK(Table1[[#This Row],[oid]]),"FALSE","TRUE")</f>
        <v>TRUE</v>
      </c>
      <c r="J2809" t="str" cm="1">
        <f t="array" ref="J2809">_xlfn.SWITCH(LEFT(Table1[[#This Row],[section]],1), "D", "Demographic", "S", "Social", "E", "Economic", "H", "Housing", "")</f>
        <v>Housing</v>
      </c>
      <c r="K2809" t="s">
        <v>9524</v>
      </c>
      <c r="L2809" t="s">
        <v>9525</v>
      </c>
      <c r="M2809" t="str">
        <f>IF(Table1[[#This Row],[used]], _xlfn.CONCAT("🆔 ", Table1[[#This Row],[variable]], ": ",Table1[[#This Row],[alias]]), "")</f>
        <v>🆔 B25056_021E: With cash rent: $1,250 to $1,499</v>
      </c>
      <c r="O2809" t="s">
        <v>9606</v>
      </c>
      <c r="P2809" t="s">
        <v>9526</v>
      </c>
      <c r="Q2809" t="s">
        <v>41</v>
      </c>
      <c r="R2809" t="s">
        <v>9607</v>
      </c>
      <c r="S2809" t="b">
        <v>1</v>
      </c>
      <c r="T2809" t="b">
        <v>1</v>
      </c>
      <c r="U2809" t="b">
        <v>1</v>
      </c>
      <c r="V2809" t="b">
        <v>1</v>
      </c>
      <c r="W2809" t="b">
        <v>1</v>
      </c>
      <c r="X2809" t="b">
        <v>1</v>
      </c>
      <c r="Y2809" t="b">
        <v>1</v>
      </c>
      <c r="Z2809" t="b">
        <v>1</v>
      </c>
      <c r="AA2809" t="b">
        <v>1</v>
      </c>
      <c r="AB2809" t="b">
        <v>1</v>
      </c>
      <c r="AC2809" t="b">
        <v>1</v>
      </c>
      <c r="AD2809" t="b">
        <v>1</v>
      </c>
      <c r="AE2809" t="b">
        <v>1</v>
      </c>
      <c r="AF2809" t="b">
        <v>1</v>
      </c>
      <c r="AG2809" t="b">
        <v>1</v>
      </c>
    </row>
    <row r="2810" spans="1:33" x14ac:dyDescent="0.25">
      <c r="A2810" t="s">
        <v>33</v>
      </c>
      <c r="B2810">
        <v>15</v>
      </c>
      <c r="C2810" t="b">
        <v>1</v>
      </c>
      <c r="D2810" t="s">
        <v>7968</v>
      </c>
      <c r="E2810" t="s">
        <v>9521</v>
      </c>
      <c r="F2810" t="s">
        <v>9608</v>
      </c>
      <c r="G2810" t="s">
        <v>9609</v>
      </c>
      <c r="H2810">
        <v>2809</v>
      </c>
      <c r="I2810" t="str">
        <f>IF(ISBLANK(Table1[[#This Row],[oid]]),"FALSE","TRUE")</f>
        <v>TRUE</v>
      </c>
      <c r="J2810" t="str" cm="1">
        <f t="array" ref="J2810">_xlfn.SWITCH(LEFT(Table1[[#This Row],[section]],1), "D", "Demographic", "S", "Social", "E", "Economic", "H", "Housing", "")</f>
        <v>Housing</v>
      </c>
      <c r="K2810" t="s">
        <v>9524</v>
      </c>
      <c r="L2810" t="s">
        <v>9525</v>
      </c>
      <c r="M2810" t="str">
        <f>IF(Table1[[#This Row],[used]], _xlfn.CONCAT("🆔 ", Table1[[#This Row],[variable]], ": ",Table1[[#This Row],[alias]]), "")</f>
        <v>🆔 B25056_022E: With cash rent: $1,500 to $1,999</v>
      </c>
      <c r="O2810" t="s">
        <v>9610</v>
      </c>
      <c r="P2810" t="s">
        <v>9526</v>
      </c>
      <c r="Q2810" t="s">
        <v>41</v>
      </c>
      <c r="R2810" t="s">
        <v>9611</v>
      </c>
      <c r="S2810" t="b">
        <v>1</v>
      </c>
      <c r="T2810" t="b">
        <v>1</v>
      </c>
      <c r="U2810" t="b">
        <v>1</v>
      </c>
      <c r="V2810" t="b">
        <v>1</v>
      </c>
      <c r="W2810" t="b">
        <v>1</v>
      </c>
      <c r="X2810" t="b">
        <v>1</v>
      </c>
      <c r="Y2810" t="b">
        <v>1</v>
      </c>
      <c r="Z2810" t="b">
        <v>1</v>
      </c>
      <c r="AA2810" t="b">
        <v>1</v>
      </c>
      <c r="AB2810" t="b">
        <v>1</v>
      </c>
      <c r="AC2810" t="b">
        <v>1</v>
      </c>
      <c r="AD2810" t="b">
        <v>1</v>
      </c>
      <c r="AE2810" t="b">
        <v>1</v>
      </c>
      <c r="AF2810" t="b">
        <v>1</v>
      </c>
      <c r="AG2810" t="b">
        <v>1</v>
      </c>
    </row>
    <row r="2811" spans="1:33" x14ac:dyDescent="0.25">
      <c r="A2811" t="s">
        <v>709</v>
      </c>
      <c r="B2811">
        <v>5</v>
      </c>
      <c r="C2811" t="b">
        <v>0</v>
      </c>
      <c r="D2811" t="s">
        <v>7968</v>
      </c>
      <c r="E2811" t="s">
        <v>9521</v>
      </c>
      <c r="F2811" t="s">
        <v>9612</v>
      </c>
      <c r="G2811" t="s">
        <v>9613</v>
      </c>
      <c r="H2811">
        <v>2810</v>
      </c>
      <c r="I2811" t="str">
        <f>IF(ISBLANK(Table1[[#This Row],[oid]]),"FALSE","TRUE")</f>
        <v>TRUE</v>
      </c>
      <c r="J2811" t="str" cm="1">
        <f t="array" ref="J2811">_xlfn.SWITCH(LEFT(Table1[[#This Row],[section]],1), "D", "Demographic", "S", "Social", "E", "Economic", "H", "Housing", "")</f>
        <v>Housing</v>
      </c>
      <c r="K2811" t="s">
        <v>9524</v>
      </c>
      <c r="L2811" t="s">
        <v>9525</v>
      </c>
      <c r="M2811" t="str">
        <f>IF(Table1[[#This Row],[used]], _xlfn.CONCAT("🆔 ", Table1[[#This Row],[variable]], ": ",Table1[[#This Row],[alias]]), "")</f>
        <v>🆔 B25056_023E: With cash rent: $2,000 or more</v>
      </c>
      <c r="O2811" t="s">
        <v>9614</v>
      </c>
      <c r="P2811" t="s">
        <v>9526</v>
      </c>
      <c r="Q2811" t="s">
        <v>41</v>
      </c>
      <c r="R2811" t="s">
        <v>9615</v>
      </c>
      <c r="S2811" t="b">
        <v>1</v>
      </c>
      <c r="T2811" t="b">
        <v>1</v>
      </c>
      <c r="U2811" t="b">
        <v>1</v>
      </c>
      <c r="V2811" t="b">
        <v>1</v>
      </c>
      <c r="W2811" t="b">
        <v>1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</row>
    <row r="2812" spans="1:33" x14ac:dyDescent="0.25">
      <c r="A2812" t="s">
        <v>714</v>
      </c>
      <c r="B2812">
        <v>10</v>
      </c>
      <c r="C2812" t="b">
        <v>0</v>
      </c>
      <c r="D2812" t="s">
        <v>7968</v>
      </c>
      <c r="E2812" t="s">
        <v>9521</v>
      </c>
      <c r="F2812" t="s">
        <v>9612</v>
      </c>
      <c r="G2812" t="s">
        <v>9616</v>
      </c>
      <c r="H2812">
        <v>2811</v>
      </c>
      <c r="I2812" t="str">
        <f>IF(ISBLANK(Table1[[#This Row],[oid]]),"FALSE","TRUE")</f>
        <v>TRUE</v>
      </c>
      <c r="J2812" t="str" cm="1">
        <f t="array" ref="J2812">_xlfn.SWITCH(LEFT(Table1[[#This Row],[section]],1), "D", "Demographic", "S", "Social", "E", "Economic", "H", "Housing", "")</f>
        <v>Housing</v>
      </c>
      <c r="K2812" t="s">
        <v>9524</v>
      </c>
      <c r="L2812" t="s">
        <v>9525</v>
      </c>
      <c r="M2812" t="str">
        <f>IF(Table1[[#This Row],[used]], _xlfn.CONCAT("🆔 ", Table1[[#This Row],[variable]], ": ",Table1[[#This Row],[alias]]), "")</f>
        <v>🆔 B25056_023E: With cash rent: $2,000 to $2,499</v>
      </c>
      <c r="O2812" t="s">
        <v>9617</v>
      </c>
      <c r="P2812" t="s">
        <v>9526</v>
      </c>
      <c r="Q2812" t="s">
        <v>41</v>
      </c>
      <c r="R2812" t="s">
        <v>9615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  <c r="X2812" t="b">
        <v>1</v>
      </c>
      <c r="Y2812" t="b">
        <v>1</v>
      </c>
      <c r="Z2812" t="b">
        <v>1</v>
      </c>
      <c r="AA2812" t="b">
        <v>1</v>
      </c>
      <c r="AB2812" t="b">
        <v>1</v>
      </c>
      <c r="AC2812" t="b">
        <v>1</v>
      </c>
      <c r="AD2812" t="b">
        <v>1</v>
      </c>
      <c r="AE2812" t="b">
        <v>1</v>
      </c>
      <c r="AF2812" t="b">
        <v>1</v>
      </c>
      <c r="AG2812" t="b">
        <v>1</v>
      </c>
    </row>
    <row r="2813" spans="1:33" x14ac:dyDescent="0.25">
      <c r="A2813" t="s">
        <v>709</v>
      </c>
      <c r="B2813">
        <v>5</v>
      </c>
      <c r="C2813" t="b">
        <v>0</v>
      </c>
      <c r="D2813" t="s">
        <v>7968</v>
      </c>
      <c r="E2813" t="s">
        <v>9521</v>
      </c>
      <c r="F2813" t="s">
        <v>9618</v>
      </c>
      <c r="G2813" t="s">
        <v>9619</v>
      </c>
      <c r="H2813">
        <v>2812</v>
      </c>
      <c r="I2813" t="str">
        <f>IF(ISBLANK(Table1[[#This Row],[oid]]),"FALSE","TRUE")</f>
        <v>TRUE</v>
      </c>
      <c r="J2813" t="str" cm="1">
        <f t="array" ref="J2813">_xlfn.SWITCH(LEFT(Table1[[#This Row],[section]],1), "D", "Demographic", "S", "Social", "E", "Economic", "H", "Housing", "")</f>
        <v>Housing</v>
      </c>
      <c r="K2813" t="s">
        <v>9524</v>
      </c>
      <c r="L2813" t="s">
        <v>9525</v>
      </c>
      <c r="M2813" t="str">
        <f>IF(Table1[[#This Row],[used]], _xlfn.CONCAT("🆔 ", Table1[[#This Row],[variable]], ": ",Table1[[#This Row],[alias]]), "")</f>
        <v>🆔 B25056_024E: No cash rent</v>
      </c>
      <c r="O2813" t="s">
        <v>9620</v>
      </c>
      <c r="P2813" t="s">
        <v>9526</v>
      </c>
      <c r="Q2813" t="s">
        <v>41</v>
      </c>
      <c r="R2813" t="s">
        <v>9621</v>
      </c>
      <c r="S2813" t="b">
        <v>1</v>
      </c>
      <c r="T2813" t="b">
        <v>1</v>
      </c>
      <c r="U2813" t="b">
        <v>1</v>
      </c>
      <c r="V2813" t="b">
        <v>1</v>
      </c>
      <c r="W2813" t="b">
        <v>1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0</v>
      </c>
    </row>
    <row r="2814" spans="1:33" x14ac:dyDescent="0.25">
      <c r="A2814" t="s">
        <v>714</v>
      </c>
      <c r="B2814">
        <v>10</v>
      </c>
      <c r="C2814" t="b">
        <v>0</v>
      </c>
      <c r="D2814" t="s">
        <v>7968</v>
      </c>
      <c r="E2814" t="s">
        <v>9521</v>
      </c>
      <c r="F2814" t="s">
        <v>9618</v>
      </c>
      <c r="G2814" t="s">
        <v>9622</v>
      </c>
      <c r="H2814">
        <v>2813</v>
      </c>
      <c r="I2814" t="str">
        <f>IF(ISBLANK(Table1[[#This Row],[oid]]),"FALSE","TRUE")</f>
        <v>TRUE</v>
      </c>
      <c r="J2814" t="str" cm="1">
        <f t="array" ref="J2814">_xlfn.SWITCH(LEFT(Table1[[#This Row],[section]],1), "D", "Demographic", "S", "Social", "E", "Economic", "H", "Housing", "")</f>
        <v>Housing</v>
      </c>
      <c r="K2814" t="s">
        <v>9524</v>
      </c>
      <c r="L2814" t="s">
        <v>9525</v>
      </c>
      <c r="M2814" t="str">
        <f>IF(Table1[[#This Row],[used]], _xlfn.CONCAT("🆔 ", Table1[[#This Row],[variable]], ": ",Table1[[#This Row],[alias]]), "")</f>
        <v>🆔 B25056_024E: With cash rent: $2,500 to $2,999</v>
      </c>
      <c r="O2814" t="s">
        <v>9623</v>
      </c>
      <c r="P2814" t="s">
        <v>9526</v>
      </c>
      <c r="Q2814" t="s">
        <v>41</v>
      </c>
      <c r="R2814" t="s">
        <v>9621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1</v>
      </c>
      <c r="Y2814" t="b">
        <v>1</v>
      </c>
      <c r="Z2814" t="b">
        <v>1</v>
      </c>
      <c r="AA2814" t="b">
        <v>1</v>
      </c>
      <c r="AB2814" t="b">
        <v>1</v>
      </c>
      <c r="AC2814" t="b">
        <v>1</v>
      </c>
      <c r="AD2814" t="b">
        <v>1</v>
      </c>
      <c r="AE2814" t="b">
        <v>1</v>
      </c>
      <c r="AF2814" t="b">
        <v>1</v>
      </c>
      <c r="AG2814" t="b">
        <v>1</v>
      </c>
    </row>
    <row r="2815" spans="1:33" x14ac:dyDescent="0.25">
      <c r="A2815" t="s">
        <v>714</v>
      </c>
      <c r="B2815">
        <v>10</v>
      </c>
      <c r="C2815" t="b">
        <v>0</v>
      </c>
      <c r="D2815" t="s">
        <v>7968</v>
      </c>
      <c r="E2815" t="s">
        <v>9521</v>
      </c>
      <c r="F2815" t="s">
        <v>9624</v>
      </c>
      <c r="G2815" t="s">
        <v>9625</v>
      </c>
      <c r="H2815">
        <v>2814</v>
      </c>
      <c r="I2815" t="str">
        <f>IF(ISBLANK(Table1[[#This Row],[oid]]),"FALSE","TRUE")</f>
        <v>TRUE</v>
      </c>
      <c r="J2815" t="str" cm="1">
        <f t="array" ref="J2815">_xlfn.SWITCH(LEFT(Table1[[#This Row],[section]],1), "D", "Demographic", "S", "Social", "E", "Economic", "H", "Housing", "")</f>
        <v>Housing</v>
      </c>
      <c r="K2815" t="s">
        <v>9524</v>
      </c>
      <c r="L2815" t="s">
        <v>9525</v>
      </c>
      <c r="M2815" t="str">
        <f>IF(Table1[[#This Row],[used]], _xlfn.CONCAT("🆔 ", Table1[[#This Row],[variable]], ": ",Table1[[#This Row],[alias]]), "")</f>
        <v>🆔 B25056_025E: With cash rent: $3,000 to $3,499</v>
      </c>
      <c r="O2815" t="s">
        <v>9626</v>
      </c>
      <c r="P2815" t="s">
        <v>9526</v>
      </c>
      <c r="Q2815" t="s">
        <v>41</v>
      </c>
      <c r="R2815" t="s">
        <v>9627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1</v>
      </c>
      <c r="Y2815" t="b">
        <v>1</v>
      </c>
      <c r="Z2815" t="b">
        <v>1</v>
      </c>
      <c r="AA2815" t="b">
        <v>1</v>
      </c>
      <c r="AB2815" t="b">
        <v>1</v>
      </c>
      <c r="AC2815" t="b">
        <v>1</v>
      </c>
      <c r="AD2815" t="b">
        <v>1</v>
      </c>
      <c r="AE2815" t="b">
        <v>1</v>
      </c>
      <c r="AF2815" t="b">
        <v>1</v>
      </c>
      <c r="AG2815" t="b">
        <v>1</v>
      </c>
    </row>
    <row r="2816" spans="1:33" x14ac:dyDescent="0.25">
      <c r="A2816" t="s">
        <v>714</v>
      </c>
      <c r="B2816">
        <v>10</v>
      </c>
      <c r="C2816" t="b">
        <v>0</v>
      </c>
      <c r="D2816" t="s">
        <v>7968</v>
      </c>
      <c r="E2816" t="s">
        <v>9521</v>
      </c>
      <c r="F2816" t="s">
        <v>9628</v>
      </c>
      <c r="G2816" t="s">
        <v>9629</v>
      </c>
      <c r="H2816">
        <v>2815</v>
      </c>
      <c r="I2816" t="str">
        <f>IF(ISBLANK(Table1[[#This Row],[oid]]),"FALSE","TRUE")</f>
        <v>TRUE</v>
      </c>
      <c r="J2816" t="str" cm="1">
        <f t="array" ref="J2816">_xlfn.SWITCH(LEFT(Table1[[#This Row],[section]],1), "D", "Demographic", "S", "Social", "E", "Economic", "H", "Housing", "")</f>
        <v>Housing</v>
      </c>
      <c r="K2816" t="s">
        <v>9524</v>
      </c>
      <c r="L2816" t="s">
        <v>9525</v>
      </c>
      <c r="M2816" t="str">
        <f>IF(Table1[[#This Row],[used]], _xlfn.CONCAT("🆔 ", Table1[[#This Row],[variable]], ": ",Table1[[#This Row],[alias]]), "")</f>
        <v>🆔 B25056_026E: With cash rent: $3,500 or more</v>
      </c>
      <c r="O2816" t="s">
        <v>9630</v>
      </c>
      <c r="P2816" t="s">
        <v>9526</v>
      </c>
      <c r="Q2816" t="s">
        <v>41</v>
      </c>
      <c r="R2816" t="s">
        <v>9631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  <c r="X2816" t="b">
        <v>1</v>
      </c>
      <c r="Y2816" t="b">
        <v>1</v>
      </c>
      <c r="Z2816" t="b">
        <v>1</v>
      </c>
      <c r="AA2816" t="b">
        <v>1</v>
      </c>
      <c r="AB2816" t="b">
        <v>1</v>
      </c>
      <c r="AC2816" t="b">
        <v>1</v>
      </c>
      <c r="AD2816" t="b">
        <v>1</v>
      </c>
      <c r="AE2816" t="b">
        <v>1</v>
      </c>
      <c r="AF2816" t="b">
        <v>1</v>
      </c>
      <c r="AG2816" t="b">
        <v>1</v>
      </c>
    </row>
    <row r="2817" spans="1:33" x14ac:dyDescent="0.25">
      <c r="A2817" t="s">
        <v>714</v>
      </c>
      <c r="B2817">
        <v>10</v>
      </c>
      <c r="C2817" t="b">
        <v>0</v>
      </c>
      <c r="D2817" t="s">
        <v>7968</v>
      </c>
      <c r="E2817" t="s">
        <v>9521</v>
      </c>
      <c r="F2817" t="s">
        <v>9632</v>
      </c>
      <c r="G2817" t="s">
        <v>9619</v>
      </c>
      <c r="H2817">
        <v>2816</v>
      </c>
      <c r="I2817" t="str">
        <f>IF(ISBLANK(Table1[[#This Row],[oid]]),"FALSE","TRUE")</f>
        <v>TRUE</v>
      </c>
      <c r="J2817" t="str" cm="1">
        <f t="array" ref="J2817">_xlfn.SWITCH(LEFT(Table1[[#This Row],[section]],1), "D", "Demographic", "S", "Social", "E", "Economic", "H", "Housing", "")</f>
        <v>Housing</v>
      </c>
      <c r="K2817" t="s">
        <v>9524</v>
      </c>
      <c r="L2817" t="s">
        <v>9525</v>
      </c>
      <c r="M2817" t="str">
        <f>IF(Table1[[#This Row],[used]], _xlfn.CONCAT("🆔 ", Table1[[#This Row],[variable]], ": ",Table1[[#This Row],[alias]]), "")</f>
        <v>🆔 B25056_027E: No cash rent</v>
      </c>
      <c r="O2817" t="s">
        <v>9620</v>
      </c>
      <c r="P2817" t="s">
        <v>9526</v>
      </c>
      <c r="Q2817" t="s">
        <v>41</v>
      </c>
      <c r="R2817" t="s">
        <v>9633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  <c r="X2817" t="b">
        <v>1</v>
      </c>
      <c r="Y2817" t="b">
        <v>1</v>
      </c>
      <c r="Z2817" t="b">
        <v>1</v>
      </c>
      <c r="AA2817" t="b">
        <v>1</v>
      </c>
      <c r="AB2817" t="b">
        <v>1</v>
      </c>
      <c r="AC2817" t="b">
        <v>1</v>
      </c>
      <c r="AD2817" t="b">
        <v>1</v>
      </c>
      <c r="AE2817" t="b">
        <v>1</v>
      </c>
      <c r="AF2817" t="b">
        <v>1</v>
      </c>
      <c r="AG2817" t="b">
        <v>1</v>
      </c>
    </row>
    <row r="2818" spans="1:33" x14ac:dyDescent="0.25">
      <c r="A2818" t="s">
        <v>33</v>
      </c>
      <c r="B2818">
        <v>15</v>
      </c>
      <c r="C2818" t="b">
        <v>1</v>
      </c>
      <c r="D2818" t="s">
        <v>7968</v>
      </c>
      <c r="E2818" t="s">
        <v>9634</v>
      </c>
      <c r="F2818" t="s">
        <v>9635</v>
      </c>
      <c r="G2818" t="s">
        <v>9636</v>
      </c>
      <c r="H2818">
        <v>2817</v>
      </c>
      <c r="I2818" t="str">
        <f>IF(ISBLANK(Table1[[#This Row],[oid]]),"FALSE","TRUE")</f>
        <v>TRUE</v>
      </c>
      <c r="J2818" t="str" cm="1">
        <f t="array" ref="J2818">_xlfn.SWITCH(LEFT(Table1[[#This Row],[section]],1), "D", "Demographic", "S", "Social", "E", "Economic", "H", "Housing", "")</f>
        <v>Housing</v>
      </c>
      <c r="K2818" t="s">
        <v>9524</v>
      </c>
      <c r="L2818" t="s">
        <v>9525</v>
      </c>
      <c r="M2818" t="str">
        <f>IF(Table1[[#This Row],[used]], _xlfn.CONCAT("🆔 ", Table1[[#This Row],[variable]], ": ",Table1[[#This Row],[alias]]), "")</f>
        <v>🆔 B25057_001E: Lower contract rent quartile</v>
      </c>
      <c r="O2818" t="s">
        <v>9637</v>
      </c>
      <c r="P2818" t="s">
        <v>9638</v>
      </c>
      <c r="Q2818" t="s">
        <v>41</v>
      </c>
      <c r="R2818" t="s">
        <v>9639</v>
      </c>
      <c r="S2818" t="b">
        <v>1</v>
      </c>
      <c r="T2818" t="b">
        <v>1</v>
      </c>
      <c r="U2818" t="b">
        <v>1</v>
      </c>
      <c r="V2818" t="b">
        <v>1</v>
      </c>
      <c r="W2818" t="b">
        <v>1</v>
      </c>
      <c r="X2818" t="b">
        <v>1</v>
      </c>
      <c r="Y2818" t="b">
        <v>1</v>
      </c>
      <c r="Z2818" t="b">
        <v>1</v>
      </c>
      <c r="AA2818" t="b">
        <v>1</v>
      </c>
      <c r="AB2818" t="b">
        <v>1</v>
      </c>
      <c r="AC2818" t="b">
        <v>1</v>
      </c>
      <c r="AD2818" t="b">
        <v>1</v>
      </c>
      <c r="AE2818" t="b">
        <v>1</v>
      </c>
      <c r="AF2818" t="b">
        <v>1</v>
      </c>
      <c r="AG2818" t="b">
        <v>1</v>
      </c>
    </row>
    <row r="2819" spans="1:33" x14ac:dyDescent="0.25">
      <c r="A2819" t="s">
        <v>33</v>
      </c>
      <c r="B2819">
        <v>15</v>
      </c>
      <c r="C2819" t="b">
        <v>1</v>
      </c>
      <c r="D2819" t="s">
        <v>7968</v>
      </c>
      <c r="E2819" t="s">
        <v>9640</v>
      </c>
      <c r="F2819" t="s">
        <v>9641</v>
      </c>
      <c r="G2819" t="s">
        <v>9642</v>
      </c>
      <c r="H2819">
        <v>2818</v>
      </c>
      <c r="I2819" t="str">
        <f>IF(ISBLANK(Table1[[#This Row],[oid]]),"FALSE","TRUE")</f>
        <v>TRUE</v>
      </c>
      <c r="J2819" t="str" cm="1">
        <f t="array" ref="J2819">_xlfn.SWITCH(LEFT(Table1[[#This Row],[section]],1), "D", "Demographic", "S", "Social", "E", "Economic", "H", "Housing", "")</f>
        <v>Housing</v>
      </c>
      <c r="K2819" t="s">
        <v>9524</v>
      </c>
      <c r="L2819" t="s">
        <v>9525</v>
      </c>
      <c r="M2819" t="str">
        <f>IF(Table1[[#This Row],[used]], _xlfn.CONCAT("🆔 ", Table1[[#This Row],[variable]], ": ",Table1[[#This Row],[alias]]), "")</f>
        <v>🆔 B25058_001E: Median contract rent</v>
      </c>
      <c r="O2819" t="s">
        <v>9643</v>
      </c>
      <c r="P2819" t="s">
        <v>9644</v>
      </c>
      <c r="Q2819" t="s">
        <v>41</v>
      </c>
      <c r="R2819" t="s">
        <v>9645</v>
      </c>
      <c r="S2819" t="b">
        <v>1</v>
      </c>
      <c r="T2819" t="b">
        <v>1</v>
      </c>
      <c r="U2819" t="b">
        <v>1</v>
      </c>
      <c r="V2819" t="b">
        <v>1</v>
      </c>
      <c r="W2819" t="b">
        <v>1</v>
      </c>
      <c r="X2819" t="b">
        <v>1</v>
      </c>
      <c r="Y2819" t="b">
        <v>1</v>
      </c>
      <c r="Z2819" t="b">
        <v>1</v>
      </c>
      <c r="AA2819" t="b">
        <v>1</v>
      </c>
      <c r="AB2819" t="b">
        <v>1</v>
      </c>
      <c r="AC2819" t="b">
        <v>1</v>
      </c>
      <c r="AD2819" t="b">
        <v>1</v>
      </c>
      <c r="AE2819" t="b">
        <v>1</v>
      </c>
      <c r="AF2819" t="b">
        <v>1</v>
      </c>
      <c r="AG2819" t="b">
        <v>1</v>
      </c>
    </row>
    <row r="2820" spans="1:33" x14ac:dyDescent="0.25">
      <c r="A2820" t="s">
        <v>33</v>
      </c>
      <c r="B2820">
        <v>15</v>
      </c>
      <c r="C2820" t="b">
        <v>1</v>
      </c>
      <c r="D2820" t="s">
        <v>7968</v>
      </c>
      <c r="E2820" t="s">
        <v>9646</v>
      </c>
      <c r="F2820" t="s">
        <v>9647</v>
      </c>
      <c r="G2820" t="s">
        <v>9648</v>
      </c>
      <c r="H2820">
        <v>2819</v>
      </c>
      <c r="I2820" t="str">
        <f>IF(ISBLANK(Table1[[#This Row],[oid]]),"FALSE","TRUE")</f>
        <v>TRUE</v>
      </c>
      <c r="J2820" t="str" cm="1">
        <f t="array" ref="J2820">_xlfn.SWITCH(LEFT(Table1[[#This Row],[section]],1), "D", "Demographic", "S", "Social", "E", "Economic", "H", "Housing", "")</f>
        <v>Housing</v>
      </c>
      <c r="K2820" t="s">
        <v>9524</v>
      </c>
      <c r="L2820" t="s">
        <v>9525</v>
      </c>
      <c r="M2820" t="str">
        <f>IF(Table1[[#This Row],[used]], _xlfn.CONCAT("🆔 ", Table1[[#This Row],[variable]], ": ",Table1[[#This Row],[alias]]), "")</f>
        <v>🆔 B25059_001E: Upper contract rent quartile</v>
      </c>
      <c r="O2820" t="s">
        <v>9649</v>
      </c>
      <c r="P2820" t="s">
        <v>9650</v>
      </c>
      <c r="Q2820" t="s">
        <v>41</v>
      </c>
      <c r="R2820" t="s">
        <v>9651</v>
      </c>
      <c r="S2820" t="b">
        <v>1</v>
      </c>
      <c r="T2820" t="b">
        <v>1</v>
      </c>
      <c r="U2820" t="b">
        <v>1</v>
      </c>
      <c r="V2820" t="b">
        <v>1</v>
      </c>
      <c r="W2820" t="b">
        <v>1</v>
      </c>
      <c r="X2820" t="b">
        <v>1</v>
      </c>
      <c r="Y2820" t="b">
        <v>1</v>
      </c>
      <c r="Z2820" t="b">
        <v>1</v>
      </c>
      <c r="AA2820" t="b">
        <v>1</v>
      </c>
      <c r="AB2820" t="b">
        <v>1</v>
      </c>
      <c r="AC2820" t="b">
        <v>1</v>
      </c>
      <c r="AD2820" t="b">
        <v>1</v>
      </c>
      <c r="AE2820" t="b">
        <v>1</v>
      </c>
      <c r="AF2820" t="b">
        <v>1</v>
      </c>
      <c r="AG2820" t="b">
        <v>1</v>
      </c>
    </row>
    <row r="2821" spans="1:33" x14ac:dyDescent="0.25">
      <c r="A2821" t="s">
        <v>33</v>
      </c>
      <c r="B2821">
        <v>15</v>
      </c>
      <c r="C2821" t="b">
        <v>1</v>
      </c>
      <c r="D2821" t="s">
        <v>7968</v>
      </c>
      <c r="E2821" t="s">
        <v>9652</v>
      </c>
      <c r="F2821" t="s">
        <v>9653</v>
      </c>
      <c r="G2821" t="s">
        <v>9654</v>
      </c>
      <c r="H2821">
        <v>2820</v>
      </c>
      <c r="I2821" t="str">
        <f>IF(ISBLANK(Table1[[#This Row],[oid]]),"FALSE","TRUE")</f>
        <v>TRUE</v>
      </c>
      <c r="J2821" t="str" cm="1">
        <f t="array" ref="J2821">_xlfn.SWITCH(LEFT(Table1[[#This Row],[section]],1), "D", "Demographic", "S", "Social", "E", "Economic", "H", "Housing", "")</f>
        <v>Housing</v>
      </c>
      <c r="K2821" t="s">
        <v>9524</v>
      </c>
      <c r="L2821" t="s">
        <v>9525</v>
      </c>
      <c r="M2821" t="str">
        <f>IF(Table1[[#This Row],[used]], _xlfn.CONCAT("🆔 ", Table1[[#This Row],[variable]], ": ",Table1[[#This Row],[alias]]), "")</f>
        <v>🆔 B25060_001E: Aggregate contract rent</v>
      </c>
      <c r="O2821" t="s">
        <v>9655</v>
      </c>
      <c r="P2821" t="s">
        <v>9656</v>
      </c>
      <c r="Q2821" t="s">
        <v>41</v>
      </c>
      <c r="R2821" t="s">
        <v>9657</v>
      </c>
      <c r="S2821" t="b">
        <v>1</v>
      </c>
      <c r="T2821" t="b">
        <v>1</v>
      </c>
      <c r="U2821" t="b">
        <v>1</v>
      </c>
      <c r="V2821" t="b">
        <v>1</v>
      </c>
      <c r="W2821" t="b">
        <v>1</v>
      </c>
      <c r="X2821" t="b">
        <v>1</v>
      </c>
      <c r="Y2821" t="b">
        <v>1</v>
      </c>
      <c r="Z2821" t="b">
        <v>1</v>
      </c>
      <c r="AA2821" t="b">
        <v>1</v>
      </c>
      <c r="AB2821" t="b">
        <v>1</v>
      </c>
      <c r="AC2821" t="b">
        <v>1</v>
      </c>
      <c r="AD2821" t="b">
        <v>1</v>
      </c>
      <c r="AE2821" t="b">
        <v>1</v>
      </c>
      <c r="AF2821" t="b">
        <v>1</v>
      </c>
      <c r="AG2821" t="b">
        <v>1</v>
      </c>
    </row>
    <row r="2822" spans="1:33" x14ac:dyDescent="0.25">
      <c r="A2822" t="s">
        <v>33</v>
      </c>
      <c r="B2822">
        <v>15</v>
      </c>
      <c r="C2822" t="b">
        <v>1</v>
      </c>
      <c r="D2822" t="s">
        <v>7968</v>
      </c>
      <c r="E2822" t="s">
        <v>9658</v>
      </c>
      <c r="F2822" t="s">
        <v>9659</v>
      </c>
      <c r="G2822" t="s">
        <v>9660</v>
      </c>
      <c r="H2822">
        <v>2821</v>
      </c>
      <c r="I2822" t="str">
        <f>IF(ISBLANK(Table1[[#This Row],[oid]]),"FALSE","TRUE")</f>
        <v>TRUE</v>
      </c>
      <c r="J2822" t="str" cm="1">
        <f t="array" ref="J2822">_xlfn.SWITCH(LEFT(Table1[[#This Row],[section]],1), "D", "Demographic", "S", "Social", "E", "Economic", "H", "Housing", "")</f>
        <v>Housing</v>
      </c>
      <c r="K2822" t="s">
        <v>9661</v>
      </c>
      <c r="L2822" t="s">
        <v>9662</v>
      </c>
      <c r="M2822" t="str">
        <f>IF(Table1[[#This Row],[used]], _xlfn.CONCAT("🆔 ", Table1[[#This Row],[variable]], ": ",Table1[[#This Row],[alias]]), "")</f>
        <v>🆔 B25063_001E: Occupied units paying rent</v>
      </c>
      <c r="O2822" t="s">
        <v>39</v>
      </c>
      <c r="P2822" t="s">
        <v>9663</v>
      </c>
      <c r="Q2822" t="s">
        <v>41</v>
      </c>
      <c r="R2822" t="s">
        <v>9664</v>
      </c>
      <c r="S2822" t="b">
        <v>1</v>
      </c>
      <c r="T2822" t="b">
        <v>1</v>
      </c>
      <c r="U2822" t="b">
        <v>1</v>
      </c>
      <c r="V2822" t="b">
        <v>1</v>
      </c>
      <c r="W2822" t="b">
        <v>1</v>
      </c>
      <c r="X2822" t="b">
        <v>1</v>
      </c>
      <c r="Y2822" t="b">
        <v>1</v>
      </c>
      <c r="Z2822" t="b">
        <v>1</v>
      </c>
      <c r="AA2822" t="b">
        <v>1</v>
      </c>
      <c r="AB2822" t="b">
        <v>1</v>
      </c>
      <c r="AC2822" t="b">
        <v>1</v>
      </c>
      <c r="AD2822" t="b">
        <v>1</v>
      </c>
      <c r="AE2822" t="b">
        <v>1</v>
      </c>
      <c r="AF2822" t="b">
        <v>1</v>
      </c>
      <c r="AG2822" t="b">
        <v>1</v>
      </c>
    </row>
    <row r="2823" spans="1:33" x14ac:dyDescent="0.25">
      <c r="A2823" t="s">
        <v>33</v>
      </c>
      <c r="B2823">
        <v>15</v>
      </c>
      <c r="C2823" t="b">
        <v>1</v>
      </c>
      <c r="D2823" t="s">
        <v>7968</v>
      </c>
      <c r="E2823" t="s">
        <v>9658</v>
      </c>
      <c r="F2823" t="s">
        <v>9665</v>
      </c>
      <c r="G2823" t="s">
        <v>9529</v>
      </c>
      <c r="H2823">
        <v>2822</v>
      </c>
      <c r="I2823" t="str">
        <f>IF(ISBLANK(Table1[[#This Row],[oid]]),"FALSE","TRUE")</f>
        <v>TRUE</v>
      </c>
      <c r="J2823" t="str" cm="1">
        <f t="array" ref="J2823">_xlfn.SWITCH(LEFT(Table1[[#This Row],[section]],1), "D", "Demographic", "S", "Social", "E", "Economic", "H", "Housing", "")</f>
        <v>Housing</v>
      </c>
      <c r="K2823" t="s">
        <v>9661</v>
      </c>
      <c r="L2823" t="s">
        <v>9662</v>
      </c>
      <c r="M2823" t="str">
        <f>IF(Table1[[#This Row],[used]], _xlfn.CONCAT("🆔 ", Table1[[#This Row],[variable]], ": ",Table1[[#This Row],[alias]]), "")</f>
        <v>🆔 B25063_002E: With cash rent</v>
      </c>
      <c r="O2823" t="s">
        <v>9530</v>
      </c>
      <c r="P2823" t="s">
        <v>9663</v>
      </c>
      <c r="Q2823" t="s">
        <v>41</v>
      </c>
      <c r="R2823" t="s">
        <v>9666</v>
      </c>
      <c r="S2823" t="b">
        <v>1</v>
      </c>
      <c r="T2823" t="b">
        <v>1</v>
      </c>
      <c r="U2823" t="b">
        <v>1</v>
      </c>
      <c r="V2823" t="b">
        <v>1</v>
      </c>
      <c r="W2823" t="b">
        <v>1</v>
      </c>
      <c r="X2823" t="b">
        <v>1</v>
      </c>
      <c r="Y2823" t="b">
        <v>1</v>
      </c>
      <c r="Z2823" t="b">
        <v>1</v>
      </c>
      <c r="AA2823" t="b">
        <v>1</v>
      </c>
      <c r="AB2823" t="b">
        <v>1</v>
      </c>
      <c r="AC2823" t="b">
        <v>1</v>
      </c>
      <c r="AD2823" t="b">
        <v>1</v>
      </c>
      <c r="AE2823" t="b">
        <v>1</v>
      </c>
      <c r="AF2823" t="b">
        <v>1</v>
      </c>
      <c r="AG2823" t="b">
        <v>1</v>
      </c>
    </row>
    <row r="2824" spans="1:33" x14ac:dyDescent="0.25">
      <c r="A2824" t="s">
        <v>33</v>
      </c>
      <c r="B2824">
        <v>15</v>
      </c>
      <c r="C2824" t="b">
        <v>1</v>
      </c>
      <c r="D2824" t="s">
        <v>7968</v>
      </c>
      <c r="E2824" t="s">
        <v>9658</v>
      </c>
      <c r="F2824" t="s">
        <v>9667</v>
      </c>
      <c r="G2824" t="s">
        <v>9533</v>
      </c>
      <c r="H2824">
        <v>2823</v>
      </c>
      <c r="I2824" t="str">
        <f>IF(ISBLANK(Table1[[#This Row],[oid]]),"FALSE","TRUE")</f>
        <v>TRUE</v>
      </c>
      <c r="J2824" t="str" cm="1">
        <f t="array" ref="J2824">_xlfn.SWITCH(LEFT(Table1[[#This Row],[section]],1), "D", "Demographic", "S", "Social", "E", "Economic", "H", "Housing", "")</f>
        <v>Housing</v>
      </c>
      <c r="K2824" t="s">
        <v>9661</v>
      </c>
      <c r="L2824" t="s">
        <v>9662</v>
      </c>
      <c r="M2824" t="str">
        <f>IF(Table1[[#This Row],[used]], _xlfn.CONCAT("🆔 ", Table1[[#This Row],[variable]], ": ",Table1[[#This Row],[alias]]), "")</f>
        <v>🆔 B25063_003E: With cash rent: Less than $100</v>
      </c>
      <c r="O2824" t="s">
        <v>9534</v>
      </c>
      <c r="P2824" t="s">
        <v>9663</v>
      </c>
      <c r="Q2824" t="s">
        <v>41</v>
      </c>
      <c r="R2824" t="s">
        <v>9668</v>
      </c>
      <c r="S2824" t="b">
        <v>1</v>
      </c>
      <c r="T2824" t="b">
        <v>1</v>
      </c>
      <c r="U2824" t="b">
        <v>1</v>
      </c>
      <c r="V2824" t="b">
        <v>1</v>
      </c>
      <c r="W2824" t="b">
        <v>1</v>
      </c>
      <c r="X2824" t="b">
        <v>1</v>
      </c>
      <c r="Y2824" t="b">
        <v>1</v>
      </c>
      <c r="Z2824" t="b">
        <v>1</v>
      </c>
      <c r="AA2824" t="b">
        <v>1</v>
      </c>
      <c r="AB2824" t="b">
        <v>1</v>
      </c>
      <c r="AC2824" t="b">
        <v>1</v>
      </c>
      <c r="AD2824" t="b">
        <v>1</v>
      </c>
      <c r="AE2824" t="b">
        <v>1</v>
      </c>
      <c r="AF2824" t="b">
        <v>1</v>
      </c>
      <c r="AG2824" t="b">
        <v>1</v>
      </c>
    </row>
    <row r="2825" spans="1:33" x14ac:dyDescent="0.25">
      <c r="A2825" t="s">
        <v>33</v>
      </c>
      <c r="B2825">
        <v>15</v>
      </c>
      <c r="C2825" t="b">
        <v>1</v>
      </c>
      <c r="D2825" t="s">
        <v>7968</v>
      </c>
      <c r="E2825" t="s">
        <v>9658</v>
      </c>
      <c r="F2825" t="s">
        <v>9669</v>
      </c>
      <c r="G2825" t="s">
        <v>9537</v>
      </c>
      <c r="H2825">
        <v>2824</v>
      </c>
      <c r="I2825" t="str">
        <f>IF(ISBLANK(Table1[[#This Row],[oid]]),"FALSE","TRUE")</f>
        <v>TRUE</v>
      </c>
      <c r="J2825" t="str" cm="1">
        <f t="array" ref="J2825">_xlfn.SWITCH(LEFT(Table1[[#This Row],[section]],1), "D", "Demographic", "S", "Social", "E", "Economic", "H", "Housing", "")</f>
        <v>Housing</v>
      </c>
      <c r="K2825" t="s">
        <v>9661</v>
      </c>
      <c r="L2825" t="s">
        <v>9662</v>
      </c>
      <c r="M2825" t="str">
        <f>IF(Table1[[#This Row],[used]], _xlfn.CONCAT("🆔 ", Table1[[#This Row],[variable]], ": ",Table1[[#This Row],[alias]]), "")</f>
        <v>🆔 B25063_004E: With cash rent: $100 to $149</v>
      </c>
      <c r="O2825" t="s">
        <v>9538</v>
      </c>
      <c r="P2825" t="s">
        <v>9663</v>
      </c>
      <c r="Q2825" t="s">
        <v>41</v>
      </c>
      <c r="R2825" t="s">
        <v>9670</v>
      </c>
      <c r="S2825" t="b">
        <v>1</v>
      </c>
      <c r="T2825" t="b">
        <v>1</v>
      </c>
      <c r="U2825" t="b">
        <v>1</v>
      </c>
      <c r="V2825" t="b">
        <v>1</v>
      </c>
      <c r="W2825" t="b">
        <v>1</v>
      </c>
      <c r="X2825" t="b">
        <v>1</v>
      </c>
      <c r="Y2825" t="b">
        <v>1</v>
      </c>
      <c r="Z2825" t="b">
        <v>1</v>
      </c>
      <c r="AA2825" t="b">
        <v>1</v>
      </c>
      <c r="AB2825" t="b">
        <v>1</v>
      </c>
      <c r="AC2825" t="b">
        <v>1</v>
      </c>
      <c r="AD2825" t="b">
        <v>1</v>
      </c>
      <c r="AE2825" t="b">
        <v>1</v>
      </c>
      <c r="AF2825" t="b">
        <v>1</v>
      </c>
      <c r="AG2825" t="b">
        <v>1</v>
      </c>
    </row>
    <row r="2826" spans="1:33" x14ac:dyDescent="0.25">
      <c r="A2826" t="s">
        <v>33</v>
      </c>
      <c r="B2826">
        <v>15</v>
      </c>
      <c r="C2826" t="b">
        <v>1</v>
      </c>
      <c r="D2826" t="s">
        <v>7968</v>
      </c>
      <c r="E2826" t="s">
        <v>9658</v>
      </c>
      <c r="F2826" t="s">
        <v>9671</v>
      </c>
      <c r="G2826" t="s">
        <v>9541</v>
      </c>
      <c r="H2826">
        <v>2825</v>
      </c>
      <c r="I2826" t="str">
        <f>IF(ISBLANK(Table1[[#This Row],[oid]]),"FALSE","TRUE")</f>
        <v>TRUE</v>
      </c>
      <c r="J2826" t="str" cm="1">
        <f t="array" ref="J2826">_xlfn.SWITCH(LEFT(Table1[[#This Row],[section]],1), "D", "Demographic", "S", "Social", "E", "Economic", "H", "Housing", "")</f>
        <v>Housing</v>
      </c>
      <c r="K2826" t="s">
        <v>9661</v>
      </c>
      <c r="L2826" t="s">
        <v>9662</v>
      </c>
      <c r="M2826" t="str">
        <f>IF(Table1[[#This Row],[used]], _xlfn.CONCAT("🆔 ", Table1[[#This Row],[variable]], ": ",Table1[[#This Row],[alias]]), "")</f>
        <v>🆔 B25063_005E: With cash rent: $150 to $199</v>
      </c>
      <c r="O2826" t="s">
        <v>9542</v>
      </c>
      <c r="P2826" t="s">
        <v>9663</v>
      </c>
      <c r="Q2826" t="s">
        <v>41</v>
      </c>
      <c r="R2826" t="s">
        <v>9672</v>
      </c>
      <c r="S2826" t="b">
        <v>1</v>
      </c>
      <c r="T2826" t="b">
        <v>1</v>
      </c>
      <c r="U2826" t="b">
        <v>1</v>
      </c>
      <c r="V2826" t="b">
        <v>1</v>
      </c>
      <c r="W2826" t="b">
        <v>1</v>
      </c>
      <c r="X2826" t="b">
        <v>1</v>
      </c>
      <c r="Y2826" t="b">
        <v>1</v>
      </c>
      <c r="Z2826" t="b">
        <v>1</v>
      </c>
      <c r="AA2826" t="b">
        <v>1</v>
      </c>
      <c r="AB2826" t="b">
        <v>1</v>
      </c>
      <c r="AC2826" t="b">
        <v>1</v>
      </c>
      <c r="AD2826" t="b">
        <v>1</v>
      </c>
      <c r="AE2826" t="b">
        <v>1</v>
      </c>
      <c r="AF2826" t="b">
        <v>1</v>
      </c>
      <c r="AG2826" t="b">
        <v>1</v>
      </c>
    </row>
    <row r="2827" spans="1:33" x14ac:dyDescent="0.25">
      <c r="A2827" t="s">
        <v>33</v>
      </c>
      <c r="B2827">
        <v>15</v>
      </c>
      <c r="C2827" t="b">
        <v>1</v>
      </c>
      <c r="D2827" t="s">
        <v>7968</v>
      </c>
      <c r="E2827" t="s">
        <v>9658</v>
      </c>
      <c r="F2827" t="s">
        <v>9673</v>
      </c>
      <c r="G2827" t="s">
        <v>9545</v>
      </c>
      <c r="H2827">
        <v>2826</v>
      </c>
      <c r="I2827" t="str">
        <f>IF(ISBLANK(Table1[[#This Row],[oid]]),"FALSE","TRUE")</f>
        <v>TRUE</v>
      </c>
      <c r="J2827" t="str" cm="1">
        <f t="array" ref="J2827">_xlfn.SWITCH(LEFT(Table1[[#This Row],[section]],1), "D", "Demographic", "S", "Social", "E", "Economic", "H", "Housing", "")</f>
        <v>Housing</v>
      </c>
      <c r="K2827" t="s">
        <v>9661</v>
      </c>
      <c r="L2827" t="s">
        <v>9662</v>
      </c>
      <c r="M2827" t="str">
        <f>IF(Table1[[#This Row],[used]], _xlfn.CONCAT("🆔 ", Table1[[#This Row],[variable]], ": ",Table1[[#This Row],[alias]]), "")</f>
        <v>🆔 B25063_006E: With cash rent: $200 to $249</v>
      </c>
      <c r="O2827" t="s">
        <v>9546</v>
      </c>
      <c r="P2827" t="s">
        <v>9663</v>
      </c>
      <c r="Q2827" t="s">
        <v>41</v>
      </c>
      <c r="R2827" t="s">
        <v>9674</v>
      </c>
      <c r="S2827" t="b">
        <v>1</v>
      </c>
      <c r="T2827" t="b">
        <v>1</v>
      </c>
      <c r="U2827" t="b">
        <v>1</v>
      </c>
      <c r="V2827" t="b">
        <v>1</v>
      </c>
      <c r="W2827" t="b">
        <v>1</v>
      </c>
      <c r="X2827" t="b">
        <v>1</v>
      </c>
      <c r="Y2827" t="b">
        <v>1</v>
      </c>
      <c r="Z2827" t="b">
        <v>1</v>
      </c>
      <c r="AA2827" t="b">
        <v>1</v>
      </c>
      <c r="AB2827" t="b">
        <v>1</v>
      </c>
      <c r="AC2827" t="b">
        <v>1</v>
      </c>
      <c r="AD2827" t="b">
        <v>1</v>
      </c>
      <c r="AE2827" t="b">
        <v>1</v>
      </c>
      <c r="AF2827" t="b">
        <v>1</v>
      </c>
      <c r="AG2827" t="b">
        <v>1</v>
      </c>
    </row>
    <row r="2828" spans="1:33" x14ac:dyDescent="0.25">
      <c r="A2828" t="s">
        <v>33</v>
      </c>
      <c r="B2828">
        <v>15</v>
      </c>
      <c r="C2828" t="b">
        <v>1</v>
      </c>
      <c r="D2828" t="s">
        <v>7968</v>
      </c>
      <c r="E2828" t="s">
        <v>9658</v>
      </c>
      <c r="F2828" t="s">
        <v>9675</v>
      </c>
      <c r="G2828" t="s">
        <v>9549</v>
      </c>
      <c r="H2828">
        <v>2827</v>
      </c>
      <c r="I2828" t="str">
        <f>IF(ISBLANK(Table1[[#This Row],[oid]]),"FALSE","TRUE")</f>
        <v>TRUE</v>
      </c>
      <c r="J2828" t="str" cm="1">
        <f t="array" ref="J2828">_xlfn.SWITCH(LEFT(Table1[[#This Row],[section]],1), "D", "Demographic", "S", "Social", "E", "Economic", "H", "Housing", "")</f>
        <v>Housing</v>
      </c>
      <c r="K2828" t="s">
        <v>9661</v>
      </c>
      <c r="L2828" t="s">
        <v>9662</v>
      </c>
      <c r="M2828" t="str">
        <f>IF(Table1[[#This Row],[used]], _xlfn.CONCAT("🆔 ", Table1[[#This Row],[variable]], ": ",Table1[[#This Row],[alias]]), "")</f>
        <v>🆔 B25063_007E: With cash rent: $250 to $299</v>
      </c>
      <c r="O2828" t="s">
        <v>9550</v>
      </c>
      <c r="P2828" t="s">
        <v>9663</v>
      </c>
      <c r="Q2828" t="s">
        <v>41</v>
      </c>
      <c r="R2828" t="s">
        <v>9676</v>
      </c>
      <c r="S2828" t="b">
        <v>1</v>
      </c>
      <c r="T2828" t="b">
        <v>1</v>
      </c>
      <c r="U2828" t="b">
        <v>1</v>
      </c>
      <c r="V2828" t="b">
        <v>1</v>
      </c>
      <c r="W2828" t="b">
        <v>1</v>
      </c>
      <c r="X2828" t="b">
        <v>1</v>
      </c>
      <c r="Y2828" t="b">
        <v>1</v>
      </c>
      <c r="Z2828" t="b">
        <v>1</v>
      </c>
      <c r="AA2828" t="b">
        <v>1</v>
      </c>
      <c r="AB2828" t="b">
        <v>1</v>
      </c>
      <c r="AC2828" t="b">
        <v>1</v>
      </c>
      <c r="AD2828" t="b">
        <v>1</v>
      </c>
      <c r="AE2828" t="b">
        <v>1</v>
      </c>
      <c r="AF2828" t="b">
        <v>1</v>
      </c>
      <c r="AG2828" t="b">
        <v>1</v>
      </c>
    </row>
    <row r="2829" spans="1:33" x14ac:dyDescent="0.25">
      <c r="A2829" t="s">
        <v>33</v>
      </c>
      <c r="B2829">
        <v>15</v>
      </c>
      <c r="C2829" t="b">
        <v>1</v>
      </c>
      <c r="D2829" t="s">
        <v>7968</v>
      </c>
      <c r="E2829" t="s">
        <v>9658</v>
      </c>
      <c r="F2829" t="s">
        <v>9677</v>
      </c>
      <c r="G2829" t="s">
        <v>9553</v>
      </c>
      <c r="H2829">
        <v>2828</v>
      </c>
      <c r="I2829" t="str">
        <f>IF(ISBLANK(Table1[[#This Row],[oid]]),"FALSE","TRUE")</f>
        <v>TRUE</v>
      </c>
      <c r="J2829" t="str" cm="1">
        <f t="array" ref="J2829">_xlfn.SWITCH(LEFT(Table1[[#This Row],[section]],1), "D", "Demographic", "S", "Social", "E", "Economic", "H", "Housing", "")</f>
        <v>Housing</v>
      </c>
      <c r="K2829" t="s">
        <v>9661</v>
      </c>
      <c r="L2829" t="s">
        <v>9662</v>
      </c>
      <c r="M2829" t="str">
        <f>IF(Table1[[#This Row],[used]], _xlfn.CONCAT("🆔 ", Table1[[#This Row],[variable]], ": ",Table1[[#This Row],[alias]]), "")</f>
        <v>🆔 B25063_008E: With cash rent: $300 to $349</v>
      </c>
      <c r="O2829" t="s">
        <v>9554</v>
      </c>
      <c r="P2829" t="s">
        <v>9663</v>
      </c>
      <c r="Q2829" t="s">
        <v>41</v>
      </c>
      <c r="R2829" t="s">
        <v>9678</v>
      </c>
      <c r="S2829" t="b">
        <v>1</v>
      </c>
      <c r="T2829" t="b">
        <v>1</v>
      </c>
      <c r="U2829" t="b">
        <v>1</v>
      </c>
      <c r="V2829" t="b">
        <v>1</v>
      </c>
      <c r="W2829" t="b">
        <v>1</v>
      </c>
      <c r="X2829" t="b">
        <v>1</v>
      </c>
      <c r="Y2829" t="b">
        <v>1</v>
      </c>
      <c r="Z2829" t="b">
        <v>1</v>
      </c>
      <c r="AA2829" t="b">
        <v>1</v>
      </c>
      <c r="AB2829" t="b">
        <v>1</v>
      </c>
      <c r="AC2829" t="b">
        <v>1</v>
      </c>
      <c r="AD2829" t="b">
        <v>1</v>
      </c>
      <c r="AE2829" t="b">
        <v>1</v>
      </c>
      <c r="AF2829" t="b">
        <v>1</v>
      </c>
      <c r="AG2829" t="b">
        <v>1</v>
      </c>
    </row>
    <row r="2830" spans="1:33" x14ac:dyDescent="0.25">
      <c r="A2830" t="s">
        <v>33</v>
      </c>
      <c r="B2830">
        <v>15</v>
      </c>
      <c r="C2830" t="b">
        <v>1</v>
      </c>
      <c r="D2830" t="s">
        <v>7968</v>
      </c>
      <c r="E2830" t="s">
        <v>9658</v>
      </c>
      <c r="F2830" t="s">
        <v>9679</v>
      </c>
      <c r="G2830" t="s">
        <v>9557</v>
      </c>
      <c r="H2830">
        <v>2829</v>
      </c>
      <c r="I2830" t="str">
        <f>IF(ISBLANK(Table1[[#This Row],[oid]]),"FALSE","TRUE")</f>
        <v>TRUE</v>
      </c>
      <c r="J2830" t="str" cm="1">
        <f t="array" ref="J2830">_xlfn.SWITCH(LEFT(Table1[[#This Row],[section]],1), "D", "Demographic", "S", "Social", "E", "Economic", "H", "Housing", "")</f>
        <v>Housing</v>
      </c>
      <c r="K2830" t="s">
        <v>9661</v>
      </c>
      <c r="L2830" t="s">
        <v>9662</v>
      </c>
      <c r="M2830" t="str">
        <f>IF(Table1[[#This Row],[used]], _xlfn.CONCAT("🆔 ", Table1[[#This Row],[variable]], ": ",Table1[[#This Row],[alias]]), "")</f>
        <v>🆔 B25063_009E: With cash rent: $350 to $399</v>
      </c>
      <c r="O2830" t="s">
        <v>9558</v>
      </c>
      <c r="P2830" t="s">
        <v>9663</v>
      </c>
      <c r="Q2830" t="s">
        <v>41</v>
      </c>
      <c r="R2830" t="s">
        <v>9680</v>
      </c>
      <c r="S2830" t="b">
        <v>1</v>
      </c>
      <c r="T2830" t="b">
        <v>1</v>
      </c>
      <c r="U2830" t="b">
        <v>1</v>
      </c>
      <c r="V2830" t="b">
        <v>1</v>
      </c>
      <c r="W2830" t="b">
        <v>1</v>
      </c>
      <c r="X2830" t="b">
        <v>1</v>
      </c>
      <c r="Y2830" t="b">
        <v>1</v>
      </c>
      <c r="Z2830" t="b">
        <v>1</v>
      </c>
      <c r="AA2830" t="b">
        <v>1</v>
      </c>
      <c r="AB2830" t="b">
        <v>1</v>
      </c>
      <c r="AC2830" t="b">
        <v>1</v>
      </c>
      <c r="AD2830" t="b">
        <v>1</v>
      </c>
      <c r="AE2830" t="b">
        <v>1</v>
      </c>
      <c r="AF2830" t="b">
        <v>1</v>
      </c>
      <c r="AG2830" t="b">
        <v>1</v>
      </c>
    </row>
    <row r="2831" spans="1:33" x14ac:dyDescent="0.25">
      <c r="A2831" t="s">
        <v>33</v>
      </c>
      <c r="B2831">
        <v>15</v>
      </c>
      <c r="C2831" t="b">
        <v>1</v>
      </c>
      <c r="D2831" t="s">
        <v>7968</v>
      </c>
      <c r="E2831" t="s">
        <v>9658</v>
      </c>
      <c r="F2831" t="s">
        <v>9681</v>
      </c>
      <c r="G2831" t="s">
        <v>9561</v>
      </c>
      <c r="H2831">
        <v>2830</v>
      </c>
      <c r="I2831" t="str">
        <f>IF(ISBLANK(Table1[[#This Row],[oid]]),"FALSE","TRUE")</f>
        <v>TRUE</v>
      </c>
      <c r="J2831" t="str" cm="1">
        <f t="array" ref="J2831">_xlfn.SWITCH(LEFT(Table1[[#This Row],[section]],1), "D", "Demographic", "S", "Social", "E", "Economic", "H", "Housing", "")</f>
        <v>Housing</v>
      </c>
      <c r="K2831" t="s">
        <v>9661</v>
      </c>
      <c r="L2831" t="s">
        <v>9662</v>
      </c>
      <c r="M2831" t="str">
        <f>IF(Table1[[#This Row],[used]], _xlfn.CONCAT("🆔 ", Table1[[#This Row],[variable]], ": ",Table1[[#This Row],[alias]]), "")</f>
        <v>🆔 B25063_010E: With cash rent: $400 to $449</v>
      </c>
      <c r="O2831" t="s">
        <v>9562</v>
      </c>
      <c r="P2831" t="s">
        <v>9663</v>
      </c>
      <c r="Q2831" t="s">
        <v>41</v>
      </c>
      <c r="R2831" t="s">
        <v>9682</v>
      </c>
      <c r="S2831" t="b">
        <v>1</v>
      </c>
      <c r="T2831" t="b">
        <v>1</v>
      </c>
      <c r="U2831" t="b">
        <v>1</v>
      </c>
      <c r="V2831" t="b">
        <v>1</v>
      </c>
      <c r="W2831" t="b">
        <v>1</v>
      </c>
      <c r="X2831" t="b">
        <v>1</v>
      </c>
      <c r="Y2831" t="b">
        <v>1</v>
      </c>
      <c r="Z2831" t="b">
        <v>1</v>
      </c>
      <c r="AA2831" t="b">
        <v>1</v>
      </c>
      <c r="AB2831" t="b">
        <v>1</v>
      </c>
      <c r="AC2831" t="b">
        <v>1</v>
      </c>
      <c r="AD2831" t="b">
        <v>1</v>
      </c>
      <c r="AE2831" t="b">
        <v>1</v>
      </c>
      <c r="AF2831" t="b">
        <v>1</v>
      </c>
      <c r="AG2831" t="b">
        <v>1</v>
      </c>
    </row>
    <row r="2832" spans="1:33" x14ac:dyDescent="0.25">
      <c r="A2832" t="s">
        <v>33</v>
      </c>
      <c r="B2832">
        <v>15</v>
      </c>
      <c r="C2832" t="b">
        <v>1</v>
      </c>
      <c r="D2832" t="s">
        <v>7968</v>
      </c>
      <c r="E2832" t="s">
        <v>9658</v>
      </c>
      <c r="F2832" t="s">
        <v>9683</v>
      </c>
      <c r="G2832" t="s">
        <v>9565</v>
      </c>
      <c r="H2832">
        <v>2831</v>
      </c>
      <c r="I2832" t="str">
        <f>IF(ISBLANK(Table1[[#This Row],[oid]]),"FALSE","TRUE")</f>
        <v>TRUE</v>
      </c>
      <c r="J2832" t="str" cm="1">
        <f t="array" ref="J2832">_xlfn.SWITCH(LEFT(Table1[[#This Row],[section]],1), "D", "Demographic", "S", "Social", "E", "Economic", "H", "Housing", "")</f>
        <v>Housing</v>
      </c>
      <c r="K2832" t="s">
        <v>9661</v>
      </c>
      <c r="L2832" t="s">
        <v>9662</v>
      </c>
      <c r="M2832" t="str">
        <f>IF(Table1[[#This Row],[used]], _xlfn.CONCAT("🆔 ", Table1[[#This Row],[variable]], ": ",Table1[[#This Row],[alias]]), "")</f>
        <v>🆔 B25063_011E: With cash rent: $450 to $499</v>
      </c>
      <c r="O2832" t="s">
        <v>9566</v>
      </c>
      <c r="P2832" t="s">
        <v>9663</v>
      </c>
      <c r="Q2832" t="s">
        <v>41</v>
      </c>
      <c r="R2832" t="s">
        <v>9684</v>
      </c>
      <c r="S2832" t="b">
        <v>1</v>
      </c>
      <c r="T2832" t="b">
        <v>1</v>
      </c>
      <c r="U2832" t="b">
        <v>1</v>
      </c>
      <c r="V2832" t="b">
        <v>1</v>
      </c>
      <c r="W2832" t="b">
        <v>1</v>
      </c>
      <c r="X2832" t="b">
        <v>1</v>
      </c>
      <c r="Y2832" t="b">
        <v>1</v>
      </c>
      <c r="Z2832" t="b">
        <v>1</v>
      </c>
      <c r="AA2832" t="b">
        <v>1</v>
      </c>
      <c r="AB2832" t="b">
        <v>1</v>
      </c>
      <c r="AC2832" t="b">
        <v>1</v>
      </c>
      <c r="AD2832" t="b">
        <v>1</v>
      </c>
      <c r="AE2832" t="b">
        <v>1</v>
      </c>
      <c r="AF2832" t="b">
        <v>1</v>
      </c>
      <c r="AG2832" t="b">
        <v>1</v>
      </c>
    </row>
    <row r="2833" spans="1:33" x14ac:dyDescent="0.25">
      <c r="A2833" t="s">
        <v>33</v>
      </c>
      <c r="B2833">
        <v>15</v>
      </c>
      <c r="C2833" t="b">
        <v>1</v>
      </c>
      <c r="D2833" t="s">
        <v>7968</v>
      </c>
      <c r="E2833" t="s">
        <v>9658</v>
      </c>
      <c r="F2833" t="s">
        <v>9685</v>
      </c>
      <c r="G2833" t="s">
        <v>9569</v>
      </c>
      <c r="H2833">
        <v>2832</v>
      </c>
      <c r="I2833" t="str">
        <f>IF(ISBLANK(Table1[[#This Row],[oid]]),"FALSE","TRUE")</f>
        <v>TRUE</v>
      </c>
      <c r="J2833" t="str" cm="1">
        <f t="array" ref="J2833">_xlfn.SWITCH(LEFT(Table1[[#This Row],[section]],1), "D", "Demographic", "S", "Social", "E", "Economic", "H", "Housing", "")</f>
        <v>Housing</v>
      </c>
      <c r="K2833" t="s">
        <v>9661</v>
      </c>
      <c r="L2833" t="s">
        <v>9662</v>
      </c>
      <c r="M2833" t="str">
        <f>IF(Table1[[#This Row],[used]], _xlfn.CONCAT("🆔 ", Table1[[#This Row],[variable]], ": ",Table1[[#This Row],[alias]]), "")</f>
        <v>🆔 B25063_012E: With cash rent: $500 to $549</v>
      </c>
      <c r="O2833" t="s">
        <v>9570</v>
      </c>
      <c r="P2833" t="s">
        <v>9663</v>
      </c>
      <c r="Q2833" t="s">
        <v>41</v>
      </c>
      <c r="R2833" t="s">
        <v>9686</v>
      </c>
      <c r="S2833" t="b">
        <v>1</v>
      </c>
      <c r="T2833" t="b">
        <v>1</v>
      </c>
      <c r="U2833" t="b">
        <v>1</v>
      </c>
      <c r="V2833" t="b">
        <v>1</v>
      </c>
      <c r="W2833" t="b">
        <v>1</v>
      </c>
      <c r="X2833" t="b">
        <v>1</v>
      </c>
      <c r="Y2833" t="b">
        <v>1</v>
      </c>
      <c r="Z2833" t="b">
        <v>1</v>
      </c>
      <c r="AA2833" t="b">
        <v>1</v>
      </c>
      <c r="AB2833" t="b">
        <v>1</v>
      </c>
      <c r="AC2833" t="b">
        <v>1</v>
      </c>
      <c r="AD2833" t="b">
        <v>1</v>
      </c>
      <c r="AE2833" t="b">
        <v>1</v>
      </c>
      <c r="AF2833" t="b">
        <v>1</v>
      </c>
      <c r="AG2833" t="b">
        <v>1</v>
      </c>
    </row>
    <row r="2834" spans="1:33" x14ac:dyDescent="0.25">
      <c r="A2834" t="s">
        <v>33</v>
      </c>
      <c r="B2834">
        <v>15</v>
      </c>
      <c r="C2834" t="b">
        <v>1</v>
      </c>
      <c r="D2834" t="s">
        <v>7968</v>
      </c>
      <c r="E2834" t="s">
        <v>9658</v>
      </c>
      <c r="F2834" t="s">
        <v>9687</v>
      </c>
      <c r="G2834" t="s">
        <v>9573</v>
      </c>
      <c r="H2834">
        <v>2833</v>
      </c>
      <c r="I2834" t="str">
        <f>IF(ISBLANK(Table1[[#This Row],[oid]]),"FALSE","TRUE")</f>
        <v>TRUE</v>
      </c>
      <c r="J2834" t="str" cm="1">
        <f t="array" ref="J2834">_xlfn.SWITCH(LEFT(Table1[[#This Row],[section]],1), "D", "Demographic", "S", "Social", "E", "Economic", "H", "Housing", "")</f>
        <v>Housing</v>
      </c>
      <c r="K2834" t="s">
        <v>9661</v>
      </c>
      <c r="L2834" t="s">
        <v>9662</v>
      </c>
      <c r="M2834" t="str">
        <f>IF(Table1[[#This Row],[used]], _xlfn.CONCAT("🆔 ", Table1[[#This Row],[variable]], ": ",Table1[[#This Row],[alias]]), "")</f>
        <v>🆔 B25063_013E: With cash rent: $550 to $599</v>
      </c>
      <c r="O2834" t="s">
        <v>9574</v>
      </c>
      <c r="P2834" t="s">
        <v>9663</v>
      </c>
      <c r="Q2834" t="s">
        <v>41</v>
      </c>
      <c r="R2834" t="s">
        <v>9688</v>
      </c>
      <c r="S2834" t="b">
        <v>1</v>
      </c>
      <c r="T2834" t="b">
        <v>1</v>
      </c>
      <c r="U2834" t="b">
        <v>1</v>
      </c>
      <c r="V2834" t="b">
        <v>1</v>
      </c>
      <c r="W2834" t="b">
        <v>1</v>
      </c>
      <c r="X2834" t="b">
        <v>1</v>
      </c>
      <c r="Y2834" t="b">
        <v>1</v>
      </c>
      <c r="Z2834" t="b">
        <v>1</v>
      </c>
      <c r="AA2834" t="b">
        <v>1</v>
      </c>
      <c r="AB2834" t="b">
        <v>1</v>
      </c>
      <c r="AC2834" t="b">
        <v>1</v>
      </c>
      <c r="AD2834" t="b">
        <v>1</v>
      </c>
      <c r="AE2834" t="b">
        <v>1</v>
      </c>
      <c r="AF2834" t="b">
        <v>1</v>
      </c>
      <c r="AG2834" t="b">
        <v>1</v>
      </c>
    </row>
    <row r="2835" spans="1:33" x14ac:dyDescent="0.25">
      <c r="A2835" t="s">
        <v>33</v>
      </c>
      <c r="B2835">
        <v>15</v>
      </c>
      <c r="C2835" t="b">
        <v>1</v>
      </c>
      <c r="D2835" t="s">
        <v>7968</v>
      </c>
      <c r="E2835" t="s">
        <v>9658</v>
      </c>
      <c r="F2835" t="s">
        <v>9689</v>
      </c>
      <c r="G2835" t="s">
        <v>9577</v>
      </c>
      <c r="H2835">
        <v>2834</v>
      </c>
      <c r="I2835" t="str">
        <f>IF(ISBLANK(Table1[[#This Row],[oid]]),"FALSE","TRUE")</f>
        <v>TRUE</v>
      </c>
      <c r="J2835" t="str" cm="1">
        <f t="array" ref="J2835">_xlfn.SWITCH(LEFT(Table1[[#This Row],[section]],1), "D", "Demographic", "S", "Social", "E", "Economic", "H", "Housing", "")</f>
        <v>Housing</v>
      </c>
      <c r="K2835" t="s">
        <v>9661</v>
      </c>
      <c r="L2835" t="s">
        <v>9662</v>
      </c>
      <c r="M2835" t="str">
        <f>IF(Table1[[#This Row],[used]], _xlfn.CONCAT("🆔 ", Table1[[#This Row],[variable]], ": ",Table1[[#This Row],[alias]]), "")</f>
        <v>🆔 B25063_014E: With cash rent: $600 to $649</v>
      </c>
      <c r="O2835" t="s">
        <v>9578</v>
      </c>
      <c r="P2835" t="s">
        <v>9663</v>
      </c>
      <c r="Q2835" t="s">
        <v>41</v>
      </c>
      <c r="R2835" t="s">
        <v>9690</v>
      </c>
      <c r="S2835" t="b">
        <v>1</v>
      </c>
      <c r="T2835" t="b">
        <v>1</v>
      </c>
      <c r="U2835" t="b">
        <v>1</v>
      </c>
      <c r="V2835" t="b">
        <v>1</v>
      </c>
      <c r="W2835" t="b">
        <v>1</v>
      </c>
      <c r="X2835" t="b">
        <v>1</v>
      </c>
      <c r="Y2835" t="b">
        <v>1</v>
      </c>
      <c r="Z2835" t="b">
        <v>1</v>
      </c>
      <c r="AA2835" t="b">
        <v>1</v>
      </c>
      <c r="AB2835" t="b">
        <v>1</v>
      </c>
      <c r="AC2835" t="b">
        <v>1</v>
      </c>
      <c r="AD2835" t="b">
        <v>1</v>
      </c>
      <c r="AE2835" t="b">
        <v>1</v>
      </c>
      <c r="AF2835" t="b">
        <v>1</v>
      </c>
      <c r="AG2835" t="b">
        <v>1</v>
      </c>
    </row>
    <row r="2836" spans="1:33" x14ac:dyDescent="0.25">
      <c r="A2836" t="s">
        <v>33</v>
      </c>
      <c r="B2836">
        <v>15</v>
      </c>
      <c r="C2836" t="b">
        <v>1</v>
      </c>
      <c r="D2836" t="s">
        <v>7968</v>
      </c>
      <c r="E2836" t="s">
        <v>9658</v>
      </c>
      <c r="F2836" t="s">
        <v>9691</v>
      </c>
      <c r="G2836" t="s">
        <v>9581</v>
      </c>
      <c r="H2836">
        <v>2835</v>
      </c>
      <c r="I2836" t="str">
        <f>IF(ISBLANK(Table1[[#This Row],[oid]]),"FALSE","TRUE")</f>
        <v>TRUE</v>
      </c>
      <c r="J2836" t="str" cm="1">
        <f t="array" ref="J2836">_xlfn.SWITCH(LEFT(Table1[[#This Row],[section]],1), "D", "Demographic", "S", "Social", "E", "Economic", "H", "Housing", "")</f>
        <v>Housing</v>
      </c>
      <c r="K2836" t="s">
        <v>9661</v>
      </c>
      <c r="L2836" t="s">
        <v>9662</v>
      </c>
      <c r="M2836" t="str">
        <f>IF(Table1[[#This Row],[used]], _xlfn.CONCAT("🆔 ", Table1[[#This Row],[variable]], ": ",Table1[[#This Row],[alias]]), "")</f>
        <v>🆔 B25063_015E: With cash rent: $650 to $699</v>
      </c>
      <c r="O2836" t="s">
        <v>9582</v>
      </c>
      <c r="P2836" t="s">
        <v>9663</v>
      </c>
      <c r="Q2836" t="s">
        <v>41</v>
      </c>
      <c r="R2836" t="s">
        <v>9692</v>
      </c>
      <c r="S2836" t="b">
        <v>1</v>
      </c>
      <c r="T2836" t="b">
        <v>1</v>
      </c>
      <c r="U2836" t="b">
        <v>1</v>
      </c>
      <c r="V2836" t="b">
        <v>1</v>
      </c>
      <c r="W2836" t="b">
        <v>1</v>
      </c>
      <c r="X2836" t="b">
        <v>1</v>
      </c>
      <c r="Y2836" t="b">
        <v>1</v>
      </c>
      <c r="Z2836" t="b">
        <v>1</v>
      </c>
      <c r="AA2836" t="b">
        <v>1</v>
      </c>
      <c r="AB2836" t="b">
        <v>1</v>
      </c>
      <c r="AC2836" t="b">
        <v>1</v>
      </c>
      <c r="AD2836" t="b">
        <v>1</v>
      </c>
      <c r="AE2836" t="b">
        <v>1</v>
      </c>
      <c r="AF2836" t="b">
        <v>1</v>
      </c>
      <c r="AG2836" t="b">
        <v>1</v>
      </c>
    </row>
    <row r="2837" spans="1:33" x14ac:dyDescent="0.25">
      <c r="A2837" t="s">
        <v>33</v>
      </c>
      <c r="B2837">
        <v>15</v>
      </c>
      <c r="C2837" t="b">
        <v>1</v>
      </c>
      <c r="D2837" t="s">
        <v>7968</v>
      </c>
      <c r="E2837" t="s">
        <v>9658</v>
      </c>
      <c r="F2837" t="s">
        <v>9693</v>
      </c>
      <c r="G2837" t="s">
        <v>9585</v>
      </c>
      <c r="H2837">
        <v>2836</v>
      </c>
      <c r="I2837" t="str">
        <f>IF(ISBLANK(Table1[[#This Row],[oid]]),"FALSE","TRUE")</f>
        <v>TRUE</v>
      </c>
      <c r="J2837" t="str" cm="1">
        <f t="array" ref="J2837">_xlfn.SWITCH(LEFT(Table1[[#This Row],[section]],1), "D", "Demographic", "S", "Social", "E", "Economic", "H", "Housing", "")</f>
        <v>Housing</v>
      </c>
      <c r="K2837" t="s">
        <v>9661</v>
      </c>
      <c r="L2837" t="s">
        <v>9662</v>
      </c>
      <c r="M2837" t="str">
        <f>IF(Table1[[#This Row],[used]], _xlfn.CONCAT("🆔 ", Table1[[#This Row],[variable]], ": ",Table1[[#This Row],[alias]]), "")</f>
        <v>🆔 B25063_016E: With cash rent: $700 to $749</v>
      </c>
      <c r="O2837" t="s">
        <v>9586</v>
      </c>
      <c r="P2837" t="s">
        <v>9663</v>
      </c>
      <c r="Q2837" t="s">
        <v>41</v>
      </c>
      <c r="R2837" t="s">
        <v>9694</v>
      </c>
      <c r="S2837" t="b">
        <v>1</v>
      </c>
      <c r="T2837" t="b">
        <v>1</v>
      </c>
      <c r="U2837" t="b">
        <v>1</v>
      </c>
      <c r="V2837" t="b">
        <v>1</v>
      </c>
      <c r="W2837" t="b">
        <v>1</v>
      </c>
      <c r="X2837" t="b">
        <v>1</v>
      </c>
      <c r="Y2837" t="b">
        <v>1</v>
      </c>
      <c r="Z2837" t="b">
        <v>1</v>
      </c>
      <c r="AA2837" t="b">
        <v>1</v>
      </c>
      <c r="AB2837" t="b">
        <v>1</v>
      </c>
      <c r="AC2837" t="b">
        <v>1</v>
      </c>
      <c r="AD2837" t="b">
        <v>1</v>
      </c>
      <c r="AE2837" t="b">
        <v>1</v>
      </c>
      <c r="AF2837" t="b">
        <v>1</v>
      </c>
      <c r="AG2837" t="b">
        <v>1</v>
      </c>
    </row>
    <row r="2838" spans="1:33" x14ac:dyDescent="0.25">
      <c r="A2838" t="s">
        <v>33</v>
      </c>
      <c r="B2838">
        <v>15</v>
      </c>
      <c r="C2838" t="b">
        <v>1</v>
      </c>
      <c r="D2838" t="s">
        <v>7968</v>
      </c>
      <c r="E2838" t="s">
        <v>9658</v>
      </c>
      <c r="F2838" t="s">
        <v>9695</v>
      </c>
      <c r="G2838" t="s">
        <v>9589</v>
      </c>
      <c r="H2838">
        <v>2837</v>
      </c>
      <c r="I2838" t="str">
        <f>IF(ISBLANK(Table1[[#This Row],[oid]]),"FALSE","TRUE")</f>
        <v>TRUE</v>
      </c>
      <c r="J2838" t="str" cm="1">
        <f t="array" ref="J2838">_xlfn.SWITCH(LEFT(Table1[[#This Row],[section]],1), "D", "Demographic", "S", "Social", "E", "Economic", "H", "Housing", "")</f>
        <v>Housing</v>
      </c>
      <c r="K2838" t="s">
        <v>9661</v>
      </c>
      <c r="L2838" t="s">
        <v>9662</v>
      </c>
      <c r="M2838" t="str">
        <f>IF(Table1[[#This Row],[used]], _xlfn.CONCAT("🆔 ", Table1[[#This Row],[variable]], ": ",Table1[[#This Row],[alias]]), "")</f>
        <v>🆔 B25063_017E: With cash rent: $750 to $799</v>
      </c>
      <c r="O2838" t="s">
        <v>9590</v>
      </c>
      <c r="P2838" t="s">
        <v>9663</v>
      </c>
      <c r="Q2838" t="s">
        <v>41</v>
      </c>
      <c r="R2838" t="s">
        <v>9696</v>
      </c>
      <c r="S2838" t="b">
        <v>1</v>
      </c>
      <c r="T2838" t="b">
        <v>1</v>
      </c>
      <c r="U2838" t="b">
        <v>1</v>
      </c>
      <c r="V2838" t="b">
        <v>1</v>
      </c>
      <c r="W2838" t="b">
        <v>1</v>
      </c>
      <c r="X2838" t="b">
        <v>1</v>
      </c>
      <c r="Y2838" t="b">
        <v>1</v>
      </c>
      <c r="Z2838" t="b">
        <v>1</v>
      </c>
      <c r="AA2838" t="b">
        <v>1</v>
      </c>
      <c r="AB2838" t="b">
        <v>1</v>
      </c>
      <c r="AC2838" t="b">
        <v>1</v>
      </c>
      <c r="AD2838" t="b">
        <v>1</v>
      </c>
      <c r="AE2838" t="b">
        <v>1</v>
      </c>
      <c r="AF2838" t="b">
        <v>1</v>
      </c>
      <c r="AG2838" t="b">
        <v>1</v>
      </c>
    </row>
    <row r="2839" spans="1:33" x14ac:dyDescent="0.25">
      <c r="A2839" t="s">
        <v>33</v>
      </c>
      <c r="B2839">
        <v>15</v>
      </c>
      <c r="C2839" t="b">
        <v>1</v>
      </c>
      <c r="D2839" t="s">
        <v>7968</v>
      </c>
      <c r="E2839" t="s">
        <v>9658</v>
      </c>
      <c r="F2839" t="s">
        <v>9697</v>
      </c>
      <c r="G2839" t="s">
        <v>9593</v>
      </c>
      <c r="H2839">
        <v>2838</v>
      </c>
      <c r="I2839" t="str">
        <f>IF(ISBLANK(Table1[[#This Row],[oid]]),"FALSE","TRUE")</f>
        <v>TRUE</v>
      </c>
      <c r="J2839" t="str" cm="1">
        <f t="array" ref="J2839">_xlfn.SWITCH(LEFT(Table1[[#This Row],[section]],1), "D", "Demographic", "S", "Social", "E", "Economic", "H", "Housing", "")</f>
        <v>Housing</v>
      </c>
      <c r="K2839" t="s">
        <v>9661</v>
      </c>
      <c r="L2839" t="s">
        <v>9662</v>
      </c>
      <c r="M2839" t="str">
        <f>IF(Table1[[#This Row],[used]], _xlfn.CONCAT("🆔 ", Table1[[#This Row],[variable]], ": ",Table1[[#This Row],[alias]]), "")</f>
        <v>🆔 B25063_018E: With cash rent: $800 to $899</v>
      </c>
      <c r="O2839" t="s">
        <v>9594</v>
      </c>
      <c r="P2839" t="s">
        <v>9663</v>
      </c>
      <c r="Q2839" t="s">
        <v>41</v>
      </c>
      <c r="R2839" t="s">
        <v>9698</v>
      </c>
      <c r="S2839" t="b">
        <v>1</v>
      </c>
      <c r="T2839" t="b">
        <v>1</v>
      </c>
      <c r="U2839" t="b">
        <v>1</v>
      </c>
      <c r="V2839" t="b">
        <v>1</v>
      </c>
      <c r="W2839" t="b">
        <v>1</v>
      </c>
      <c r="X2839" t="b">
        <v>1</v>
      </c>
      <c r="Y2839" t="b">
        <v>1</v>
      </c>
      <c r="Z2839" t="b">
        <v>1</v>
      </c>
      <c r="AA2839" t="b">
        <v>1</v>
      </c>
      <c r="AB2839" t="b">
        <v>1</v>
      </c>
      <c r="AC2839" t="b">
        <v>1</v>
      </c>
      <c r="AD2839" t="b">
        <v>1</v>
      </c>
      <c r="AE2839" t="b">
        <v>1</v>
      </c>
      <c r="AF2839" t="b">
        <v>1</v>
      </c>
      <c r="AG2839" t="b">
        <v>1</v>
      </c>
    </row>
    <row r="2840" spans="1:33" x14ac:dyDescent="0.25">
      <c r="A2840" t="s">
        <v>33</v>
      </c>
      <c r="B2840">
        <v>15</v>
      </c>
      <c r="C2840" t="b">
        <v>1</v>
      </c>
      <c r="D2840" t="s">
        <v>7968</v>
      </c>
      <c r="E2840" t="s">
        <v>9658</v>
      </c>
      <c r="F2840" t="s">
        <v>9699</v>
      </c>
      <c r="G2840" t="s">
        <v>9597</v>
      </c>
      <c r="H2840">
        <v>2839</v>
      </c>
      <c r="I2840" t="str">
        <f>IF(ISBLANK(Table1[[#This Row],[oid]]),"FALSE","TRUE")</f>
        <v>TRUE</v>
      </c>
      <c r="J2840" t="str" cm="1">
        <f t="array" ref="J2840">_xlfn.SWITCH(LEFT(Table1[[#This Row],[section]],1), "D", "Demographic", "S", "Social", "E", "Economic", "H", "Housing", "")</f>
        <v>Housing</v>
      </c>
      <c r="K2840" t="s">
        <v>9661</v>
      </c>
      <c r="L2840" t="s">
        <v>9662</v>
      </c>
      <c r="M2840" t="str">
        <f>IF(Table1[[#This Row],[used]], _xlfn.CONCAT("🆔 ", Table1[[#This Row],[variable]], ": ",Table1[[#This Row],[alias]]), "")</f>
        <v>🆔 B25063_019E: With cash rent: $900 to $999</v>
      </c>
      <c r="O2840" t="s">
        <v>9598</v>
      </c>
      <c r="P2840" t="s">
        <v>9663</v>
      </c>
      <c r="Q2840" t="s">
        <v>41</v>
      </c>
      <c r="R2840" t="s">
        <v>9700</v>
      </c>
      <c r="S2840" t="b">
        <v>1</v>
      </c>
      <c r="T2840" t="b">
        <v>1</v>
      </c>
      <c r="U2840" t="b">
        <v>1</v>
      </c>
      <c r="V2840" t="b">
        <v>1</v>
      </c>
      <c r="W2840" t="b">
        <v>1</v>
      </c>
      <c r="X2840" t="b">
        <v>1</v>
      </c>
      <c r="Y2840" t="b">
        <v>1</v>
      </c>
      <c r="Z2840" t="b">
        <v>1</v>
      </c>
      <c r="AA2840" t="b">
        <v>1</v>
      </c>
      <c r="AB2840" t="b">
        <v>1</v>
      </c>
      <c r="AC2840" t="b">
        <v>1</v>
      </c>
      <c r="AD2840" t="b">
        <v>1</v>
      </c>
      <c r="AE2840" t="b">
        <v>1</v>
      </c>
      <c r="AF2840" t="b">
        <v>1</v>
      </c>
      <c r="AG2840" t="b">
        <v>1</v>
      </c>
    </row>
    <row r="2841" spans="1:33" x14ac:dyDescent="0.25">
      <c r="A2841" t="s">
        <v>33</v>
      </c>
      <c r="B2841">
        <v>15</v>
      </c>
      <c r="C2841" t="b">
        <v>1</v>
      </c>
      <c r="D2841" t="s">
        <v>7968</v>
      </c>
      <c r="E2841" t="s">
        <v>9658</v>
      </c>
      <c r="F2841" t="s">
        <v>9701</v>
      </c>
      <c r="G2841" t="s">
        <v>9601</v>
      </c>
      <c r="H2841">
        <v>2840</v>
      </c>
      <c r="I2841" t="str">
        <f>IF(ISBLANK(Table1[[#This Row],[oid]]),"FALSE","TRUE")</f>
        <v>TRUE</v>
      </c>
      <c r="J2841" t="str" cm="1">
        <f t="array" ref="J2841">_xlfn.SWITCH(LEFT(Table1[[#This Row],[section]],1), "D", "Demographic", "S", "Social", "E", "Economic", "H", "Housing", "")</f>
        <v>Housing</v>
      </c>
      <c r="K2841" t="s">
        <v>9661</v>
      </c>
      <c r="L2841" t="s">
        <v>9662</v>
      </c>
      <c r="M2841" t="str">
        <f>IF(Table1[[#This Row],[used]], _xlfn.CONCAT("🆔 ", Table1[[#This Row],[variable]], ": ",Table1[[#This Row],[alias]]), "")</f>
        <v>🆔 B25063_020E: With cash rent: $1,000 to $1,249</v>
      </c>
      <c r="O2841" t="s">
        <v>9602</v>
      </c>
      <c r="P2841" t="s">
        <v>9663</v>
      </c>
      <c r="Q2841" t="s">
        <v>41</v>
      </c>
      <c r="R2841" t="s">
        <v>9702</v>
      </c>
      <c r="S2841" t="b">
        <v>1</v>
      </c>
      <c r="T2841" t="b">
        <v>1</v>
      </c>
      <c r="U2841" t="b">
        <v>1</v>
      </c>
      <c r="V2841" t="b">
        <v>1</v>
      </c>
      <c r="W2841" t="b">
        <v>1</v>
      </c>
      <c r="X2841" t="b">
        <v>1</v>
      </c>
      <c r="Y2841" t="b">
        <v>1</v>
      </c>
      <c r="Z2841" t="b">
        <v>1</v>
      </c>
      <c r="AA2841" t="b">
        <v>1</v>
      </c>
      <c r="AB2841" t="b">
        <v>1</v>
      </c>
      <c r="AC2841" t="b">
        <v>1</v>
      </c>
      <c r="AD2841" t="b">
        <v>1</v>
      </c>
      <c r="AE2841" t="b">
        <v>1</v>
      </c>
      <c r="AF2841" t="b">
        <v>1</v>
      </c>
      <c r="AG2841" t="b">
        <v>1</v>
      </c>
    </row>
    <row r="2842" spans="1:33" x14ac:dyDescent="0.25">
      <c r="A2842" t="s">
        <v>33</v>
      </c>
      <c r="B2842">
        <v>15</v>
      </c>
      <c r="C2842" t="b">
        <v>1</v>
      </c>
      <c r="D2842" t="s">
        <v>7968</v>
      </c>
      <c r="E2842" t="s">
        <v>9658</v>
      </c>
      <c r="F2842" t="s">
        <v>9703</v>
      </c>
      <c r="G2842" t="s">
        <v>9605</v>
      </c>
      <c r="H2842">
        <v>2841</v>
      </c>
      <c r="I2842" t="str">
        <f>IF(ISBLANK(Table1[[#This Row],[oid]]),"FALSE","TRUE")</f>
        <v>TRUE</v>
      </c>
      <c r="J2842" t="str" cm="1">
        <f t="array" ref="J2842">_xlfn.SWITCH(LEFT(Table1[[#This Row],[section]],1), "D", "Demographic", "S", "Social", "E", "Economic", "H", "Housing", "")</f>
        <v>Housing</v>
      </c>
      <c r="K2842" t="s">
        <v>9661</v>
      </c>
      <c r="L2842" t="s">
        <v>9662</v>
      </c>
      <c r="M2842" t="str">
        <f>IF(Table1[[#This Row],[used]], _xlfn.CONCAT("🆔 ", Table1[[#This Row],[variable]], ": ",Table1[[#This Row],[alias]]), "")</f>
        <v>🆔 B25063_021E: With cash rent: $1,250 to $1,499</v>
      </c>
      <c r="O2842" t="s">
        <v>9606</v>
      </c>
      <c r="P2842" t="s">
        <v>9663</v>
      </c>
      <c r="Q2842" t="s">
        <v>41</v>
      </c>
      <c r="R2842" t="s">
        <v>9704</v>
      </c>
      <c r="S2842" t="b">
        <v>1</v>
      </c>
      <c r="T2842" t="b">
        <v>1</v>
      </c>
      <c r="U2842" t="b">
        <v>1</v>
      </c>
      <c r="V2842" t="b">
        <v>1</v>
      </c>
      <c r="W2842" t="b">
        <v>1</v>
      </c>
      <c r="X2842" t="b">
        <v>1</v>
      </c>
      <c r="Y2842" t="b">
        <v>1</v>
      </c>
      <c r="Z2842" t="b">
        <v>1</v>
      </c>
      <c r="AA2842" t="b">
        <v>1</v>
      </c>
      <c r="AB2842" t="b">
        <v>1</v>
      </c>
      <c r="AC2842" t="b">
        <v>1</v>
      </c>
      <c r="AD2842" t="b">
        <v>1</v>
      </c>
      <c r="AE2842" t="b">
        <v>1</v>
      </c>
      <c r="AF2842" t="b">
        <v>1</v>
      </c>
      <c r="AG2842" t="b">
        <v>1</v>
      </c>
    </row>
    <row r="2843" spans="1:33" x14ac:dyDescent="0.25">
      <c r="A2843" t="s">
        <v>33</v>
      </c>
      <c r="B2843">
        <v>15</v>
      </c>
      <c r="C2843" t="b">
        <v>1</v>
      </c>
      <c r="D2843" t="s">
        <v>7968</v>
      </c>
      <c r="E2843" t="s">
        <v>9658</v>
      </c>
      <c r="F2843" t="s">
        <v>9705</v>
      </c>
      <c r="G2843" t="s">
        <v>9609</v>
      </c>
      <c r="H2843">
        <v>2842</v>
      </c>
      <c r="I2843" t="str">
        <f>IF(ISBLANK(Table1[[#This Row],[oid]]),"FALSE","TRUE")</f>
        <v>TRUE</v>
      </c>
      <c r="J2843" t="str" cm="1">
        <f t="array" ref="J2843">_xlfn.SWITCH(LEFT(Table1[[#This Row],[section]],1), "D", "Demographic", "S", "Social", "E", "Economic", "H", "Housing", "")</f>
        <v>Housing</v>
      </c>
      <c r="K2843" t="s">
        <v>9661</v>
      </c>
      <c r="L2843" t="s">
        <v>9662</v>
      </c>
      <c r="M2843" t="str">
        <f>IF(Table1[[#This Row],[used]], _xlfn.CONCAT("🆔 ", Table1[[#This Row],[variable]], ": ",Table1[[#This Row],[alias]]), "")</f>
        <v>🆔 B25063_022E: With cash rent: $1,500 to $1,999</v>
      </c>
      <c r="O2843" t="s">
        <v>9610</v>
      </c>
      <c r="P2843" t="s">
        <v>9663</v>
      </c>
      <c r="Q2843" t="s">
        <v>41</v>
      </c>
      <c r="R2843" t="s">
        <v>9706</v>
      </c>
      <c r="S2843" t="b">
        <v>1</v>
      </c>
      <c r="T2843" t="b">
        <v>1</v>
      </c>
      <c r="U2843" t="b">
        <v>1</v>
      </c>
      <c r="V2843" t="b">
        <v>1</v>
      </c>
      <c r="W2843" t="b">
        <v>1</v>
      </c>
      <c r="X2843" t="b">
        <v>1</v>
      </c>
      <c r="Y2843" t="b">
        <v>1</v>
      </c>
      <c r="Z2843" t="b">
        <v>1</v>
      </c>
      <c r="AA2843" t="b">
        <v>1</v>
      </c>
      <c r="AB2843" t="b">
        <v>1</v>
      </c>
      <c r="AC2843" t="b">
        <v>1</v>
      </c>
      <c r="AD2843" t="b">
        <v>1</v>
      </c>
      <c r="AE2843" t="b">
        <v>1</v>
      </c>
      <c r="AF2843" t="b">
        <v>1</v>
      </c>
      <c r="AG2843" t="b">
        <v>1</v>
      </c>
    </row>
    <row r="2844" spans="1:33" x14ac:dyDescent="0.25">
      <c r="A2844" t="s">
        <v>709</v>
      </c>
      <c r="B2844">
        <v>5</v>
      </c>
      <c r="C2844" t="b">
        <v>0</v>
      </c>
      <c r="D2844" t="s">
        <v>7968</v>
      </c>
      <c r="E2844" t="s">
        <v>9658</v>
      </c>
      <c r="F2844" t="s">
        <v>9707</v>
      </c>
      <c r="G2844" t="s">
        <v>9613</v>
      </c>
      <c r="H2844">
        <v>2843</v>
      </c>
      <c r="I2844" t="str">
        <f>IF(ISBLANK(Table1[[#This Row],[oid]]),"FALSE","TRUE")</f>
        <v>TRUE</v>
      </c>
      <c r="J2844" t="str" cm="1">
        <f t="array" ref="J2844">_xlfn.SWITCH(LEFT(Table1[[#This Row],[section]],1), "D", "Demographic", "S", "Social", "E", "Economic", "H", "Housing", "")</f>
        <v>Housing</v>
      </c>
      <c r="K2844" t="s">
        <v>9661</v>
      </c>
      <c r="L2844" t="s">
        <v>9662</v>
      </c>
      <c r="M2844" t="str">
        <f>IF(Table1[[#This Row],[used]], _xlfn.CONCAT("🆔 ", Table1[[#This Row],[variable]], ": ",Table1[[#This Row],[alias]]), "")</f>
        <v>🆔 B25063_023E: With cash rent: $2,000 or more</v>
      </c>
      <c r="O2844" t="s">
        <v>9614</v>
      </c>
      <c r="P2844" t="s">
        <v>9663</v>
      </c>
      <c r="Q2844" t="s">
        <v>41</v>
      </c>
      <c r="R2844" t="s">
        <v>9708</v>
      </c>
      <c r="S2844" t="b">
        <v>1</v>
      </c>
      <c r="T2844" t="b">
        <v>1</v>
      </c>
      <c r="U2844" t="b">
        <v>1</v>
      </c>
      <c r="V2844" t="b">
        <v>1</v>
      </c>
      <c r="W2844" t="b">
        <v>1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0</v>
      </c>
    </row>
    <row r="2845" spans="1:33" x14ac:dyDescent="0.25">
      <c r="A2845" t="s">
        <v>714</v>
      </c>
      <c r="B2845">
        <v>10</v>
      </c>
      <c r="C2845" t="b">
        <v>0</v>
      </c>
      <c r="D2845" t="s">
        <v>7968</v>
      </c>
      <c r="E2845" t="s">
        <v>9658</v>
      </c>
      <c r="F2845" t="s">
        <v>9707</v>
      </c>
      <c r="G2845" t="s">
        <v>9616</v>
      </c>
      <c r="H2845">
        <v>2844</v>
      </c>
      <c r="I2845" t="str">
        <f>IF(ISBLANK(Table1[[#This Row],[oid]]),"FALSE","TRUE")</f>
        <v>TRUE</v>
      </c>
      <c r="J2845" t="str" cm="1">
        <f t="array" ref="J2845">_xlfn.SWITCH(LEFT(Table1[[#This Row],[section]],1), "D", "Demographic", "S", "Social", "E", "Economic", "H", "Housing", "")</f>
        <v>Housing</v>
      </c>
      <c r="K2845" t="s">
        <v>9661</v>
      </c>
      <c r="L2845" t="s">
        <v>9662</v>
      </c>
      <c r="M2845" t="str">
        <f>IF(Table1[[#This Row],[used]], _xlfn.CONCAT("🆔 ", Table1[[#This Row],[variable]], ": ",Table1[[#This Row],[alias]]), "")</f>
        <v>🆔 B25063_023E: With cash rent: $2,000 to $2,499</v>
      </c>
      <c r="O2845" t="s">
        <v>9617</v>
      </c>
      <c r="P2845" t="s">
        <v>9663</v>
      </c>
      <c r="Q2845" t="s">
        <v>41</v>
      </c>
      <c r="R2845" t="s">
        <v>9708</v>
      </c>
      <c r="S2845" t="b">
        <v>0</v>
      </c>
      <c r="T2845" t="b">
        <v>0</v>
      </c>
      <c r="U2845" t="b">
        <v>0</v>
      </c>
      <c r="V2845" t="b">
        <v>0</v>
      </c>
      <c r="W2845" t="b">
        <v>0</v>
      </c>
      <c r="X2845" t="b">
        <v>1</v>
      </c>
      <c r="Y2845" t="b">
        <v>1</v>
      </c>
      <c r="Z2845" t="b">
        <v>1</v>
      </c>
      <c r="AA2845" t="b">
        <v>1</v>
      </c>
      <c r="AB2845" t="b">
        <v>1</v>
      </c>
      <c r="AC2845" t="b">
        <v>1</v>
      </c>
      <c r="AD2845" t="b">
        <v>1</v>
      </c>
      <c r="AE2845" t="b">
        <v>1</v>
      </c>
      <c r="AF2845" t="b">
        <v>1</v>
      </c>
      <c r="AG2845" t="b">
        <v>1</v>
      </c>
    </row>
    <row r="2846" spans="1:33" x14ac:dyDescent="0.25">
      <c r="A2846" t="s">
        <v>709</v>
      </c>
      <c r="B2846">
        <v>5</v>
      </c>
      <c r="C2846" t="b">
        <v>0</v>
      </c>
      <c r="D2846" t="s">
        <v>7968</v>
      </c>
      <c r="E2846" t="s">
        <v>9658</v>
      </c>
      <c r="F2846" t="s">
        <v>9709</v>
      </c>
      <c r="G2846" t="s">
        <v>9619</v>
      </c>
      <c r="H2846">
        <v>2845</v>
      </c>
      <c r="I2846" t="str">
        <f>IF(ISBLANK(Table1[[#This Row],[oid]]),"FALSE","TRUE")</f>
        <v>TRUE</v>
      </c>
      <c r="J2846" t="str" cm="1">
        <f t="array" ref="J2846">_xlfn.SWITCH(LEFT(Table1[[#This Row],[section]],1), "D", "Demographic", "S", "Social", "E", "Economic", "H", "Housing", "")</f>
        <v>Housing</v>
      </c>
      <c r="K2846" t="s">
        <v>9661</v>
      </c>
      <c r="L2846" t="s">
        <v>9662</v>
      </c>
      <c r="M2846" t="str">
        <f>IF(Table1[[#This Row],[used]], _xlfn.CONCAT("🆔 ", Table1[[#This Row],[variable]], ": ",Table1[[#This Row],[alias]]), "")</f>
        <v>🆔 B25063_024E: No cash rent</v>
      </c>
      <c r="O2846" t="s">
        <v>9620</v>
      </c>
      <c r="P2846" t="s">
        <v>9663</v>
      </c>
      <c r="Q2846" t="s">
        <v>41</v>
      </c>
      <c r="R2846" t="s">
        <v>9710</v>
      </c>
      <c r="S2846" t="b">
        <v>1</v>
      </c>
      <c r="T2846" t="b">
        <v>1</v>
      </c>
      <c r="U2846" t="b">
        <v>1</v>
      </c>
      <c r="V2846" t="b">
        <v>1</v>
      </c>
      <c r="W2846" t="b">
        <v>1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0</v>
      </c>
    </row>
    <row r="2847" spans="1:33" x14ac:dyDescent="0.25">
      <c r="A2847" t="s">
        <v>714</v>
      </c>
      <c r="B2847">
        <v>10</v>
      </c>
      <c r="C2847" t="b">
        <v>0</v>
      </c>
      <c r="D2847" t="s">
        <v>7968</v>
      </c>
      <c r="E2847" t="s">
        <v>9658</v>
      </c>
      <c r="F2847" t="s">
        <v>9709</v>
      </c>
      <c r="G2847" t="s">
        <v>9622</v>
      </c>
      <c r="H2847">
        <v>2846</v>
      </c>
      <c r="I2847" t="str">
        <f>IF(ISBLANK(Table1[[#This Row],[oid]]),"FALSE","TRUE")</f>
        <v>TRUE</v>
      </c>
      <c r="J2847" t="str" cm="1">
        <f t="array" ref="J2847">_xlfn.SWITCH(LEFT(Table1[[#This Row],[section]],1), "D", "Demographic", "S", "Social", "E", "Economic", "H", "Housing", "")</f>
        <v>Housing</v>
      </c>
      <c r="K2847" t="s">
        <v>9661</v>
      </c>
      <c r="L2847" t="s">
        <v>9662</v>
      </c>
      <c r="M2847" t="str">
        <f>IF(Table1[[#This Row],[used]], _xlfn.CONCAT("🆔 ", Table1[[#This Row],[variable]], ": ",Table1[[#This Row],[alias]]), "")</f>
        <v>🆔 B25063_024E: With cash rent: $2,500 to $2,999</v>
      </c>
      <c r="O2847" t="s">
        <v>9623</v>
      </c>
      <c r="P2847" t="s">
        <v>9663</v>
      </c>
      <c r="Q2847" t="s">
        <v>41</v>
      </c>
      <c r="R2847" t="s">
        <v>9710</v>
      </c>
      <c r="S2847" t="b">
        <v>0</v>
      </c>
      <c r="T2847" t="b">
        <v>0</v>
      </c>
      <c r="U2847" t="b">
        <v>0</v>
      </c>
      <c r="V2847" t="b">
        <v>0</v>
      </c>
      <c r="W2847" t="b">
        <v>0</v>
      </c>
      <c r="X2847" t="b">
        <v>1</v>
      </c>
      <c r="Y2847" t="b">
        <v>1</v>
      </c>
      <c r="Z2847" t="b">
        <v>1</v>
      </c>
      <c r="AA2847" t="b">
        <v>1</v>
      </c>
      <c r="AB2847" t="b">
        <v>1</v>
      </c>
      <c r="AC2847" t="b">
        <v>1</v>
      </c>
      <c r="AD2847" t="b">
        <v>1</v>
      </c>
      <c r="AE2847" t="b">
        <v>1</v>
      </c>
      <c r="AF2847" t="b">
        <v>1</v>
      </c>
      <c r="AG2847" t="b">
        <v>1</v>
      </c>
    </row>
    <row r="2848" spans="1:33" x14ac:dyDescent="0.25">
      <c r="A2848" t="s">
        <v>714</v>
      </c>
      <c r="B2848">
        <v>10</v>
      </c>
      <c r="C2848" t="b">
        <v>0</v>
      </c>
      <c r="D2848" t="s">
        <v>7968</v>
      </c>
      <c r="E2848" t="s">
        <v>9658</v>
      </c>
      <c r="F2848" t="s">
        <v>9711</v>
      </c>
      <c r="G2848" t="s">
        <v>9625</v>
      </c>
      <c r="H2848">
        <v>2847</v>
      </c>
      <c r="I2848" t="str">
        <f>IF(ISBLANK(Table1[[#This Row],[oid]]),"FALSE","TRUE")</f>
        <v>TRUE</v>
      </c>
      <c r="J2848" t="str" cm="1">
        <f t="array" ref="J2848">_xlfn.SWITCH(LEFT(Table1[[#This Row],[section]],1), "D", "Demographic", "S", "Social", "E", "Economic", "H", "Housing", "")</f>
        <v>Housing</v>
      </c>
      <c r="K2848" t="s">
        <v>9661</v>
      </c>
      <c r="L2848" t="s">
        <v>9662</v>
      </c>
      <c r="M2848" t="str">
        <f>IF(Table1[[#This Row],[used]], _xlfn.CONCAT("🆔 ", Table1[[#This Row],[variable]], ": ",Table1[[#This Row],[alias]]), "")</f>
        <v>🆔 B25063_025E: With cash rent: $3,000 to $3,499</v>
      </c>
      <c r="O2848" t="s">
        <v>9626</v>
      </c>
      <c r="P2848" t="s">
        <v>9663</v>
      </c>
      <c r="Q2848" t="s">
        <v>41</v>
      </c>
      <c r="R2848" t="s">
        <v>9712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1</v>
      </c>
      <c r="Y2848" t="b">
        <v>1</v>
      </c>
      <c r="Z2848" t="b">
        <v>1</v>
      </c>
      <c r="AA2848" t="b">
        <v>1</v>
      </c>
      <c r="AB2848" t="b">
        <v>1</v>
      </c>
      <c r="AC2848" t="b">
        <v>1</v>
      </c>
      <c r="AD2848" t="b">
        <v>1</v>
      </c>
      <c r="AE2848" t="b">
        <v>1</v>
      </c>
      <c r="AF2848" t="b">
        <v>1</v>
      </c>
      <c r="AG2848" t="b">
        <v>1</v>
      </c>
    </row>
    <row r="2849" spans="1:33" x14ac:dyDescent="0.25">
      <c r="A2849" t="s">
        <v>714</v>
      </c>
      <c r="B2849">
        <v>10</v>
      </c>
      <c r="C2849" t="b">
        <v>0</v>
      </c>
      <c r="D2849" t="s">
        <v>7968</v>
      </c>
      <c r="E2849" t="s">
        <v>9658</v>
      </c>
      <c r="F2849" t="s">
        <v>9713</v>
      </c>
      <c r="G2849" t="s">
        <v>9629</v>
      </c>
      <c r="H2849">
        <v>2848</v>
      </c>
      <c r="I2849" t="str">
        <f>IF(ISBLANK(Table1[[#This Row],[oid]]),"FALSE","TRUE")</f>
        <v>TRUE</v>
      </c>
      <c r="J2849" t="str" cm="1">
        <f t="array" ref="J2849">_xlfn.SWITCH(LEFT(Table1[[#This Row],[section]],1), "D", "Demographic", "S", "Social", "E", "Economic", "H", "Housing", "")</f>
        <v>Housing</v>
      </c>
      <c r="K2849" t="s">
        <v>9661</v>
      </c>
      <c r="L2849" t="s">
        <v>9662</v>
      </c>
      <c r="M2849" t="str">
        <f>IF(Table1[[#This Row],[used]], _xlfn.CONCAT("🆔 ", Table1[[#This Row],[variable]], ": ",Table1[[#This Row],[alias]]), "")</f>
        <v>🆔 B25063_026E: With cash rent: $3,500 or more</v>
      </c>
      <c r="O2849" t="s">
        <v>9630</v>
      </c>
      <c r="P2849" t="s">
        <v>9663</v>
      </c>
      <c r="Q2849" t="s">
        <v>41</v>
      </c>
      <c r="R2849" t="s">
        <v>9714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1</v>
      </c>
      <c r="Y2849" t="b">
        <v>1</v>
      </c>
      <c r="Z2849" t="b">
        <v>1</v>
      </c>
      <c r="AA2849" t="b">
        <v>1</v>
      </c>
      <c r="AB2849" t="b">
        <v>1</v>
      </c>
      <c r="AC2849" t="b">
        <v>1</v>
      </c>
      <c r="AD2849" t="b">
        <v>1</v>
      </c>
      <c r="AE2849" t="b">
        <v>1</v>
      </c>
      <c r="AF2849" t="b">
        <v>1</v>
      </c>
      <c r="AG2849" t="b">
        <v>1</v>
      </c>
    </row>
    <row r="2850" spans="1:33" x14ac:dyDescent="0.25">
      <c r="A2850" t="s">
        <v>714</v>
      </c>
      <c r="B2850">
        <v>10</v>
      </c>
      <c r="C2850" t="b">
        <v>0</v>
      </c>
      <c r="D2850" t="s">
        <v>7968</v>
      </c>
      <c r="E2850" t="s">
        <v>9658</v>
      </c>
      <c r="F2850" t="s">
        <v>9715</v>
      </c>
      <c r="G2850" t="s">
        <v>9619</v>
      </c>
      <c r="H2850">
        <v>2849</v>
      </c>
      <c r="I2850" t="str">
        <f>IF(ISBLANK(Table1[[#This Row],[oid]]),"FALSE","TRUE")</f>
        <v>TRUE</v>
      </c>
      <c r="J2850" t="str" cm="1">
        <f t="array" ref="J2850">_xlfn.SWITCH(LEFT(Table1[[#This Row],[section]],1), "D", "Demographic", "S", "Social", "E", "Economic", "H", "Housing", "")</f>
        <v>Housing</v>
      </c>
      <c r="K2850" t="s">
        <v>9661</v>
      </c>
      <c r="L2850" t="s">
        <v>9662</v>
      </c>
      <c r="M2850" t="str">
        <f>IF(Table1[[#This Row],[used]], _xlfn.CONCAT("🆔 ", Table1[[#This Row],[variable]], ": ",Table1[[#This Row],[alias]]), "")</f>
        <v>🆔 B25063_027E: No cash rent</v>
      </c>
      <c r="O2850" t="s">
        <v>9620</v>
      </c>
      <c r="P2850" t="s">
        <v>9663</v>
      </c>
      <c r="Q2850" t="s">
        <v>41</v>
      </c>
      <c r="R2850" t="s">
        <v>9716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1</v>
      </c>
      <c r="Y2850" t="b">
        <v>1</v>
      </c>
      <c r="Z2850" t="b">
        <v>1</v>
      </c>
      <c r="AA2850" t="b">
        <v>1</v>
      </c>
      <c r="AB2850" t="b">
        <v>1</v>
      </c>
      <c r="AC2850" t="b">
        <v>1</v>
      </c>
      <c r="AD2850" t="b">
        <v>1</v>
      </c>
      <c r="AE2850" t="b">
        <v>1</v>
      </c>
      <c r="AF2850" t="b">
        <v>1</v>
      </c>
      <c r="AG2850" t="b">
        <v>1</v>
      </c>
    </row>
    <row r="2851" spans="1:33" x14ac:dyDescent="0.25">
      <c r="A2851" t="s">
        <v>33</v>
      </c>
      <c r="B2851">
        <v>15</v>
      </c>
      <c r="C2851" t="b">
        <v>1</v>
      </c>
      <c r="D2851" t="s">
        <v>7968</v>
      </c>
      <c r="E2851" t="s">
        <v>9717</v>
      </c>
      <c r="F2851" t="s">
        <v>9718</v>
      </c>
      <c r="G2851" t="s">
        <v>9719</v>
      </c>
      <c r="H2851">
        <v>2850</v>
      </c>
      <c r="I2851" t="str">
        <f>IF(ISBLANK(Table1[[#This Row],[oid]]),"FALSE","TRUE")</f>
        <v>TRUE</v>
      </c>
      <c r="J2851" t="str" cm="1">
        <f t="array" ref="J2851">_xlfn.SWITCH(LEFT(Table1[[#This Row],[section]],1), "D", "Demographic", "S", "Social", "E", "Economic", "H", "Housing", "")</f>
        <v>Housing</v>
      </c>
      <c r="K2851" t="s">
        <v>9661</v>
      </c>
      <c r="L2851" t="s">
        <v>9662</v>
      </c>
      <c r="M2851" t="str">
        <f>IF(Table1[[#This Row],[used]], _xlfn.CONCAT("🆔 ", Table1[[#This Row],[variable]], ": ",Table1[[#This Row],[alias]]), "")</f>
        <v>🆔 B25064_001E: Median gross rent</v>
      </c>
      <c r="O2851" t="s">
        <v>9720</v>
      </c>
      <c r="P2851" t="s">
        <v>9721</v>
      </c>
      <c r="Q2851" t="s">
        <v>41</v>
      </c>
      <c r="R2851" t="s">
        <v>9722</v>
      </c>
      <c r="S2851" t="b">
        <v>1</v>
      </c>
      <c r="T2851" t="b">
        <v>1</v>
      </c>
      <c r="U2851" t="b">
        <v>1</v>
      </c>
      <c r="V2851" t="b">
        <v>1</v>
      </c>
      <c r="W2851" t="b">
        <v>1</v>
      </c>
      <c r="X2851" t="b">
        <v>1</v>
      </c>
      <c r="Y2851" t="b">
        <v>1</v>
      </c>
      <c r="Z2851" t="b">
        <v>1</v>
      </c>
      <c r="AA2851" t="b">
        <v>1</v>
      </c>
      <c r="AB2851" t="b">
        <v>1</v>
      </c>
      <c r="AC2851" t="b">
        <v>1</v>
      </c>
      <c r="AD2851" t="b">
        <v>1</v>
      </c>
      <c r="AE2851" t="b">
        <v>1</v>
      </c>
      <c r="AF2851" t="b">
        <v>1</v>
      </c>
      <c r="AG2851" t="b">
        <v>1</v>
      </c>
    </row>
    <row r="2852" spans="1:33" x14ac:dyDescent="0.25">
      <c r="A2852" t="s">
        <v>33</v>
      </c>
      <c r="B2852">
        <v>15</v>
      </c>
      <c r="C2852" t="b">
        <v>1</v>
      </c>
      <c r="D2852" t="s">
        <v>7968</v>
      </c>
      <c r="E2852" t="s">
        <v>9723</v>
      </c>
      <c r="F2852" t="s">
        <v>9724</v>
      </c>
      <c r="G2852" t="s">
        <v>9725</v>
      </c>
      <c r="H2852">
        <v>2851</v>
      </c>
      <c r="I2852" t="str">
        <f>IF(ISBLANK(Table1[[#This Row],[oid]]),"FALSE","TRUE")</f>
        <v>TRUE</v>
      </c>
      <c r="J2852" t="str" cm="1">
        <f t="array" ref="J2852">_xlfn.SWITCH(LEFT(Table1[[#This Row],[section]],1), "D", "Demographic", "S", "Social", "E", "Economic", "H", "Housing", "")</f>
        <v>Housing</v>
      </c>
      <c r="K2852" t="s">
        <v>9661</v>
      </c>
      <c r="L2852" t="s">
        <v>9662</v>
      </c>
      <c r="M2852" t="str">
        <f>IF(Table1[[#This Row],[used]], _xlfn.CONCAT("🆔 ", Table1[[#This Row],[variable]], ": ",Table1[[#This Row],[alias]]), "")</f>
        <v>🆔 B25065_001E: Aggregate gross rent</v>
      </c>
      <c r="O2852" t="s">
        <v>9726</v>
      </c>
      <c r="P2852" t="s">
        <v>9727</v>
      </c>
      <c r="Q2852" t="s">
        <v>41</v>
      </c>
      <c r="R2852" t="s">
        <v>9728</v>
      </c>
      <c r="S2852" t="b">
        <v>1</v>
      </c>
      <c r="T2852" t="b">
        <v>1</v>
      </c>
      <c r="U2852" t="b">
        <v>1</v>
      </c>
      <c r="V2852" t="b">
        <v>1</v>
      </c>
      <c r="W2852" t="b">
        <v>1</v>
      </c>
      <c r="X2852" t="b">
        <v>1</v>
      </c>
      <c r="Y2852" t="b">
        <v>1</v>
      </c>
      <c r="Z2852" t="b">
        <v>1</v>
      </c>
      <c r="AA2852" t="b">
        <v>1</v>
      </c>
      <c r="AB2852" t="b">
        <v>1</v>
      </c>
      <c r="AC2852" t="b">
        <v>1</v>
      </c>
      <c r="AD2852" t="b">
        <v>1</v>
      </c>
      <c r="AE2852" t="b">
        <v>1</v>
      </c>
      <c r="AF2852" t="b">
        <v>1</v>
      </c>
      <c r="AG2852" t="b">
        <v>1</v>
      </c>
    </row>
    <row r="2853" spans="1:33" x14ac:dyDescent="0.25">
      <c r="A2853" t="s">
        <v>33</v>
      </c>
      <c r="B2853">
        <v>15</v>
      </c>
      <c r="C2853" t="b">
        <v>1</v>
      </c>
      <c r="D2853" t="s">
        <v>7968</v>
      </c>
      <c r="E2853" t="s">
        <v>9729</v>
      </c>
      <c r="F2853" t="s">
        <v>9730</v>
      </c>
      <c r="G2853" t="s">
        <v>9731</v>
      </c>
      <c r="H2853">
        <v>2852</v>
      </c>
      <c r="I2853" t="str">
        <f>IF(ISBLANK(Table1[[#This Row],[oid]]),"FALSE","TRUE")</f>
        <v>TRUE</v>
      </c>
      <c r="J2853" t="str" cm="1">
        <f t="array" ref="J2853">_xlfn.SWITCH(LEFT(Table1[[#This Row],[section]],1), "D", "Demographic", "S", "Social", "E", "Economic", "H", "Housing", "")</f>
        <v>Housing</v>
      </c>
      <c r="K2853" t="s">
        <v>9661</v>
      </c>
      <c r="L2853" t="s">
        <v>9662</v>
      </c>
      <c r="M2853" t="str">
        <f>IF(Table1[[#This Row],[used]], _xlfn.CONCAT("🆔 ", Table1[[#This Row],[variable]], ": ",Table1[[#This Row],[alias]]), "")</f>
        <v>🆔 B25066_002E: Aggregate gross rent: 1 detached or attached unit</v>
      </c>
      <c r="O2853" t="s">
        <v>9732</v>
      </c>
      <c r="P2853" t="s">
        <v>9733</v>
      </c>
      <c r="Q2853" t="s">
        <v>41</v>
      </c>
      <c r="R2853" t="s">
        <v>9734</v>
      </c>
      <c r="S2853" t="b">
        <v>1</v>
      </c>
      <c r="T2853" t="b">
        <v>1</v>
      </c>
      <c r="U2853" t="b">
        <v>1</v>
      </c>
      <c r="V2853" t="b">
        <v>1</v>
      </c>
      <c r="W2853" t="b">
        <v>1</v>
      </c>
      <c r="X2853" t="b">
        <v>1</v>
      </c>
      <c r="Y2853" t="b">
        <v>1</v>
      </c>
      <c r="Z2853" t="b">
        <v>1</v>
      </c>
      <c r="AA2853" t="b">
        <v>1</v>
      </c>
      <c r="AB2853" t="b">
        <v>1</v>
      </c>
      <c r="AC2853" t="b">
        <v>1</v>
      </c>
      <c r="AD2853" t="b">
        <v>1</v>
      </c>
      <c r="AE2853" t="b">
        <v>1</v>
      </c>
      <c r="AF2853" t="b">
        <v>1</v>
      </c>
      <c r="AG2853" t="b">
        <v>1</v>
      </c>
    </row>
    <row r="2854" spans="1:33" x14ac:dyDescent="0.25">
      <c r="A2854" t="s">
        <v>33</v>
      </c>
      <c r="B2854">
        <v>15</v>
      </c>
      <c r="C2854" t="b">
        <v>1</v>
      </c>
      <c r="D2854" t="s">
        <v>7968</v>
      </c>
      <c r="E2854" t="s">
        <v>9729</v>
      </c>
      <c r="F2854" t="s">
        <v>9735</v>
      </c>
      <c r="G2854" t="s">
        <v>9736</v>
      </c>
      <c r="H2854">
        <v>2853</v>
      </c>
      <c r="I2854" t="str">
        <f>IF(ISBLANK(Table1[[#This Row],[oid]]),"FALSE","TRUE")</f>
        <v>TRUE</v>
      </c>
      <c r="J2854" t="str" cm="1">
        <f t="array" ref="J2854">_xlfn.SWITCH(LEFT(Table1[[#This Row],[section]],1), "D", "Demographic", "S", "Social", "E", "Economic", "H", "Housing", "")</f>
        <v>Housing</v>
      </c>
      <c r="K2854" t="s">
        <v>9661</v>
      </c>
      <c r="L2854" t="s">
        <v>9662</v>
      </c>
      <c r="M2854" t="str">
        <f>IF(Table1[[#This Row],[used]], _xlfn.CONCAT("🆔 ", Table1[[#This Row],[variable]], ": ",Table1[[#This Row],[alias]]), "")</f>
        <v>🆔 B25066_003E: Aggregate gross rent: 2 to 4 units</v>
      </c>
      <c r="O2854" t="s">
        <v>9737</v>
      </c>
      <c r="P2854" t="s">
        <v>9733</v>
      </c>
      <c r="Q2854" t="s">
        <v>41</v>
      </c>
      <c r="R2854" t="s">
        <v>9738</v>
      </c>
      <c r="S2854" t="b">
        <v>1</v>
      </c>
      <c r="T2854" t="b">
        <v>1</v>
      </c>
      <c r="U2854" t="b">
        <v>1</v>
      </c>
      <c r="V2854" t="b">
        <v>1</v>
      </c>
      <c r="W2854" t="b">
        <v>1</v>
      </c>
      <c r="X2854" t="b">
        <v>1</v>
      </c>
      <c r="Y2854" t="b">
        <v>1</v>
      </c>
      <c r="Z2854" t="b">
        <v>1</v>
      </c>
      <c r="AA2854" t="b">
        <v>1</v>
      </c>
      <c r="AB2854" t="b">
        <v>1</v>
      </c>
      <c r="AC2854" t="b">
        <v>1</v>
      </c>
      <c r="AD2854" t="b">
        <v>1</v>
      </c>
      <c r="AE2854" t="b">
        <v>1</v>
      </c>
      <c r="AF2854" t="b">
        <v>1</v>
      </c>
      <c r="AG2854" t="b">
        <v>1</v>
      </c>
    </row>
    <row r="2855" spans="1:33" x14ac:dyDescent="0.25">
      <c r="A2855" t="s">
        <v>33</v>
      </c>
      <c r="B2855">
        <v>15</v>
      </c>
      <c r="C2855" t="b">
        <v>1</v>
      </c>
      <c r="D2855" t="s">
        <v>7968</v>
      </c>
      <c r="E2855" t="s">
        <v>9729</v>
      </c>
      <c r="F2855" t="s">
        <v>9739</v>
      </c>
      <c r="G2855" t="s">
        <v>9740</v>
      </c>
      <c r="H2855">
        <v>2854</v>
      </c>
      <c r="I2855" t="str">
        <f>IF(ISBLANK(Table1[[#This Row],[oid]]),"FALSE","TRUE")</f>
        <v>TRUE</v>
      </c>
      <c r="J2855" t="str" cm="1">
        <f t="array" ref="J2855">_xlfn.SWITCH(LEFT(Table1[[#This Row],[section]],1), "D", "Demographic", "S", "Social", "E", "Economic", "H", "Housing", "")</f>
        <v>Housing</v>
      </c>
      <c r="K2855" t="s">
        <v>9661</v>
      </c>
      <c r="L2855" t="s">
        <v>9662</v>
      </c>
      <c r="M2855" t="str">
        <f>IF(Table1[[#This Row],[used]], _xlfn.CONCAT("🆔 ", Table1[[#This Row],[variable]], ": ",Table1[[#This Row],[alias]]), "")</f>
        <v>🆔 B25066_004E: Aggregate gross rent: 5 to 19 units</v>
      </c>
      <c r="O2855" t="s">
        <v>9741</v>
      </c>
      <c r="P2855" t="s">
        <v>9733</v>
      </c>
      <c r="Q2855" t="s">
        <v>41</v>
      </c>
      <c r="R2855" t="s">
        <v>9742</v>
      </c>
      <c r="S2855" t="b">
        <v>1</v>
      </c>
      <c r="T2855" t="b">
        <v>1</v>
      </c>
      <c r="U2855" t="b">
        <v>1</v>
      </c>
      <c r="V2855" t="b">
        <v>1</v>
      </c>
      <c r="W2855" t="b">
        <v>1</v>
      </c>
      <c r="X2855" t="b">
        <v>1</v>
      </c>
      <c r="Y2855" t="b">
        <v>1</v>
      </c>
      <c r="Z2855" t="b">
        <v>1</v>
      </c>
      <c r="AA2855" t="b">
        <v>1</v>
      </c>
      <c r="AB2855" t="b">
        <v>1</v>
      </c>
      <c r="AC2855" t="b">
        <v>1</v>
      </c>
      <c r="AD2855" t="b">
        <v>1</v>
      </c>
      <c r="AE2855" t="b">
        <v>1</v>
      </c>
      <c r="AF2855" t="b">
        <v>1</v>
      </c>
      <c r="AG2855" t="b">
        <v>1</v>
      </c>
    </row>
    <row r="2856" spans="1:33" x14ac:dyDescent="0.25">
      <c r="A2856" t="s">
        <v>33</v>
      </c>
      <c r="B2856">
        <v>15</v>
      </c>
      <c r="C2856" t="b">
        <v>1</v>
      </c>
      <c r="D2856" t="s">
        <v>7968</v>
      </c>
      <c r="E2856" t="s">
        <v>9729</v>
      </c>
      <c r="F2856" t="s">
        <v>9743</v>
      </c>
      <c r="G2856" t="s">
        <v>9744</v>
      </c>
      <c r="H2856">
        <v>2855</v>
      </c>
      <c r="I2856" t="str">
        <f>IF(ISBLANK(Table1[[#This Row],[oid]]),"FALSE","TRUE")</f>
        <v>TRUE</v>
      </c>
      <c r="J2856" t="str" cm="1">
        <f t="array" ref="J2856">_xlfn.SWITCH(LEFT(Table1[[#This Row],[section]],1), "D", "Demographic", "S", "Social", "E", "Economic", "H", "Housing", "")</f>
        <v>Housing</v>
      </c>
      <c r="K2856" t="s">
        <v>9661</v>
      </c>
      <c r="L2856" t="s">
        <v>9662</v>
      </c>
      <c r="M2856" t="str">
        <f>IF(Table1[[#This Row],[used]], _xlfn.CONCAT("🆔 ", Table1[[#This Row],[variable]], ": ",Table1[[#This Row],[alias]]), "")</f>
        <v>🆔 B25066_005E: Aggregate gross rent: 20 to 49 units</v>
      </c>
      <c r="O2856" t="s">
        <v>9745</v>
      </c>
      <c r="P2856" t="s">
        <v>9733</v>
      </c>
      <c r="Q2856" t="s">
        <v>41</v>
      </c>
      <c r="R2856" t="s">
        <v>9746</v>
      </c>
      <c r="S2856" t="b">
        <v>1</v>
      </c>
      <c r="T2856" t="b">
        <v>1</v>
      </c>
      <c r="U2856" t="b">
        <v>1</v>
      </c>
      <c r="V2856" t="b">
        <v>1</v>
      </c>
      <c r="W2856" t="b">
        <v>1</v>
      </c>
      <c r="X2856" t="b">
        <v>1</v>
      </c>
      <c r="Y2856" t="b">
        <v>1</v>
      </c>
      <c r="Z2856" t="b">
        <v>1</v>
      </c>
      <c r="AA2856" t="b">
        <v>1</v>
      </c>
      <c r="AB2856" t="b">
        <v>1</v>
      </c>
      <c r="AC2856" t="b">
        <v>1</v>
      </c>
      <c r="AD2856" t="b">
        <v>1</v>
      </c>
      <c r="AE2856" t="b">
        <v>1</v>
      </c>
      <c r="AF2856" t="b">
        <v>1</v>
      </c>
      <c r="AG2856" t="b">
        <v>1</v>
      </c>
    </row>
    <row r="2857" spans="1:33" x14ac:dyDescent="0.25">
      <c r="A2857" t="s">
        <v>33</v>
      </c>
      <c r="B2857">
        <v>15</v>
      </c>
      <c r="C2857" t="b">
        <v>1</v>
      </c>
      <c r="D2857" t="s">
        <v>7968</v>
      </c>
      <c r="E2857" t="s">
        <v>9729</v>
      </c>
      <c r="F2857" t="s">
        <v>9747</v>
      </c>
      <c r="G2857" t="s">
        <v>9748</v>
      </c>
      <c r="H2857">
        <v>2856</v>
      </c>
      <c r="I2857" t="str">
        <f>IF(ISBLANK(Table1[[#This Row],[oid]]),"FALSE","TRUE")</f>
        <v>TRUE</v>
      </c>
      <c r="J2857" t="str" cm="1">
        <f t="array" ref="J2857">_xlfn.SWITCH(LEFT(Table1[[#This Row],[section]],1), "D", "Demographic", "S", "Social", "E", "Economic", "H", "Housing", "")</f>
        <v>Housing</v>
      </c>
      <c r="K2857" t="s">
        <v>9661</v>
      </c>
      <c r="L2857" t="s">
        <v>9662</v>
      </c>
      <c r="M2857" t="str">
        <f>IF(Table1[[#This Row],[used]], _xlfn.CONCAT("🆔 ", Table1[[#This Row],[variable]], ": ",Table1[[#This Row],[alias]]), "")</f>
        <v>🆔 B25066_006E: Aggregate gross rent: 50 or more units</v>
      </c>
      <c r="O2857" t="s">
        <v>9749</v>
      </c>
      <c r="P2857" t="s">
        <v>9733</v>
      </c>
      <c r="Q2857" t="s">
        <v>41</v>
      </c>
      <c r="R2857" t="s">
        <v>9750</v>
      </c>
      <c r="S2857" t="b">
        <v>1</v>
      </c>
      <c r="T2857" t="b">
        <v>1</v>
      </c>
      <c r="U2857" t="b">
        <v>1</v>
      </c>
      <c r="V2857" t="b">
        <v>1</v>
      </c>
      <c r="W2857" t="b">
        <v>1</v>
      </c>
      <c r="X2857" t="b">
        <v>1</v>
      </c>
      <c r="Y2857" t="b">
        <v>1</v>
      </c>
      <c r="Z2857" t="b">
        <v>1</v>
      </c>
      <c r="AA2857" t="b">
        <v>1</v>
      </c>
      <c r="AB2857" t="b">
        <v>1</v>
      </c>
      <c r="AC2857" t="b">
        <v>1</v>
      </c>
      <c r="AD2857" t="b">
        <v>1</v>
      </c>
      <c r="AE2857" t="b">
        <v>1</v>
      </c>
      <c r="AF2857" t="b">
        <v>1</v>
      </c>
      <c r="AG2857" t="b">
        <v>1</v>
      </c>
    </row>
    <row r="2858" spans="1:33" x14ac:dyDescent="0.25">
      <c r="A2858" t="s">
        <v>33</v>
      </c>
      <c r="B2858">
        <v>15</v>
      </c>
      <c r="C2858" t="b">
        <v>1</v>
      </c>
      <c r="D2858" t="s">
        <v>7968</v>
      </c>
      <c r="E2858" t="s">
        <v>9729</v>
      </c>
      <c r="F2858" t="s">
        <v>9751</v>
      </c>
      <c r="G2858" t="s">
        <v>9752</v>
      </c>
      <c r="H2858">
        <v>2857</v>
      </c>
      <c r="I2858" t="str">
        <f>IF(ISBLANK(Table1[[#This Row],[oid]]),"FALSE","TRUE")</f>
        <v>TRUE</v>
      </c>
      <c r="J2858" t="str" cm="1">
        <f t="array" ref="J2858">_xlfn.SWITCH(LEFT(Table1[[#This Row],[section]],1), "D", "Demographic", "S", "Social", "E", "Economic", "H", "Housing", "")</f>
        <v>Housing</v>
      </c>
      <c r="K2858" t="s">
        <v>9661</v>
      </c>
      <c r="L2858" t="s">
        <v>9662</v>
      </c>
      <c r="M2858" t="str">
        <f>IF(Table1[[#This Row],[used]], _xlfn.CONCAT("🆔 ", Table1[[#This Row],[variable]], ": ",Table1[[#This Row],[alias]]), "")</f>
        <v>🆔 B25066_007E: Aggregate gross rent: Mobile home</v>
      </c>
      <c r="O2858" t="s">
        <v>9753</v>
      </c>
      <c r="P2858" t="s">
        <v>9733</v>
      </c>
      <c r="Q2858" t="s">
        <v>41</v>
      </c>
      <c r="R2858" t="s">
        <v>9754</v>
      </c>
      <c r="S2858" t="b">
        <v>1</v>
      </c>
      <c r="T2858" t="b">
        <v>1</v>
      </c>
      <c r="U2858" t="b">
        <v>1</v>
      </c>
      <c r="V2858" t="b">
        <v>1</v>
      </c>
      <c r="W2858" t="b">
        <v>1</v>
      </c>
      <c r="X2858" t="b">
        <v>1</v>
      </c>
      <c r="Y2858" t="b">
        <v>1</v>
      </c>
      <c r="Z2858" t="b">
        <v>1</v>
      </c>
      <c r="AA2858" t="b">
        <v>1</v>
      </c>
      <c r="AB2858" t="b">
        <v>1</v>
      </c>
      <c r="AC2858" t="b">
        <v>1</v>
      </c>
      <c r="AD2858" t="b">
        <v>1</v>
      </c>
      <c r="AE2858" t="b">
        <v>1</v>
      </c>
      <c r="AF2858" t="b">
        <v>1</v>
      </c>
      <c r="AG2858" t="b">
        <v>1</v>
      </c>
    </row>
    <row r="2859" spans="1:33" x14ac:dyDescent="0.25">
      <c r="A2859" t="s">
        <v>33</v>
      </c>
      <c r="B2859">
        <v>15</v>
      </c>
      <c r="C2859" t="b">
        <v>1</v>
      </c>
      <c r="D2859" t="s">
        <v>7968</v>
      </c>
      <c r="E2859" t="s">
        <v>9729</v>
      </c>
      <c r="F2859" t="s">
        <v>9755</v>
      </c>
      <c r="G2859" t="s">
        <v>9756</v>
      </c>
      <c r="H2859">
        <v>2858</v>
      </c>
      <c r="I2859" t="str">
        <f>IF(ISBLANK(Table1[[#This Row],[oid]]),"FALSE","TRUE")</f>
        <v>TRUE</v>
      </c>
      <c r="J2859" t="str" cm="1">
        <f t="array" ref="J2859">_xlfn.SWITCH(LEFT(Table1[[#This Row],[section]],1), "D", "Demographic", "S", "Social", "E", "Economic", "H", "Housing", "")</f>
        <v>Housing</v>
      </c>
      <c r="K2859" t="s">
        <v>9661</v>
      </c>
      <c r="L2859" t="s">
        <v>9662</v>
      </c>
      <c r="M2859" t="str">
        <f>IF(Table1[[#This Row],[used]], _xlfn.CONCAT("🆔 ", Table1[[#This Row],[variable]], ": ",Table1[[#This Row],[alias]]), "")</f>
        <v>🆔 B25066_008E: Aggregate gross rent: Boat RV van etc</v>
      </c>
      <c r="O2859" t="s">
        <v>9757</v>
      </c>
      <c r="P2859" t="s">
        <v>9733</v>
      </c>
      <c r="Q2859" t="s">
        <v>41</v>
      </c>
      <c r="R2859" t="s">
        <v>9758</v>
      </c>
      <c r="S2859" t="b">
        <v>1</v>
      </c>
      <c r="T2859" t="b">
        <v>1</v>
      </c>
      <c r="U2859" t="b">
        <v>1</v>
      </c>
      <c r="V2859" t="b">
        <v>1</v>
      </c>
      <c r="W2859" t="b">
        <v>1</v>
      </c>
      <c r="X2859" t="b">
        <v>1</v>
      </c>
      <c r="Y2859" t="b">
        <v>1</v>
      </c>
      <c r="Z2859" t="b">
        <v>1</v>
      </c>
      <c r="AA2859" t="b">
        <v>1</v>
      </c>
      <c r="AB2859" t="b">
        <v>1</v>
      </c>
      <c r="AC2859" t="b">
        <v>1</v>
      </c>
      <c r="AD2859" t="b">
        <v>1</v>
      </c>
      <c r="AE2859" t="b">
        <v>1</v>
      </c>
      <c r="AF2859" t="b">
        <v>1</v>
      </c>
      <c r="AG2859" t="b">
        <v>1</v>
      </c>
    </row>
    <row r="2860" spans="1:33" x14ac:dyDescent="0.25">
      <c r="A2860" t="s">
        <v>33</v>
      </c>
      <c r="B2860">
        <v>15</v>
      </c>
      <c r="C2860" t="b">
        <v>1</v>
      </c>
      <c r="D2860" t="s">
        <v>7968</v>
      </c>
      <c r="E2860" t="s">
        <v>9759</v>
      </c>
      <c r="F2860" t="s">
        <v>9760</v>
      </c>
      <c r="G2860" t="s">
        <v>9761</v>
      </c>
      <c r="H2860">
        <v>2859</v>
      </c>
      <c r="I2860" t="str">
        <f>IF(ISBLANK(Table1[[#This Row],[oid]]),"FALSE","TRUE")</f>
        <v>TRUE</v>
      </c>
      <c r="J2860" t="str" cm="1">
        <f t="array" ref="J2860">_xlfn.SWITCH(LEFT(Table1[[#This Row],[section]],1), "D", "Demographic", "S", "Social", "E", "Economic", "H", "Housing", "")</f>
        <v>Housing</v>
      </c>
      <c r="K2860" t="s">
        <v>9661</v>
      </c>
      <c r="L2860" t="s">
        <v>9662</v>
      </c>
      <c r="M2860" t="str">
        <f>IF(Table1[[#This Row],[used]], _xlfn.CONCAT("🆔 ", Table1[[#This Row],[variable]], ": ",Table1[[#This Row],[alias]]), "")</f>
        <v>🆔 B25067_002E: Aggregate gross rent: Meals included in rent</v>
      </c>
      <c r="O2860" t="s">
        <v>9762</v>
      </c>
      <c r="P2860" t="s">
        <v>9763</v>
      </c>
      <c r="Q2860" t="s">
        <v>41</v>
      </c>
      <c r="R2860" t="s">
        <v>9764</v>
      </c>
      <c r="S2860" t="b">
        <v>1</v>
      </c>
      <c r="T2860" t="b">
        <v>1</v>
      </c>
      <c r="U2860" t="b">
        <v>1</v>
      </c>
      <c r="V2860" t="b">
        <v>1</v>
      </c>
      <c r="W2860" t="b">
        <v>1</v>
      </c>
      <c r="X2860" t="b">
        <v>1</v>
      </c>
      <c r="Y2860" t="b">
        <v>1</v>
      </c>
      <c r="Z2860" t="b">
        <v>1</v>
      </c>
      <c r="AA2860" t="b">
        <v>1</v>
      </c>
      <c r="AB2860" t="b">
        <v>1</v>
      </c>
      <c r="AC2860" t="b">
        <v>1</v>
      </c>
      <c r="AD2860" t="b">
        <v>1</v>
      </c>
      <c r="AE2860" t="b">
        <v>1</v>
      </c>
      <c r="AF2860" t="b">
        <v>1</v>
      </c>
      <c r="AG2860" t="b">
        <v>1</v>
      </c>
    </row>
    <row r="2861" spans="1:33" x14ac:dyDescent="0.25">
      <c r="A2861" t="s">
        <v>33</v>
      </c>
      <c r="B2861">
        <v>15</v>
      </c>
      <c r="C2861" t="b">
        <v>1</v>
      </c>
      <c r="D2861" t="s">
        <v>7968</v>
      </c>
      <c r="E2861" t="s">
        <v>9759</v>
      </c>
      <c r="F2861" t="s">
        <v>9765</v>
      </c>
      <c r="G2861" t="s">
        <v>9766</v>
      </c>
      <c r="H2861">
        <v>2860</v>
      </c>
      <c r="I2861" t="str">
        <f>IF(ISBLANK(Table1[[#This Row],[oid]]),"FALSE","TRUE")</f>
        <v>TRUE</v>
      </c>
      <c r="J2861" t="str" cm="1">
        <f t="array" ref="J2861">_xlfn.SWITCH(LEFT(Table1[[#This Row],[section]],1), "D", "Demographic", "S", "Social", "E", "Economic", "H", "Housing", "")</f>
        <v>Housing</v>
      </c>
      <c r="K2861" t="s">
        <v>9661</v>
      </c>
      <c r="L2861" t="s">
        <v>9662</v>
      </c>
      <c r="M2861" t="str">
        <f>IF(Table1[[#This Row],[used]], _xlfn.CONCAT("🆔 ", Table1[[#This Row],[variable]], ": ",Table1[[#This Row],[alias]]), "")</f>
        <v>🆔 B25067_003E: Aggregate gross rent: No meals included in rent</v>
      </c>
      <c r="O2861" t="s">
        <v>9767</v>
      </c>
      <c r="P2861" t="s">
        <v>9763</v>
      </c>
      <c r="Q2861" t="s">
        <v>41</v>
      </c>
      <c r="R2861" t="s">
        <v>9768</v>
      </c>
      <c r="S2861" t="b">
        <v>1</v>
      </c>
      <c r="T2861" t="b">
        <v>1</v>
      </c>
      <c r="U2861" t="b">
        <v>1</v>
      </c>
      <c r="V2861" t="b">
        <v>1</v>
      </c>
      <c r="W2861" t="b">
        <v>1</v>
      </c>
      <c r="X2861" t="b">
        <v>1</v>
      </c>
      <c r="Y2861" t="b">
        <v>1</v>
      </c>
      <c r="Z2861" t="b">
        <v>1</v>
      </c>
      <c r="AA2861" t="b">
        <v>1</v>
      </c>
      <c r="AB2861" t="b">
        <v>1</v>
      </c>
      <c r="AC2861" t="b">
        <v>1</v>
      </c>
      <c r="AD2861" t="b">
        <v>1</v>
      </c>
      <c r="AE2861" t="b">
        <v>1</v>
      </c>
      <c r="AF2861" t="b">
        <v>1</v>
      </c>
      <c r="AG2861" t="b">
        <v>1</v>
      </c>
    </row>
    <row r="2862" spans="1:33" x14ac:dyDescent="0.25">
      <c r="A2862" t="s">
        <v>33</v>
      </c>
      <c r="B2862">
        <v>15</v>
      </c>
      <c r="C2862" t="b">
        <v>1</v>
      </c>
      <c r="D2862" t="s">
        <v>7968</v>
      </c>
      <c r="E2862" t="s">
        <v>9769</v>
      </c>
      <c r="F2862" t="s">
        <v>9770</v>
      </c>
      <c r="G2862" t="s">
        <v>9660</v>
      </c>
      <c r="H2862">
        <v>2861</v>
      </c>
      <c r="I2862" t="str">
        <f>IF(ISBLANK(Table1[[#This Row],[oid]]),"FALSE","TRUE")</f>
        <v>TRUE</v>
      </c>
      <c r="J2862" t="str" cm="1">
        <f t="array" ref="J2862">_xlfn.SWITCH(LEFT(Table1[[#This Row],[section]],1), "D", "Demographic", "S", "Social", "E", "Economic", "H", "Housing", "")</f>
        <v>Housing</v>
      </c>
      <c r="K2862" t="s">
        <v>9771</v>
      </c>
      <c r="L2862" t="s">
        <v>9772</v>
      </c>
      <c r="M2862" t="str">
        <f>IF(Table1[[#This Row],[used]], _xlfn.CONCAT("🆔 ", Table1[[#This Row],[variable]], ": ",Table1[[#This Row],[alias]]), "")</f>
        <v>🆔 B25070_001E: Occupied units paying rent</v>
      </c>
      <c r="O2862" t="s">
        <v>39</v>
      </c>
      <c r="P2862" t="s">
        <v>9773</v>
      </c>
      <c r="Q2862" t="s">
        <v>41</v>
      </c>
      <c r="R2862" t="s">
        <v>9774</v>
      </c>
      <c r="S2862" t="b">
        <v>1</v>
      </c>
      <c r="T2862" t="b">
        <v>1</v>
      </c>
      <c r="U2862" t="b">
        <v>1</v>
      </c>
      <c r="V2862" t="b">
        <v>1</v>
      </c>
      <c r="W2862" t="b">
        <v>1</v>
      </c>
      <c r="X2862" t="b">
        <v>1</v>
      </c>
      <c r="Y2862" t="b">
        <v>1</v>
      </c>
      <c r="Z2862" t="b">
        <v>1</v>
      </c>
      <c r="AA2862" t="b">
        <v>1</v>
      </c>
      <c r="AB2862" t="b">
        <v>1</v>
      </c>
      <c r="AC2862" t="b">
        <v>1</v>
      </c>
      <c r="AD2862" t="b">
        <v>1</v>
      </c>
      <c r="AE2862" t="b">
        <v>1</v>
      </c>
      <c r="AF2862" t="b">
        <v>1</v>
      </c>
      <c r="AG2862" t="b">
        <v>1</v>
      </c>
    </row>
    <row r="2863" spans="1:33" x14ac:dyDescent="0.25">
      <c r="A2863" t="s">
        <v>33</v>
      </c>
      <c r="B2863">
        <v>15</v>
      </c>
      <c r="C2863" t="b">
        <v>1</v>
      </c>
      <c r="D2863" t="s">
        <v>7968</v>
      </c>
      <c r="E2863" t="s">
        <v>9769</v>
      </c>
      <c r="F2863" t="s">
        <v>9775</v>
      </c>
      <c r="G2863" t="s">
        <v>9776</v>
      </c>
      <c r="H2863">
        <v>2862</v>
      </c>
      <c r="I2863" t="str">
        <f>IF(ISBLANK(Table1[[#This Row],[oid]]),"FALSE","TRUE")</f>
        <v>TRUE</v>
      </c>
      <c r="J2863" t="str" cm="1">
        <f t="array" ref="J2863">_xlfn.SWITCH(LEFT(Table1[[#This Row],[section]],1), "D", "Demographic", "S", "Social", "E", "Economic", "H", "Housing", "")</f>
        <v>Housing</v>
      </c>
      <c r="K2863" t="s">
        <v>9771</v>
      </c>
      <c r="L2863" t="s">
        <v>9772</v>
      </c>
      <c r="M2863" t="str">
        <f>IF(Table1[[#This Row],[used]], _xlfn.CONCAT("🆔 ", Table1[[#This Row],[variable]], ": ",Table1[[#This Row],[alias]]), "")</f>
        <v>🆔 B25070_002E: Less than 10.0 percent</v>
      </c>
      <c r="O2863" t="s">
        <v>9777</v>
      </c>
      <c r="P2863" t="s">
        <v>9773</v>
      </c>
      <c r="Q2863" t="s">
        <v>41</v>
      </c>
      <c r="R2863" t="s">
        <v>9778</v>
      </c>
      <c r="S2863" t="b">
        <v>1</v>
      </c>
      <c r="T2863" t="b">
        <v>1</v>
      </c>
      <c r="U2863" t="b">
        <v>1</v>
      </c>
      <c r="V2863" t="b">
        <v>1</v>
      </c>
      <c r="W2863" t="b">
        <v>1</v>
      </c>
      <c r="X2863" t="b">
        <v>1</v>
      </c>
      <c r="Y2863" t="b">
        <v>1</v>
      </c>
      <c r="Z2863" t="b">
        <v>1</v>
      </c>
      <c r="AA2863" t="b">
        <v>1</v>
      </c>
      <c r="AB2863" t="b">
        <v>1</v>
      </c>
      <c r="AC2863" t="b">
        <v>1</v>
      </c>
      <c r="AD2863" t="b">
        <v>1</v>
      </c>
      <c r="AE2863" t="b">
        <v>1</v>
      </c>
      <c r="AF2863" t="b">
        <v>1</v>
      </c>
      <c r="AG2863" t="b">
        <v>1</v>
      </c>
    </row>
    <row r="2864" spans="1:33" x14ac:dyDescent="0.25">
      <c r="A2864" t="s">
        <v>33</v>
      </c>
      <c r="B2864">
        <v>15</v>
      </c>
      <c r="C2864" t="b">
        <v>1</v>
      </c>
      <c r="D2864" t="s">
        <v>7968</v>
      </c>
      <c r="E2864" t="s">
        <v>9769</v>
      </c>
      <c r="F2864" t="s">
        <v>9779</v>
      </c>
      <c r="G2864" t="s">
        <v>9780</v>
      </c>
      <c r="H2864">
        <v>2863</v>
      </c>
      <c r="I2864" t="str">
        <f>IF(ISBLANK(Table1[[#This Row],[oid]]),"FALSE","TRUE")</f>
        <v>TRUE</v>
      </c>
      <c r="J2864" t="str" cm="1">
        <f t="array" ref="J2864">_xlfn.SWITCH(LEFT(Table1[[#This Row],[section]],1), "D", "Demographic", "S", "Social", "E", "Economic", "H", "Housing", "")</f>
        <v>Housing</v>
      </c>
      <c r="K2864" t="s">
        <v>9771</v>
      </c>
      <c r="L2864" t="s">
        <v>9772</v>
      </c>
      <c r="M2864" t="str">
        <f>IF(Table1[[#This Row],[used]], _xlfn.CONCAT("🆔 ", Table1[[#This Row],[variable]], ": ",Table1[[#This Row],[alias]]), "")</f>
        <v>🆔 B25070_003E: 10.0 to 14.9 percent</v>
      </c>
      <c r="O2864" t="s">
        <v>9781</v>
      </c>
      <c r="P2864" t="s">
        <v>9773</v>
      </c>
      <c r="Q2864" t="s">
        <v>41</v>
      </c>
      <c r="R2864" t="s">
        <v>9782</v>
      </c>
      <c r="S2864" t="b">
        <v>1</v>
      </c>
      <c r="T2864" t="b">
        <v>1</v>
      </c>
      <c r="U2864" t="b">
        <v>1</v>
      </c>
      <c r="V2864" t="b">
        <v>1</v>
      </c>
      <c r="W2864" t="b">
        <v>1</v>
      </c>
      <c r="X2864" t="b">
        <v>1</v>
      </c>
      <c r="Y2864" t="b">
        <v>1</v>
      </c>
      <c r="Z2864" t="b">
        <v>1</v>
      </c>
      <c r="AA2864" t="b">
        <v>1</v>
      </c>
      <c r="AB2864" t="b">
        <v>1</v>
      </c>
      <c r="AC2864" t="b">
        <v>1</v>
      </c>
      <c r="AD2864" t="b">
        <v>1</v>
      </c>
      <c r="AE2864" t="b">
        <v>1</v>
      </c>
      <c r="AF2864" t="b">
        <v>1</v>
      </c>
      <c r="AG2864" t="b">
        <v>1</v>
      </c>
    </row>
    <row r="2865" spans="1:33" x14ac:dyDescent="0.25">
      <c r="A2865" t="s">
        <v>33</v>
      </c>
      <c r="B2865">
        <v>15</v>
      </c>
      <c r="C2865" t="b">
        <v>1</v>
      </c>
      <c r="D2865" t="s">
        <v>7968</v>
      </c>
      <c r="E2865" t="s">
        <v>9769</v>
      </c>
      <c r="F2865" t="s">
        <v>9783</v>
      </c>
      <c r="G2865" t="s">
        <v>9784</v>
      </c>
      <c r="H2865">
        <v>2864</v>
      </c>
      <c r="I2865" t="str">
        <f>IF(ISBLANK(Table1[[#This Row],[oid]]),"FALSE","TRUE")</f>
        <v>TRUE</v>
      </c>
      <c r="J2865" t="str" cm="1">
        <f t="array" ref="J2865">_xlfn.SWITCH(LEFT(Table1[[#This Row],[section]],1), "D", "Demographic", "S", "Social", "E", "Economic", "H", "Housing", "")</f>
        <v>Housing</v>
      </c>
      <c r="K2865" t="s">
        <v>9771</v>
      </c>
      <c r="L2865" t="s">
        <v>9772</v>
      </c>
      <c r="M2865" t="str">
        <f>IF(Table1[[#This Row],[used]], _xlfn.CONCAT("🆔 ", Table1[[#This Row],[variable]], ": ",Table1[[#This Row],[alias]]), "")</f>
        <v>🆔 B25070_004E: 15.0 to 19.9 percent</v>
      </c>
      <c r="O2865" t="s">
        <v>9785</v>
      </c>
      <c r="P2865" t="s">
        <v>9773</v>
      </c>
      <c r="Q2865" t="s">
        <v>41</v>
      </c>
      <c r="R2865" t="s">
        <v>9786</v>
      </c>
      <c r="S2865" t="b">
        <v>1</v>
      </c>
      <c r="T2865" t="b">
        <v>1</v>
      </c>
      <c r="U2865" t="b">
        <v>1</v>
      </c>
      <c r="V2865" t="b">
        <v>1</v>
      </c>
      <c r="W2865" t="b">
        <v>1</v>
      </c>
      <c r="X2865" t="b">
        <v>1</v>
      </c>
      <c r="Y2865" t="b">
        <v>1</v>
      </c>
      <c r="Z2865" t="b">
        <v>1</v>
      </c>
      <c r="AA2865" t="b">
        <v>1</v>
      </c>
      <c r="AB2865" t="b">
        <v>1</v>
      </c>
      <c r="AC2865" t="b">
        <v>1</v>
      </c>
      <c r="AD2865" t="b">
        <v>1</v>
      </c>
      <c r="AE2865" t="b">
        <v>1</v>
      </c>
      <c r="AF2865" t="b">
        <v>1</v>
      </c>
      <c r="AG2865" t="b">
        <v>1</v>
      </c>
    </row>
    <row r="2866" spans="1:33" x14ac:dyDescent="0.25">
      <c r="A2866" t="s">
        <v>33</v>
      </c>
      <c r="B2866">
        <v>15</v>
      </c>
      <c r="C2866" t="b">
        <v>1</v>
      </c>
      <c r="D2866" t="s">
        <v>7968</v>
      </c>
      <c r="E2866" t="s">
        <v>9769</v>
      </c>
      <c r="F2866" t="s">
        <v>9787</v>
      </c>
      <c r="G2866" t="s">
        <v>9788</v>
      </c>
      <c r="H2866">
        <v>2865</v>
      </c>
      <c r="I2866" t="str">
        <f>IF(ISBLANK(Table1[[#This Row],[oid]]),"FALSE","TRUE")</f>
        <v>TRUE</v>
      </c>
      <c r="J2866" t="str" cm="1">
        <f t="array" ref="J2866">_xlfn.SWITCH(LEFT(Table1[[#This Row],[section]],1), "D", "Demographic", "S", "Social", "E", "Economic", "H", "Housing", "")</f>
        <v>Housing</v>
      </c>
      <c r="K2866" t="s">
        <v>9771</v>
      </c>
      <c r="L2866" t="s">
        <v>9772</v>
      </c>
      <c r="M2866" t="str">
        <f>IF(Table1[[#This Row],[used]], _xlfn.CONCAT("🆔 ", Table1[[#This Row],[variable]], ": ",Table1[[#This Row],[alias]]), "")</f>
        <v>🆔 B25070_005E: 20.0 to 24.9 percent</v>
      </c>
      <c r="O2866" t="s">
        <v>9789</v>
      </c>
      <c r="P2866" t="s">
        <v>9773</v>
      </c>
      <c r="Q2866" t="s">
        <v>41</v>
      </c>
      <c r="R2866" t="s">
        <v>9790</v>
      </c>
      <c r="S2866" t="b">
        <v>1</v>
      </c>
      <c r="T2866" t="b">
        <v>1</v>
      </c>
      <c r="U2866" t="b">
        <v>1</v>
      </c>
      <c r="V2866" t="b">
        <v>1</v>
      </c>
      <c r="W2866" t="b">
        <v>1</v>
      </c>
      <c r="X2866" t="b">
        <v>1</v>
      </c>
      <c r="Y2866" t="b">
        <v>1</v>
      </c>
      <c r="Z2866" t="b">
        <v>1</v>
      </c>
      <c r="AA2866" t="b">
        <v>1</v>
      </c>
      <c r="AB2866" t="b">
        <v>1</v>
      </c>
      <c r="AC2866" t="b">
        <v>1</v>
      </c>
      <c r="AD2866" t="b">
        <v>1</v>
      </c>
      <c r="AE2866" t="b">
        <v>1</v>
      </c>
      <c r="AF2866" t="b">
        <v>1</v>
      </c>
      <c r="AG2866" t="b">
        <v>1</v>
      </c>
    </row>
    <row r="2867" spans="1:33" x14ac:dyDescent="0.25">
      <c r="A2867" t="s">
        <v>33</v>
      </c>
      <c r="B2867">
        <v>15</v>
      </c>
      <c r="C2867" t="b">
        <v>1</v>
      </c>
      <c r="D2867" t="s">
        <v>7968</v>
      </c>
      <c r="E2867" t="s">
        <v>9769</v>
      </c>
      <c r="F2867" t="s">
        <v>9791</v>
      </c>
      <c r="G2867" t="s">
        <v>9792</v>
      </c>
      <c r="H2867">
        <v>2866</v>
      </c>
      <c r="I2867" t="str">
        <f>IF(ISBLANK(Table1[[#This Row],[oid]]),"FALSE","TRUE")</f>
        <v>TRUE</v>
      </c>
      <c r="J2867" t="str" cm="1">
        <f t="array" ref="J2867">_xlfn.SWITCH(LEFT(Table1[[#This Row],[section]],1), "D", "Demographic", "S", "Social", "E", "Economic", "H", "Housing", "")</f>
        <v>Housing</v>
      </c>
      <c r="K2867" t="s">
        <v>9771</v>
      </c>
      <c r="L2867" t="s">
        <v>9772</v>
      </c>
      <c r="M2867" t="str">
        <f>IF(Table1[[#This Row],[used]], _xlfn.CONCAT("🆔 ", Table1[[#This Row],[variable]], ": ",Table1[[#This Row],[alias]]), "")</f>
        <v>🆔 B25070_006E: 25.0 to 29.9 percent</v>
      </c>
      <c r="O2867" t="s">
        <v>9793</v>
      </c>
      <c r="P2867" t="s">
        <v>9773</v>
      </c>
      <c r="Q2867" t="s">
        <v>41</v>
      </c>
      <c r="R2867" t="s">
        <v>9794</v>
      </c>
      <c r="S2867" t="b">
        <v>1</v>
      </c>
      <c r="T2867" t="b">
        <v>1</v>
      </c>
      <c r="U2867" t="b">
        <v>1</v>
      </c>
      <c r="V2867" t="b">
        <v>1</v>
      </c>
      <c r="W2867" t="b">
        <v>1</v>
      </c>
      <c r="X2867" t="b">
        <v>1</v>
      </c>
      <c r="Y2867" t="b">
        <v>1</v>
      </c>
      <c r="Z2867" t="b">
        <v>1</v>
      </c>
      <c r="AA2867" t="b">
        <v>1</v>
      </c>
      <c r="AB2867" t="b">
        <v>1</v>
      </c>
      <c r="AC2867" t="b">
        <v>1</v>
      </c>
      <c r="AD2867" t="b">
        <v>1</v>
      </c>
      <c r="AE2867" t="b">
        <v>1</v>
      </c>
      <c r="AF2867" t="b">
        <v>1</v>
      </c>
      <c r="AG2867" t="b">
        <v>1</v>
      </c>
    </row>
    <row r="2868" spans="1:33" x14ac:dyDescent="0.25">
      <c r="A2868" t="s">
        <v>33</v>
      </c>
      <c r="B2868">
        <v>15</v>
      </c>
      <c r="C2868" t="b">
        <v>1</v>
      </c>
      <c r="D2868" t="s">
        <v>7968</v>
      </c>
      <c r="E2868" t="s">
        <v>9769</v>
      </c>
      <c r="F2868" t="s">
        <v>9795</v>
      </c>
      <c r="G2868" t="s">
        <v>9796</v>
      </c>
      <c r="H2868">
        <v>2867</v>
      </c>
      <c r="I2868" t="str">
        <f>IF(ISBLANK(Table1[[#This Row],[oid]]),"FALSE","TRUE")</f>
        <v>TRUE</v>
      </c>
      <c r="J2868" t="str" cm="1">
        <f t="array" ref="J2868">_xlfn.SWITCH(LEFT(Table1[[#This Row],[section]],1), "D", "Demographic", "S", "Social", "E", "Economic", "H", "Housing", "")</f>
        <v>Housing</v>
      </c>
      <c r="K2868" t="s">
        <v>9771</v>
      </c>
      <c r="L2868" t="s">
        <v>9772</v>
      </c>
      <c r="M2868" t="str">
        <f>IF(Table1[[#This Row],[used]], _xlfn.CONCAT("🆔 ", Table1[[#This Row],[variable]], ": ",Table1[[#This Row],[alias]]), "")</f>
        <v>🆔 B25070_007E: 30.0 to 34.9 percent</v>
      </c>
      <c r="O2868" t="s">
        <v>9797</v>
      </c>
      <c r="P2868" t="s">
        <v>9773</v>
      </c>
      <c r="Q2868" t="s">
        <v>41</v>
      </c>
      <c r="R2868" t="s">
        <v>9798</v>
      </c>
      <c r="S2868" t="b">
        <v>1</v>
      </c>
      <c r="T2868" t="b">
        <v>1</v>
      </c>
      <c r="U2868" t="b">
        <v>1</v>
      </c>
      <c r="V2868" t="b">
        <v>1</v>
      </c>
      <c r="W2868" t="b">
        <v>1</v>
      </c>
      <c r="X2868" t="b">
        <v>1</v>
      </c>
      <c r="Y2868" t="b">
        <v>1</v>
      </c>
      <c r="Z2868" t="b">
        <v>1</v>
      </c>
      <c r="AA2868" t="b">
        <v>1</v>
      </c>
      <c r="AB2868" t="b">
        <v>1</v>
      </c>
      <c r="AC2868" t="b">
        <v>1</v>
      </c>
      <c r="AD2868" t="b">
        <v>1</v>
      </c>
      <c r="AE2868" t="b">
        <v>1</v>
      </c>
      <c r="AF2868" t="b">
        <v>1</v>
      </c>
      <c r="AG2868" t="b">
        <v>1</v>
      </c>
    </row>
    <row r="2869" spans="1:33" x14ac:dyDescent="0.25">
      <c r="A2869" t="s">
        <v>33</v>
      </c>
      <c r="B2869">
        <v>15</v>
      </c>
      <c r="C2869" t="b">
        <v>1</v>
      </c>
      <c r="D2869" t="s">
        <v>7968</v>
      </c>
      <c r="E2869" t="s">
        <v>9769</v>
      </c>
      <c r="F2869" t="s">
        <v>9799</v>
      </c>
      <c r="G2869" t="s">
        <v>9800</v>
      </c>
      <c r="H2869">
        <v>2868</v>
      </c>
      <c r="I2869" t="str">
        <f>IF(ISBLANK(Table1[[#This Row],[oid]]),"FALSE","TRUE")</f>
        <v>TRUE</v>
      </c>
      <c r="J2869" t="str" cm="1">
        <f t="array" ref="J2869">_xlfn.SWITCH(LEFT(Table1[[#This Row],[section]],1), "D", "Demographic", "S", "Social", "E", "Economic", "H", "Housing", "")</f>
        <v>Housing</v>
      </c>
      <c r="K2869" t="s">
        <v>9771</v>
      </c>
      <c r="L2869" t="s">
        <v>9772</v>
      </c>
      <c r="M2869" t="str">
        <f>IF(Table1[[#This Row],[used]], _xlfn.CONCAT("🆔 ", Table1[[#This Row],[variable]], ": ",Table1[[#This Row],[alias]]), "")</f>
        <v>🆔 B25070_008E: 35.0 to 39.9 percent</v>
      </c>
      <c r="O2869" t="s">
        <v>9801</v>
      </c>
      <c r="P2869" t="s">
        <v>9773</v>
      </c>
      <c r="Q2869" t="s">
        <v>41</v>
      </c>
      <c r="R2869" t="s">
        <v>9802</v>
      </c>
      <c r="S2869" t="b">
        <v>1</v>
      </c>
      <c r="T2869" t="b">
        <v>1</v>
      </c>
      <c r="U2869" t="b">
        <v>1</v>
      </c>
      <c r="V2869" t="b">
        <v>1</v>
      </c>
      <c r="W2869" t="b">
        <v>1</v>
      </c>
      <c r="X2869" t="b">
        <v>1</v>
      </c>
      <c r="Y2869" t="b">
        <v>1</v>
      </c>
      <c r="Z2869" t="b">
        <v>1</v>
      </c>
      <c r="AA2869" t="b">
        <v>1</v>
      </c>
      <c r="AB2869" t="b">
        <v>1</v>
      </c>
      <c r="AC2869" t="b">
        <v>1</v>
      </c>
      <c r="AD2869" t="b">
        <v>1</v>
      </c>
      <c r="AE2869" t="b">
        <v>1</v>
      </c>
      <c r="AF2869" t="b">
        <v>1</v>
      </c>
      <c r="AG2869" t="b">
        <v>1</v>
      </c>
    </row>
    <row r="2870" spans="1:33" x14ac:dyDescent="0.25">
      <c r="A2870" t="s">
        <v>33</v>
      </c>
      <c r="B2870">
        <v>15</v>
      </c>
      <c r="C2870" t="b">
        <v>1</v>
      </c>
      <c r="D2870" t="s">
        <v>7968</v>
      </c>
      <c r="E2870" t="s">
        <v>9769</v>
      </c>
      <c r="F2870" t="s">
        <v>9803</v>
      </c>
      <c r="G2870" t="s">
        <v>9804</v>
      </c>
      <c r="H2870">
        <v>2869</v>
      </c>
      <c r="I2870" t="str">
        <f>IF(ISBLANK(Table1[[#This Row],[oid]]),"FALSE","TRUE")</f>
        <v>TRUE</v>
      </c>
      <c r="J2870" t="str" cm="1">
        <f t="array" ref="J2870">_xlfn.SWITCH(LEFT(Table1[[#This Row],[section]],1), "D", "Demographic", "S", "Social", "E", "Economic", "H", "Housing", "")</f>
        <v>Housing</v>
      </c>
      <c r="K2870" t="s">
        <v>9771</v>
      </c>
      <c r="L2870" t="s">
        <v>9772</v>
      </c>
      <c r="M2870" t="str">
        <f>IF(Table1[[#This Row],[used]], _xlfn.CONCAT("🆔 ", Table1[[#This Row],[variable]], ": ",Table1[[#This Row],[alias]]), "")</f>
        <v>🆔 B25070_009E: 40.0 to 49.9 percent</v>
      </c>
      <c r="O2870" t="s">
        <v>9805</v>
      </c>
      <c r="P2870" t="s">
        <v>9773</v>
      </c>
      <c r="Q2870" t="s">
        <v>41</v>
      </c>
      <c r="R2870" t="s">
        <v>9806</v>
      </c>
      <c r="S2870" t="b">
        <v>1</v>
      </c>
      <c r="T2870" t="b">
        <v>1</v>
      </c>
      <c r="U2870" t="b">
        <v>1</v>
      </c>
      <c r="V2870" t="b">
        <v>1</v>
      </c>
      <c r="W2870" t="b">
        <v>1</v>
      </c>
      <c r="X2870" t="b">
        <v>1</v>
      </c>
      <c r="Y2870" t="b">
        <v>1</v>
      </c>
      <c r="Z2870" t="b">
        <v>1</v>
      </c>
      <c r="AA2870" t="b">
        <v>1</v>
      </c>
      <c r="AB2870" t="b">
        <v>1</v>
      </c>
      <c r="AC2870" t="b">
        <v>1</v>
      </c>
      <c r="AD2870" t="b">
        <v>1</v>
      </c>
      <c r="AE2870" t="b">
        <v>1</v>
      </c>
      <c r="AF2870" t="b">
        <v>1</v>
      </c>
      <c r="AG2870" t="b">
        <v>1</v>
      </c>
    </row>
    <row r="2871" spans="1:33" x14ac:dyDescent="0.25">
      <c r="A2871" t="s">
        <v>33</v>
      </c>
      <c r="B2871">
        <v>15</v>
      </c>
      <c r="C2871" t="b">
        <v>1</v>
      </c>
      <c r="D2871" t="s">
        <v>7968</v>
      </c>
      <c r="E2871" t="s">
        <v>9769</v>
      </c>
      <c r="F2871" t="s">
        <v>9807</v>
      </c>
      <c r="G2871" t="s">
        <v>9808</v>
      </c>
      <c r="H2871">
        <v>2870</v>
      </c>
      <c r="I2871" t="str">
        <f>IF(ISBLANK(Table1[[#This Row],[oid]]),"FALSE","TRUE")</f>
        <v>TRUE</v>
      </c>
      <c r="J2871" t="str" cm="1">
        <f t="array" ref="J2871">_xlfn.SWITCH(LEFT(Table1[[#This Row],[section]],1), "D", "Demographic", "S", "Social", "E", "Economic", "H", "Housing", "")</f>
        <v>Housing</v>
      </c>
      <c r="K2871" t="s">
        <v>9771</v>
      </c>
      <c r="L2871" t="s">
        <v>9772</v>
      </c>
      <c r="M2871" t="str">
        <f>IF(Table1[[#This Row],[used]], _xlfn.CONCAT("🆔 ", Table1[[#This Row],[variable]], ": ",Table1[[#This Row],[alias]]), "")</f>
        <v>🆔 B25070_010E: 50.0 percent or more</v>
      </c>
      <c r="O2871" t="s">
        <v>9809</v>
      </c>
      <c r="P2871" t="s">
        <v>9773</v>
      </c>
      <c r="Q2871" t="s">
        <v>41</v>
      </c>
      <c r="R2871" t="s">
        <v>9810</v>
      </c>
      <c r="S2871" t="b">
        <v>1</v>
      </c>
      <c r="T2871" t="b">
        <v>1</v>
      </c>
      <c r="U2871" t="b">
        <v>1</v>
      </c>
      <c r="V2871" t="b">
        <v>1</v>
      </c>
      <c r="W2871" t="b">
        <v>1</v>
      </c>
      <c r="X2871" t="b">
        <v>1</v>
      </c>
      <c r="Y2871" t="b">
        <v>1</v>
      </c>
      <c r="Z2871" t="b">
        <v>1</v>
      </c>
      <c r="AA2871" t="b">
        <v>1</v>
      </c>
      <c r="AB2871" t="b">
        <v>1</v>
      </c>
      <c r="AC2871" t="b">
        <v>1</v>
      </c>
      <c r="AD2871" t="b">
        <v>1</v>
      </c>
      <c r="AE2871" t="b">
        <v>1</v>
      </c>
      <c r="AF2871" t="b">
        <v>1</v>
      </c>
      <c r="AG2871" t="b">
        <v>1</v>
      </c>
    </row>
    <row r="2872" spans="1:33" x14ac:dyDescent="0.25">
      <c r="A2872" t="s">
        <v>33</v>
      </c>
      <c r="B2872">
        <v>15</v>
      </c>
      <c r="C2872" t="b">
        <v>1</v>
      </c>
      <c r="D2872" t="s">
        <v>7968</v>
      </c>
      <c r="E2872" t="s">
        <v>9769</v>
      </c>
      <c r="F2872" t="s">
        <v>9811</v>
      </c>
      <c r="G2872" t="s">
        <v>9812</v>
      </c>
      <c r="H2872">
        <v>2871</v>
      </c>
      <c r="I2872" t="str">
        <f>IF(ISBLANK(Table1[[#This Row],[oid]]),"FALSE","TRUE")</f>
        <v>TRUE</v>
      </c>
      <c r="J2872" t="str" cm="1">
        <f t="array" ref="J2872">_xlfn.SWITCH(LEFT(Table1[[#This Row],[section]],1), "D", "Demographic", "S", "Social", "E", "Economic", "H", "Housing", "")</f>
        <v>Housing</v>
      </c>
      <c r="K2872" t="s">
        <v>9771</v>
      </c>
      <c r="L2872" t="s">
        <v>9772</v>
      </c>
      <c r="M2872" t="str">
        <f>IF(Table1[[#This Row],[used]], _xlfn.CONCAT("🆔 ", Table1[[#This Row],[variable]], ": ",Table1[[#This Row],[alias]]), "")</f>
        <v>🆔 B25070_011E: Not computed</v>
      </c>
      <c r="O2872" t="s">
        <v>9813</v>
      </c>
      <c r="P2872" t="s">
        <v>9773</v>
      </c>
      <c r="Q2872" t="s">
        <v>41</v>
      </c>
      <c r="R2872" t="s">
        <v>9814</v>
      </c>
      <c r="S2872" t="b">
        <v>1</v>
      </c>
      <c r="T2872" t="b">
        <v>1</v>
      </c>
      <c r="U2872" t="b">
        <v>1</v>
      </c>
      <c r="V2872" t="b">
        <v>1</v>
      </c>
      <c r="W2872" t="b">
        <v>1</v>
      </c>
      <c r="X2872" t="b">
        <v>1</v>
      </c>
      <c r="Y2872" t="b">
        <v>1</v>
      </c>
      <c r="Z2872" t="b">
        <v>1</v>
      </c>
      <c r="AA2872" t="b">
        <v>1</v>
      </c>
      <c r="AB2872" t="b">
        <v>1</v>
      </c>
      <c r="AC2872" t="b">
        <v>1</v>
      </c>
      <c r="AD2872" t="b">
        <v>1</v>
      </c>
      <c r="AE2872" t="b">
        <v>1</v>
      </c>
      <c r="AF2872" t="b">
        <v>1</v>
      </c>
      <c r="AG2872" t="b">
        <v>1</v>
      </c>
    </row>
    <row r="2873" spans="1:33" x14ac:dyDescent="0.25">
      <c r="A2873" t="s">
        <v>33</v>
      </c>
      <c r="B2873">
        <v>15</v>
      </c>
      <c r="C2873" t="b">
        <v>1</v>
      </c>
      <c r="D2873" t="s">
        <v>7968</v>
      </c>
      <c r="E2873" t="s">
        <v>9815</v>
      </c>
      <c r="F2873" t="s">
        <v>9816</v>
      </c>
      <c r="G2873" t="s">
        <v>9817</v>
      </c>
      <c r="H2873">
        <v>2872</v>
      </c>
      <c r="I2873" t="str">
        <f>IF(ISBLANK(Table1[[#This Row],[oid]]),"FALSE","TRUE")</f>
        <v>TRUE</v>
      </c>
      <c r="J2873" t="str" cm="1">
        <f t="array" ref="J2873">_xlfn.SWITCH(LEFT(Table1[[#This Row],[section]],1), "D", "Demographic", "S", "Social", "E", "Economic", "H", "Housing", "")</f>
        <v>Housing</v>
      </c>
      <c r="K2873" t="s">
        <v>9771</v>
      </c>
      <c r="L2873" t="s">
        <v>9772</v>
      </c>
      <c r="M2873" t="str">
        <f>IF(Table1[[#This Row],[used]], _xlfn.CONCAT("🆔 ", Table1[[#This Row],[variable]], ": ",Table1[[#This Row],[alias]]), "")</f>
        <v>🆔 B25071_001E: Median gross rent as a percentage of household income</v>
      </c>
      <c r="O2873" t="s">
        <v>9818</v>
      </c>
      <c r="P2873" t="s">
        <v>9819</v>
      </c>
      <c r="Q2873" t="s">
        <v>249</v>
      </c>
      <c r="R2873" t="s">
        <v>9820</v>
      </c>
      <c r="S2873" t="b">
        <v>1</v>
      </c>
      <c r="T2873" t="b">
        <v>1</v>
      </c>
      <c r="U2873" t="b">
        <v>1</v>
      </c>
      <c r="V2873" t="b">
        <v>1</v>
      </c>
      <c r="W2873" t="b">
        <v>1</v>
      </c>
      <c r="X2873" t="b">
        <v>1</v>
      </c>
      <c r="Y2873" t="b">
        <v>1</v>
      </c>
      <c r="Z2873" t="b">
        <v>1</v>
      </c>
      <c r="AA2873" t="b">
        <v>1</v>
      </c>
      <c r="AB2873" t="b">
        <v>1</v>
      </c>
      <c r="AC2873" t="b">
        <v>1</v>
      </c>
      <c r="AD2873" t="b">
        <v>1</v>
      </c>
      <c r="AE2873" t="b">
        <v>1</v>
      </c>
      <c r="AF2873" t="b">
        <v>1</v>
      </c>
      <c r="AG2873" t="b">
        <v>1</v>
      </c>
    </row>
  </sheetData>
  <conditionalFormatting sqref="C1:C1048576">
    <cfRule type="cellIs" dxfId="1" priority="1" operator="equal">
      <formula>FALSE</formula>
    </cfRule>
    <cfRule type="cellIs" dxfId="0" priority="2" operator="equal">
      <formula>TRUE</formula>
    </cfRule>
  </conditionalFormatting>
  <pageMargins left="0.75" right="0.75" top="1" bottom="1" header="0.5" footer="0.5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Cumulative</vt:lpstr>
    </vt:vector>
  </TitlesOfParts>
  <Company>County of Orange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Alexandridis, Kostas</dc:creator>
  <cp:lastModifiedBy>Alexandridis, Kostas</cp:lastModifiedBy>
  <dcterms:created xsi:type="dcterms:W3CDTF">2026-02-11T15:08:28Z</dcterms:created>
  <dcterms:modified xsi:type="dcterms:W3CDTF">2026-02-20T00:06:46Z</dcterms:modified>
</cp:coreProperties>
</file>